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cai\data analysis - depi\tec\project\"/>
    </mc:Choice>
  </mc:AlternateContent>
  <xr:revisionPtr revIDLastSave="0" documentId="8_{5070BCFF-D52D-4A9A-A6BF-5B22C64B1810}" xr6:coauthVersionLast="47" xr6:coauthVersionMax="47" xr10:uidLastSave="{00000000-0000-0000-0000-000000000000}"/>
  <bookViews>
    <workbookView xWindow="-110" yWindow="-110" windowWidth="19420" windowHeight="10420" xr2:uid="{2424A057-3967-4F0F-8DA4-9F81FD37758A}"/>
  </bookViews>
  <sheets>
    <sheet name="Dashboard" sheetId="10" r:id="rId1"/>
    <sheet name="Pivots" sheetId="5" r:id="rId2"/>
    <sheet name="Insights" sheetId="12" r:id="rId3"/>
    <sheet name="BMW" sheetId="2" r:id="rId4"/>
    <sheet name="Sheet2" sheetId="17" r:id="rId5"/>
    <sheet name="BMW_Sales" sheetId="1" r:id="rId6"/>
  </sheets>
  <definedNames>
    <definedName name="_xlnm._FilterDatabase" localSheetId="5" hidden="1">BMW_Sales!$A$1:$N$1001</definedName>
    <definedName name="_xlnm._FilterDatabase" localSheetId="1" hidden="1">Pivots!$F$100:$G$110</definedName>
    <definedName name="_xlcn.WorksheetConnection_BMW_Sales.xlsxBMW1" hidden="1">BMW[]</definedName>
    <definedName name="ExternalData_1" localSheetId="3" hidden="1">BMW!$A$1:$Q$1001</definedName>
    <definedName name="Slicer_country">#N/A</definedName>
    <definedName name="Slicer_engine_type">#N/A</definedName>
    <definedName name="Slicer_model">#N/A</definedName>
    <definedName name="Slicer_segment">#N/A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MW" name="BMW" connection="WorksheetConnection_BMW_Sales.xlsx!BM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2" i="17"/>
  <c r="E42" i="5"/>
  <c r="H6" i="10"/>
  <c r="D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82CBF1-9217-4ACE-99FE-9BF6B0474F09}" keepAlive="1" name="Query - BMW" description="Connection to the 'BMW' query in the workbook." type="5" refreshedVersion="8" background="1" saveData="1">
    <dbPr connection="Provider=Microsoft.Mashup.OleDb.1;Data Source=$Workbook$;Location=BMW;Extended Properties=&quot;&quot;" command="SELECT * FROM [BMW]"/>
  </connection>
  <connection id="2" xr16:uid="{53A1C511-80D6-4D37-9907-88ED2A90D305}" keepAlive="1" name="Query - BMW (2)" description="Connection to the 'BMW (2)' query in the workbook." type="5" refreshedVersion="8" background="1" saveData="1">
    <dbPr connection="Provider=Microsoft.Mashup.OleDb.1;Data Source=$Workbook$;Location=&quot;BMW (2)&quot;;Extended Properties=&quot;&quot;" command="SELECT * FROM [BMW (2)]"/>
  </connection>
  <connection id="3" xr16:uid="{E01E0993-1B36-4CC9-8EAE-03D7D7EAB83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4A5A077-6C84-4C1A-A47A-7F06D29E7DD6}" name="WorksheetConnection_BMW_Sales.xlsx!BMW" type="102" refreshedVersion="8" minRefreshableVersion="5">
    <extLst>
      <ext xmlns:x15="http://schemas.microsoft.com/office/spreadsheetml/2010/11/main" uri="{DE250136-89BD-433C-8126-D09CA5730AF9}">
        <x15:connection id="BMW">
          <x15:rangePr sourceName="_xlcn.WorksheetConnection_BMW_Sales.xlsxBMW1"/>
        </x15:connection>
      </ext>
    </extLst>
  </connection>
</connections>
</file>

<file path=xl/sharedStrings.xml><?xml version="1.0" encoding="utf-8"?>
<sst xmlns="http://schemas.openxmlformats.org/spreadsheetml/2006/main" count="10141" uniqueCount="79">
  <si>
    <t>year</t>
  </si>
  <si>
    <t>month</t>
  </si>
  <si>
    <t>country</t>
  </si>
  <si>
    <t>model</t>
  </si>
  <si>
    <t>segment</t>
  </si>
  <si>
    <t>engine_type</t>
  </si>
  <si>
    <t>price_usd</t>
  </si>
  <si>
    <t>marketing_spend_usd</t>
  </si>
  <si>
    <t>dealership_count</t>
  </si>
  <si>
    <t>fuel_price_usd</t>
  </si>
  <si>
    <t>gdp_growth_percent</t>
  </si>
  <si>
    <t>interest_rate_percent</t>
  </si>
  <si>
    <t>competition_index</t>
  </si>
  <si>
    <t>units_sold</t>
  </si>
  <si>
    <t>Australia</t>
  </si>
  <si>
    <t>X1</t>
  </si>
  <si>
    <t>SUV</t>
  </si>
  <si>
    <t>Petrol</t>
  </si>
  <si>
    <t>i4</t>
  </si>
  <si>
    <t>Sedan</t>
  </si>
  <si>
    <t>Electric</t>
  </si>
  <si>
    <t>USA</t>
  </si>
  <si>
    <t>5 Series</t>
  </si>
  <si>
    <t>Hybrid</t>
  </si>
  <si>
    <t>i7</t>
  </si>
  <si>
    <t>Brazil</t>
  </si>
  <si>
    <t>X5</t>
  </si>
  <si>
    <t>Diesel</t>
  </si>
  <si>
    <t>China</t>
  </si>
  <si>
    <t>X7</t>
  </si>
  <si>
    <t>India</t>
  </si>
  <si>
    <t>3 Series</t>
  </si>
  <si>
    <t>UK</t>
  </si>
  <si>
    <t>7 Series</t>
  </si>
  <si>
    <t>X3</t>
  </si>
  <si>
    <t>Canada</t>
  </si>
  <si>
    <t>Germany</t>
  </si>
  <si>
    <t>France</t>
  </si>
  <si>
    <t>Japan</t>
  </si>
  <si>
    <t>iX</t>
  </si>
  <si>
    <t>Revenue</t>
  </si>
  <si>
    <t>1</t>
  </si>
  <si>
    <t>8</t>
  </si>
  <si>
    <t>12</t>
  </si>
  <si>
    <t>11</t>
  </si>
  <si>
    <t>4</t>
  </si>
  <si>
    <t>5</t>
  </si>
  <si>
    <t>10</t>
  </si>
  <si>
    <t>9</t>
  </si>
  <si>
    <t>6</t>
  </si>
  <si>
    <t>3</t>
  </si>
  <si>
    <t>7</t>
  </si>
  <si>
    <t>2</t>
  </si>
  <si>
    <t>Price Category</t>
  </si>
  <si>
    <t>High</t>
  </si>
  <si>
    <t>Mid</t>
  </si>
  <si>
    <t>Revenue After Marketing</t>
  </si>
  <si>
    <t>Low</t>
  </si>
  <si>
    <t>(blank)</t>
  </si>
  <si>
    <t>Grand Total</t>
  </si>
  <si>
    <t>Sum of Revenue</t>
  </si>
  <si>
    <t>Sum of units_sold</t>
  </si>
  <si>
    <t>Percentage %</t>
  </si>
  <si>
    <t>Top Model Revenue</t>
  </si>
  <si>
    <t>Top Countries</t>
  </si>
  <si>
    <t>Engine Type Sales</t>
  </si>
  <si>
    <t>Sales Per Segment</t>
  </si>
  <si>
    <t>Revenue Per Year</t>
  </si>
  <si>
    <t>Total Revenues</t>
  </si>
  <si>
    <t>BMW Sales Analysis</t>
  </si>
  <si>
    <t>Total Units Sold</t>
  </si>
  <si>
    <t>Sum of marketing_spend_usd</t>
  </si>
  <si>
    <t>Marketing relation to Revenue</t>
  </si>
  <si>
    <t>Column1</t>
  </si>
  <si>
    <t>Column2</t>
  </si>
  <si>
    <t>grade</t>
  </si>
  <si>
    <t>Hours</t>
  </si>
  <si>
    <t>Price Group</t>
  </si>
  <si>
    <t>Sum of Revenue After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</si>
</sst>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28"/>
      <color theme="2"/>
      <name val="Aptos Narrow"/>
      <family val="2"/>
      <scheme val="minor"/>
    </font>
    <font>
      <sz val="14"/>
      <color theme="1"/>
      <name val="Impact"/>
      <family val="2"/>
    </font>
    <font>
      <b/>
      <sz val="14"/>
      <color theme="2"/>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8" tint="0.39997558519241921"/>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3" fillId="33" borderId="13" xfId="0" applyFont="1" applyFill="1" applyBorder="1" applyAlignment="1">
      <alignment horizontal="center"/>
    </xf>
    <xf numFmtId="0" fontId="13" fillId="33" borderId="14" xfId="0" applyFont="1" applyFill="1" applyBorder="1" applyAlignment="1">
      <alignment horizontal="center"/>
    </xf>
    <xf numFmtId="0" fontId="13" fillId="33" borderId="15" xfId="0" applyFont="1"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right"/>
    </xf>
    <xf numFmtId="10" fontId="16" fillId="34" borderId="0" xfId="0" applyNumberFormat="1" applyFont="1" applyFill="1" applyAlignment="1">
      <alignment horizontal="right"/>
    </xf>
    <xf numFmtId="0" fontId="0" fillId="0" borderId="10" xfId="0" applyBorder="1" applyAlignment="1">
      <alignment horizontal="right"/>
    </xf>
    <xf numFmtId="0" fontId="16" fillId="34" borderId="10" xfId="0" applyFont="1" applyFill="1" applyBorder="1" applyAlignment="1">
      <alignment horizontal="right"/>
    </xf>
    <xf numFmtId="10" fontId="0" fillId="0" borderId="10" xfId="0" applyNumberFormat="1" applyBorder="1" applyAlignment="1">
      <alignment horizontal="right"/>
    </xf>
    <xf numFmtId="10" fontId="0" fillId="35" borderId="10" xfId="0" applyNumberFormat="1" applyFill="1" applyBorder="1" applyAlignment="1">
      <alignment horizontal="right"/>
    </xf>
    <xf numFmtId="0" fontId="0" fillId="33" borderId="0" xfId="0" applyFill="1"/>
    <xf numFmtId="0" fontId="17" fillId="33" borderId="0" xfId="0" applyFont="1" applyFill="1" applyAlignment="1">
      <alignment horizontal="center"/>
    </xf>
    <xf numFmtId="0" fontId="0" fillId="35" borderId="10" xfId="0" applyFill="1" applyBorder="1" applyAlignment="1">
      <alignment horizontal="right"/>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19" fillId="33" borderId="0" xfId="0" applyFont="1" applyFill="1" applyAlignment="1">
      <alignment horizontal="center" vertical="center"/>
    </xf>
    <xf numFmtId="0" fontId="20" fillId="36" borderId="10" xfId="0" applyFont="1" applyFill="1" applyBorder="1" applyAlignment="1">
      <alignment horizontal="center" vertical="center"/>
    </xf>
    <xf numFmtId="3" fontId="21" fillId="33" borderId="10" xfId="0" applyNumberFormat="1" applyFont="1" applyFill="1" applyBorder="1" applyAlignment="1">
      <alignment horizontal="center" vertical="center"/>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rgb="FF7030A0"/>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right"/>
    </dxf>
    <dxf>
      <alignment horizontal="right"/>
    </dxf>
    <dxf>
      <alignment horizontal="right"/>
    </dxf>
    <dxf>
      <alignment horizontal="right"/>
    </dxf>
    <dxf>
      <numFmt numFmtId="0" formatCode="Genera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3.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 dashboard.xlsx]Pivots!PivotTable1</c:name>
    <c:fmtId val="4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Countries Per Revenue &amp;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31750" cap="rnd" cmpd="sng" algn="ctr">
            <a:solidFill>
              <a:schemeClr val="accent6">
                <a:alpha val="85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31750" cap="rnd" cmpd="sng" algn="ctr">
            <a:solidFill>
              <a:schemeClr val="accent6">
                <a:alpha val="85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alpha val="85000"/>
              </a:schemeClr>
            </a:solidFill>
            <a:round/>
          </a:ln>
          <a:effectLst/>
        </c:spPr>
        <c:marker>
          <c:symbol val="circle"/>
          <c:size val="6"/>
          <c:spPr>
            <a:solidFill>
              <a:schemeClr val="accent6">
                <a:alpha val="85000"/>
              </a:schemeClr>
            </a:solidFill>
            <a:ln>
              <a:noFill/>
            </a:ln>
            <a:effectLst/>
          </c:spPr>
        </c:marker>
        <c:dLbl>
          <c:idx val="0"/>
          <c:numFmt formatCode="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accent5">
                <a:lumMod val="75000"/>
              </a:schemeClr>
            </a:solidFill>
            <a:round/>
          </a:ln>
          <a:effectLst/>
        </c:spPr>
        <c:dLbl>
          <c:idx val="0"/>
          <c:layout>
            <c:manualLayout>
              <c:x val="0"/>
              <c:y val="-3.269754768392370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Pivots!$C$3</c:f>
              <c:strCache>
                <c:ptCount val="1"/>
                <c:pt idx="0">
                  <c:v>Sum of Revenue</c:v>
                </c:pt>
              </c:strCache>
            </c:strRef>
          </c:tx>
          <c:spPr>
            <a:solidFill>
              <a:schemeClr val="accent5">
                <a:alpha val="85000"/>
              </a:schemeClr>
            </a:solidFill>
            <a:ln w="9525" cap="flat" cmpd="sng" algn="ctr">
              <a:solidFill>
                <a:schemeClr val="accent5">
                  <a:lumMod val="75000"/>
                </a:schemeClr>
              </a:solidFill>
              <a:round/>
            </a:ln>
            <a:effectLst/>
          </c:spPr>
          <c:invertIfNegative val="0"/>
          <c:dPt>
            <c:idx val="1"/>
            <c:invertIfNegative val="0"/>
            <c:bubble3D val="0"/>
            <c:spPr>
              <a:solidFill>
                <a:schemeClr val="accent5">
                  <a:alpha val="85000"/>
                </a:schemeClr>
              </a:solidFill>
              <a:ln w="9525" cap="flat" cmpd="sng" algn="ctr">
                <a:solidFill>
                  <a:schemeClr val="accent5">
                    <a:lumMod val="75000"/>
                  </a:schemeClr>
                </a:solidFill>
                <a:round/>
              </a:ln>
              <a:effectLst/>
            </c:spPr>
            <c:extLst>
              <c:ext xmlns:c16="http://schemas.microsoft.com/office/drawing/2014/chart" uri="{C3380CC4-5D6E-409C-BE32-E72D297353CC}">
                <c16:uniqueId val="{00000002-E73C-4285-A18A-89A6865A6D15}"/>
              </c:ext>
            </c:extLst>
          </c:dPt>
          <c:dLbls>
            <c:dLbl>
              <c:idx val="1"/>
              <c:layout>
                <c:manualLayout>
                  <c:x val="0"/>
                  <c:y val="-3.26975476839237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3C-4285-A18A-89A6865A6D15}"/>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Pivots!$A$4:$A$15</c:f>
              <c:strCache>
                <c:ptCount val="11"/>
                <c:pt idx="0">
                  <c:v>China</c:v>
                </c:pt>
                <c:pt idx="1">
                  <c:v>UK</c:v>
                </c:pt>
                <c:pt idx="2">
                  <c:v>France</c:v>
                </c:pt>
                <c:pt idx="3">
                  <c:v>India</c:v>
                </c:pt>
                <c:pt idx="4">
                  <c:v>Brazil</c:v>
                </c:pt>
                <c:pt idx="5">
                  <c:v>Australia</c:v>
                </c:pt>
                <c:pt idx="6">
                  <c:v>Germany</c:v>
                </c:pt>
                <c:pt idx="7">
                  <c:v>USA</c:v>
                </c:pt>
                <c:pt idx="8">
                  <c:v>Japan</c:v>
                </c:pt>
                <c:pt idx="9">
                  <c:v>Canada</c:v>
                </c:pt>
                <c:pt idx="10">
                  <c:v>(blank)</c:v>
                </c:pt>
              </c:strCache>
            </c:strRef>
          </c:cat>
          <c:val>
            <c:numRef>
              <c:f>Pivots!$C$4:$C$15</c:f>
              <c:numCache>
                <c:formatCode>General</c:formatCode>
                <c:ptCount val="11"/>
                <c:pt idx="0">
                  <c:v>6072297993</c:v>
                </c:pt>
                <c:pt idx="1">
                  <c:v>5487964042</c:v>
                </c:pt>
                <c:pt idx="2">
                  <c:v>5029553241</c:v>
                </c:pt>
                <c:pt idx="3">
                  <c:v>4972431297</c:v>
                </c:pt>
                <c:pt idx="4">
                  <c:v>4959349000</c:v>
                </c:pt>
                <c:pt idx="5">
                  <c:v>4549509804</c:v>
                </c:pt>
                <c:pt idx="6">
                  <c:v>4493222982</c:v>
                </c:pt>
                <c:pt idx="7">
                  <c:v>4160873752</c:v>
                </c:pt>
                <c:pt idx="8">
                  <c:v>4143581597</c:v>
                </c:pt>
                <c:pt idx="9">
                  <c:v>4100380992</c:v>
                </c:pt>
              </c:numCache>
            </c:numRef>
          </c:val>
          <c:extLst>
            <c:ext xmlns:c16="http://schemas.microsoft.com/office/drawing/2014/chart" uri="{C3380CC4-5D6E-409C-BE32-E72D297353CC}">
              <c16:uniqueId val="{00000000-E73C-4285-A18A-89A6865A6D15}"/>
            </c:ext>
          </c:extLst>
        </c:ser>
        <c:dLbls>
          <c:dLblPos val="outEnd"/>
          <c:showLegendKey val="0"/>
          <c:showVal val="1"/>
          <c:showCatName val="0"/>
          <c:showSerName val="0"/>
          <c:showPercent val="0"/>
          <c:showBubbleSize val="0"/>
        </c:dLbls>
        <c:gapWidth val="65"/>
        <c:axId val="1067486112"/>
        <c:axId val="1067490432"/>
      </c:barChart>
      <c:lineChart>
        <c:grouping val="standard"/>
        <c:varyColors val="0"/>
        <c:ser>
          <c:idx val="0"/>
          <c:order val="0"/>
          <c:tx>
            <c:strRef>
              <c:f>Pivots!$B$3</c:f>
              <c:strCache>
                <c:ptCount val="1"/>
                <c:pt idx="0">
                  <c:v>Sum of units_sold</c:v>
                </c:pt>
              </c:strCache>
            </c:strRef>
          </c:tx>
          <c:spPr>
            <a:ln w="31750" cap="rnd">
              <a:solidFill>
                <a:schemeClr val="accent6">
                  <a:alpha val="85000"/>
                </a:schemeClr>
              </a:solidFill>
              <a:round/>
            </a:ln>
            <a:effectLst/>
          </c:spPr>
          <c:marker>
            <c:symbol val="circle"/>
            <c:size val="6"/>
            <c:spPr>
              <a:solidFill>
                <a:schemeClr val="accent6">
                  <a:alpha val="85000"/>
                </a:schemeClr>
              </a:solidFill>
              <a:ln>
                <a:noFill/>
              </a:ln>
              <a:effectLst/>
            </c:spPr>
          </c:marker>
          <c:dLbls>
            <c:numFmt formatCode="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Pivots!$A$4:$A$15</c:f>
              <c:strCache>
                <c:ptCount val="11"/>
                <c:pt idx="0">
                  <c:v>China</c:v>
                </c:pt>
                <c:pt idx="1">
                  <c:v>UK</c:v>
                </c:pt>
                <c:pt idx="2">
                  <c:v>France</c:v>
                </c:pt>
                <c:pt idx="3">
                  <c:v>India</c:v>
                </c:pt>
                <c:pt idx="4">
                  <c:v>Brazil</c:v>
                </c:pt>
                <c:pt idx="5">
                  <c:v>Australia</c:v>
                </c:pt>
                <c:pt idx="6">
                  <c:v>Germany</c:v>
                </c:pt>
                <c:pt idx="7">
                  <c:v>USA</c:v>
                </c:pt>
                <c:pt idx="8">
                  <c:v>Japan</c:v>
                </c:pt>
                <c:pt idx="9">
                  <c:v>Canada</c:v>
                </c:pt>
                <c:pt idx="10">
                  <c:v>(blank)</c:v>
                </c:pt>
              </c:strCache>
            </c:strRef>
          </c:cat>
          <c:val>
            <c:numRef>
              <c:f>Pivots!$B$4:$B$15</c:f>
              <c:numCache>
                <c:formatCode>General</c:formatCode>
                <c:ptCount val="11"/>
                <c:pt idx="0">
                  <c:v>77488</c:v>
                </c:pt>
                <c:pt idx="1">
                  <c:v>70639</c:v>
                </c:pt>
                <c:pt idx="2">
                  <c:v>67173</c:v>
                </c:pt>
                <c:pt idx="3">
                  <c:v>65898</c:v>
                </c:pt>
                <c:pt idx="4">
                  <c:v>64331</c:v>
                </c:pt>
                <c:pt idx="5">
                  <c:v>61987</c:v>
                </c:pt>
                <c:pt idx="6">
                  <c:v>59006</c:v>
                </c:pt>
                <c:pt idx="7">
                  <c:v>52647</c:v>
                </c:pt>
                <c:pt idx="8">
                  <c:v>58076</c:v>
                </c:pt>
                <c:pt idx="9">
                  <c:v>55947</c:v>
                </c:pt>
              </c:numCache>
            </c:numRef>
          </c:val>
          <c:smooth val="0"/>
          <c:extLst>
            <c:ext xmlns:c16="http://schemas.microsoft.com/office/drawing/2014/chart" uri="{C3380CC4-5D6E-409C-BE32-E72D297353CC}">
              <c16:uniqueId val="{00000001-E73C-4285-A18A-89A6865A6D15}"/>
            </c:ext>
          </c:extLst>
        </c:ser>
        <c:dLbls>
          <c:showLegendKey val="0"/>
          <c:showVal val="1"/>
          <c:showCatName val="0"/>
          <c:showSerName val="0"/>
          <c:showPercent val="0"/>
          <c:showBubbleSize val="0"/>
        </c:dLbls>
        <c:marker val="1"/>
        <c:smooth val="0"/>
        <c:axId val="1018651744"/>
        <c:axId val="1018652704"/>
      </c:lineChart>
      <c:catAx>
        <c:axId val="106748611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067490432"/>
        <c:crosses val="autoZero"/>
        <c:auto val="1"/>
        <c:lblAlgn val="ctr"/>
        <c:lblOffset val="100"/>
        <c:noMultiLvlLbl val="0"/>
      </c:catAx>
      <c:valAx>
        <c:axId val="10674904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067486112"/>
        <c:crosses val="autoZero"/>
        <c:crossBetween val="between"/>
        <c:dispUnits>
          <c:builtInUnit val="billions"/>
          <c:dispUnitsLbl>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valAx>
        <c:axId val="10186527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018651744"/>
        <c:crosses val="max"/>
        <c:crossBetween val="between"/>
      </c:valAx>
      <c:catAx>
        <c:axId val="1018651744"/>
        <c:scaling>
          <c:orientation val="minMax"/>
        </c:scaling>
        <c:delete val="1"/>
        <c:axPos val="b"/>
        <c:numFmt formatCode="General" sourceLinked="1"/>
        <c:majorTickMark val="out"/>
        <c:minorTickMark val="none"/>
        <c:tickLblPos val="nextTo"/>
        <c:crossAx val="1018652704"/>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[BMW_Sales dashboard.xlsx]Pivots!PivotTable5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Model Revenue</a:t>
            </a:r>
          </a:p>
        </c:rich>
      </c:tx>
      <c:layout>
        <c:manualLayout>
          <c:xMode val="edge"/>
          <c:yMode val="edge"/>
          <c:x val="0.30747275040401612"/>
          <c:y val="4.200730889500056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99763349253475"/>
          <c:y val="0.24834319526627219"/>
          <c:w val="0.77992039929435053"/>
          <c:h val="0.49660765037506405"/>
        </c:manualLayout>
      </c:layout>
      <c:bar3DChart>
        <c:barDir val="bar"/>
        <c:grouping val="clustered"/>
        <c:varyColors val="0"/>
        <c:ser>
          <c:idx val="0"/>
          <c:order val="0"/>
          <c:tx>
            <c:strRef>
              <c:f>Pivots!$B$44</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Pivots!$A$45:$A$56</c:f>
              <c:strCache>
                <c:ptCount val="11"/>
                <c:pt idx="0">
                  <c:v>3 Series</c:v>
                </c:pt>
                <c:pt idx="1">
                  <c:v>5 Series</c:v>
                </c:pt>
                <c:pt idx="2">
                  <c:v>7 Series</c:v>
                </c:pt>
                <c:pt idx="3">
                  <c:v>i4</c:v>
                </c:pt>
                <c:pt idx="4">
                  <c:v>i7</c:v>
                </c:pt>
                <c:pt idx="5">
                  <c:v>iX</c:v>
                </c:pt>
                <c:pt idx="6">
                  <c:v>X1</c:v>
                </c:pt>
                <c:pt idx="7">
                  <c:v>X3</c:v>
                </c:pt>
                <c:pt idx="8">
                  <c:v>X5</c:v>
                </c:pt>
                <c:pt idx="9">
                  <c:v>X7</c:v>
                </c:pt>
                <c:pt idx="10">
                  <c:v>(blank)</c:v>
                </c:pt>
              </c:strCache>
            </c:strRef>
          </c:cat>
          <c:val>
            <c:numRef>
              <c:f>Pivots!$B$45:$B$56</c:f>
              <c:numCache>
                <c:formatCode>General</c:formatCode>
                <c:ptCount val="11"/>
                <c:pt idx="0">
                  <c:v>5281929125</c:v>
                </c:pt>
                <c:pt idx="1">
                  <c:v>4276025156</c:v>
                </c:pt>
                <c:pt idx="2">
                  <c:v>4870343575</c:v>
                </c:pt>
                <c:pt idx="3">
                  <c:v>5342875307</c:v>
                </c:pt>
                <c:pt idx="4">
                  <c:v>4784153567</c:v>
                </c:pt>
                <c:pt idx="5">
                  <c:v>3848748931</c:v>
                </c:pt>
                <c:pt idx="6">
                  <c:v>4681234375</c:v>
                </c:pt>
                <c:pt idx="7">
                  <c:v>5623524340</c:v>
                </c:pt>
                <c:pt idx="8">
                  <c:v>5027126143</c:v>
                </c:pt>
                <c:pt idx="9">
                  <c:v>4233204181</c:v>
                </c:pt>
              </c:numCache>
            </c:numRef>
          </c:val>
          <c:extLst>
            <c:ext xmlns:c16="http://schemas.microsoft.com/office/drawing/2014/chart" uri="{C3380CC4-5D6E-409C-BE32-E72D297353CC}">
              <c16:uniqueId val="{00000000-66A8-406F-AA16-435257EC8B9E}"/>
            </c:ext>
          </c:extLst>
        </c:ser>
        <c:dLbls>
          <c:showLegendKey val="0"/>
          <c:showVal val="0"/>
          <c:showCatName val="0"/>
          <c:showSerName val="0"/>
          <c:showPercent val="0"/>
          <c:showBubbleSize val="0"/>
        </c:dLbls>
        <c:gapWidth val="65"/>
        <c:shape val="box"/>
        <c:axId val="652526608"/>
        <c:axId val="652524688"/>
        <c:axId val="0"/>
      </c:bar3DChart>
      <c:catAx>
        <c:axId val="6525266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2524688"/>
        <c:crosses val="autoZero"/>
        <c:auto val="1"/>
        <c:lblAlgn val="ctr"/>
        <c:lblOffset val="100"/>
        <c:noMultiLvlLbl val="0"/>
      </c:catAx>
      <c:valAx>
        <c:axId val="65252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2526608"/>
        <c:crosses val="autoZero"/>
        <c:crossBetween val="between"/>
        <c:dispUnits>
          <c:builtInUnit val="billions"/>
          <c:dispUnitsLbl>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 dashboard.xlsx]Pivots!PivotTable6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Engine Total Sales</a:t>
            </a:r>
          </a:p>
        </c:rich>
      </c:tx>
      <c:layout>
        <c:manualLayout>
          <c:xMode val="edge"/>
          <c:yMode val="edge"/>
          <c:x val="0.29010635896482584"/>
          <c:y val="3.271869269765936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outerShdw blurRad="254000" sx="102000" sy="102000" algn="ctr" rotWithShape="0">
              <a:prstClr val="black">
                <a:alpha val="20000"/>
              </a:prstClr>
            </a:outerShdw>
          </a:effectLst>
          <a:sp3d/>
        </c:spPr>
      </c:pivotFmt>
      <c:pivotFmt>
        <c:idx val="2"/>
        <c:spPr>
          <a:solidFill>
            <a:schemeClr val="accent5">
              <a:lumMod val="20000"/>
              <a:lumOff val="80000"/>
            </a:schemeClr>
          </a:solidFill>
          <a:ln>
            <a:noFill/>
          </a:ln>
          <a:effectLst>
            <a:outerShdw blurRad="254000" sx="102000" sy="102000" algn="ctr" rotWithShape="0">
              <a:prstClr val="black">
                <a:alpha val="20000"/>
              </a:prstClr>
            </a:outerShdw>
          </a:effectLst>
          <a:sp3d/>
        </c:spPr>
      </c:pivotFmt>
      <c:pivotFmt>
        <c:idx val="3"/>
        <c:spPr>
          <a:solidFill>
            <a:schemeClr val="accent5">
              <a:lumMod val="60000"/>
              <a:lumOff val="40000"/>
            </a:schemeClr>
          </a:solidFill>
          <a:ln>
            <a:noFill/>
          </a:ln>
          <a:effectLst>
            <a:outerShdw blurRad="254000" sx="102000" sy="102000" algn="ctr" rotWithShape="0">
              <a:prstClr val="black">
                <a:alpha val="20000"/>
              </a:prstClr>
            </a:outerShdw>
          </a:effectLst>
          <a:sp3d/>
        </c:spPr>
      </c:pivotFmt>
      <c:pivotFmt>
        <c:idx val="4"/>
        <c:spPr>
          <a:solidFill>
            <a:schemeClr val="accent5">
              <a:lumMod val="40000"/>
              <a:lumOff val="60000"/>
            </a:schemeClr>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outerShdw blurRad="254000" sx="102000" sy="102000" algn="ctr" rotWithShape="0">
              <a:prstClr val="black">
                <a:alpha val="20000"/>
              </a:prstClr>
            </a:outerShdw>
          </a:effectLst>
          <a:sp3d/>
        </c:spPr>
      </c:pivotFmt>
      <c:pivotFmt>
        <c:idx val="7"/>
        <c:spPr>
          <a:solidFill>
            <a:schemeClr val="accent5">
              <a:lumMod val="20000"/>
              <a:lumOff val="80000"/>
            </a:schemeClr>
          </a:solidFill>
          <a:ln>
            <a:noFill/>
          </a:ln>
          <a:effectLst>
            <a:outerShdw blurRad="254000" sx="102000" sy="102000" algn="ctr" rotWithShape="0">
              <a:prstClr val="black">
                <a:alpha val="20000"/>
              </a:prstClr>
            </a:outerShdw>
          </a:effectLst>
          <a:sp3d/>
        </c:spPr>
      </c:pivotFmt>
      <c:pivotFmt>
        <c:idx val="8"/>
        <c:spPr>
          <a:solidFill>
            <a:schemeClr val="accent5">
              <a:lumMod val="40000"/>
              <a:lumOff val="60000"/>
            </a:schemeClr>
          </a:solidFill>
          <a:ln>
            <a:noFill/>
          </a:ln>
          <a:effectLst>
            <a:outerShdw blurRad="254000" sx="102000" sy="102000" algn="ctr" rotWithShape="0">
              <a:prstClr val="black">
                <a:alpha val="20000"/>
              </a:prstClr>
            </a:outerShdw>
          </a:effectLst>
          <a:sp3d/>
        </c:spPr>
      </c:pivotFmt>
      <c:pivotFmt>
        <c:idx val="9"/>
        <c:spPr>
          <a:solidFill>
            <a:schemeClr val="accent5">
              <a:lumMod val="60000"/>
              <a:lumOff val="40000"/>
            </a:schemeClr>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a:outerShdw blurRad="254000" sx="102000" sy="102000" algn="ctr" rotWithShape="0">
              <a:prstClr val="black">
                <a:alpha val="20000"/>
              </a:prstClr>
            </a:outerShdw>
          </a:effectLst>
          <a:sp3d/>
        </c:spPr>
      </c:pivotFmt>
      <c:pivotFmt>
        <c:idx val="12"/>
        <c:spPr>
          <a:solidFill>
            <a:schemeClr val="accent5">
              <a:lumMod val="20000"/>
              <a:lumOff val="80000"/>
            </a:schemeClr>
          </a:solidFill>
          <a:ln>
            <a:noFill/>
          </a:ln>
          <a:effectLst>
            <a:outerShdw blurRad="254000" sx="102000" sy="102000" algn="ctr" rotWithShape="0">
              <a:prstClr val="black">
                <a:alpha val="20000"/>
              </a:prstClr>
            </a:outerShdw>
          </a:effectLst>
          <a:sp3d/>
        </c:spPr>
      </c:pivotFmt>
      <c:pivotFmt>
        <c:idx val="13"/>
        <c:spPr>
          <a:solidFill>
            <a:schemeClr val="accent5">
              <a:lumMod val="40000"/>
              <a:lumOff val="60000"/>
            </a:schemeClr>
          </a:solidFill>
          <a:ln>
            <a:noFill/>
          </a:ln>
          <a:effectLst>
            <a:outerShdw blurRad="254000" sx="102000" sy="102000" algn="ctr" rotWithShape="0">
              <a:prstClr val="black">
                <a:alpha val="20000"/>
              </a:prstClr>
            </a:outerShdw>
          </a:effectLst>
          <a:sp3d/>
        </c:spPr>
      </c:pivotFmt>
      <c:pivotFmt>
        <c:idx val="14"/>
        <c:spPr>
          <a:solidFill>
            <a:schemeClr val="accent5">
              <a:lumMod val="60000"/>
              <a:lumOff val="40000"/>
            </a:schemeClr>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Pivots!$B$18</c:f>
              <c:strCache>
                <c:ptCount val="1"/>
                <c:pt idx="0">
                  <c:v>Total</c:v>
                </c:pt>
              </c:strCache>
            </c:strRef>
          </c:tx>
          <c:dPt>
            <c:idx val="0"/>
            <c:bubble3D val="0"/>
            <c:spPr>
              <a:solidFill>
                <a:srgbClr val="7030A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E26-4495-984D-A857BBF17818}"/>
              </c:ext>
            </c:extLst>
          </c:dPt>
          <c:dPt>
            <c:idx val="1"/>
            <c:bubble3D val="0"/>
            <c:spPr>
              <a:solidFill>
                <a:schemeClr val="accent5">
                  <a:lumMod val="20000"/>
                  <a:lumOff val="8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E26-4495-984D-A857BBF17818}"/>
              </c:ext>
            </c:extLst>
          </c:dPt>
          <c:dPt>
            <c:idx val="2"/>
            <c:bubble3D val="0"/>
            <c:spPr>
              <a:solidFill>
                <a:schemeClr val="accent5">
                  <a:lumMod val="40000"/>
                  <a:lumOff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E26-4495-984D-A857BBF17818}"/>
              </c:ext>
            </c:extLst>
          </c:dPt>
          <c:dPt>
            <c:idx val="3"/>
            <c:bubble3D val="0"/>
            <c:spPr>
              <a:solidFill>
                <a:schemeClr val="accent5">
                  <a:lumMod val="60000"/>
                  <a:lumOff val="4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E26-4495-984D-A857BBF1781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CE7-4B7F-8A33-8933DF39AA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Pivots!$A$19:$A$24</c:f>
              <c:strCache>
                <c:ptCount val="5"/>
                <c:pt idx="0">
                  <c:v>Electric</c:v>
                </c:pt>
                <c:pt idx="1">
                  <c:v>Hybrid</c:v>
                </c:pt>
                <c:pt idx="2">
                  <c:v>Diesel</c:v>
                </c:pt>
                <c:pt idx="3">
                  <c:v>Petrol</c:v>
                </c:pt>
                <c:pt idx="4">
                  <c:v>(blank)</c:v>
                </c:pt>
              </c:strCache>
            </c:strRef>
          </c:cat>
          <c:val>
            <c:numRef>
              <c:f>Pivots!$B$19:$B$24</c:f>
              <c:numCache>
                <c:formatCode>General</c:formatCode>
                <c:ptCount val="5"/>
                <c:pt idx="0">
                  <c:v>170694</c:v>
                </c:pt>
                <c:pt idx="1">
                  <c:v>159624</c:v>
                </c:pt>
                <c:pt idx="2">
                  <c:v>157598</c:v>
                </c:pt>
                <c:pt idx="3">
                  <c:v>145276</c:v>
                </c:pt>
              </c:numCache>
            </c:numRef>
          </c:val>
          <c:extLst>
            <c:ext xmlns:c16="http://schemas.microsoft.com/office/drawing/2014/chart" uri="{C3380CC4-5D6E-409C-BE32-E72D297353CC}">
              <c16:uniqueId val="{00000008-1E26-4495-984D-A857BBF1781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 dashboard.xlsx]Pivots!PivotTable9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Per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a:outerShdw blurRad="254000" sx="102000" sy="102000" algn="ctr" rotWithShape="0">
              <a:prstClr val="black">
                <a:alpha val="20000"/>
              </a:prstClr>
            </a:outerShdw>
          </a:effectLst>
        </c:spPr>
      </c:pivotFmt>
      <c:pivotFmt>
        <c:idx val="2"/>
        <c:spPr>
          <a:solidFill>
            <a:schemeClr val="accent5">
              <a:lumMod val="20000"/>
              <a:lumOff val="80000"/>
            </a:schemeClr>
          </a:solidFill>
          <a:ln>
            <a:noFill/>
          </a:ln>
          <a:effectLst>
            <a:outerShdw blurRad="254000" sx="102000" sy="102000" algn="ctr" rotWithShape="0">
              <a:prstClr val="black">
                <a:alpha val="20000"/>
              </a:prstClr>
            </a:outerShdw>
          </a:effectLst>
        </c:spPr>
      </c:pivotFmt>
      <c:pivotFmt>
        <c:idx val="3"/>
        <c:spPr>
          <a:solidFill>
            <a:schemeClr val="accent5">
              <a:lumMod val="50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lumMod val="50000"/>
            </a:schemeClr>
          </a:solidFill>
          <a:ln>
            <a:noFill/>
          </a:ln>
          <a:effectLst>
            <a:outerShdw blurRad="254000" sx="102000" sy="102000" algn="ctr" rotWithShape="0">
              <a:prstClr val="black">
                <a:alpha val="20000"/>
              </a:prstClr>
            </a:outerShdw>
          </a:effectLst>
        </c:spPr>
      </c:pivotFmt>
      <c:pivotFmt>
        <c:idx val="5"/>
        <c:spPr>
          <a:solidFill>
            <a:schemeClr val="accent5">
              <a:lumMod val="40000"/>
              <a:lumOff val="60000"/>
            </a:schemeClr>
          </a:solidFill>
          <a:ln>
            <a:noFill/>
          </a:ln>
          <a:effectLst>
            <a:outerShdw blurRad="254000" sx="102000" sy="102000" algn="ctr" rotWithShape="0">
              <a:prstClr val="black">
                <a:alpha val="20000"/>
              </a:prstClr>
            </a:outerShdw>
          </a:effectLst>
        </c:spPr>
      </c:pivotFmt>
      <c:pivotFmt>
        <c:idx val="6"/>
        <c:spPr>
          <a:solidFill>
            <a:schemeClr val="accent5">
              <a:lumMod val="20000"/>
              <a:lumOff val="80000"/>
            </a:schemeClr>
          </a:solidFill>
          <a:ln>
            <a:noFill/>
          </a:ln>
          <a:effectLst>
            <a:outerShdw blurRad="254000" sx="102000" sy="102000" algn="ctr" rotWithShape="0">
              <a:prstClr val="black">
                <a:alpha val="20000"/>
              </a:prstClr>
            </a:outerShdw>
          </a:effectLst>
        </c:spPr>
      </c:pivotFmt>
      <c:pivotFmt>
        <c:idx val="7"/>
        <c:spPr>
          <a:solidFill>
            <a:schemeClr val="accent5">
              <a:lumMod val="50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c:spPr>
      </c:pivotFmt>
      <c:pivotFmt>
        <c:idx val="9"/>
        <c:spPr>
          <a:solidFill>
            <a:schemeClr val="accent5">
              <a:lumMod val="40000"/>
              <a:lumOff val="60000"/>
            </a:schemeClr>
          </a:solidFill>
          <a:ln>
            <a:noFill/>
          </a:ln>
          <a:effectLst>
            <a:outerShdw blurRad="254000" sx="102000" sy="102000" algn="ctr" rotWithShape="0">
              <a:prstClr val="black">
                <a:alpha val="20000"/>
              </a:prstClr>
            </a:outerShdw>
          </a:effectLst>
        </c:spPr>
      </c:pivotFmt>
      <c:pivotFmt>
        <c:idx val="10"/>
        <c:spPr>
          <a:solidFill>
            <a:schemeClr val="accent5">
              <a:lumMod val="20000"/>
              <a:lumOff val="80000"/>
            </a:schemeClr>
          </a:solidFill>
          <a:ln>
            <a:noFill/>
          </a:ln>
          <a:effectLst>
            <a:outerShdw blurRad="254000" sx="102000" sy="102000" algn="ctr" rotWithShape="0">
              <a:prstClr val="black">
                <a:alpha val="20000"/>
              </a:prstClr>
            </a:outerShdw>
          </a:effectLst>
        </c:spPr>
      </c:pivotFmt>
      <c:pivotFmt>
        <c:idx val="11"/>
        <c:spPr>
          <a:solidFill>
            <a:schemeClr val="accent5">
              <a:lumMod val="50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Pivots!$B$58</c:f>
              <c:strCache>
                <c:ptCount val="1"/>
                <c:pt idx="0">
                  <c:v>Total</c:v>
                </c:pt>
              </c:strCache>
            </c:strRef>
          </c:tx>
          <c:spPr>
            <a:solidFill>
              <a:schemeClr val="accent5">
                <a:lumMod val="50000"/>
              </a:schemeClr>
            </a:solidFill>
          </c:spPr>
          <c:dPt>
            <c:idx val="0"/>
            <c:bubble3D val="0"/>
            <c:explosion val="7"/>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10-4647-8D87-1564275F038D}"/>
              </c:ext>
            </c:extLst>
          </c:dPt>
          <c:dPt>
            <c:idx val="1"/>
            <c:bubble3D val="0"/>
            <c:spPr>
              <a:solidFill>
                <a:schemeClr val="accent5">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10-4647-8D87-1564275F038D}"/>
              </c:ext>
            </c:extLst>
          </c:dPt>
          <c:dPt>
            <c:idx val="2"/>
            <c:bubble3D val="0"/>
            <c:spPr>
              <a:solidFill>
                <a:schemeClr val="accent5">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10-4647-8D87-1564275F038D}"/>
              </c:ext>
            </c:extLst>
          </c:dPt>
          <c:dPt>
            <c:idx val="3"/>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C6-4BBE-9D25-9749BAB85B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Pivots!$A$59:$A$63</c:f>
              <c:strCache>
                <c:ptCount val="4"/>
                <c:pt idx="0">
                  <c:v>Electric</c:v>
                </c:pt>
                <c:pt idx="1">
                  <c:v>SUV</c:v>
                </c:pt>
                <c:pt idx="2">
                  <c:v>Sedan</c:v>
                </c:pt>
                <c:pt idx="3">
                  <c:v>(blank)</c:v>
                </c:pt>
              </c:strCache>
            </c:strRef>
          </c:cat>
          <c:val>
            <c:numRef>
              <c:f>Pivots!$B$59:$B$63</c:f>
              <c:numCache>
                <c:formatCode>General</c:formatCode>
                <c:ptCount val="4"/>
                <c:pt idx="0">
                  <c:v>218809</c:v>
                </c:pt>
                <c:pt idx="1">
                  <c:v>209953</c:v>
                </c:pt>
                <c:pt idx="2">
                  <c:v>204430</c:v>
                </c:pt>
              </c:numCache>
            </c:numRef>
          </c:val>
          <c:extLst>
            <c:ext xmlns:c16="http://schemas.microsoft.com/office/drawing/2014/chart" uri="{C3380CC4-5D6E-409C-BE32-E72D297353CC}">
              <c16:uniqueId val="{00000006-3D10-4647-8D87-1564275F038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[BMW_Sales dashboard.xlsx]Pivots!PivotTable8</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Per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numFmt formatCode="#,##0.00" sourceLinked="0"/>
          <c:spPr>
            <a:no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89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numFmt formatCode="#,##0.00" sourceLinked="0"/>
          <c:spPr>
            <a:no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89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Pivots!$B$26</c:f>
              <c:strCache>
                <c:ptCount val="1"/>
                <c:pt idx="0">
                  <c:v>Total</c:v>
                </c:pt>
              </c:strCache>
            </c:strRef>
          </c:tx>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Pivots!$A$27:$A$38</c:f>
              <c:strCache>
                <c:ptCount val="11"/>
                <c:pt idx="0">
                  <c:v>2015</c:v>
                </c:pt>
                <c:pt idx="1">
                  <c:v>2016</c:v>
                </c:pt>
                <c:pt idx="2">
                  <c:v>2017</c:v>
                </c:pt>
                <c:pt idx="3">
                  <c:v>2018</c:v>
                </c:pt>
                <c:pt idx="4">
                  <c:v>2019</c:v>
                </c:pt>
                <c:pt idx="5">
                  <c:v>2020</c:v>
                </c:pt>
                <c:pt idx="6">
                  <c:v>2021</c:v>
                </c:pt>
                <c:pt idx="7">
                  <c:v>2022</c:v>
                </c:pt>
                <c:pt idx="8">
                  <c:v>2023</c:v>
                </c:pt>
                <c:pt idx="9">
                  <c:v>2024</c:v>
                </c:pt>
                <c:pt idx="10">
                  <c:v>(blank)</c:v>
                </c:pt>
              </c:strCache>
            </c:strRef>
          </c:cat>
          <c:val>
            <c:numRef>
              <c:f>Pivots!$B$27:$B$38</c:f>
              <c:numCache>
                <c:formatCode>General</c:formatCode>
                <c:ptCount val="11"/>
                <c:pt idx="0">
                  <c:v>5786624353</c:v>
                </c:pt>
                <c:pt idx="1">
                  <c:v>3983041996</c:v>
                </c:pt>
                <c:pt idx="2">
                  <c:v>5421022991</c:v>
                </c:pt>
                <c:pt idx="3">
                  <c:v>4340167456</c:v>
                </c:pt>
                <c:pt idx="4">
                  <c:v>5087502384</c:v>
                </c:pt>
                <c:pt idx="5">
                  <c:v>4643344835</c:v>
                </c:pt>
                <c:pt idx="6">
                  <c:v>4556304930</c:v>
                </c:pt>
                <c:pt idx="7">
                  <c:v>4581617494</c:v>
                </c:pt>
                <c:pt idx="8">
                  <c:v>4413090832</c:v>
                </c:pt>
                <c:pt idx="9">
                  <c:v>5156447429</c:v>
                </c:pt>
              </c:numCache>
            </c:numRef>
          </c:val>
          <c:extLst>
            <c:ext xmlns:c16="http://schemas.microsoft.com/office/drawing/2014/chart" uri="{C3380CC4-5D6E-409C-BE32-E72D297353CC}">
              <c16:uniqueId val="{00000000-7FA1-4C30-A059-F0602DBADB18}"/>
            </c:ext>
          </c:extLst>
        </c:ser>
        <c:dLbls>
          <c:showLegendKey val="0"/>
          <c:showVal val="0"/>
          <c:showCatName val="0"/>
          <c:showSerName val="0"/>
          <c:showPercent val="0"/>
          <c:showBubbleSize val="0"/>
        </c:dLbls>
        <c:gapWidth val="65"/>
        <c:shape val="box"/>
        <c:axId val="651977808"/>
        <c:axId val="651978288"/>
        <c:axId val="0"/>
      </c:bar3DChart>
      <c:catAx>
        <c:axId val="6519778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1978288"/>
        <c:crosses val="autoZero"/>
        <c:auto val="1"/>
        <c:lblAlgn val="ctr"/>
        <c:lblOffset val="100"/>
        <c:noMultiLvlLbl val="0"/>
      </c:catAx>
      <c:valAx>
        <c:axId val="65197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1977808"/>
        <c:crosses val="autoZero"/>
        <c:crossBetween val="between"/>
        <c:dispUnits>
          <c:builtInUnit val="billions"/>
          <c:dispUnitsLbl>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[BMW_Sales dashboard.xlsx]Pivots!PivotTable3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Marketing</a:t>
            </a:r>
            <a:r>
              <a:rPr lang="en-US"/>
              <a:t> </a:t>
            </a:r>
            <a:r>
              <a:rPr lang="en-US" b="1"/>
              <a:t>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tint val="65000"/>
              </a:schemeClr>
            </a:solidFill>
            <a:ln w="9525">
              <a:solidFill>
                <a:schemeClr val="accent5">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Pivots!$B$72</c:f>
              <c:strCache>
                <c:ptCount val="1"/>
                <c:pt idx="0">
                  <c:v>Sum of units_sold</c:v>
                </c:pt>
              </c:strCache>
            </c:strRef>
          </c:tx>
          <c:spPr>
            <a:solidFill>
              <a:schemeClr val="accent5">
                <a:shade val="65000"/>
              </a:schemeClr>
            </a:solidFill>
            <a:ln>
              <a:noFill/>
            </a:ln>
            <a:effectLst/>
          </c:spPr>
          <c:invertIfNegative val="0"/>
          <c:cat>
            <c:strRef>
              <c:f>Pivots!$A$73:$A$84</c:f>
              <c:strCache>
                <c:ptCount val="11"/>
                <c:pt idx="0">
                  <c:v>China</c:v>
                </c:pt>
                <c:pt idx="1">
                  <c:v>UK</c:v>
                </c:pt>
                <c:pt idx="2">
                  <c:v>Brazil</c:v>
                </c:pt>
                <c:pt idx="3">
                  <c:v>India</c:v>
                </c:pt>
                <c:pt idx="4">
                  <c:v>France</c:v>
                </c:pt>
                <c:pt idx="5">
                  <c:v>Canada</c:v>
                </c:pt>
                <c:pt idx="6">
                  <c:v>Germany</c:v>
                </c:pt>
                <c:pt idx="7">
                  <c:v>Australia</c:v>
                </c:pt>
                <c:pt idx="8">
                  <c:v>Japan</c:v>
                </c:pt>
                <c:pt idx="9">
                  <c:v>USA</c:v>
                </c:pt>
                <c:pt idx="10">
                  <c:v>(blank)</c:v>
                </c:pt>
              </c:strCache>
            </c:strRef>
          </c:cat>
          <c:val>
            <c:numRef>
              <c:f>Pivots!$B$73:$B$84</c:f>
              <c:numCache>
                <c:formatCode>General</c:formatCode>
                <c:ptCount val="11"/>
                <c:pt idx="0">
                  <c:v>77488</c:v>
                </c:pt>
                <c:pt idx="1">
                  <c:v>70639</c:v>
                </c:pt>
                <c:pt idx="2">
                  <c:v>64331</c:v>
                </c:pt>
                <c:pt idx="3">
                  <c:v>65898</c:v>
                </c:pt>
                <c:pt idx="4">
                  <c:v>67173</c:v>
                </c:pt>
                <c:pt idx="5">
                  <c:v>55947</c:v>
                </c:pt>
                <c:pt idx="6">
                  <c:v>59006</c:v>
                </c:pt>
                <c:pt idx="7">
                  <c:v>61987</c:v>
                </c:pt>
                <c:pt idx="8">
                  <c:v>58076</c:v>
                </c:pt>
                <c:pt idx="9">
                  <c:v>52647</c:v>
                </c:pt>
              </c:numCache>
            </c:numRef>
          </c:val>
          <c:extLst>
            <c:ext xmlns:c16="http://schemas.microsoft.com/office/drawing/2014/chart" uri="{C3380CC4-5D6E-409C-BE32-E72D297353CC}">
              <c16:uniqueId val="{00000000-7EB6-41F3-975A-06771C14C702}"/>
            </c:ext>
          </c:extLst>
        </c:ser>
        <c:ser>
          <c:idx val="1"/>
          <c:order val="1"/>
          <c:tx>
            <c:strRef>
              <c:f>Pivots!$C$72</c:f>
              <c:strCache>
                <c:ptCount val="1"/>
                <c:pt idx="0">
                  <c:v>Sum of Revenue</c:v>
                </c:pt>
              </c:strCache>
            </c:strRef>
          </c:tx>
          <c:spPr>
            <a:solidFill>
              <a:schemeClr val="accent5"/>
            </a:solidFill>
            <a:ln>
              <a:noFill/>
            </a:ln>
            <a:effectLst/>
          </c:spPr>
          <c:invertIfNegative val="0"/>
          <c:cat>
            <c:strRef>
              <c:f>Pivots!$A$73:$A$84</c:f>
              <c:strCache>
                <c:ptCount val="11"/>
                <c:pt idx="0">
                  <c:v>China</c:v>
                </c:pt>
                <c:pt idx="1">
                  <c:v>UK</c:v>
                </c:pt>
                <c:pt idx="2">
                  <c:v>Brazil</c:v>
                </c:pt>
                <c:pt idx="3">
                  <c:v>India</c:v>
                </c:pt>
                <c:pt idx="4">
                  <c:v>France</c:v>
                </c:pt>
                <c:pt idx="5">
                  <c:v>Canada</c:v>
                </c:pt>
                <c:pt idx="6">
                  <c:v>Germany</c:v>
                </c:pt>
                <c:pt idx="7">
                  <c:v>Australia</c:v>
                </c:pt>
                <c:pt idx="8">
                  <c:v>Japan</c:v>
                </c:pt>
                <c:pt idx="9">
                  <c:v>USA</c:v>
                </c:pt>
                <c:pt idx="10">
                  <c:v>(blank)</c:v>
                </c:pt>
              </c:strCache>
            </c:strRef>
          </c:cat>
          <c:val>
            <c:numRef>
              <c:f>Pivots!$C$73:$C$84</c:f>
              <c:numCache>
                <c:formatCode>General</c:formatCode>
                <c:ptCount val="11"/>
                <c:pt idx="0">
                  <c:v>6072297993</c:v>
                </c:pt>
                <c:pt idx="1">
                  <c:v>5487964042</c:v>
                </c:pt>
                <c:pt idx="2">
                  <c:v>4959349000</c:v>
                </c:pt>
                <c:pt idx="3">
                  <c:v>4972431297</c:v>
                </c:pt>
                <c:pt idx="4">
                  <c:v>5029553241</c:v>
                </c:pt>
                <c:pt idx="5">
                  <c:v>4100380992</c:v>
                </c:pt>
                <c:pt idx="6">
                  <c:v>4493222982</c:v>
                </c:pt>
                <c:pt idx="7">
                  <c:v>4549509804</c:v>
                </c:pt>
                <c:pt idx="8">
                  <c:v>4143581597</c:v>
                </c:pt>
                <c:pt idx="9">
                  <c:v>4160873752</c:v>
                </c:pt>
              </c:numCache>
            </c:numRef>
          </c:val>
          <c:extLst>
            <c:ext xmlns:c16="http://schemas.microsoft.com/office/drawing/2014/chart" uri="{C3380CC4-5D6E-409C-BE32-E72D297353CC}">
              <c16:uniqueId val="{00000001-7EB6-41F3-975A-06771C14C702}"/>
            </c:ext>
          </c:extLst>
        </c:ser>
        <c:dLbls>
          <c:showLegendKey val="0"/>
          <c:showVal val="0"/>
          <c:showCatName val="0"/>
          <c:showSerName val="0"/>
          <c:showPercent val="0"/>
          <c:showBubbleSize val="0"/>
        </c:dLbls>
        <c:gapWidth val="219"/>
        <c:overlap val="-27"/>
        <c:axId val="1462904240"/>
        <c:axId val="1462905200"/>
      </c:barChart>
      <c:lineChart>
        <c:grouping val="standard"/>
        <c:varyColors val="0"/>
        <c:ser>
          <c:idx val="2"/>
          <c:order val="2"/>
          <c:tx>
            <c:strRef>
              <c:f>Pivots!$D$72</c:f>
              <c:strCache>
                <c:ptCount val="1"/>
                <c:pt idx="0">
                  <c:v>Sum of marketing_spend_usd</c:v>
                </c:pt>
              </c:strCache>
            </c:strRef>
          </c:tx>
          <c:spPr>
            <a:ln w="28575" cap="rnd">
              <a:solidFill>
                <a:schemeClr val="accent5">
                  <a:tint val="65000"/>
                </a:schemeClr>
              </a:solidFill>
              <a:round/>
            </a:ln>
            <a:effectLst/>
          </c:spPr>
          <c:marker>
            <c:symbol val="circle"/>
            <c:size val="5"/>
            <c:spPr>
              <a:solidFill>
                <a:schemeClr val="accent5">
                  <a:tint val="65000"/>
                </a:schemeClr>
              </a:solidFill>
              <a:ln w="9525">
                <a:solidFill>
                  <a:schemeClr val="accent5">
                    <a:tint val="65000"/>
                  </a:schemeClr>
                </a:solidFill>
              </a:ln>
              <a:effectLst/>
            </c:spPr>
          </c:marker>
          <c:cat>
            <c:strRef>
              <c:f>Pivots!$A$73:$A$84</c:f>
              <c:strCache>
                <c:ptCount val="11"/>
                <c:pt idx="0">
                  <c:v>China</c:v>
                </c:pt>
                <c:pt idx="1">
                  <c:v>UK</c:v>
                </c:pt>
                <c:pt idx="2">
                  <c:v>Brazil</c:v>
                </c:pt>
                <c:pt idx="3">
                  <c:v>India</c:v>
                </c:pt>
                <c:pt idx="4">
                  <c:v>France</c:v>
                </c:pt>
                <c:pt idx="5">
                  <c:v>Canada</c:v>
                </c:pt>
                <c:pt idx="6">
                  <c:v>Germany</c:v>
                </c:pt>
                <c:pt idx="7">
                  <c:v>Australia</c:v>
                </c:pt>
                <c:pt idx="8">
                  <c:v>Japan</c:v>
                </c:pt>
                <c:pt idx="9">
                  <c:v>USA</c:v>
                </c:pt>
                <c:pt idx="10">
                  <c:v>(blank)</c:v>
                </c:pt>
              </c:strCache>
            </c:strRef>
          </c:cat>
          <c:val>
            <c:numRef>
              <c:f>Pivots!$D$73:$D$84</c:f>
              <c:numCache>
                <c:formatCode>General</c:formatCode>
                <c:ptCount val="11"/>
                <c:pt idx="0">
                  <c:v>32278092</c:v>
                </c:pt>
                <c:pt idx="1">
                  <c:v>29631305</c:v>
                </c:pt>
                <c:pt idx="2">
                  <c:v>29332775</c:v>
                </c:pt>
                <c:pt idx="3">
                  <c:v>28203967</c:v>
                </c:pt>
                <c:pt idx="4">
                  <c:v>28164171</c:v>
                </c:pt>
                <c:pt idx="5">
                  <c:v>27825488</c:v>
                </c:pt>
                <c:pt idx="6">
                  <c:v>27047347</c:v>
                </c:pt>
                <c:pt idx="7">
                  <c:v>26639918</c:v>
                </c:pt>
                <c:pt idx="8">
                  <c:v>25692523</c:v>
                </c:pt>
                <c:pt idx="9">
                  <c:v>24676644</c:v>
                </c:pt>
              </c:numCache>
            </c:numRef>
          </c:val>
          <c:smooth val="0"/>
          <c:extLst>
            <c:ext xmlns:c16="http://schemas.microsoft.com/office/drawing/2014/chart" uri="{C3380CC4-5D6E-409C-BE32-E72D297353CC}">
              <c16:uniqueId val="{00000002-7EB6-41F3-975A-06771C14C702}"/>
            </c:ext>
          </c:extLst>
        </c:ser>
        <c:dLbls>
          <c:showLegendKey val="0"/>
          <c:showVal val="0"/>
          <c:showCatName val="0"/>
          <c:showSerName val="0"/>
          <c:showPercent val="0"/>
          <c:showBubbleSize val="0"/>
        </c:dLbls>
        <c:marker val="1"/>
        <c:smooth val="0"/>
        <c:axId val="1462922960"/>
        <c:axId val="1462918160"/>
      </c:lineChart>
      <c:catAx>
        <c:axId val="146290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05200"/>
        <c:crosses val="autoZero"/>
        <c:auto val="1"/>
        <c:lblAlgn val="ctr"/>
        <c:lblOffset val="100"/>
        <c:noMultiLvlLbl val="0"/>
      </c:catAx>
      <c:valAx>
        <c:axId val="1462905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04240"/>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4629181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22960"/>
        <c:crosses val="max"/>
        <c:crossBetween val="between"/>
      </c:valAx>
      <c:catAx>
        <c:axId val="1462922960"/>
        <c:scaling>
          <c:orientation val="minMax"/>
        </c:scaling>
        <c:delete val="1"/>
        <c:axPos val="b"/>
        <c:numFmt formatCode="General" sourceLinked="1"/>
        <c:majorTickMark val="none"/>
        <c:minorTickMark val="none"/>
        <c:tickLblPos val="nextTo"/>
        <c:crossAx val="1462918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Dealership_Count</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BMW!$M$1</c:f>
              <c:strCache>
                <c:ptCount val="1"/>
                <c:pt idx="0">
                  <c:v>dealership_count</c:v>
                </c:pt>
              </c:strCache>
            </c:strRef>
          </c:tx>
          <c:spPr>
            <a:ln w="25400">
              <a:noFill/>
            </a:ln>
            <a:effectLst/>
          </c:spPr>
          <c:marker>
            <c:symbol val="circle"/>
            <c:size val="4"/>
            <c:spPr>
              <a:solidFill>
                <a:schemeClr val="accent5"/>
              </a:solidFill>
              <a:ln w="9525" cap="flat" cmpd="sng" algn="ctr">
                <a:solidFill>
                  <a:schemeClr val="accent5"/>
                </a:solidFill>
                <a:round/>
              </a:ln>
              <a:effectLst/>
            </c:spPr>
          </c:marker>
          <c:xVal>
            <c:numRef>
              <c:f>BMW!$I$2:$I$1001</c:f>
              <c:numCache>
                <c:formatCode>General</c:formatCode>
                <c:ptCount val="1000"/>
                <c:pt idx="0">
                  <c:v>324</c:v>
                </c:pt>
                <c:pt idx="1">
                  <c:v>556</c:v>
                </c:pt>
                <c:pt idx="2">
                  <c:v>152</c:v>
                </c:pt>
                <c:pt idx="3">
                  <c:v>730</c:v>
                </c:pt>
                <c:pt idx="4">
                  <c:v>1156</c:v>
                </c:pt>
                <c:pt idx="5">
                  <c:v>687</c:v>
                </c:pt>
                <c:pt idx="6">
                  <c:v>439</c:v>
                </c:pt>
                <c:pt idx="7">
                  <c:v>489</c:v>
                </c:pt>
                <c:pt idx="8">
                  <c:v>435</c:v>
                </c:pt>
                <c:pt idx="9">
                  <c:v>1080</c:v>
                </c:pt>
                <c:pt idx="10">
                  <c:v>447</c:v>
                </c:pt>
                <c:pt idx="11">
                  <c:v>827</c:v>
                </c:pt>
                <c:pt idx="12">
                  <c:v>712</c:v>
                </c:pt>
                <c:pt idx="13">
                  <c:v>1181</c:v>
                </c:pt>
                <c:pt idx="14">
                  <c:v>307</c:v>
                </c:pt>
                <c:pt idx="15">
                  <c:v>725</c:v>
                </c:pt>
                <c:pt idx="16">
                  <c:v>588</c:v>
                </c:pt>
                <c:pt idx="17">
                  <c:v>644</c:v>
                </c:pt>
                <c:pt idx="18">
                  <c:v>534</c:v>
                </c:pt>
                <c:pt idx="19">
                  <c:v>1004</c:v>
                </c:pt>
                <c:pt idx="20">
                  <c:v>544</c:v>
                </c:pt>
                <c:pt idx="21">
                  <c:v>751</c:v>
                </c:pt>
                <c:pt idx="22">
                  <c:v>1061</c:v>
                </c:pt>
                <c:pt idx="23">
                  <c:v>954</c:v>
                </c:pt>
                <c:pt idx="24">
                  <c:v>673</c:v>
                </c:pt>
                <c:pt idx="25">
                  <c:v>15</c:v>
                </c:pt>
                <c:pt idx="26">
                  <c:v>107</c:v>
                </c:pt>
                <c:pt idx="27">
                  <c:v>523</c:v>
                </c:pt>
                <c:pt idx="28">
                  <c:v>782</c:v>
                </c:pt>
                <c:pt idx="29">
                  <c:v>397</c:v>
                </c:pt>
                <c:pt idx="30">
                  <c:v>773</c:v>
                </c:pt>
                <c:pt idx="31">
                  <c:v>179</c:v>
                </c:pt>
                <c:pt idx="32">
                  <c:v>652</c:v>
                </c:pt>
                <c:pt idx="33">
                  <c:v>389</c:v>
                </c:pt>
                <c:pt idx="34">
                  <c:v>213</c:v>
                </c:pt>
                <c:pt idx="35">
                  <c:v>945</c:v>
                </c:pt>
                <c:pt idx="36">
                  <c:v>705</c:v>
                </c:pt>
                <c:pt idx="37">
                  <c:v>368</c:v>
                </c:pt>
                <c:pt idx="38">
                  <c:v>743</c:v>
                </c:pt>
                <c:pt idx="39">
                  <c:v>805</c:v>
                </c:pt>
                <c:pt idx="40">
                  <c:v>380</c:v>
                </c:pt>
                <c:pt idx="41">
                  <c:v>543</c:v>
                </c:pt>
                <c:pt idx="42">
                  <c:v>429</c:v>
                </c:pt>
                <c:pt idx="43">
                  <c:v>661</c:v>
                </c:pt>
                <c:pt idx="44">
                  <c:v>1001</c:v>
                </c:pt>
                <c:pt idx="45">
                  <c:v>413</c:v>
                </c:pt>
                <c:pt idx="46">
                  <c:v>396</c:v>
                </c:pt>
                <c:pt idx="47">
                  <c:v>225</c:v>
                </c:pt>
                <c:pt idx="48">
                  <c:v>992</c:v>
                </c:pt>
                <c:pt idx="49">
                  <c:v>476</c:v>
                </c:pt>
                <c:pt idx="50">
                  <c:v>357</c:v>
                </c:pt>
                <c:pt idx="51">
                  <c:v>1145</c:v>
                </c:pt>
                <c:pt idx="52">
                  <c:v>679</c:v>
                </c:pt>
                <c:pt idx="53">
                  <c:v>184</c:v>
                </c:pt>
                <c:pt idx="54">
                  <c:v>205</c:v>
                </c:pt>
                <c:pt idx="55">
                  <c:v>534</c:v>
                </c:pt>
                <c:pt idx="56">
                  <c:v>578</c:v>
                </c:pt>
                <c:pt idx="57">
                  <c:v>292</c:v>
                </c:pt>
                <c:pt idx="58">
                  <c:v>495</c:v>
                </c:pt>
                <c:pt idx="59">
                  <c:v>576</c:v>
                </c:pt>
                <c:pt idx="60">
                  <c:v>534</c:v>
                </c:pt>
                <c:pt idx="61">
                  <c:v>453</c:v>
                </c:pt>
                <c:pt idx="62">
                  <c:v>1070</c:v>
                </c:pt>
                <c:pt idx="63">
                  <c:v>348</c:v>
                </c:pt>
                <c:pt idx="64">
                  <c:v>651</c:v>
                </c:pt>
                <c:pt idx="65">
                  <c:v>307</c:v>
                </c:pt>
                <c:pt idx="66">
                  <c:v>951</c:v>
                </c:pt>
                <c:pt idx="67">
                  <c:v>393</c:v>
                </c:pt>
                <c:pt idx="68">
                  <c:v>453</c:v>
                </c:pt>
                <c:pt idx="69">
                  <c:v>1190</c:v>
                </c:pt>
                <c:pt idx="70">
                  <c:v>847</c:v>
                </c:pt>
                <c:pt idx="71">
                  <c:v>117</c:v>
                </c:pt>
                <c:pt idx="72">
                  <c:v>518</c:v>
                </c:pt>
                <c:pt idx="73">
                  <c:v>610</c:v>
                </c:pt>
                <c:pt idx="74">
                  <c:v>260</c:v>
                </c:pt>
                <c:pt idx="75">
                  <c:v>1115</c:v>
                </c:pt>
                <c:pt idx="76">
                  <c:v>677</c:v>
                </c:pt>
                <c:pt idx="77">
                  <c:v>370</c:v>
                </c:pt>
                <c:pt idx="78">
                  <c:v>532</c:v>
                </c:pt>
                <c:pt idx="79">
                  <c:v>691</c:v>
                </c:pt>
                <c:pt idx="80">
                  <c:v>899</c:v>
                </c:pt>
                <c:pt idx="81">
                  <c:v>605</c:v>
                </c:pt>
                <c:pt idx="82">
                  <c:v>474</c:v>
                </c:pt>
                <c:pt idx="83">
                  <c:v>706</c:v>
                </c:pt>
                <c:pt idx="84">
                  <c:v>272</c:v>
                </c:pt>
                <c:pt idx="85">
                  <c:v>531</c:v>
                </c:pt>
                <c:pt idx="86">
                  <c:v>586</c:v>
                </c:pt>
                <c:pt idx="87">
                  <c:v>667</c:v>
                </c:pt>
                <c:pt idx="88">
                  <c:v>559</c:v>
                </c:pt>
                <c:pt idx="89">
                  <c:v>502</c:v>
                </c:pt>
                <c:pt idx="90">
                  <c:v>822</c:v>
                </c:pt>
                <c:pt idx="91">
                  <c:v>564</c:v>
                </c:pt>
                <c:pt idx="92">
                  <c:v>1066</c:v>
                </c:pt>
                <c:pt idx="93">
                  <c:v>871</c:v>
                </c:pt>
                <c:pt idx="94">
                  <c:v>592</c:v>
                </c:pt>
                <c:pt idx="95">
                  <c:v>508</c:v>
                </c:pt>
                <c:pt idx="96">
                  <c:v>1177</c:v>
                </c:pt>
                <c:pt idx="97">
                  <c:v>630</c:v>
                </c:pt>
                <c:pt idx="98">
                  <c:v>845</c:v>
                </c:pt>
                <c:pt idx="99">
                  <c:v>880</c:v>
                </c:pt>
                <c:pt idx="100">
                  <c:v>100</c:v>
                </c:pt>
                <c:pt idx="101">
                  <c:v>451</c:v>
                </c:pt>
                <c:pt idx="102">
                  <c:v>944</c:v>
                </c:pt>
                <c:pt idx="103">
                  <c:v>705</c:v>
                </c:pt>
                <c:pt idx="104">
                  <c:v>947</c:v>
                </c:pt>
                <c:pt idx="105">
                  <c:v>658</c:v>
                </c:pt>
                <c:pt idx="106">
                  <c:v>532</c:v>
                </c:pt>
                <c:pt idx="107">
                  <c:v>904</c:v>
                </c:pt>
                <c:pt idx="108">
                  <c:v>728</c:v>
                </c:pt>
                <c:pt idx="109">
                  <c:v>709</c:v>
                </c:pt>
                <c:pt idx="110">
                  <c:v>368</c:v>
                </c:pt>
                <c:pt idx="111">
                  <c:v>1007</c:v>
                </c:pt>
                <c:pt idx="112">
                  <c:v>193</c:v>
                </c:pt>
                <c:pt idx="113">
                  <c:v>874</c:v>
                </c:pt>
                <c:pt idx="114">
                  <c:v>622</c:v>
                </c:pt>
                <c:pt idx="115">
                  <c:v>1049</c:v>
                </c:pt>
                <c:pt idx="116">
                  <c:v>857</c:v>
                </c:pt>
                <c:pt idx="117">
                  <c:v>426</c:v>
                </c:pt>
                <c:pt idx="118">
                  <c:v>1055</c:v>
                </c:pt>
                <c:pt idx="119">
                  <c:v>742</c:v>
                </c:pt>
                <c:pt idx="120">
                  <c:v>686</c:v>
                </c:pt>
                <c:pt idx="121">
                  <c:v>299</c:v>
                </c:pt>
                <c:pt idx="122">
                  <c:v>716</c:v>
                </c:pt>
                <c:pt idx="123">
                  <c:v>906</c:v>
                </c:pt>
                <c:pt idx="124">
                  <c:v>1038</c:v>
                </c:pt>
                <c:pt idx="125">
                  <c:v>421</c:v>
                </c:pt>
                <c:pt idx="126">
                  <c:v>551</c:v>
                </c:pt>
                <c:pt idx="127">
                  <c:v>941</c:v>
                </c:pt>
                <c:pt idx="128">
                  <c:v>626</c:v>
                </c:pt>
                <c:pt idx="129">
                  <c:v>632</c:v>
                </c:pt>
                <c:pt idx="130">
                  <c:v>837</c:v>
                </c:pt>
                <c:pt idx="131">
                  <c:v>749</c:v>
                </c:pt>
                <c:pt idx="132">
                  <c:v>373</c:v>
                </c:pt>
                <c:pt idx="133">
                  <c:v>753</c:v>
                </c:pt>
                <c:pt idx="134">
                  <c:v>1169</c:v>
                </c:pt>
                <c:pt idx="135">
                  <c:v>780</c:v>
                </c:pt>
                <c:pt idx="136">
                  <c:v>756</c:v>
                </c:pt>
                <c:pt idx="137">
                  <c:v>848</c:v>
                </c:pt>
                <c:pt idx="138">
                  <c:v>911</c:v>
                </c:pt>
                <c:pt idx="139">
                  <c:v>530</c:v>
                </c:pt>
                <c:pt idx="140">
                  <c:v>989</c:v>
                </c:pt>
                <c:pt idx="141">
                  <c:v>203</c:v>
                </c:pt>
                <c:pt idx="142">
                  <c:v>685</c:v>
                </c:pt>
                <c:pt idx="143">
                  <c:v>408</c:v>
                </c:pt>
                <c:pt idx="144">
                  <c:v>762</c:v>
                </c:pt>
                <c:pt idx="145">
                  <c:v>941</c:v>
                </c:pt>
                <c:pt idx="146">
                  <c:v>425</c:v>
                </c:pt>
                <c:pt idx="147">
                  <c:v>596</c:v>
                </c:pt>
                <c:pt idx="148">
                  <c:v>769</c:v>
                </c:pt>
                <c:pt idx="149">
                  <c:v>543</c:v>
                </c:pt>
                <c:pt idx="150">
                  <c:v>997</c:v>
                </c:pt>
                <c:pt idx="151">
                  <c:v>357</c:v>
                </c:pt>
                <c:pt idx="152">
                  <c:v>1043</c:v>
                </c:pt>
                <c:pt idx="153">
                  <c:v>849</c:v>
                </c:pt>
                <c:pt idx="154">
                  <c:v>122</c:v>
                </c:pt>
                <c:pt idx="155">
                  <c:v>916</c:v>
                </c:pt>
                <c:pt idx="156">
                  <c:v>882</c:v>
                </c:pt>
                <c:pt idx="157">
                  <c:v>472</c:v>
                </c:pt>
                <c:pt idx="158">
                  <c:v>448</c:v>
                </c:pt>
                <c:pt idx="159">
                  <c:v>956</c:v>
                </c:pt>
                <c:pt idx="160">
                  <c:v>628</c:v>
                </c:pt>
                <c:pt idx="161">
                  <c:v>806</c:v>
                </c:pt>
                <c:pt idx="162">
                  <c:v>465</c:v>
                </c:pt>
                <c:pt idx="163">
                  <c:v>121</c:v>
                </c:pt>
                <c:pt idx="164">
                  <c:v>923</c:v>
                </c:pt>
                <c:pt idx="165">
                  <c:v>507</c:v>
                </c:pt>
                <c:pt idx="166">
                  <c:v>288</c:v>
                </c:pt>
                <c:pt idx="167">
                  <c:v>519</c:v>
                </c:pt>
                <c:pt idx="168">
                  <c:v>527</c:v>
                </c:pt>
                <c:pt idx="169">
                  <c:v>883</c:v>
                </c:pt>
                <c:pt idx="170">
                  <c:v>361</c:v>
                </c:pt>
                <c:pt idx="171">
                  <c:v>388</c:v>
                </c:pt>
                <c:pt idx="172">
                  <c:v>844</c:v>
                </c:pt>
                <c:pt idx="173">
                  <c:v>687</c:v>
                </c:pt>
                <c:pt idx="174">
                  <c:v>880</c:v>
                </c:pt>
                <c:pt idx="175">
                  <c:v>887</c:v>
                </c:pt>
                <c:pt idx="176">
                  <c:v>788</c:v>
                </c:pt>
                <c:pt idx="177">
                  <c:v>1026</c:v>
                </c:pt>
                <c:pt idx="178">
                  <c:v>347</c:v>
                </c:pt>
                <c:pt idx="179">
                  <c:v>386</c:v>
                </c:pt>
                <c:pt idx="180">
                  <c:v>187</c:v>
                </c:pt>
                <c:pt idx="181">
                  <c:v>599</c:v>
                </c:pt>
                <c:pt idx="182">
                  <c:v>815</c:v>
                </c:pt>
                <c:pt idx="183">
                  <c:v>1044</c:v>
                </c:pt>
                <c:pt idx="184">
                  <c:v>536</c:v>
                </c:pt>
                <c:pt idx="185">
                  <c:v>967</c:v>
                </c:pt>
                <c:pt idx="186">
                  <c:v>744</c:v>
                </c:pt>
                <c:pt idx="187">
                  <c:v>341</c:v>
                </c:pt>
                <c:pt idx="188">
                  <c:v>511</c:v>
                </c:pt>
                <c:pt idx="189">
                  <c:v>790</c:v>
                </c:pt>
                <c:pt idx="190">
                  <c:v>457</c:v>
                </c:pt>
                <c:pt idx="191">
                  <c:v>245</c:v>
                </c:pt>
                <c:pt idx="192">
                  <c:v>818</c:v>
                </c:pt>
                <c:pt idx="193">
                  <c:v>596</c:v>
                </c:pt>
                <c:pt idx="194">
                  <c:v>396</c:v>
                </c:pt>
                <c:pt idx="195">
                  <c:v>523</c:v>
                </c:pt>
                <c:pt idx="196">
                  <c:v>419</c:v>
                </c:pt>
                <c:pt idx="197">
                  <c:v>173</c:v>
                </c:pt>
                <c:pt idx="198">
                  <c:v>393</c:v>
                </c:pt>
                <c:pt idx="199">
                  <c:v>654</c:v>
                </c:pt>
                <c:pt idx="200">
                  <c:v>773</c:v>
                </c:pt>
                <c:pt idx="201">
                  <c:v>211</c:v>
                </c:pt>
                <c:pt idx="202">
                  <c:v>375</c:v>
                </c:pt>
                <c:pt idx="203">
                  <c:v>975</c:v>
                </c:pt>
                <c:pt idx="204">
                  <c:v>396</c:v>
                </c:pt>
                <c:pt idx="205">
                  <c:v>500</c:v>
                </c:pt>
                <c:pt idx="206">
                  <c:v>142</c:v>
                </c:pt>
                <c:pt idx="207">
                  <c:v>523</c:v>
                </c:pt>
                <c:pt idx="208">
                  <c:v>697</c:v>
                </c:pt>
                <c:pt idx="209">
                  <c:v>941</c:v>
                </c:pt>
                <c:pt idx="210">
                  <c:v>446</c:v>
                </c:pt>
                <c:pt idx="211">
                  <c:v>477</c:v>
                </c:pt>
                <c:pt idx="212">
                  <c:v>1008</c:v>
                </c:pt>
                <c:pt idx="213">
                  <c:v>781</c:v>
                </c:pt>
                <c:pt idx="214">
                  <c:v>532</c:v>
                </c:pt>
                <c:pt idx="215">
                  <c:v>542</c:v>
                </c:pt>
                <c:pt idx="216">
                  <c:v>796</c:v>
                </c:pt>
                <c:pt idx="217">
                  <c:v>1237</c:v>
                </c:pt>
                <c:pt idx="218">
                  <c:v>318</c:v>
                </c:pt>
                <c:pt idx="219">
                  <c:v>592</c:v>
                </c:pt>
                <c:pt idx="220">
                  <c:v>677</c:v>
                </c:pt>
                <c:pt idx="221">
                  <c:v>551</c:v>
                </c:pt>
                <c:pt idx="222">
                  <c:v>924</c:v>
                </c:pt>
                <c:pt idx="223">
                  <c:v>536</c:v>
                </c:pt>
                <c:pt idx="224">
                  <c:v>1099</c:v>
                </c:pt>
                <c:pt idx="225">
                  <c:v>894</c:v>
                </c:pt>
                <c:pt idx="226">
                  <c:v>665</c:v>
                </c:pt>
                <c:pt idx="227">
                  <c:v>830</c:v>
                </c:pt>
                <c:pt idx="228">
                  <c:v>705</c:v>
                </c:pt>
                <c:pt idx="229">
                  <c:v>360</c:v>
                </c:pt>
                <c:pt idx="230">
                  <c:v>152</c:v>
                </c:pt>
                <c:pt idx="231">
                  <c:v>162</c:v>
                </c:pt>
                <c:pt idx="232">
                  <c:v>411</c:v>
                </c:pt>
                <c:pt idx="233">
                  <c:v>359</c:v>
                </c:pt>
                <c:pt idx="234">
                  <c:v>367</c:v>
                </c:pt>
                <c:pt idx="235">
                  <c:v>644</c:v>
                </c:pt>
                <c:pt idx="236">
                  <c:v>530</c:v>
                </c:pt>
                <c:pt idx="237">
                  <c:v>899</c:v>
                </c:pt>
                <c:pt idx="238">
                  <c:v>550</c:v>
                </c:pt>
                <c:pt idx="239">
                  <c:v>903</c:v>
                </c:pt>
                <c:pt idx="240">
                  <c:v>860</c:v>
                </c:pt>
                <c:pt idx="241">
                  <c:v>1012</c:v>
                </c:pt>
                <c:pt idx="242">
                  <c:v>538</c:v>
                </c:pt>
                <c:pt idx="243">
                  <c:v>516</c:v>
                </c:pt>
                <c:pt idx="244">
                  <c:v>407</c:v>
                </c:pt>
                <c:pt idx="245">
                  <c:v>925</c:v>
                </c:pt>
                <c:pt idx="246">
                  <c:v>1025</c:v>
                </c:pt>
                <c:pt idx="247">
                  <c:v>450</c:v>
                </c:pt>
                <c:pt idx="248">
                  <c:v>543</c:v>
                </c:pt>
                <c:pt idx="249">
                  <c:v>999</c:v>
                </c:pt>
                <c:pt idx="250">
                  <c:v>811</c:v>
                </c:pt>
                <c:pt idx="251">
                  <c:v>685</c:v>
                </c:pt>
                <c:pt idx="252">
                  <c:v>847</c:v>
                </c:pt>
                <c:pt idx="253">
                  <c:v>209</c:v>
                </c:pt>
                <c:pt idx="254">
                  <c:v>840</c:v>
                </c:pt>
                <c:pt idx="255">
                  <c:v>725</c:v>
                </c:pt>
                <c:pt idx="256">
                  <c:v>344</c:v>
                </c:pt>
                <c:pt idx="257">
                  <c:v>441</c:v>
                </c:pt>
                <c:pt idx="258">
                  <c:v>281</c:v>
                </c:pt>
                <c:pt idx="259">
                  <c:v>625</c:v>
                </c:pt>
                <c:pt idx="260">
                  <c:v>1104</c:v>
                </c:pt>
                <c:pt idx="261">
                  <c:v>540</c:v>
                </c:pt>
                <c:pt idx="262">
                  <c:v>457</c:v>
                </c:pt>
                <c:pt idx="263">
                  <c:v>420</c:v>
                </c:pt>
                <c:pt idx="264">
                  <c:v>897</c:v>
                </c:pt>
                <c:pt idx="265">
                  <c:v>529</c:v>
                </c:pt>
                <c:pt idx="266">
                  <c:v>943</c:v>
                </c:pt>
                <c:pt idx="267">
                  <c:v>634</c:v>
                </c:pt>
                <c:pt idx="268">
                  <c:v>670</c:v>
                </c:pt>
                <c:pt idx="269">
                  <c:v>1001</c:v>
                </c:pt>
                <c:pt idx="270">
                  <c:v>191</c:v>
                </c:pt>
                <c:pt idx="271">
                  <c:v>937</c:v>
                </c:pt>
                <c:pt idx="272">
                  <c:v>471</c:v>
                </c:pt>
                <c:pt idx="273">
                  <c:v>615</c:v>
                </c:pt>
                <c:pt idx="274">
                  <c:v>245</c:v>
                </c:pt>
                <c:pt idx="275">
                  <c:v>265</c:v>
                </c:pt>
                <c:pt idx="276">
                  <c:v>313</c:v>
                </c:pt>
                <c:pt idx="277">
                  <c:v>674</c:v>
                </c:pt>
                <c:pt idx="278">
                  <c:v>807</c:v>
                </c:pt>
                <c:pt idx="279">
                  <c:v>201</c:v>
                </c:pt>
                <c:pt idx="280">
                  <c:v>848</c:v>
                </c:pt>
                <c:pt idx="281">
                  <c:v>447</c:v>
                </c:pt>
                <c:pt idx="282">
                  <c:v>1051</c:v>
                </c:pt>
                <c:pt idx="283">
                  <c:v>436</c:v>
                </c:pt>
                <c:pt idx="284">
                  <c:v>197</c:v>
                </c:pt>
                <c:pt idx="285">
                  <c:v>1021</c:v>
                </c:pt>
                <c:pt idx="286">
                  <c:v>640</c:v>
                </c:pt>
                <c:pt idx="287">
                  <c:v>1081</c:v>
                </c:pt>
                <c:pt idx="288">
                  <c:v>100</c:v>
                </c:pt>
                <c:pt idx="289">
                  <c:v>675</c:v>
                </c:pt>
                <c:pt idx="290">
                  <c:v>351</c:v>
                </c:pt>
                <c:pt idx="291">
                  <c:v>355</c:v>
                </c:pt>
                <c:pt idx="292">
                  <c:v>1195</c:v>
                </c:pt>
                <c:pt idx="293">
                  <c:v>811</c:v>
                </c:pt>
                <c:pt idx="294">
                  <c:v>473</c:v>
                </c:pt>
                <c:pt idx="295">
                  <c:v>1027</c:v>
                </c:pt>
                <c:pt idx="296">
                  <c:v>505</c:v>
                </c:pt>
                <c:pt idx="297">
                  <c:v>369</c:v>
                </c:pt>
                <c:pt idx="298">
                  <c:v>782</c:v>
                </c:pt>
                <c:pt idx="299">
                  <c:v>432</c:v>
                </c:pt>
                <c:pt idx="300">
                  <c:v>773</c:v>
                </c:pt>
                <c:pt idx="301">
                  <c:v>554</c:v>
                </c:pt>
                <c:pt idx="302">
                  <c:v>398</c:v>
                </c:pt>
                <c:pt idx="303">
                  <c:v>424</c:v>
                </c:pt>
                <c:pt idx="304">
                  <c:v>67</c:v>
                </c:pt>
                <c:pt idx="305">
                  <c:v>540</c:v>
                </c:pt>
                <c:pt idx="306">
                  <c:v>887</c:v>
                </c:pt>
                <c:pt idx="307">
                  <c:v>687</c:v>
                </c:pt>
                <c:pt idx="308">
                  <c:v>514</c:v>
                </c:pt>
                <c:pt idx="309">
                  <c:v>255</c:v>
                </c:pt>
                <c:pt idx="310">
                  <c:v>302</c:v>
                </c:pt>
                <c:pt idx="311">
                  <c:v>730</c:v>
                </c:pt>
                <c:pt idx="312">
                  <c:v>847</c:v>
                </c:pt>
                <c:pt idx="313">
                  <c:v>498</c:v>
                </c:pt>
                <c:pt idx="314">
                  <c:v>176</c:v>
                </c:pt>
                <c:pt idx="315">
                  <c:v>736</c:v>
                </c:pt>
                <c:pt idx="316">
                  <c:v>836</c:v>
                </c:pt>
                <c:pt idx="317">
                  <c:v>609</c:v>
                </c:pt>
                <c:pt idx="318">
                  <c:v>753</c:v>
                </c:pt>
                <c:pt idx="319">
                  <c:v>632</c:v>
                </c:pt>
                <c:pt idx="320">
                  <c:v>531</c:v>
                </c:pt>
                <c:pt idx="321">
                  <c:v>542</c:v>
                </c:pt>
                <c:pt idx="322">
                  <c:v>529</c:v>
                </c:pt>
                <c:pt idx="323">
                  <c:v>130</c:v>
                </c:pt>
                <c:pt idx="324">
                  <c:v>533</c:v>
                </c:pt>
                <c:pt idx="325">
                  <c:v>430</c:v>
                </c:pt>
                <c:pt idx="326">
                  <c:v>647</c:v>
                </c:pt>
                <c:pt idx="327">
                  <c:v>520</c:v>
                </c:pt>
                <c:pt idx="328">
                  <c:v>961</c:v>
                </c:pt>
                <c:pt idx="329">
                  <c:v>552</c:v>
                </c:pt>
                <c:pt idx="330">
                  <c:v>1150</c:v>
                </c:pt>
                <c:pt idx="331">
                  <c:v>361</c:v>
                </c:pt>
                <c:pt idx="332">
                  <c:v>630</c:v>
                </c:pt>
                <c:pt idx="333">
                  <c:v>876</c:v>
                </c:pt>
                <c:pt idx="334">
                  <c:v>525</c:v>
                </c:pt>
                <c:pt idx="335">
                  <c:v>718</c:v>
                </c:pt>
                <c:pt idx="336">
                  <c:v>680</c:v>
                </c:pt>
                <c:pt idx="337">
                  <c:v>466</c:v>
                </c:pt>
                <c:pt idx="338">
                  <c:v>497</c:v>
                </c:pt>
                <c:pt idx="339">
                  <c:v>893</c:v>
                </c:pt>
                <c:pt idx="340">
                  <c:v>347</c:v>
                </c:pt>
                <c:pt idx="341">
                  <c:v>158</c:v>
                </c:pt>
                <c:pt idx="342">
                  <c:v>701</c:v>
                </c:pt>
                <c:pt idx="343">
                  <c:v>657</c:v>
                </c:pt>
                <c:pt idx="344">
                  <c:v>306</c:v>
                </c:pt>
                <c:pt idx="345">
                  <c:v>958</c:v>
                </c:pt>
                <c:pt idx="346">
                  <c:v>1096</c:v>
                </c:pt>
                <c:pt idx="347">
                  <c:v>1086</c:v>
                </c:pt>
                <c:pt idx="348">
                  <c:v>647</c:v>
                </c:pt>
                <c:pt idx="349">
                  <c:v>290</c:v>
                </c:pt>
                <c:pt idx="350">
                  <c:v>475</c:v>
                </c:pt>
                <c:pt idx="351">
                  <c:v>521</c:v>
                </c:pt>
                <c:pt idx="352">
                  <c:v>1019</c:v>
                </c:pt>
                <c:pt idx="353">
                  <c:v>421</c:v>
                </c:pt>
                <c:pt idx="354">
                  <c:v>630</c:v>
                </c:pt>
                <c:pt idx="355">
                  <c:v>811</c:v>
                </c:pt>
                <c:pt idx="356">
                  <c:v>465</c:v>
                </c:pt>
                <c:pt idx="357">
                  <c:v>542</c:v>
                </c:pt>
                <c:pt idx="358">
                  <c:v>395</c:v>
                </c:pt>
                <c:pt idx="359">
                  <c:v>467</c:v>
                </c:pt>
                <c:pt idx="360">
                  <c:v>536</c:v>
                </c:pt>
                <c:pt idx="361">
                  <c:v>571</c:v>
                </c:pt>
                <c:pt idx="362">
                  <c:v>206</c:v>
                </c:pt>
                <c:pt idx="363">
                  <c:v>1135</c:v>
                </c:pt>
                <c:pt idx="364">
                  <c:v>453</c:v>
                </c:pt>
                <c:pt idx="365">
                  <c:v>517</c:v>
                </c:pt>
                <c:pt idx="366">
                  <c:v>1137</c:v>
                </c:pt>
                <c:pt idx="367">
                  <c:v>539</c:v>
                </c:pt>
                <c:pt idx="368">
                  <c:v>613</c:v>
                </c:pt>
                <c:pt idx="369">
                  <c:v>730</c:v>
                </c:pt>
                <c:pt idx="370">
                  <c:v>934</c:v>
                </c:pt>
                <c:pt idx="371">
                  <c:v>980</c:v>
                </c:pt>
                <c:pt idx="372">
                  <c:v>725</c:v>
                </c:pt>
                <c:pt idx="373">
                  <c:v>499</c:v>
                </c:pt>
                <c:pt idx="374">
                  <c:v>662</c:v>
                </c:pt>
                <c:pt idx="375">
                  <c:v>608</c:v>
                </c:pt>
                <c:pt idx="376">
                  <c:v>719</c:v>
                </c:pt>
                <c:pt idx="377">
                  <c:v>450</c:v>
                </c:pt>
                <c:pt idx="378">
                  <c:v>257</c:v>
                </c:pt>
                <c:pt idx="379">
                  <c:v>699</c:v>
                </c:pt>
                <c:pt idx="380">
                  <c:v>1078</c:v>
                </c:pt>
                <c:pt idx="381">
                  <c:v>246</c:v>
                </c:pt>
                <c:pt idx="382">
                  <c:v>197</c:v>
                </c:pt>
                <c:pt idx="383">
                  <c:v>931</c:v>
                </c:pt>
                <c:pt idx="384">
                  <c:v>1013</c:v>
                </c:pt>
                <c:pt idx="385">
                  <c:v>499</c:v>
                </c:pt>
                <c:pt idx="386">
                  <c:v>977</c:v>
                </c:pt>
                <c:pt idx="387">
                  <c:v>790</c:v>
                </c:pt>
                <c:pt idx="388">
                  <c:v>880</c:v>
                </c:pt>
                <c:pt idx="389">
                  <c:v>346</c:v>
                </c:pt>
                <c:pt idx="390">
                  <c:v>353</c:v>
                </c:pt>
                <c:pt idx="391">
                  <c:v>620</c:v>
                </c:pt>
                <c:pt idx="392">
                  <c:v>675</c:v>
                </c:pt>
                <c:pt idx="393">
                  <c:v>667</c:v>
                </c:pt>
                <c:pt idx="394">
                  <c:v>868</c:v>
                </c:pt>
                <c:pt idx="395">
                  <c:v>836</c:v>
                </c:pt>
                <c:pt idx="396">
                  <c:v>231</c:v>
                </c:pt>
                <c:pt idx="397">
                  <c:v>567</c:v>
                </c:pt>
                <c:pt idx="398">
                  <c:v>1016</c:v>
                </c:pt>
                <c:pt idx="399">
                  <c:v>386</c:v>
                </c:pt>
                <c:pt idx="400">
                  <c:v>730</c:v>
                </c:pt>
                <c:pt idx="401">
                  <c:v>552</c:v>
                </c:pt>
                <c:pt idx="402">
                  <c:v>875</c:v>
                </c:pt>
                <c:pt idx="403">
                  <c:v>1083</c:v>
                </c:pt>
                <c:pt idx="404">
                  <c:v>978</c:v>
                </c:pt>
                <c:pt idx="405">
                  <c:v>248</c:v>
                </c:pt>
                <c:pt idx="406">
                  <c:v>351</c:v>
                </c:pt>
                <c:pt idx="407">
                  <c:v>556</c:v>
                </c:pt>
                <c:pt idx="408">
                  <c:v>578</c:v>
                </c:pt>
                <c:pt idx="409">
                  <c:v>147</c:v>
                </c:pt>
                <c:pt idx="410">
                  <c:v>886</c:v>
                </c:pt>
                <c:pt idx="411">
                  <c:v>319</c:v>
                </c:pt>
                <c:pt idx="412">
                  <c:v>369</c:v>
                </c:pt>
                <c:pt idx="413">
                  <c:v>493</c:v>
                </c:pt>
                <c:pt idx="414">
                  <c:v>581</c:v>
                </c:pt>
                <c:pt idx="415">
                  <c:v>517</c:v>
                </c:pt>
                <c:pt idx="416">
                  <c:v>207</c:v>
                </c:pt>
                <c:pt idx="417">
                  <c:v>281</c:v>
                </c:pt>
                <c:pt idx="418">
                  <c:v>775</c:v>
                </c:pt>
                <c:pt idx="419">
                  <c:v>724</c:v>
                </c:pt>
                <c:pt idx="420">
                  <c:v>664</c:v>
                </c:pt>
                <c:pt idx="421">
                  <c:v>953</c:v>
                </c:pt>
                <c:pt idx="422">
                  <c:v>187</c:v>
                </c:pt>
                <c:pt idx="423">
                  <c:v>305</c:v>
                </c:pt>
                <c:pt idx="424">
                  <c:v>525</c:v>
                </c:pt>
                <c:pt idx="425">
                  <c:v>451</c:v>
                </c:pt>
                <c:pt idx="426">
                  <c:v>813</c:v>
                </c:pt>
                <c:pt idx="427">
                  <c:v>552</c:v>
                </c:pt>
                <c:pt idx="428">
                  <c:v>911</c:v>
                </c:pt>
                <c:pt idx="429">
                  <c:v>865</c:v>
                </c:pt>
                <c:pt idx="430">
                  <c:v>765</c:v>
                </c:pt>
                <c:pt idx="431">
                  <c:v>638</c:v>
                </c:pt>
                <c:pt idx="432">
                  <c:v>313</c:v>
                </c:pt>
                <c:pt idx="433">
                  <c:v>778</c:v>
                </c:pt>
                <c:pt idx="434">
                  <c:v>947</c:v>
                </c:pt>
                <c:pt idx="435">
                  <c:v>588</c:v>
                </c:pt>
                <c:pt idx="436">
                  <c:v>517</c:v>
                </c:pt>
                <c:pt idx="437">
                  <c:v>192</c:v>
                </c:pt>
                <c:pt idx="438">
                  <c:v>400</c:v>
                </c:pt>
                <c:pt idx="439">
                  <c:v>469</c:v>
                </c:pt>
                <c:pt idx="440">
                  <c:v>884</c:v>
                </c:pt>
                <c:pt idx="441">
                  <c:v>910</c:v>
                </c:pt>
                <c:pt idx="442">
                  <c:v>372</c:v>
                </c:pt>
                <c:pt idx="443">
                  <c:v>305</c:v>
                </c:pt>
                <c:pt idx="444">
                  <c:v>636</c:v>
                </c:pt>
                <c:pt idx="445">
                  <c:v>433</c:v>
                </c:pt>
                <c:pt idx="446">
                  <c:v>931</c:v>
                </c:pt>
                <c:pt idx="447">
                  <c:v>751</c:v>
                </c:pt>
                <c:pt idx="448">
                  <c:v>904</c:v>
                </c:pt>
                <c:pt idx="449">
                  <c:v>652</c:v>
                </c:pt>
                <c:pt idx="450">
                  <c:v>573</c:v>
                </c:pt>
                <c:pt idx="451">
                  <c:v>1027</c:v>
                </c:pt>
                <c:pt idx="452">
                  <c:v>575</c:v>
                </c:pt>
                <c:pt idx="453">
                  <c:v>848</c:v>
                </c:pt>
                <c:pt idx="454">
                  <c:v>432</c:v>
                </c:pt>
                <c:pt idx="455">
                  <c:v>918</c:v>
                </c:pt>
                <c:pt idx="456">
                  <c:v>1197</c:v>
                </c:pt>
                <c:pt idx="457">
                  <c:v>216</c:v>
                </c:pt>
                <c:pt idx="458">
                  <c:v>847</c:v>
                </c:pt>
                <c:pt idx="459">
                  <c:v>72</c:v>
                </c:pt>
                <c:pt idx="460">
                  <c:v>416</c:v>
                </c:pt>
                <c:pt idx="461">
                  <c:v>827</c:v>
                </c:pt>
                <c:pt idx="462">
                  <c:v>355</c:v>
                </c:pt>
                <c:pt idx="463">
                  <c:v>254</c:v>
                </c:pt>
                <c:pt idx="464">
                  <c:v>626</c:v>
                </c:pt>
                <c:pt idx="465">
                  <c:v>862</c:v>
                </c:pt>
                <c:pt idx="466">
                  <c:v>409</c:v>
                </c:pt>
                <c:pt idx="467">
                  <c:v>561</c:v>
                </c:pt>
                <c:pt idx="468">
                  <c:v>889</c:v>
                </c:pt>
                <c:pt idx="469">
                  <c:v>784</c:v>
                </c:pt>
                <c:pt idx="470">
                  <c:v>495</c:v>
                </c:pt>
                <c:pt idx="471">
                  <c:v>417</c:v>
                </c:pt>
                <c:pt idx="472">
                  <c:v>869</c:v>
                </c:pt>
                <c:pt idx="473">
                  <c:v>951</c:v>
                </c:pt>
                <c:pt idx="474">
                  <c:v>542</c:v>
                </c:pt>
                <c:pt idx="475">
                  <c:v>398</c:v>
                </c:pt>
                <c:pt idx="476">
                  <c:v>296</c:v>
                </c:pt>
                <c:pt idx="477">
                  <c:v>517</c:v>
                </c:pt>
                <c:pt idx="478">
                  <c:v>418</c:v>
                </c:pt>
                <c:pt idx="479">
                  <c:v>306</c:v>
                </c:pt>
                <c:pt idx="480">
                  <c:v>930</c:v>
                </c:pt>
                <c:pt idx="481">
                  <c:v>805</c:v>
                </c:pt>
                <c:pt idx="482">
                  <c:v>538</c:v>
                </c:pt>
                <c:pt idx="483">
                  <c:v>697</c:v>
                </c:pt>
                <c:pt idx="484">
                  <c:v>902</c:v>
                </c:pt>
                <c:pt idx="485">
                  <c:v>1118</c:v>
                </c:pt>
                <c:pt idx="486">
                  <c:v>1242</c:v>
                </c:pt>
                <c:pt idx="487">
                  <c:v>406</c:v>
                </c:pt>
                <c:pt idx="488">
                  <c:v>878</c:v>
                </c:pt>
                <c:pt idx="489">
                  <c:v>479</c:v>
                </c:pt>
                <c:pt idx="490">
                  <c:v>721</c:v>
                </c:pt>
                <c:pt idx="491">
                  <c:v>1161</c:v>
                </c:pt>
                <c:pt idx="492">
                  <c:v>717</c:v>
                </c:pt>
                <c:pt idx="493">
                  <c:v>428</c:v>
                </c:pt>
                <c:pt idx="494">
                  <c:v>929</c:v>
                </c:pt>
                <c:pt idx="495">
                  <c:v>1044</c:v>
                </c:pt>
                <c:pt idx="496">
                  <c:v>1016</c:v>
                </c:pt>
                <c:pt idx="497">
                  <c:v>602</c:v>
                </c:pt>
                <c:pt idx="498">
                  <c:v>1109</c:v>
                </c:pt>
                <c:pt idx="499">
                  <c:v>711</c:v>
                </c:pt>
                <c:pt idx="500">
                  <c:v>896</c:v>
                </c:pt>
                <c:pt idx="501">
                  <c:v>937</c:v>
                </c:pt>
                <c:pt idx="502">
                  <c:v>724</c:v>
                </c:pt>
                <c:pt idx="503">
                  <c:v>480</c:v>
                </c:pt>
                <c:pt idx="504">
                  <c:v>157</c:v>
                </c:pt>
                <c:pt idx="505">
                  <c:v>488</c:v>
                </c:pt>
                <c:pt idx="506">
                  <c:v>149</c:v>
                </c:pt>
                <c:pt idx="507">
                  <c:v>863</c:v>
                </c:pt>
                <c:pt idx="508">
                  <c:v>512</c:v>
                </c:pt>
                <c:pt idx="509">
                  <c:v>1153</c:v>
                </c:pt>
                <c:pt idx="510">
                  <c:v>639</c:v>
                </c:pt>
                <c:pt idx="511">
                  <c:v>545</c:v>
                </c:pt>
                <c:pt idx="512">
                  <c:v>430</c:v>
                </c:pt>
                <c:pt idx="513">
                  <c:v>807</c:v>
                </c:pt>
                <c:pt idx="514">
                  <c:v>622</c:v>
                </c:pt>
                <c:pt idx="515">
                  <c:v>805</c:v>
                </c:pt>
                <c:pt idx="516">
                  <c:v>667</c:v>
                </c:pt>
                <c:pt idx="517">
                  <c:v>1202</c:v>
                </c:pt>
                <c:pt idx="518">
                  <c:v>151</c:v>
                </c:pt>
                <c:pt idx="519">
                  <c:v>711</c:v>
                </c:pt>
                <c:pt idx="520">
                  <c:v>561</c:v>
                </c:pt>
                <c:pt idx="521">
                  <c:v>192</c:v>
                </c:pt>
                <c:pt idx="522">
                  <c:v>936</c:v>
                </c:pt>
                <c:pt idx="523">
                  <c:v>395</c:v>
                </c:pt>
                <c:pt idx="524">
                  <c:v>267</c:v>
                </c:pt>
                <c:pt idx="525">
                  <c:v>716</c:v>
                </c:pt>
                <c:pt idx="526">
                  <c:v>524</c:v>
                </c:pt>
                <c:pt idx="527">
                  <c:v>717</c:v>
                </c:pt>
                <c:pt idx="528">
                  <c:v>935</c:v>
                </c:pt>
                <c:pt idx="529">
                  <c:v>622</c:v>
                </c:pt>
                <c:pt idx="530">
                  <c:v>681</c:v>
                </c:pt>
                <c:pt idx="531">
                  <c:v>348</c:v>
                </c:pt>
                <c:pt idx="532">
                  <c:v>231</c:v>
                </c:pt>
                <c:pt idx="533">
                  <c:v>896</c:v>
                </c:pt>
                <c:pt idx="534">
                  <c:v>735</c:v>
                </c:pt>
                <c:pt idx="535">
                  <c:v>708</c:v>
                </c:pt>
                <c:pt idx="536">
                  <c:v>625</c:v>
                </c:pt>
                <c:pt idx="537">
                  <c:v>1022</c:v>
                </c:pt>
                <c:pt idx="538">
                  <c:v>951</c:v>
                </c:pt>
                <c:pt idx="539">
                  <c:v>212</c:v>
                </c:pt>
                <c:pt idx="540">
                  <c:v>982</c:v>
                </c:pt>
                <c:pt idx="541">
                  <c:v>659</c:v>
                </c:pt>
                <c:pt idx="542">
                  <c:v>1031</c:v>
                </c:pt>
                <c:pt idx="543">
                  <c:v>666</c:v>
                </c:pt>
                <c:pt idx="544">
                  <c:v>601</c:v>
                </c:pt>
                <c:pt idx="545">
                  <c:v>510</c:v>
                </c:pt>
                <c:pt idx="546">
                  <c:v>474</c:v>
                </c:pt>
                <c:pt idx="547">
                  <c:v>759</c:v>
                </c:pt>
                <c:pt idx="548">
                  <c:v>750</c:v>
                </c:pt>
                <c:pt idx="549">
                  <c:v>930</c:v>
                </c:pt>
                <c:pt idx="550">
                  <c:v>905</c:v>
                </c:pt>
                <c:pt idx="551">
                  <c:v>798</c:v>
                </c:pt>
                <c:pt idx="552">
                  <c:v>311</c:v>
                </c:pt>
                <c:pt idx="553">
                  <c:v>170</c:v>
                </c:pt>
                <c:pt idx="554">
                  <c:v>282</c:v>
                </c:pt>
                <c:pt idx="555">
                  <c:v>668</c:v>
                </c:pt>
                <c:pt idx="556">
                  <c:v>284</c:v>
                </c:pt>
                <c:pt idx="557">
                  <c:v>641</c:v>
                </c:pt>
                <c:pt idx="558">
                  <c:v>550</c:v>
                </c:pt>
                <c:pt idx="559">
                  <c:v>626</c:v>
                </c:pt>
                <c:pt idx="560">
                  <c:v>1033</c:v>
                </c:pt>
                <c:pt idx="561">
                  <c:v>730</c:v>
                </c:pt>
                <c:pt idx="562">
                  <c:v>705</c:v>
                </c:pt>
                <c:pt idx="563">
                  <c:v>542</c:v>
                </c:pt>
                <c:pt idx="564">
                  <c:v>380</c:v>
                </c:pt>
                <c:pt idx="565">
                  <c:v>605</c:v>
                </c:pt>
                <c:pt idx="566">
                  <c:v>646</c:v>
                </c:pt>
                <c:pt idx="567">
                  <c:v>738</c:v>
                </c:pt>
                <c:pt idx="568">
                  <c:v>467</c:v>
                </c:pt>
                <c:pt idx="569">
                  <c:v>406</c:v>
                </c:pt>
                <c:pt idx="570">
                  <c:v>346</c:v>
                </c:pt>
                <c:pt idx="571">
                  <c:v>784</c:v>
                </c:pt>
                <c:pt idx="572">
                  <c:v>182</c:v>
                </c:pt>
                <c:pt idx="573">
                  <c:v>431</c:v>
                </c:pt>
                <c:pt idx="574">
                  <c:v>309</c:v>
                </c:pt>
                <c:pt idx="575">
                  <c:v>381</c:v>
                </c:pt>
                <c:pt idx="576">
                  <c:v>553</c:v>
                </c:pt>
                <c:pt idx="577">
                  <c:v>632</c:v>
                </c:pt>
                <c:pt idx="578">
                  <c:v>887</c:v>
                </c:pt>
                <c:pt idx="579">
                  <c:v>759</c:v>
                </c:pt>
                <c:pt idx="580">
                  <c:v>615</c:v>
                </c:pt>
                <c:pt idx="581">
                  <c:v>111</c:v>
                </c:pt>
                <c:pt idx="582">
                  <c:v>492</c:v>
                </c:pt>
                <c:pt idx="583">
                  <c:v>245</c:v>
                </c:pt>
                <c:pt idx="584">
                  <c:v>1114</c:v>
                </c:pt>
                <c:pt idx="585">
                  <c:v>641</c:v>
                </c:pt>
                <c:pt idx="586">
                  <c:v>737</c:v>
                </c:pt>
                <c:pt idx="587">
                  <c:v>225</c:v>
                </c:pt>
                <c:pt idx="588">
                  <c:v>451</c:v>
                </c:pt>
                <c:pt idx="589">
                  <c:v>265</c:v>
                </c:pt>
                <c:pt idx="590">
                  <c:v>609</c:v>
                </c:pt>
                <c:pt idx="591">
                  <c:v>703</c:v>
                </c:pt>
                <c:pt idx="592">
                  <c:v>327</c:v>
                </c:pt>
                <c:pt idx="593">
                  <c:v>591</c:v>
                </c:pt>
                <c:pt idx="594">
                  <c:v>1069</c:v>
                </c:pt>
                <c:pt idx="595">
                  <c:v>530</c:v>
                </c:pt>
                <c:pt idx="596">
                  <c:v>587</c:v>
                </c:pt>
                <c:pt idx="597">
                  <c:v>905</c:v>
                </c:pt>
                <c:pt idx="598">
                  <c:v>717</c:v>
                </c:pt>
                <c:pt idx="599">
                  <c:v>408</c:v>
                </c:pt>
                <c:pt idx="600">
                  <c:v>976</c:v>
                </c:pt>
                <c:pt idx="601">
                  <c:v>802</c:v>
                </c:pt>
                <c:pt idx="602">
                  <c:v>644</c:v>
                </c:pt>
                <c:pt idx="603">
                  <c:v>737</c:v>
                </c:pt>
                <c:pt idx="604">
                  <c:v>410</c:v>
                </c:pt>
                <c:pt idx="605">
                  <c:v>511</c:v>
                </c:pt>
                <c:pt idx="606">
                  <c:v>527</c:v>
                </c:pt>
                <c:pt idx="607">
                  <c:v>521</c:v>
                </c:pt>
                <c:pt idx="608">
                  <c:v>355</c:v>
                </c:pt>
                <c:pt idx="609">
                  <c:v>406</c:v>
                </c:pt>
                <c:pt idx="610">
                  <c:v>250</c:v>
                </c:pt>
                <c:pt idx="611">
                  <c:v>407</c:v>
                </c:pt>
                <c:pt idx="612">
                  <c:v>914</c:v>
                </c:pt>
                <c:pt idx="613">
                  <c:v>387</c:v>
                </c:pt>
                <c:pt idx="614">
                  <c:v>798</c:v>
                </c:pt>
                <c:pt idx="615">
                  <c:v>1027</c:v>
                </c:pt>
                <c:pt idx="616">
                  <c:v>314</c:v>
                </c:pt>
                <c:pt idx="617">
                  <c:v>953</c:v>
                </c:pt>
                <c:pt idx="618">
                  <c:v>797</c:v>
                </c:pt>
                <c:pt idx="619">
                  <c:v>668</c:v>
                </c:pt>
                <c:pt idx="620">
                  <c:v>459</c:v>
                </c:pt>
                <c:pt idx="621">
                  <c:v>637</c:v>
                </c:pt>
                <c:pt idx="622">
                  <c:v>822</c:v>
                </c:pt>
                <c:pt idx="623">
                  <c:v>309</c:v>
                </c:pt>
                <c:pt idx="624">
                  <c:v>994</c:v>
                </c:pt>
                <c:pt idx="625">
                  <c:v>496</c:v>
                </c:pt>
                <c:pt idx="626">
                  <c:v>354</c:v>
                </c:pt>
                <c:pt idx="627">
                  <c:v>381</c:v>
                </c:pt>
                <c:pt idx="628">
                  <c:v>984</c:v>
                </c:pt>
                <c:pt idx="629">
                  <c:v>829</c:v>
                </c:pt>
                <c:pt idx="630">
                  <c:v>106</c:v>
                </c:pt>
                <c:pt idx="631">
                  <c:v>720</c:v>
                </c:pt>
                <c:pt idx="632">
                  <c:v>835</c:v>
                </c:pt>
                <c:pt idx="633">
                  <c:v>1024</c:v>
                </c:pt>
                <c:pt idx="634">
                  <c:v>815</c:v>
                </c:pt>
                <c:pt idx="635">
                  <c:v>719</c:v>
                </c:pt>
                <c:pt idx="636">
                  <c:v>377</c:v>
                </c:pt>
                <c:pt idx="637">
                  <c:v>663</c:v>
                </c:pt>
                <c:pt idx="638">
                  <c:v>641</c:v>
                </c:pt>
                <c:pt idx="639">
                  <c:v>415</c:v>
                </c:pt>
                <c:pt idx="640">
                  <c:v>651</c:v>
                </c:pt>
                <c:pt idx="641">
                  <c:v>877</c:v>
                </c:pt>
                <c:pt idx="642">
                  <c:v>533</c:v>
                </c:pt>
                <c:pt idx="643">
                  <c:v>456</c:v>
                </c:pt>
                <c:pt idx="644">
                  <c:v>814</c:v>
                </c:pt>
                <c:pt idx="645">
                  <c:v>557</c:v>
                </c:pt>
                <c:pt idx="646">
                  <c:v>730</c:v>
                </c:pt>
                <c:pt idx="647">
                  <c:v>550</c:v>
                </c:pt>
                <c:pt idx="648">
                  <c:v>842</c:v>
                </c:pt>
                <c:pt idx="649">
                  <c:v>1071</c:v>
                </c:pt>
                <c:pt idx="650">
                  <c:v>929</c:v>
                </c:pt>
                <c:pt idx="651">
                  <c:v>977</c:v>
                </c:pt>
                <c:pt idx="652">
                  <c:v>989</c:v>
                </c:pt>
                <c:pt idx="653">
                  <c:v>1096</c:v>
                </c:pt>
                <c:pt idx="654">
                  <c:v>835</c:v>
                </c:pt>
                <c:pt idx="655">
                  <c:v>886</c:v>
                </c:pt>
                <c:pt idx="656">
                  <c:v>682</c:v>
                </c:pt>
                <c:pt idx="657">
                  <c:v>622</c:v>
                </c:pt>
                <c:pt idx="658">
                  <c:v>482</c:v>
                </c:pt>
                <c:pt idx="659">
                  <c:v>739</c:v>
                </c:pt>
                <c:pt idx="660">
                  <c:v>1062</c:v>
                </c:pt>
                <c:pt idx="661">
                  <c:v>995</c:v>
                </c:pt>
                <c:pt idx="662">
                  <c:v>759</c:v>
                </c:pt>
                <c:pt idx="663">
                  <c:v>895</c:v>
                </c:pt>
                <c:pt idx="664">
                  <c:v>754</c:v>
                </c:pt>
                <c:pt idx="665">
                  <c:v>203</c:v>
                </c:pt>
                <c:pt idx="666">
                  <c:v>1193</c:v>
                </c:pt>
                <c:pt idx="667">
                  <c:v>226</c:v>
                </c:pt>
                <c:pt idx="668">
                  <c:v>267</c:v>
                </c:pt>
                <c:pt idx="669">
                  <c:v>475</c:v>
                </c:pt>
                <c:pt idx="670">
                  <c:v>1119</c:v>
                </c:pt>
                <c:pt idx="671">
                  <c:v>713</c:v>
                </c:pt>
                <c:pt idx="672">
                  <c:v>744</c:v>
                </c:pt>
                <c:pt idx="673">
                  <c:v>963</c:v>
                </c:pt>
                <c:pt idx="674">
                  <c:v>304</c:v>
                </c:pt>
                <c:pt idx="675">
                  <c:v>766</c:v>
                </c:pt>
                <c:pt idx="676">
                  <c:v>434</c:v>
                </c:pt>
                <c:pt idx="677">
                  <c:v>905</c:v>
                </c:pt>
                <c:pt idx="678">
                  <c:v>662</c:v>
                </c:pt>
                <c:pt idx="679">
                  <c:v>513</c:v>
                </c:pt>
                <c:pt idx="680">
                  <c:v>800</c:v>
                </c:pt>
                <c:pt idx="681">
                  <c:v>679</c:v>
                </c:pt>
                <c:pt idx="682">
                  <c:v>221</c:v>
                </c:pt>
                <c:pt idx="683">
                  <c:v>256</c:v>
                </c:pt>
                <c:pt idx="684">
                  <c:v>853</c:v>
                </c:pt>
                <c:pt idx="685">
                  <c:v>317</c:v>
                </c:pt>
                <c:pt idx="686">
                  <c:v>461</c:v>
                </c:pt>
                <c:pt idx="687">
                  <c:v>964</c:v>
                </c:pt>
                <c:pt idx="688">
                  <c:v>453</c:v>
                </c:pt>
                <c:pt idx="689">
                  <c:v>622</c:v>
                </c:pt>
                <c:pt idx="690">
                  <c:v>275</c:v>
                </c:pt>
                <c:pt idx="691">
                  <c:v>400</c:v>
                </c:pt>
                <c:pt idx="692">
                  <c:v>769</c:v>
                </c:pt>
                <c:pt idx="693">
                  <c:v>519</c:v>
                </c:pt>
                <c:pt idx="694">
                  <c:v>861</c:v>
                </c:pt>
                <c:pt idx="695">
                  <c:v>505</c:v>
                </c:pt>
                <c:pt idx="696">
                  <c:v>429</c:v>
                </c:pt>
                <c:pt idx="697">
                  <c:v>1007</c:v>
                </c:pt>
                <c:pt idx="698">
                  <c:v>931</c:v>
                </c:pt>
                <c:pt idx="699">
                  <c:v>426</c:v>
                </c:pt>
                <c:pt idx="700">
                  <c:v>288</c:v>
                </c:pt>
                <c:pt idx="701">
                  <c:v>298</c:v>
                </c:pt>
                <c:pt idx="702">
                  <c:v>868</c:v>
                </c:pt>
                <c:pt idx="703">
                  <c:v>92</c:v>
                </c:pt>
                <c:pt idx="704">
                  <c:v>1006</c:v>
                </c:pt>
                <c:pt idx="705">
                  <c:v>548</c:v>
                </c:pt>
                <c:pt idx="706">
                  <c:v>187</c:v>
                </c:pt>
                <c:pt idx="707">
                  <c:v>286</c:v>
                </c:pt>
                <c:pt idx="708">
                  <c:v>916</c:v>
                </c:pt>
                <c:pt idx="709">
                  <c:v>708</c:v>
                </c:pt>
                <c:pt idx="710">
                  <c:v>1021</c:v>
                </c:pt>
                <c:pt idx="711">
                  <c:v>749</c:v>
                </c:pt>
                <c:pt idx="712">
                  <c:v>417</c:v>
                </c:pt>
                <c:pt idx="713">
                  <c:v>631</c:v>
                </c:pt>
                <c:pt idx="714">
                  <c:v>928</c:v>
                </c:pt>
                <c:pt idx="715">
                  <c:v>123</c:v>
                </c:pt>
                <c:pt idx="716">
                  <c:v>380</c:v>
                </c:pt>
                <c:pt idx="717">
                  <c:v>446</c:v>
                </c:pt>
                <c:pt idx="718">
                  <c:v>1088</c:v>
                </c:pt>
                <c:pt idx="719">
                  <c:v>496</c:v>
                </c:pt>
                <c:pt idx="720">
                  <c:v>171</c:v>
                </c:pt>
                <c:pt idx="721">
                  <c:v>511</c:v>
                </c:pt>
                <c:pt idx="722">
                  <c:v>908</c:v>
                </c:pt>
                <c:pt idx="723">
                  <c:v>778</c:v>
                </c:pt>
                <c:pt idx="724">
                  <c:v>247</c:v>
                </c:pt>
                <c:pt idx="725">
                  <c:v>834</c:v>
                </c:pt>
                <c:pt idx="726">
                  <c:v>573</c:v>
                </c:pt>
                <c:pt idx="727">
                  <c:v>155</c:v>
                </c:pt>
                <c:pt idx="728">
                  <c:v>529</c:v>
                </c:pt>
                <c:pt idx="729">
                  <c:v>744</c:v>
                </c:pt>
                <c:pt idx="730">
                  <c:v>1087</c:v>
                </c:pt>
                <c:pt idx="731">
                  <c:v>684</c:v>
                </c:pt>
                <c:pt idx="732">
                  <c:v>933</c:v>
                </c:pt>
                <c:pt idx="733">
                  <c:v>235</c:v>
                </c:pt>
                <c:pt idx="734">
                  <c:v>553</c:v>
                </c:pt>
                <c:pt idx="735">
                  <c:v>644</c:v>
                </c:pt>
                <c:pt idx="736">
                  <c:v>1073</c:v>
                </c:pt>
                <c:pt idx="737">
                  <c:v>597</c:v>
                </c:pt>
                <c:pt idx="738">
                  <c:v>827</c:v>
                </c:pt>
                <c:pt idx="739">
                  <c:v>425</c:v>
                </c:pt>
                <c:pt idx="740">
                  <c:v>869</c:v>
                </c:pt>
                <c:pt idx="741">
                  <c:v>1067</c:v>
                </c:pt>
                <c:pt idx="742">
                  <c:v>816</c:v>
                </c:pt>
                <c:pt idx="743">
                  <c:v>457</c:v>
                </c:pt>
                <c:pt idx="744">
                  <c:v>533</c:v>
                </c:pt>
                <c:pt idx="745">
                  <c:v>775</c:v>
                </c:pt>
                <c:pt idx="746">
                  <c:v>683</c:v>
                </c:pt>
                <c:pt idx="747">
                  <c:v>525</c:v>
                </c:pt>
                <c:pt idx="748">
                  <c:v>482</c:v>
                </c:pt>
                <c:pt idx="749">
                  <c:v>861</c:v>
                </c:pt>
                <c:pt idx="750">
                  <c:v>193</c:v>
                </c:pt>
                <c:pt idx="751">
                  <c:v>805</c:v>
                </c:pt>
                <c:pt idx="752">
                  <c:v>883</c:v>
                </c:pt>
                <c:pt idx="753">
                  <c:v>714</c:v>
                </c:pt>
                <c:pt idx="754">
                  <c:v>824</c:v>
                </c:pt>
                <c:pt idx="755">
                  <c:v>347</c:v>
                </c:pt>
                <c:pt idx="756">
                  <c:v>298</c:v>
                </c:pt>
                <c:pt idx="757">
                  <c:v>596</c:v>
                </c:pt>
                <c:pt idx="758">
                  <c:v>713</c:v>
                </c:pt>
                <c:pt idx="759">
                  <c:v>686</c:v>
                </c:pt>
                <c:pt idx="760">
                  <c:v>785</c:v>
                </c:pt>
                <c:pt idx="761">
                  <c:v>922</c:v>
                </c:pt>
                <c:pt idx="762">
                  <c:v>514</c:v>
                </c:pt>
                <c:pt idx="763">
                  <c:v>570</c:v>
                </c:pt>
                <c:pt idx="764">
                  <c:v>1129</c:v>
                </c:pt>
                <c:pt idx="765">
                  <c:v>599</c:v>
                </c:pt>
                <c:pt idx="766">
                  <c:v>256</c:v>
                </c:pt>
                <c:pt idx="767">
                  <c:v>377</c:v>
                </c:pt>
                <c:pt idx="768">
                  <c:v>185</c:v>
                </c:pt>
                <c:pt idx="769">
                  <c:v>678</c:v>
                </c:pt>
                <c:pt idx="770">
                  <c:v>967</c:v>
                </c:pt>
                <c:pt idx="771">
                  <c:v>966</c:v>
                </c:pt>
                <c:pt idx="772">
                  <c:v>538</c:v>
                </c:pt>
                <c:pt idx="773">
                  <c:v>880</c:v>
                </c:pt>
                <c:pt idx="774">
                  <c:v>495</c:v>
                </c:pt>
                <c:pt idx="775">
                  <c:v>879</c:v>
                </c:pt>
                <c:pt idx="776">
                  <c:v>971</c:v>
                </c:pt>
                <c:pt idx="777">
                  <c:v>1012</c:v>
                </c:pt>
                <c:pt idx="778">
                  <c:v>707</c:v>
                </c:pt>
                <c:pt idx="779">
                  <c:v>753</c:v>
                </c:pt>
                <c:pt idx="780">
                  <c:v>290</c:v>
                </c:pt>
                <c:pt idx="781">
                  <c:v>457</c:v>
                </c:pt>
                <c:pt idx="782">
                  <c:v>595</c:v>
                </c:pt>
                <c:pt idx="783">
                  <c:v>1086</c:v>
                </c:pt>
                <c:pt idx="784">
                  <c:v>244</c:v>
                </c:pt>
                <c:pt idx="785">
                  <c:v>889</c:v>
                </c:pt>
                <c:pt idx="786">
                  <c:v>415</c:v>
                </c:pt>
                <c:pt idx="787">
                  <c:v>527</c:v>
                </c:pt>
                <c:pt idx="788">
                  <c:v>694</c:v>
                </c:pt>
                <c:pt idx="789">
                  <c:v>848</c:v>
                </c:pt>
                <c:pt idx="790">
                  <c:v>426</c:v>
                </c:pt>
                <c:pt idx="791">
                  <c:v>782</c:v>
                </c:pt>
                <c:pt idx="792">
                  <c:v>515</c:v>
                </c:pt>
                <c:pt idx="793">
                  <c:v>804</c:v>
                </c:pt>
                <c:pt idx="794">
                  <c:v>869</c:v>
                </c:pt>
                <c:pt idx="795">
                  <c:v>201</c:v>
                </c:pt>
                <c:pt idx="796">
                  <c:v>524</c:v>
                </c:pt>
                <c:pt idx="797">
                  <c:v>476</c:v>
                </c:pt>
                <c:pt idx="798">
                  <c:v>884</c:v>
                </c:pt>
                <c:pt idx="799">
                  <c:v>430</c:v>
                </c:pt>
                <c:pt idx="800">
                  <c:v>849</c:v>
                </c:pt>
                <c:pt idx="801">
                  <c:v>469</c:v>
                </c:pt>
                <c:pt idx="802">
                  <c:v>994</c:v>
                </c:pt>
                <c:pt idx="803">
                  <c:v>468</c:v>
                </c:pt>
                <c:pt idx="804">
                  <c:v>786</c:v>
                </c:pt>
                <c:pt idx="805">
                  <c:v>762</c:v>
                </c:pt>
                <c:pt idx="806">
                  <c:v>640</c:v>
                </c:pt>
                <c:pt idx="807">
                  <c:v>640</c:v>
                </c:pt>
                <c:pt idx="808">
                  <c:v>224</c:v>
                </c:pt>
                <c:pt idx="809">
                  <c:v>641</c:v>
                </c:pt>
                <c:pt idx="810">
                  <c:v>668</c:v>
                </c:pt>
                <c:pt idx="811">
                  <c:v>396</c:v>
                </c:pt>
                <c:pt idx="812">
                  <c:v>438</c:v>
                </c:pt>
                <c:pt idx="813">
                  <c:v>951</c:v>
                </c:pt>
                <c:pt idx="814">
                  <c:v>1066</c:v>
                </c:pt>
                <c:pt idx="815">
                  <c:v>390</c:v>
                </c:pt>
                <c:pt idx="816">
                  <c:v>303</c:v>
                </c:pt>
                <c:pt idx="817">
                  <c:v>247</c:v>
                </c:pt>
                <c:pt idx="818">
                  <c:v>576</c:v>
                </c:pt>
                <c:pt idx="819">
                  <c:v>693</c:v>
                </c:pt>
                <c:pt idx="820">
                  <c:v>1095</c:v>
                </c:pt>
                <c:pt idx="821">
                  <c:v>482</c:v>
                </c:pt>
                <c:pt idx="822">
                  <c:v>980</c:v>
                </c:pt>
                <c:pt idx="823">
                  <c:v>1075</c:v>
                </c:pt>
                <c:pt idx="824">
                  <c:v>476</c:v>
                </c:pt>
                <c:pt idx="825">
                  <c:v>1122</c:v>
                </c:pt>
                <c:pt idx="826">
                  <c:v>641</c:v>
                </c:pt>
                <c:pt idx="827">
                  <c:v>820</c:v>
                </c:pt>
                <c:pt idx="828">
                  <c:v>789</c:v>
                </c:pt>
                <c:pt idx="829">
                  <c:v>985</c:v>
                </c:pt>
                <c:pt idx="830">
                  <c:v>928</c:v>
                </c:pt>
                <c:pt idx="831">
                  <c:v>301</c:v>
                </c:pt>
                <c:pt idx="832">
                  <c:v>70</c:v>
                </c:pt>
                <c:pt idx="833">
                  <c:v>654</c:v>
                </c:pt>
                <c:pt idx="834">
                  <c:v>584</c:v>
                </c:pt>
                <c:pt idx="835">
                  <c:v>396</c:v>
                </c:pt>
                <c:pt idx="836">
                  <c:v>238</c:v>
                </c:pt>
                <c:pt idx="837">
                  <c:v>629</c:v>
                </c:pt>
                <c:pt idx="838">
                  <c:v>662</c:v>
                </c:pt>
                <c:pt idx="839">
                  <c:v>80</c:v>
                </c:pt>
                <c:pt idx="840">
                  <c:v>401</c:v>
                </c:pt>
                <c:pt idx="841">
                  <c:v>588</c:v>
                </c:pt>
                <c:pt idx="842">
                  <c:v>935</c:v>
                </c:pt>
                <c:pt idx="843">
                  <c:v>796</c:v>
                </c:pt>
                <c:pt idx="844">
                  <c:v>964</c:v>
                </c:pt>
                <c:pt idx="845">
                  <c:v>312</c:v>
                </c:pt>
                <c:pt idx="846">
                  <c:v>977</c:v>
                </c:pt>
                <c:pt idx="847">
                  <c:v>747</c:v>
                </c:pt>
                <c:pt idx="848">
                  <c:v>581</c:v>
                </c:pt>
                <c:pt idx="849">
                  <c:v>389</c:v>
                </c:pt>
                <c:pt idx="850">
                  <c:v>330</c:v>
                </c:pt>
                <c:pt idx="851">
                  <c:v>1118</c:v>
                </c:pt>
                <c:pt idx="852">
                  <c:v>733</c:v>
                </c:pt>
                <c:pt idx="853">
                  <c:v>479</c:v>
                </c:pt>
                <c:pt idx="854">
                  <c:v>194</c:v>
                </c:pt>
                <c:pt idx="855">
                  <c:v>637</c:v>
                </c:pt>
                <c:pt idx="856">
                  <c:v>277</c:v>
                </c:pt>
                <c:pt idx="857">
                  <c:v>502</c:v>
                </c:pt>
                <c:pt idx="858">
                  <c:v>1066</c:v>
                </c:pt>
                <c:pt idx="859">
                  <c:v>810</c:v>
                </c:pt>
                <c:pt idx="860">
                  <c:v>968</c:v>
                </c:pt>
                <c:pt idx="861">
                  <c:v>270</c:v>
                </c:pt>
                <c:pt idx="862">
                  <c:v>451</c:v>
                </c:pt>
                <c:pt idx="863">
                  <c:v>512</c:v>
                </c:pt>
                <c:pt idx="864">
                  <c:v>685</c:v>
                </c:pt>
                <c:pt idx="865">
                  <c:v>1051</c:v>
                </c:pt>
                <c:pt idx="866">
                  <c:v>912</c:v>
                </c:pt>
                <c:pt idx="867">
                  <c:v>376</c:v>
                </c:pt>
                <c:pt idx="868">
                  <c:v>420</c:v>
                </c:pt>
                <c:pt idx="869">
                  <c:v>951</c:v>
                </c:pt>
                <c:pt idx="870">
                  <c:v>869</c:v>
                </c:pt>
                <c:pt idx="871">
                  <c:v>367</c:v>
                </c:pt>
                <c:pt idx="872">
                  <c:v>591</c:v>
                </c:pt>
                <c:pt idx="873">
                  <c:v>662</c:v>
                </c:pt>
                <c:pt idx="874">
                  <c:v>916</c:v>
                </c:pt>
                <c:pt idx="875">
                  <c:v>695</c:v>
                </c:pt>
                <c:pt idx="876">
                  <c:v>530</c:v>
                </c:pt>
                <c:pt idx="877">
                  <c:v>716</c:v>
                </c:pt>
                <c:pt idx="878">
                  <c:v>533</c:v>
                </c:pt>
                <c:pt idx="879">
                  <c:v>967</c:v>
                </c:pt>
                <c:pt idx="880">
                  <c:v>388</c:v>
                </c:pt>
                <c:pt idx="881">
                  <c:v>545</c:v>
                </c:pt>
                <c:pt idx="882">
                  <c:v>892</c:v>
                </c:pt>
                <c:pt idx="883">
                  <c:v>669</c:v>
                </c:pt>
                <c:pt idx="884">
                  <c:v>926</c:v>
                </c:pt>
                <c:pt idx="885">
                  <c:v>749</c:v>
                </c:pt>
                <c:pt idx="886">
                  <c:v>136</c:v>
                </c:pt>
                <c:pt idx="887">
                  <c:v>727</c:v>
                </c:pt>
                <c:pt idx="888">
                  <c:v>600</c:v>
                </c:pt>
                <c:pt idx="889">
                  <c:v>674</c:v>
                </c:pt>
                <c:pt idx="890">
                  <c:v>935</c:v>
                </c:pt>
                <c:pt idx="891">
                  <c:v>719</c:v>
                </c:pt>
                <c:pt idx="892">
                  <c:v>780</c:v>
                </c:pt>
                <c:pt idx="893">
                  <c:v>913</c:v>
                </c:pt>
                <c:pt idx="894">
                  <c:v>465</c:v>
                </c:pt>
                <c:pt idx="895">
                  <c:v>527</c:v>
                </c:pt>
                <c:pt idx="896">
                  <c:v>900</c:v>
                </c:pt>
                <c:pt idx="897">
                  <c:v>823</c:v>
                </c:pt>
                <c:pt idx="898">
                  <c:v>560</c:v>
                </c:pt>
                <c:pt idx="899">
                  <c:v>636</c:v>
                </c:pt>
                <c:pt idx="900">
                  <c:v>907</c:v>
                </c:pt>
                <c:pt idx="901">
                  <c:v>224</c:v>
                </c:pt>
                <c:pt idx="902">
                  <c:v>186</c:v>
                </c:pt>
                <c:pt idx="903">
                  <c:v>406</c:v>
                </c:pt>
                <c:pt idx="904">
                  <c:v>455</c:v>
                </c:pt>
                <c:pt idx="905">
                  <c:v>711</c:v>
                </c:pt>
                <c:pt idx="906">
                  <c:v>253</c:v>
                </c:pt>
                <c:pt idx="907">
                  <c:v>387</c:v>
                </c:pt>
                <c:pt idx="908">
                  <c:v>455</c:v>
                </c:pt>
                <c:pt idx="909">
                  <c:v>880</c:v>
                </c:pt>
                <c:pt idx="910">
                  <c:v>380</c:v>
                </c:pt>
                <c:pt idx="911">
                  <c:v>372</c:v>
                </c:pt>
                <c:pt idx="912">
                  <c:v>610</c:v>
                </c:pt>
                <c:pt idx="913">
                  <c:v>794</c:v>
                </c:pt>
                <c:pt idx="914">
                  <c:v>1130</c:v>
                </c:pt>
                <c:pt idx="915">
                  <c:v>861</c:v>
                </c:pt>
                <c:pt idx="916">
                  <c:v>1036</c:v>
                </c:pt>
                <c:pt idx="917">
                  <c:v>606</c:v>
                </c:pt>
                <c:pt idx="918">
                  <c:v>791</c:v>
                </c:pt>
                <c:pt idx="919">
                  <c:v>547</c:v>
                </c:pt>
                <c:pt idx="920">
                  <c:v>349</c:v>
                </c:pt>
                <c:pt idx="921">
                  <c:v>1149</c:v>
                </c:pt>
                <c:pt idx="922">
                  <c:v>898</c:v>
                </c:pt>
                <c:pt idx="923">
                  <c:v>522</c:v>
                </c:pt>
                <c:pt idx="924">
                  <c:v>411</c:v>
                </c:pt>
                <c:pt idx="925">
                  <c:v>334</c:v>
                </c:pt>
                <c:pt idx="926">
                  <c:v>463</c:v>
                </c:pt>
                <c:pt idx="927">
                  <c:v>579</c:v>
                </c:pt>
                <c:pt idx="928">
                  <c:v>881</c:v>
                </c:pt>
                <c:pt idx="929">
                  <c:v>496</c:v>
                </c:pt>
                <c:pt idx="930">
                  <c:v>450</c:v>
                </c:pt>
                <c:pt idx="931">
                  <c:v>821</c:v>
                </c:pt>
                <c:pt idx="932">
                  <c:v>827</c:v>
                </c:pt>
                <c:pt idx="933">
                  <c:v>1156</c:v>
                </c:pt>
                <c:pt idx="934">
                  <c:v>738</c:v>
                </c:pt>
                <c:pt idx="935">
                  <c:v>600</c:v>
                </c:pt>
                <c:pt idx="936">
                  <c:v>566</c:v>
                </c:pt>
                <c:pt idx="937">
                  <c:v>268</c:v>
                </c:pt>
                <c:pt idx="938">
                  <c:v>973</c:v>
                </c:pt>
                <c:pt idx="939">
                  <c:v>602</c:v>
                </c:pt>
                <c:pt idx="940">
                  <c:v>336</c:v>
                </c:pt>
                <c:pt idx="941">
                  <c:v>636</c:v>
                </c:pt>
                <c:pt idx="942">
                  <c:v>324</c:v>
                </c:pt>
                <c:pt idx="943">
                  <c:v>724</c:v>
                </c:pt>
                <c:pt idx="944">
                  <c:v>150</c:v>
                </c:pt>
                <c:pt idx="945">
                  <c:v>429</c:v>
                </c:pt>
                <c:pt idx="946">
                  <c:v>576</c:v>
                </c:pt>
                <c:pt idx="947">
                  <c:v>744</c:v>
                </c:pt>
                <c:pt idx="948">
                  <c:v>819</c:v>
                </c:pt>
                <c:pt idx="949">
                  <c:v>1029</c:v>
                </c:pt>
                <c:pt idx="950">
                  <c:v>403</c:v>
                </c:pt>
                <c:pt idx="951">
                  <c:v>515</c:v>
                </c:pt>
                <c:pt idx="952">
                  <c:v>557</c:v>
                </c:pt>
                <c:pt idx="953">
                  <c:v>607</c:v>
                </c:pt>
                <c:pt idx="954">
                  <c:v>1116</c:v>
                </c:pt>
                <c:pt idx="955">
                  <c:v>130</c:v>
                </c:pt>
                <c:pt idx="956">
                  <c:v>559</c:v>
                </c:pt>
                <c:pt idx="957">
                  <c:v>1088</c:v>
                </c:pt>
                <c:pt idx="958">
                  <c:v>360</c:v>
                </c:pt>
                <c:pt idx="959">
                  <c:v>740</c:v>
                </c:pt>
                <c:pt idx="960">
                  <c:v>521</c:v>
                </c:pt>
                <c:pt idx="961">
                  <c:v>1196</c:v>
                </c:pt>
                <c:pt idx="962">
                  <c:v>724</c:v>
                </c:pt>
                <c:pt idx="963">
                  <c:v>710</c:v>
                </c:pt>
                <c:pt idx="964">
                  <c:v>1156</c:v>
                </c:pt>
                <c:pt idx="965">
                  <c:v>243</c:v>
                </c:pt>
                <c:pt idx="966">
                  <c:v>630</c:v>
                </c:pt>
                <c:pt idx="967">
                  <c:v>666</c:v>
                </c:pt>
                <c:pt idx="968">
                  <c:v>59</c:v>
                </c:pt>
                <c:pt idx="969">
                  <c:v>804</c:v>
                </c:pt>
                <c:pt idx="970">
                  <c:v>596</c:v>
                </c:pt>
                <c:pt idx="971">
                  <c:v>320</c:v>
                </c:pt>
                <c:pt idx="972">
                  <c:v>565</c:v>
                </c:pt>
                <c:pt idx="973">
                  <c:v>96</c:v>
                </c:pt>
                <c:pt idx="974">
                  <c:v>575</c:v>
                </c:pt>
                <c:pt idx="975">
                  <c:v>968</c:v>
                </c:pt>
                <c:pt idx="976">
                  <c:v>582</c:v>
                </c:pt>
                <c:pt idx="977">
                  <c:v>1124</c:v>
                </c:pt>
                <c:pt idx="978">
                  <c:v>697</c:v>
                </c:pt>
                <c:pt idx="979">
                  <c:v>704</c:v>
                </c:pt>
                <c:pt idx="980">
                  <c:v>332</c:v>
                </c:pt>
                <c:pt idx="981">
                  <c:v>654</c:v>
                </c:pt>
                <c:pt idx="982">
                  <c:v>663</c:v>
                </c:pt>
                <c:pt idx="983">
                  <c:v>698</c:v>
                </c:pt>
                <c:pt idx="984">
                  <c:v>880</c:v>
                </c:pt>
                <c:pt idx="985">
                  <c:v>887</c:v>
                </c:pt>
                <c:pt idx="986">
                  <c:v>720</c:v>
                </c:pt>
                <c:pt idx="987">
                  <c:v>910</c:v>
                </c:pt>
                <c:pt idx="988">
                  <c:v>726</c:v>
                </c:pt>
                <c:pt idx="989">
                  <c:v>821</c:v>
                </c:pt>
                <c:pt idx="990">
                  <c:v>710</c:v>
                </c:pt>
                <c:pt idx="991">
                  <c:v>1036</c:v>
                </c:pt>
                <c:pt idx="992">
                  <c:v>648</c:v>
                </c:pt>
                <c:pt idx="993">
                  <c:v>783</c:v>
                </c:pt>
                <c:pt idx="994">
                  <c:v>668</c:v>
                </c:pt>
                <c:pt idx="995">
                  <c:v>570</c:v>
                </c:pt>
                <c:pt idx="996">
                  <c:v>433</c:v>
                </c:pt>
                <c:pt idx="997">
                  <c:v>614</c:v>
                </c:pt>
                <c:pt idx="998">
                  <c:v>511</c:v>
                </c:pt>
                <c:pt idx="999">
                  <c:v>891</c:v>
                </c:pt>
              </c:numCache>
            </c:numRef>
          </c:xVal>
          <c:yVal>
            <c:numRef>
              <c:f>BMW!$M$2:$M$1001</c:f>
              <c:numCache>
                <c:formatCode>General</c:formatCode>
                <c:ptCount val="1000"/>
                <c:pt idx="0">
                  <c:v>96</c:v>
                </c:pt>
                <c:pt idx="1">
                  <c:v>234</c:v>
                </c:pt>
                <c:pt idx="2">
                  <c:v>25</c:v>
                </c:pt>
                <c:pt idx="3">
                  <c:v>319</c:v>
                </c:pt>
                <c:pt idx="4">
                  <c:v>367</c:v>
                </c:pt>
                <c:pt idx="5">
                  <c:v>172</c:v>
                </c:pt>
                <c:pt idx="6">
                  <c:v>107</c:v>
                </c:pt>
                <c:pt idx="7">
                  <c:v>165</c:v>
                </c:pt>
                <c:pt idx="8">
                  <c:v>11</c:v>
                </c:pt>
                <c:pt idx="9">
                  <c:v>359</c:v>
                </c:pt>
                <c:pt idx="10">
                  <c:v>178</c:v>
                </c:pt>
                <c:pt idx="11">
                  <c:v>324</c:v>
                </c:pt>
                <c:pt idx="12">
                  <c:v>334</c:v>
                </c:pt>
                <c:pt idx="13">
                  <c:v>384</c:v>
                </c:pt>
                <c:pt idx="14">
                  <c:v>101</c:v>
                </c:pt>
                <c:pt idx="15">
                  <c:v>190</c:v>
                </c:pt>
                <c:pt idx="16">
                  <c:v>240</c:v>
                </c:pt>
                <c:pt idx="17">
                  <c:v>310</c:v>
                </c:pt>
                <c:pt idx="18">
                  <c:v>157</c:v>
                </c:pt>
                <c:pt idx="19">
                  <c:v>289</c:v>
                </c:pt>
                <c:pt idx="20">
                  <c:v>198</c:v>
                </c:pt>
                <c:pt idx="21">
                  <c:v>356</c:v>
                </c:pt>
                <c:pt idx="22">
                  <c:v>359</c:v>
                </c:pt>
                <c:pt idx="23">
                  <c:v>323</c:v>
                </c:pt>
                <c:pt idx="24">
                  <c:v>137</c:v>
                </c:pt>
                <c:pt idx="25">
                  <c:v>16</c:v>
                </c:pt>
                <c:pt idx="26">
                  <c:v>56</c:v>
                </c:pt>
                <c:pt idx="27">
                  <c:v>62</c:v>
                </c:pt>
                <c:pt idx="28">
                  <c:v>196</c:v>
                </c:pt>
                <c:pt idx="29">
                  <c:v>47</c:v>
                </c:pt>
                <c:pt idx="30">
                  <c:v>235</c:v>
                </c:pt>
                <c:pt idx="31">
                  <c:v>62</c:v>
                </c:pt>
                <c:pt idx="32">
                  <c:v>233</c:v>
                </c:pt>
                <c:pt idx="33">
                  <c:v>163</c:v>
                </c:pt>
                <c:pt idx="34">
                  <c:v>57</c:v>
                </c:pt>
                <c:pt idx="35">
                  <c:v>360</c:v>
                </c:pt>
                <c:pt idx="36">
                  <c:v>156</c:v>
                </c:pt>
                <c:pt idx="37">
                  <c:v>73</c:v>
                </c:pt>
                <c:pt idx="38">
                  <c:v>358</c:v>
                </c:pt>
                <c:pt idx="39">
                  <c:v>191</c:v>
                </c:pt>
                <c:pt idx="40">
                  <c:v>134</c:v>
                </c:pt>
                <c:pt idx="41">
                  <c:v>188</c:v>
                </c:pt>
                <c:pt idx="42">
                  <c:v>48</c:v>
                </c:pt>
                <c:pt idx="43">
                  <c:v>269</c:v>
                </c:pt>
                <c:pt idx="44">
                  <c:v>391</c:v>
                </c:pt>
                <c:pt idx="45">
                  <c:v>12</c:v>
                </c:pt>
                <c:pt idx="46">
                  <c:v>73</c:v>
                </c:pt>
                <c:pt idx="47">
                  <c:v>38</c:v>
                </c:pt>
                <c:pt idx="48">
                  <c:v>381</c:v>
                </c:pt>
                <c:pt idx="49">
                  <c:v>20</c:v>
                </c:pt>
                <c:pt idx="50">
                  <c:v>106</c:v>
                </c:pt>
                <c:pt idx="51">
                  <c:v>367</c:v>
                </c:pt>
                <c:pt idx="52">
                  <c:v>212</c:v>
                </c:pt>
                <c:pt idx="53">
                  <c:v>30</c:v>
                </c:pt>
                <c:pt idx="54">
                  <c:v>48</c:v>
                </c:pt>
                <c:pt idx="55">
                  <c:v>232</c:v>
                </c:pt>
                <c:pt idx="56">
                  <c:v>111</c:v>
                </c:pt>
                <c:pt idx="57">
                  <c:v>55</c:v>
                </c:pt>
                <c:pt idx="58">
                  <c:v>75</c:v>
                </c:pt>
                <c:pt idx="59">
                  <c:v>100</c:v>
                </c:pt>
                <c:pt idx="60">
                  <c:v>173</c:v>
                </c:pt>
                <c:pt idx="61">
                  <c:v>120</c:v>
                </c:pt>
                <c:pt idx="62">
                  <c:v>347</c:v>
                </c:pt>
                <c:pt idx="63">
                  <c:v>132</c:v>
                </c:pt>
                <c:pt idx="64">
                  <c:v>202</c:v>
                </c:pt>
                <c:pt idx="65">
                  <c:v>108</c:v>
                </c:pt>
                <c:pt idx="66">
                  <c:v>300</c:v>
                </c:pt>
                <c:pt idx="67">
                  <c:v>168</c:v>
                </c:pt>
                <c:pt idx="68">
                  <c:v>112</c:v>
                </c:pt>
                <c:pt idx="69">
                  <c:v>394</c:v>
                </c:pt>
                <c:pt idx="70">
                  <c:v>290</c:v>
                </c:pt>
                <c:pt idx="71">
                  <c:v>52</c:v>
                </c:pt>
                <c:pt idx="72">
                  <c:v>93</c:v>
                </c:pt>
                <c:pt idx="73">
                  <c:v>200</c:v>
                </c:pt>
                <c:pt idx="74">
                  <c:v>60</c:v>
                </c:pt>
                <c:pt idx="75">
                  <c:v>395</c:v>
                </c:pt>
                <c:pt idx="76">
                  <c:v>219</c:v>
                </c:pt>
                <c:pt idx="77">
                  <c:v>135</c:v>
                </c:pt>
                <c:pt idx="78">
                  <c:v>78</c:v>
                </c:pt>
                <c:pt idx="79">
                  <c:v>274</c:v>
                </c:pt>
                <c:pt idx="80">
                  <c:v>267</c:v>
                </c:pt>
                <c:pt idx="81">
                  <c:v>197</c:v>
                </c:pt>
                <c:pt idx="82">
                  <c:v>239</c:v>
                </c:pt>
                <c:pt idx="83">
                  <c:v>198</c:v>
                </c:pt>
                <c:pt idx="84">
                  <c:v>19</c:v>
                </c:pt>
                <c:pt idx="85">
                  <c:v>123</c:v>
                </c:pt>
                <c:pt idx="86">
                  <c:v>85</c:v>
                </c:pt>
                <c:pt idx="87">
                  <c:v>173</c:v>
                </c:pt>
                <c:pt idx="88">
                  <c:v>94</c:v>
                </c:pt>
                <c:pt idx="89">
                  <c:v>58</c:v>
                </c:pt>
                <c:pt idx="90">
                  <c:v>335</c:v>
                </c:pt>
                <c:pt idx="91">
                  <c:v>186</c:v>
                </c:pt>
                <c:pt idx="92">
                  <c:v>396</c:v>
                </c:pt>
                <c:pt idx="93">
                  <c:v>398</c:v>
                </c:pt>
                <c:pt idx="94">
                  <c:v>227</c:v>
                </c:pt>
                <c:pt idx="95">
                  <c:v>198</c:v>
                </c:pt>
                <c:pt idx="96">
                  <c:v>355</c:v>
                </c:pt>
                <c:pt idx="97">
                  <c:v>239</c:v>
                </c:pt>
                <c:pt idx="98">
                  <c:v>264</c:v>
                </c:pt>
                <c:pt idx="99">
                  <c:v>245</c:v>
                </c:pt>
                <c:pt idx="100">
                  <c:v>35</c:v>
                </c:pt>
                <c:pt idx="101">
                  <c:v>81</c:v>
                </c:pt>
                <c:pt idx="102">
                  <c:v>270</c:v>
                </c:pt>
                <c:pt idx="103">
                  <c:v>263</c:v>
                </c:pt>
                <c:pt idx="104">
                  <c:v>280</c:v>
                </c:pt>
                <c:pt idx="105">
                  <c:v>132</c:v>
                </c:pt>
                <c:pt idx="106">
                  <c:v>153</c:v>
                </c:pt>
                <c:pt idx="107">
                  <c:v>266</c:v>
                </c:pt>
                <c:pt idx="108">
                  <c:v>153</c:v>
                </c:pt>
                <c:pt idx="109">
                  <c:v>268</c:v>
                </c:pt>
                <c:pt idx="110">
                  <c:v>56</c:v>
                </c:pt>
                <c:pt idx="111">
                  <c:v>360</c:v>
                </c:pt>
                <c:pt idx="112">
                  <c:v>22</c:v>
                </c:pt>
                <c:pt idx="113">
                  <c:v>385</c:v>
                </c:pt>
                <c:pt idx="114">
                  <c:v>217</c:v>
                </c:pt>
                <c:pt idx="115">
                  <c:v>320</c:v>
                </c:pt>
                <c:pt idx="116">
                  <c:v>244</c:v>
                </c:pt>
                <c:pt idx="117">
                  <c:v>158</c:v>
                </c:pt>
                <c:pt idx="118">
                  <c:v>331</c:v>
                </c:pt>
                <c:pt idx="119">
                  <c:v>164</c:v>
                </c:pt>
                <c:pt idx="120">
                  <c:v>175</c:v>
                </c:pt>
                <c:pt idx="121">
                  <c:v>99</c:v>
                </c:pt>
                <c:pt idx="122">
                  <c:v>195</c:v>
                </c:pt>
                <c:pt idx="123">
                  <c:v>327</c:v>
                </c:pt>
                <c:pt idx="124">
                  <c:v>367</c:v>
                </c:pt>
                <c:pt idx="125">
                  <c:v>183</c:v>
                </c:pt>
                <c:pt idx="126">
                  <c:v>226</c:v>
                </c:pt>
                <c:pt idx="127">
                  <c:v>273</c:v>
                </c:pt>
                <c:pt idx="128">
                  <c:v>106</c:v>
                </c:pt>
                <c:pt idx="129">
                  <c:v>126</c:v>
                </c:pt>
                <c:pt idx="130">
                  <c:v>208</c:v>
                </c:pt>
                <c:pt idx="131">
                  <c:v>329</c:v>
                </c:pt>
                <c:pt idx="132">
                  <c:v>30</c:v>
                </c:pt>
                <c:pt idx="133">
                  <c:v>209</c:v>
                </c:pt>
                <c:pt idx="134">
                  <c:v>380</c:v>
                </c:pt>
                <c:pt idx="135">
                  <c:v>350</c:v>
                </c:pt>
                <c:pt idx="136">
                  <c:v>257</c:v>
                </c:pt>
                <c:pt idx="137">
                  <c:v>285</c:v>
                </c:pt>
                <c:pt idx="138">
                  <c:v>273</c:v>
                </c:pt>
                <c:pt idx="139">
                  <c:v>67</c:v>
                </c:pt>
                <c:pt idx="140">
                  <c:v>311</c:v>
                </c:pt>
                <c:pt idx="141">
                  <c:v>40</c:v>
                </c:pt>
                <c:pt idx="142">
                  <c:v>258</c:v>
                </c:pt>
                <c:pt idx="143">
                  <c:v>102</c:v>
                </c:pt>
                <c:pt idx="144">
                  <c:v>274</c:v>
                </c:pt>
                <c:pt idx="145">
                  <c:v>280</c:v>
                </c:pt>
                <c:pt idx="146">
                  <c:v>103</c:v>
                </c:pt>
                <c:pt idx="147">
                  <c:v>163</c:v>
                </c:pt>
                <c:pt idx="148">
                  <c:v>294</c:v>
                </c:pt>
                <c:pt idx="149">
                  <c:v>89</c:v>
                </c:pt>
                <c:pt idx="150">
                  <c:v>301</c:v>
                </c:pt>
                <c:pt idx="151">
                  <c:v>93</c:v>
                </c:pt>
                <c:pt idx="152">
                  <c:v>374</c:v>
                </c:pt>
                <c:pt idx="153">
                  <c:v>383</c:v>
                </c:pt>
                <c:pt idx="154">
                  <c:v>46</c:v>
                </c:pt>
                <c:pt idx="155">
                  <c:v>351</c:v>
                </c:pt>
                <c:pt idx="156">
                  <c:v>336</c:v>
                </c:pt>
                <c:pt idx="157">
                  <c:v>241</c:v>
                </c:pt>
                <c:pt idx="158">
                  <c:v>102</c:v>
                </c:pt>
                <c:pt idx="159">
                  <c:v>345</c:v>
                </c:pt>
                <c:pt idx="160">
                  <c:v>111</c:v>
                </c:pt>
                <c:pt idx="161">
                  <c:v>175</c:v>
                </c:pt>
                <c:pt idx="162">
                  <c:v>168</c:v>
                </c:pt>
                <c:pt idx="163">
                  <c:v>23</c:v>
                </c:pt>
                <c:pt idx="164">
                  <c:v>382</c:v>
                </c:pt>
                <c:pt idx="165">
                  <c:v>234</c:v>
                </c:pt>
                <c:pt idx="166">
                  <c:v>82</c:v>
                </c:pt>
                <c:pt idx="167">
                  <c:v>258</c:v>
                </c:pt>
                <c:pt idx="168">
                  <c:v>100</c:v>
                </c:pt>
                <c:pt idx="169">
                  <c:v>225</c:v>
                </c:pt>
                <c:pt idx="170">
                  <c:v>99</c:v>
                </c:pt>
                <c:pt idx="171">
                  <c:v>38</c:v>
                </c:pt>
                <c:pt idx="172">
                  <c:v>314</c:v>
                </c:pt>
                <c:pt idx="173">
                  <c:v>229</c:v>
                </c:pt>
                <c:pt idx="174">
                  <c:v>337</c:v>
                </c:pt>
                <c:pt idx="175">
                  <c:v>224</c:v>
                </c:pt>
                <c:pt idx="176">
                  <c:v>230</c:v>
                </c:pt>
                <c:pt idx="177">
                  <c:v>398</c:v>
                </c:pt>
                <c:pt idx="178">
                  <c:v>51</c:v>
                </c:pt>
                <c:pt idx="179">
                  <c:v>144</c:v>
                </c:pt>
                <c:pt idx="180">
                  <c:v>51</c:v>
                </c:pt>
                <c:pt idx="181">
                  <c:v>173</c:v>
                </c:pt>
                <c:pt idx="182">
                  <c:v>370</c:v>
                </c:pt>
                <c:pt idx="183">
                  <c:v>292</c:v>
                </c:pt>
                <c:pt idx="184">
                  <c:v>67</c:v>
                </c:pt>
                <c:pt idx="185">
                  <c:v>311</c:v>
                </c:pt>
                <c:pt idx="186">
                  <c:v>331</c:v>
                </c:pt>
                <c:pt idx="187">
                  <c:v>34</c:v>
                </c:pt>
                <c:pt idx="188">
                  <c:v>82</c:v>
                </c:pt>
                <c:pt idx="189">
                  <c:v>382</c:v>
                </c:pt>
                <c:pt idx="190">
                  <c:v>138</c:v>
                </c:pt>
                <c:pt idx="191">
                  <c:v>96</c:v>
                </c:pt>
                <c:pt idx="192">
                  <c:v>339</c:v>
                </c:pt>
                <c:pt idx="193">
                  <c:v>162</c:v>
                </c:pt>
                <c:pt idx="194">
                  <c:v>191</c:v>
                </c:pt>
                <c:pt idx="195">
                  <c:v>134</c:v>
                </c:pt>
                <c:pt idx="196">
                  <c:v>76</c:v>
                </c:pt>
                <c:pt idx="197">
                  <c:v>15</c:v>
                </c:pt>
                <c:pt idx="198">
                  <c:v>134</c:v>
                </c:pt>
                <c:pt idx="199">
                  <c:v>323</c:v>
                </c:pt>
                <c:pt idx="200">
                  <c:v>335</c:v>
                </c:pt>
                <c:pt idx="201">
                  <c:v>62</c:v>
                </c:pt>
                <c:pt idx="202">
                  <c:v>75</c:v>
                </c:pt>
                <c:pt idx="203">
                  <c:v>323</c:v>
                </c:pt>
                <c:pt idx="204">
                  <c:v>91</c:v>
                </c:pt>
                <c:pt idx="205">
                  <c:v>96</c:v>
                </c:pt>
                <c:pt idx="206">
                  <c:v>11</c:v>
                </c:pt>
                <c:pt idx="207">
                  <c:v>213</c:v>
                </c:pt>
                <c:pt idx="208">
                  <c:v>159</c:v>
                </c:pt>
                <c:pt idx="209">
                  <c:v>302</c:v>
                </c:pt>
                <c:pt idx="210">
                  <c:v>112</c:v>
                </c:pt>
                <c:pt idx="211">
                  <c:v>33</c:v>
                </c:pt>
                <c:pt idx="212">
                  <c:v>377</c:v>
                </c:pt>
                <c:pt idx="213">
                  <c:v>221</c:v>
                </c:pt>
                <c:pt idx="214">
                  <c:v>74</c:v>
                </c:pt>
                <c:pt idx="215">
                  <c:v>218</c:v>
                </c:pt>
                <c:pt idx="216">
                  <c:v>260</c:v>
                </c:pt>
                <c:pt idx="217">
                  <c:v>394</c:v>
                </c:pt>
                <c:pt idx="218">
                  <c:v>126</c:v>
                </c:pt>
                <c:pt idx="219">
                  <c:v>125</c:v>
                </c:pt>
                <c:pt idx="220">
                  <c:v>246</c:v>
                </c:pt>
                <c:pt idx="221">
                  <c:v>114</c:v>
                </c:pt>
                <c:pt idx="222">
                  <c:v>268</c:v>
                </c:pt>
                <c:pt idx="223">
                  <c:v>55</c:v>
                </c:pt>
                <c:pt idx="224">
                  <c:v>320</c:v>
                </c:pt>
                <c:pt idx="225">
                  <c:v>340</c:v>
                </c:pt>
                <c:pt idx="226">
                  <c:v>225</c:v>
                </c:pt>
                <c:pt idx="227">
                  <c:v>310</c:v>
                </c:pt>
                <c:pt idx="228">
                  <c:v>342</c:v>
                </c:pt>
                <c:pt idx="229">
                  <c:v>33</c:v>
                </c:pt>
                <c:pt idx="230">
                  <c:v>44</c:v>
                </c:pt>
                <c:pt idx="231">
                  <c:v>33</c:v>
                </c:pt>
                <c:pt idx="232">
                  <c:v>37</c:v>
                </c:pt>
                <c:pt idx="233">
                  <c:v>25</c:v>
                </c:pt>
                <c:pt idx="234">
                  <c:v>68</c:v>
                </c:pt>
                <c:pt idx="235">
                  <c:v>252</c:v>
                </c:pt>
                <c:pt idx="236">
                  <c:v>216</c:v>
                </c:pt>
                <c:pt idx="237">
                  <c:v>280</c:v>
                </c:pt>
                <c:pt idx="238">
                  <c:v>258</c:v>
                </c:pt>
                <c:pt idx="239">
                  <c:v>276</c:v>
                </c:pt>
                <c:pt idx="240">
                  <c:v>202</c:v>
                </c:pt>
                <c:pt idx="241">
                  <c:v>344</c:v>
                </c:pt>
                <c:pt idx="242">
                  <c:v>227</c:v>
                </c:pt>
                <c:pt idx="243">
                  <c:v>124</c:v>
                </c:pt>
                <c:pt idx="244">
                  <c:v>77</c:v>
                </c:pt>
                <c:pt idx="245">
                  <c:v>308</c:v>
                </c:pt>
                <c:pt idx="246">
                  <c:v>334</c:v>
                </c:pt>
                <c:pt idx="247">
                  <c:v>84</c:v>
                </c:pt>
                <c:pt idx="248">
                  <c:v>112</c:v>
                </c:pt>
                <c:pt idx="249">
                  <c:v>306</c:v>
                </c:pt>
                <c:pt idx="250">
                  <c:v>187</c:v>
                </c:pt>
                <c:pt idx="251">
                  <c:v>224</c:v>
                </c:pt>
                <c:pt idx="252">
                  <c:v>324</c:v>
                </c:pt>
                <c:pt idx="253">
                  <c:v>48</c:v>
                </c:pt>
                <c:pt idx="254">
                  <c:v>268</c:v>
                </c:pt>
                <c:pt idx="255">
                  <c:v>213</c:v>
                </c:pt>
                <c:pt idx="256">
                  <c:v>16</c:v>
                </c:pt>
                <c:pt idx="257">
                  <c:v>58</c:v>
                </c:pt>
                <c:pt idx="258">
                  <c:v>35</c:v>
                </c:pt>
                <c:pt idx="259">
                  <c:v>170</c:v>
                </c:pt>
                <c:pt idx="260">
                  <c:v>366</c:v>
                </c:pt>
                <c:pt idx="261">
                  <c:v>185</c:v>
                </c:pt>
                <c:pt idx="262">
                  <c:v>88</c:v>
                </c:pt>
                <c:pt idx="263">
                  <c:v>11</c:v>
                </c:pt>
                <c:pt idx="264">
                  <c:v>392</c:v>
                </c:pt>
                <c:pt idx="265">
                  <c:v>141</c:v>
                </c:pt>
                <c:pt idx="266">
                  <c:v>285</c:v>
                </c:pt>
                <c:pt idx="267">
                  <c:v>126</c:v>
                </c:pt>
                <c:pt idx="268">
                  <c:v>173</c:v>
                </c:pt>
                <c:pt idx="269">
                  <c:v>297</c:v>
                </c:pt>
                <c:pt idx="270">
                  <c:v>37</c:v>
                </c:pt>
                <c:pt idx="271">
                  <c:v>342</c:v>
                </c:pt>
                <c:pt idx="272">
                  <c:v>10</c:v>
                </c:pt>
                <c:pt idx="273">
                  <c:v>197</c:v>
                </c:pt>
                <c:pt idx="274">
                  <c:v>65</c:v>
                </c:pt>
                <c:pt idx="275">
                  <c:v>44</c:v>
                </c:pt>
                <c:pt idx="276">
                  <c:v>121</c:v>
                </c:pt>
                <c:pt idx="277">
                  <c:v>295</c:v>
                </c:pt>
                <c:pt idx="278">
                  <c:v>319</c:v>
                </c:pt>
                <c:pt idx="279">
                  <c:v>45</c:v>
                </c:pt>
                <c:pt idx="280">
                  <c:v>226</c:v>
                </c:pt>
                <c:pt idx="281">
                  <c:v>89</c:v>
                </c:pt>
                <c:pt idx="282">
                  <c:v>323</c:v>
                </c:pt>
                <c:pt idx="283">
                  <c:v>92</c:v>
                </c:pt>
                <c:pt idx="284">
                  <c:v>74</c:v>
                </c:pt>
                <c:pt idx="285">
                  <c:v>334</c:v>
                </c:pt>
                <c:pt idx="286">
                  <c:v>137</c:v>
                </c:pt>
                <c:pt idx="287">
                  <c:v>316</c:v>
                </c:pt>
                <c:pt idx="288">
                  <c:v>31</c:v>
                </c:pt>
                <c:pt idx="289">
                  <c:v>225</c:v>
                </c:pt>
                <c:pt idx="290">
                  <c:v>116</c:v>
                </c:pt>
                <c:pt idx="291">
                  <c:v>118</c:v>
                </c:pt>
                <c:pt idx="292">
                  <c:v>381</c:v>
                </c:pt>
                <c:pt idx="293">
                  <c:v>366</c:v>
                </c:pt>
                <c:pt idx="294">
                  <c:v>190</c:v>
                </c:pt>
                <c:pt idx="295">
                  <c:v>365</c:v>
                </c:pt>
                <c:pt idx="296">
                  <c:v>173</c:v>
                </c:pt>
                <c:pt idx="297">
                  <c:v>77</c:v>
                </c:pt>
                <c:pt idx="298">
                  <c:v>301</c:v>
                </c:pt>
                <c:pt idx="299">
                  <c:v>189</c:v>
                </c:pt>
                <c:pt idx="300">
                  <c:v>190</c:v>
                </c:pt>
                <c:pt idx="301">
                  <c:v>178</c:v>
                </c:pt>
                <c:pt idx="302">
                  <c:v>31</c:v>
                </c:pt>
                <c:pt idx="303">
                  <c:v>75</c:v>
                </c:pt>
                <c:pt idx="304">
                  <c:v>30</c:v>
                </c:pt>
                <c:pt idx="305">
                  <c:v>109</c:v>
                </c:pt>
                <c:pt idx="306">
                  <c:v>393</c:v>
                </c:pt>
                <c:pt idx="307">
                  <c:v>309</c:v>
                </c:pt>
                <c:pt idx="308">
                  <c:v>112</c:v>
                </c:pt>
                <c:pt idx="309">
                  <c:v>56</c:v>
                </c:pt>
                <c:pt idx="310">
                  <c:v>48</c:v>
                </c:pt>
                <c:pt idx="311">
                  <c:v>294</c:v>
                </c:pt>
                <c:pt idx="312">
                  <c:v>319</c:v>
                </c:pt>
                <c:pt idx="313">
                  <c:v>99</c:v>
                </c:pt>
                <c:pt idx="314">
                  <c:v>94</c:v>
                </c:pt>
                <c:pt idx="315">
                  <c:v>282</c:v>
                </c:pt>
                <c:pt idx="316">
                  <c:v>345</c:v>
                </c:pt>
                <c:pt idx="317">
                  <c:v>197</c:v>
                </c:pt>
                <c:pt idx="318">
                  <c:v>168</c:v>
                </c:pt>
                <c:pt idx="319">
                  <c:v>252</c:v>
                </c:pt>
                <c:pt idx="320">
                  <c:v>82</c:v>
                </c:pt>
                <c:pt idx="321">
                  <c:v>58</c:v>
                </c:pt>
                <c:pt idx="322">
                  <c:v>110</c:v>
                </c:pt>
                <c:pt idx="323">
                  <c:v>11</c:v>
                </c:pt>
                <c:pt idx="324">
                  <c:v>253</c:v>
                </c:pt>
                <c:pt idx="325">
                  <c:v>185</c:v>
                </c:pt>
                <c:pt idx="326">
                  <c:v>247</c:v>
                </c:pt>
                <c:pt idx="327">
                  <c:v>68</c:v>
                </c:pt>
                <c:pt idx="328">
                  <c:v>362</c:v>
                </c:pt>
                <c:pt idx="329">
                  <c:v>108</c:v>
                </c:pt>
                <c:pt idx="330">
                  <c:v>368</c:v>
                </c:pt>
                <c:pt idx="331">
                  <c:v>11</c:v>
                </c:pt>
                <c:pt idx="332">
                  <c:v>252</c:v>
                </c:pt>
                <c:pt idx="333">
                  <c:v>306</c:v>
                </c:pt>
                <c:pt idx="334">
                  <c:v>220</c:v>
                </c:pt>
                <c:pt idx="335">
                  <c:v>132</c:v>
                </c:pt>
                <c:pt idx="336">
                  <c:v>238</c:v>
                </c:pt>
                <c:pt idx="337">
                  <c:v>91</c:v>
                </c:pt>
                <c:pt idx="338">
                  <c:v>153</c:v>
                </c:pt>
                <c:pt idx="339">
                  <c:v>397</c:v>
                </c:pt>
                <c:pt idx="340">
                  <c:v>149</c:v>
                </c:pt>
                <c:pt idx="341">
                  <c:v>38</c:v>
                </c:pt>
                <c:pt idx="342">
                  <c:v>279</c:v>
                </c:pt>
                <c:pt idx="343">
                  <c:v>256</c:v>
                </c:pt>
                <c:pt idx="344">
                  <c:v>21</c:v>
                </c:pt>
                <c:pt idx="345">
                  <c:v>364</c:v>
                </c:pt>
                <c:pt idx="346">
                  <c:v>398</c:v>
                </c:pt>
                <c:pt idx="347">
                  <c:v>346</c:v>
                </c:pt>
                <c:pt idx="348">
                  <c:v>115</c:v>
                </c:pt>
                <c:pt idx="349">
                  <c:v>41</c:v>
                </c:pt>
                <c:pt idx="350">
                  <c:v>83</c:v>
                </c:pt>
                <c:pt idx="351">
                  <c:v>180</c:v>
                </c:pt>
                <c:pt idx="352">
                  <c:v>346</c:v>
                </c:pt>
                <c:pt idx="353">
                  <c:v>78</c:v>
                </c:pt>
                <c:pt idx="354">
                  <c:v>310</c:v>
                </c:pt>
                <c:pt idx="355">
                  <c:v>371</c:v>
                </c:pt>
                <c:pt idx="356">
                  <c:v>146</c:v>
                </c:pt>
                <c:pt idx="357">
                  <c:v>109</c:v>
                </c:pt>
                <c:pt idx="358">
                  <c:v>155</c:v>
                </c:pt>
                <c:pt idx="359">
                  <c:v>18</c:v>
                </c:pt>
                <c:pt idx="360">
                  <c:v>71</c:v>
                </c:pt>
                <c:pt idx="361">
                  <c:v>194</c:v>
                </c:pt>
                <c:pt idx="362">
                  <c:v>38</c:v>
                </c:pt>
                <c:pt idx="363">
                  <c:v>390</c:v>
                </c:pt>
                <c:pt idx="364">
                  <c:v>123</c:v>
                </c:pt>
                <c:pt idx="365">
                  <c:v>152</c:v>
                </c:pt>
                <c:pt idx="366">
                  <c:v>399</c:v>
                </c:pt>
                <c:pt idx="367">
                  <c:v>129</c:v>
                </c:pt>
                <c:pt idx="368">
                  <c:v>179</c:v>
                </c:pt>
                <c:pt idx="369">
                  <c:v>166</c:v>
                </c:pt>
                <c:pt idx="370">
                  <c:v>344</c:v>
                </c:pt>
                <c:pt idx="371">
                  <c:v>358</c:v>
                </c:pt>
                <c:pt idx="372">
                  <c:v>269</c:v>
                </c:pt>
                <c:pt idx="373">
                  <c:v>91</c:v>
                </c:pt>
                <c:pt idx="374">
                  <c:v>251</c:v>
                </c:pt>
                <c:pt idx="375">
                  <c:v>181</c:v>
                </c:pt>
                <c:pt idx="376">
                  <c:v>240</c:v>
                </c:pt>
                <c:pt idx="377">
                  <c:v>217</c:v>
                </c:pt>
                <c:pt idx="378">
                  <c:v>84</c:v>
                </c:pt>
                <c:pt idx="379">
                  <c:v>279</c:v>
                </c:pt>
                <c:pt idx="380">
                  <c:v>396</c:v>
                </c:pt>
                <c:pt idx="381">
                  <c:v>123</c:v>
                </c:pt>
                <c:pt idx="382">
                  <c:v>71</c:v>
                </c:pt>
                <c:pt idx="383">
                  <c:v>371</c:v>
                </c:pt>
                <c:pt idx="384">
                  <c:v>329</c:v>
                </c:pt>
                <c:pt idx="385">
                  <c:v>111</c:v>
                </c:pt>
                <c:pt idx="386">
                  <c:v>371</c:v>
                </c:pt>
                <c:pt idx="387">
                  <c:v>219</c:v>
                </c:pt>
                <c:pt idx="388">
                  <c:v>264</c:v>
                </c:pt>
                <c:pt idx="389">
                  <c:v>29</c:v>
                </c:pt>
                <c:pt idx="390">
                  <c:v>67</c:v>
                </c:pt>
                <c:pt idx="391">
                  <c:v>121</c:v>
                </c:pt>
                <c:pt idx="392">
                  <c:v>322</c:v>
                </c:pt>
                <c:pt idx="393">
                  <c:v>205</c:v>
                </c:pt>
                <c:pt idx="394">
                  <c:v>384</c:v>
                </c:pt>
                <c:pt idx="395">
                  <c:v>362</c:v>
                </c:pt>
                <c:pt idx="396">
                  <c:v>101</c:v>
                </c:pt>
                <c:pt idx="397">
                  <c:v>61</c:v>
                </c:pt>
                <c:pt idx="398">
                  <c:v>302</c:v>
                </c:pt>
                <c:pt idx="399">
                  <c:v>17</c:v>
                </c:pt>
                <c:pt idx="400">
                  <c:v>309</c:v>
                </c:pt>
                <c:pt idx="401">
                  <c:v>107</c:v>
                </c:pt>
                <c:pt idx="402">
                  <c:v>245</c:v>
                </c:pt>
                <c:pt idx="403">
                  <c:v>398</c:v>
                </c:pt>
                <c:pt idx="404">
                  <c:v>383</c:v>
                </c:pt>
                <c:pt idx="405">
                  <c:v>78</c:v>
                </c:pt>
                <c:pt idx="406">
                  <c:v>54</c:v>
                </c:pt>
                <c:pt idx="407">
                  <c:v>146</c:v>
                </c:pt>
                <c:pt idx="408">
                  <c:v>243</c:v>
                </c:pt>
                <c:pt idx="409">
                  <c:v>41</c:v>
                </c:pt>
                <c:pt idx="410">
                  <c:v>298</c:v>
                </c:pt>
                <c:pt idx="411">
                  <c:v>135</c:v>
                </c:pt>
                <c:pt idx="412">
                  <c:v>76</c:v>
                </c:pt>
                <c:pt idx="413">
                  <c:v>39</c:v>
                </c:pt>
                <c:pt idx="414">
                  <c:v>123</c:v>
                </c:pt>
                <c:pt idx="415">
                  <c:v>213</c:v>
                </c:pt>
                <c:pt idx="416">
                  <c:v>38</c:v>
                </c:pt>
                <c:pt idx="417">
                  <c:v>140</c:v>
                </c:pt>
                <c:pt idx="418">
                  <c:v>194</c:v>
                </c:pt>
                <c:pt idx="419">
                  <c:v>262</c:v>
                </c:pt>
                <c:pt idx="420">
                  <c:v>295</c:v>
                </c:pt>
                <c:pt idx="421">
                  <c:v>395</c:v>
                </c:pt>
                <c:pt idx="422">
                  <c:v>71</c:v>
                </c:pt>
                <c:pt idx="423">
                  <c:v>12</c:v>
                </c:pt>
                <c:pt idx="424">
                  <c:v>77</c:v>
                </c:pt>
                <c:pt idx="425">
                  <c:v>34</c:v>
                </c:pt>
                <c:pt idx="426">
                  <c:v>188</c:v>
                </c:pt>
                <c:pt idx="427">
                  <c:v>150</c:v>
                </c:pt>
                <c:pt idx="428">
                  <c:v>240</c:v>
                </c:pt>
                <c:pt idx="429">
                  <c:v>309</c:v>
                </c:pt>
                <c:pt idx="430">
                  <c:v>172</c:v>
                </c:pt>
                <c:pt idx="431">
                  <c:v>320</c:v>
                </c:pt>
                <c:pt idx="432">
                  <c:v>139</c:v>
                </c:pt>
                <c:pt idx="433">
                  <c:v>255</c:v>
                </c:pt>
                <c:pt idx="434">
                  <c:v>306</c:v>
                </c:pt>
                <c:pt idx="435">
                  <c:v>181</c:v>
                </c:pt>
                <c:pt idx="436">
                  <c:v>73</c:v>
                </c:pt>
                <c:pt idx="437">
                  <c:v>40</c:v>
                </c:pt>
                <c:pt idx="438">
                  <c:v>56</c:v>
                </c:pt>
                <c:pt idx="439">
                  <c:v>139</c:v>
                </c:pt>
                <c:pt idx="440">
                  <c:v>361</c:v>
                </c:pt>
                <c:pt idx="441">
                  <c:v>342</c:v>
                </c:pt>
                <c:pt idx="442">
                  <c:v>119</c:v>
                </c:pt>
                <c:pt idx="443">
                  <c:v>78</c:v>
                </c:pt>
                <c:pt idx="444">
                  <c:v>67</c:v>
                </c:pt>
                <c:pt idx="445">
                  <c:v>115</c:v>
                </c:pt>
                <c:pt idx="446">
                  <c:v>309</c:v>
                </c:pt>
                <c:pt idx="447">
                  <c:v>339</c:v>
                </c:pt>
                <c:pt idx="448">
                  <c:v>265</c:v>
                </c:pt>
                <c:pt idx="449">
                  <c:v>321</c:v>
                </c:pt>
                <c:pt idx="450">
                  <c:v>180</c:v>
                </c:pt>
                <c:pt idx="451">
                  <c:v>392</c:v>
                </c:pt>
                <c:pt idx="452">
                  <c:v>171</c:v>
                </c:pt>
                <c:pt idx="453">
                  <c:v>295</c:v>
                </c:pt>
                <c:pt idx="454">
                  <c:v>80</c:v>
                </c:pt>
                <c:pt idx="455">
                  <c:v>264</c:v>
                </c:pt>
                <c:pt idx="456">
                  <c:v>383</c:v>
                </c:pt>
                <c:pt idx="457">
                  <c:v>64</c:v>
                </c:pt>
                <c:pt idx="458">
                  <c:v>332</c:v>
                </c:pt>
                <c:pt idx="459">
                  <c:v>12</c:v>
                </c:pt>
                <c:pt idx="460">
                  <c:v>35</c:v>
                </c:pt>
                <c:pt idx="461">
                  <c:v>322</c:v>
                </c:pt>
                <c:pt idx="462">
                  <c:v>135</c:v>
                </c:pt>
                <c:pt idx="463">
                  <c:v>62</c:v>
                </c:pt>
                <c:pt idx="464">
                  <c:v>207</c:v>
                </c:pt>
                <c:pt idx="465">
                  <c:v>308</c:v>
                </c:pt>
                <c:pt idx="466">
                  <c:v>197</c:v>
                </c:pt>
                <c:pt idx="467">
                  <c:v>195</c:v>
                </c:pt>
                <c:pt idx="468">
                  <c:v>314</c:v>
                </c:pt>
                <c:pt idx="469">
                  <c:v>307</c:v>
                </c:pt>
                <c:pt idx="470">
                  <c:v>213</c:v>
                </c:pt>
                <c:pt idx="471">
                  <c:v>20</c:v>
                </c:pt>
                <c:pt idx="472">
                  <c:v>368</c:v>
                </c:pt>
                <c:pt idx="473">
                  <c:v>363</c:v>
                </c:pt>
                <c:pt idx="474">
                  <c:v>155</c:v>
                </c:pt>
                <c:pt idx="475">
                  <c:v>94</c:v>
                </c:pt>
                <c:pt idx="476">
                  <c:v>109</c:v>
                </c:pt>
                <c:pt idx="477">
                  <c:v>113</c:v>
                </c:pt>
                <c:pt idx="478">
                  <c:v>55</c:v>
                </c:pt>
                <c:pt idx="479">
                  <c:v>53</c:v>
                </c:pt>
                <c:pt idx="480">
                  <c:v>287</c:v>
                </c:pt>
                <c:pt idx="481">
                  <c:v>190</c:v>
                </c:pt>
                <c:pt idx="482">
                  <c:v>196</c:v>
                </c:pt>
                <c:pt idx="483">
                  <c:v>123</c:v>
                </c:pt>
                <c:pt idx="484">
                  <c:v>264</c:v>
                </c:pt>
                <c:pt idx="485">
                  <c:v>390</c:v>
                </c:pt>
                <c:pt idx="486">
                  <c:v>389</c:v>
                </c:pt>
                <c:pt idx="487">
                  <c:v>39</c:v>
                </c:pt>
                <c:pt idx="488">
                  <c:v>273</c:v>
                </c:pt>
                <c:pt idx="489">
                  <c:v>107</c:v>
                </c:pt>
                <c:pt idx="490">
                  <c:v>322</c:v>
                </c:pt>
                <c:pt idx="491">
                  <c:v>376</c:v>
                </c:pt>
                <c:pt idx="492">
                  <c:v>338</c:v>
                </c:pt>
                <c:pt idx="493">
                  <c:v>124</c:v>
                </c:pt>
                <c:pt idx="494">
                  <c:v>285</c:v>
                </c:pt>
                <c:pt idx="495">
                  <c:v>290</c:v>
                </c:pt>
                <c:pt idx="496">
                  <c:v>284</c:v>
                </c:pt>
                <c:pt idx="497">
                  <c:v>270</c:v>
                </c:pt>
                <c:pt idx="498">
                  <c:v>340</c:v>
                </c:pt>
                <c:pt idx="499">
                  <c:v>216</c:v>
                </c:pt>
                <c:pt idx="500">
                  <c:v>393</c:v>
                </c:pt>
                <c:pt idx="501">
                  <c:v>337</c:v>
                </c:pt>
                <c:pt idx="502">
                  <c:v>220</c:v>
                </c:pt>
                <c:pt idx="503">
                  <c:v>224</c:v>
                </c:pt>
                <c:pt idx="504">
                  <c:v>49</c:v>
                </c:pt>
                <c:pt idx="505">
                  <c:v>35</c:v>
                </c:pt>
                <c:pt idx="506">
                  <c:v>36</c:v>
                </c:pt>
                <c:pt idx="507">
                  <c:v>199</c:v>
                </c:pt>
                <c:pt idx="508">
                  <c:v>92</c:v>
                </c:pt>
                <c:pt idx="509">
                  <c:v>393</c:v>
                </c:pt>
                <c:pt idx="510">
                  <c:v>179</c:v>
                </c:pt>
                <c:pt idx="511">
                  <c:v>176</c:v>
                </c:pt>
                <c:pt idx="512">
                  <c:v>197</c:v>
                </c:pt>
                <c:pt idx="513">
                  <c:v>178</c:v>
                </c:pt>
                <c:pt idx="514">
                  <c:v>298</c:v>
                </c:pt>
                <c:pt idx="515">
                  <c:v>238</c:v>
                </c:pt>
                <c:pt idx="516">
                  <c:v>106</c:v>
                </c:pt>
                <c:pt idx="517">
                  <c:v>376</c:v>
                </c:pt>
                <c:pt idx="518">
                  <c:v>25</c:v>
                </c:pt>
                <c:pt idx="519">
                  <c:v>288</c:v>
                </c:pt>
                <c:pt idx="520">
                  <c:v>144</c:v>
                </c:pt>
                <c:pt idx="521">
                  <c:v>35</c:v>
                </c:pt>
                <c:pt idx="522">
                  <c:v>361</c:v>
                </c:pt>
                <c:pt idx="523">
                  <c:v>21</c:v>
                </c:pt>
                <c:pt idx="524">
                  <c:v>81</c:v>
                </c:pt>
                <c:pt idx="525">
                  <c:v>142</c:v>
                </c:pt>
                <c:pt idx="526">
                  <c:v>115</c:v>
                </c:pt>
                <c:pt idx="527">
                  <c:v>229</c:v>
                </c:pt>
                <c:pt idx="528">
                  <c:v>382</c:v>
                </c:pt>
                <c:pt idx="529">
                  <c:v>186</c:v>
                </c:pt>
                <c:pt idx="530">
                  <c:v>291</c:v>
                </c:pt>
                <c:pt idx="531">
                  <c:v>142</c:v>
                </c:pt>
                <c:pt idx="532">
                  <c:v>31</c:v>
                </c:pt>
                <c:pt idx="533">
                  <c:v>278</c:v>
                </c:pt>
                <c:pt idx="534">
                  <c:v>170</c:v>
                </c:pt>
                <c:pt idx="535">
                  <c:v>116</c:v>
                </c:pt>
                <c:pt idx="536">
                  <c:v>288</c:v>
                </c:pt>
                <c:pt idx="537">
                  <c:v>362</c:v>
                </c:pt>
                <c:pt idx="538">
                  <c:v>244</c:v>
                </c:pt>
                <c:pt idx="539">
                  <c:v>27</c:v>
                </c:pt>
                <c:pt idx="540">
                  <c:v>251</c:v>
                </c:pt>
                <c:pt idx="541">
                  <c:v>126</c:v>
                </c:pt>
                <c:pt idx="542">
                  <c:v>295</c:v>
                </c:pt>
                <c:pt idx="543">
                  <c:v>291</c:v>
                </c:pt>
                <c:pt idx="544">
                  <c:v>153</c:v>
                </c:pt>
                <c:pt idx="545">
                  <c:v>214</c:v>
                </c:pt>
                <c:pt idx="546">
                  <c:v>48</c:v>
                </c:pt>
                <c:pt idx="547">
                  <c:v>163</c:v>
                </c:pt>
                <c:pt idx="548">
                  <c:v>185</c:v>
                </c:pt>
                <c:pt idx="549">
                  <c:v>250</c:v>
                </c:pt>
                <c:pt idx="550">
                  <c:v>395</c:v>
                </c:pt>
                <c:pt idx="551">
                  <c:v>378</c:v>
                </c:pt>
                <c:pt idx="552">
                  <c:v>143</c:v>
                </c:pt>
                <c:pt idx="553">
                  <c:v>55</c:v>
                </c:pt>
                <c:pt idx="554">
                  <c:v>59</c:v>
                </c:pt>
                <c:pt idx="555">
                  <c:v>175</c:v>
                </c:pt>
                <c:pt idx="556">
                  <c:v>115</c:v>
                </c:pt>
                <c:pt idx="557">
                  <c:v>225</c:v>
                </c:pt>
                <c:pt idx="558">
                  <c:v>155</c:v>
                </c:pt>
                <c:pt idx="559">
                  <c:v>81</c:v>
                </c:pt>
                <c:pt idx="560">
                  <c:v>339</c:v>
                </c:pt>
                <c:pt idx="561">
                  <c:v>282</c:v>
                </c:pt>
                <c:pt idx="562">
                  <c:v>256</c:v>
                </c:pt>
                <c:pt idx="563">
                  <c:v>195</c:v>
                </c:pt>
                <c:pt idx="564">
                  <c:v>79</c:v>
                </c:pt>
                <c:pt idx="565">
                  <c:v>159</c:v>
                </c:pt>
                <c:pt idx="566">
                  <c:v>255</c:v>
                </c:pt>
                <c:pt idx="567">
                  <c:v>271</c:v>
                </c:pt>
                <c:pt idx="568">
                  <c:v>35</c:v>
                </c:pt>
                <c:pt idx="569">
                  <c:v>149</c:v>
                </c:pt>
                <c:pt idx="570">
                  <c:v>108</c:v>
                </c:pt>
                <c:pt idx="571">
                  <c:v>287</c:v>
                </c:pt>
                <c:pt idx="572">
                  <c:v>60</c:v>
                </c:pt>
                <c:pt idx="573">
                  <c:v>160</c:v>
                </c:pt>
                <c:pt idx="574">
                  <c:v>113</c:v>
                </c:pt>
                <c:pt idx="575">
                  <c:v>98</c:v>
                </c:pt>
                <c:pt idx="576">
                  <c:v>150</c:v>
                </c:pt>
                <c:pt idx="577">
                  <c:v>222</c:v>
                </c:pt>
                <c:pt idx="578">
                  <c:v>242</c:v>
                </c:pt>
                <c:pt idx="579">
                  <c:v>192</c:v>
                </c:pt>
                <c:pt idx="580">
                  <c:v>260</c:v>
                </c:pt>
                <c:pt idx="581">
                  <c:v>18</c:v>
                </c:pt>
                <c:pt idx="582">
                  <c:v>88</c:v>
                </c:pt>
                <c:pt idx="583">
                  <c:v>61</c:v>
                </c:pt>
                <c:pt idx="584">
                  <c:v>395</c:v>
                </c:pt>
                <c:pt idx="585">
                  <c:v>278</c:v>
                </c:pt>
                <c:pt idx="586">
                  <c:v>235</c:v>
                </c:pt>
                <c:pt idx="587">
                  <c:v>60</c:v>
                </c:pt>
                <c:pt idx="588">
                  <c:v>195</c:v>
                </c:pt>
                <c:pt idx="589">
                  <c:v>43</c:v>
                </c:pt>
                <c:pt idx="590">
                  <c:v>300</c:v>
                </c:pt>
                <c:pt idx="591">
                  <c:v>239</c:v>
                </c:pt>
                <c:pt idx="592">
                  <c:v>140</c:v>
                </c:pt>
                <c:pt idx="593">
                  <c:v>129</c:v>
                </c:pt>
                <c:pt idx="594">
                  <c:v>335</c:v>
                </c:pt>
                <c:pt idx="595">
                  <c:v>256</c:v>
                </c:pt>
                <c:pt idx="596">
                  <c:v>201</c:v>
                </c:pt>
                <c:pt idx="597">
                  <c:v>332</c:v>
                </c:pt>
                <c:pt idx="598">
                  <c:v>219</c:v>
                </c:pt>
                <c:pt idx="599">
                  <c:v>112</c:v>
                </c:pt>
                <c:pt idx="600">
                  <c:v>338</c:v>
                </c:pt>
                <c:pt idx="601">
                  <c:v>381</c:v>
                </c:pt>
                <c:pt idx="602">
                  <c:v>142</c:v>
                </c:pt>
                <c:pt idx="603">
                  <c:v>332</c:v>
                </c:pt>
                <c:pt idx="604">
                  <c:v>148</c:v>
                </c:pt>
                <c:pt idx="605">
                  <c:v>130</c:v>
                </c:pt>
                <c:pt idx="606">
                  <c:v>103</c:v>
                </c:pt>
                <c:pt idx="607">
                  <c:v>138</c:v>
                </c:pt>
                <c:pt idx="608">
                  <c:v>100</c:v>
                </c:pt>
                <c:pt idx="609">
                  <c:v>101</c:v>
                </c:pt>
                <c:pt idx="610">
                  <c:v>72</c:v>
                </c:pt>
                <c:pt idx="611">
                  <c:v>38</c:v>
                </c:pt>
                <c:pt idx="612">
                  <c:v>219</c:v>
                </c:pt>
                <c:pt idx="613">
                  <c:v>21</c:v>
                </c:pt>
                <c:pt idx="614">
                  <c:v>342</c:v>
                </c:pt>
                <c:pt idx="615">
                  <c:v>306</c:v>
                </c:pt>
                <c:pt idx="616">
                  <c:v>139</c:v>
                </c:pt>
                <c:pt idx="617">
                  <c:v>302</c:v>
                </c:pt>
                <c:pt idx="618">
                  <c:v>182</c:v>
                </c:pt>
                <c:pt idx="619">
                  <c:v>217</c:v>
                </c:pt>
                <c:pt idx="620">
                  <c:v>33</c:v>
                </c:pt>
                <c:pt idx="621">
                  <c:v>108</c:v>
                </c:pt>
                <c:pt idx="622">
                  <c:v>365</c:v>
                </c:pt>
                <c:pt idx="623">
                  <c:v>148</c:v>
                </c:pt>
                <c:pt idx="624">
                  <c:v>323</c:v>
                </c:pt>
                <c:pt idx="625">
                  <c:v>183</c:v>
                </c:pt>
                <c:pt idx="626">
                  <c:v>38</c:v>
                </c:pt>
                <c:pt idx="627">
                  <c:v>152</c:v>
                </c:pt>
                <c:pt idx="628">
                  <c:v>325</c:v>
                </c:pt>
                <c:pt idx="629">
                  <c:v>360</c:v>
                </c:pt>
                <c:pt idx="630">
                  <c:v>51</c:v>
                </c:pt>
                <c:pt idx="631">
                  <c:v>308</c:v>
                </c:pt>
                <c:pt idx="632">
                  <c:v>217</c:v>
                </c:pt>
                <c:pt idx="633">
                  <c:v>339</c:v>
                </c:pt>
                <c:pt idx="634">
                  <c:v>201</c:v>
                </c:pt>
                <c:pt idx="635">
                  <c:v>169</c:v>
                </c:pt>
                <c:pt idx="636">
                  <c:v>73</c:v>
                </c:pt>
                <c:pt idx="637">
                  <c:v>252</c:v>
                </c:pt>
                <c:pt idx="638">
                  <c:v>267</c:v>
                </c:pt>
                <c:pt idx="639">
                  <c:v>161</c:v>
                </c:pt>
                <c:pt idx="640">
                  <c:v>224</c:v>
                </c:pt>
                <c:pt idx="641">
                  <c:v>331</c:v>
                </c:pt>
                <c:pt idx="642">
                  <c:v>175</c:v>
                </c:pt>
                <c:pt idx="643">
                  <c:v>40</c:v>
                </c:pt>
                <c:pt idx="644">
                  <c:v>380</c:v>
                </c:pt>
                <c:pt idx="645">
                  <c:v>241</c:v>
                </c:pt>
                <c:pt idx="646">
                  <c:v>291</c:v>
                </c:pt>
                <c:pt idx="647">
                  <c:v>38</c:v>
                </c:pt>
                <c:pt idx="648">
                  <c:v>204</c:v>
                </c:pt>
                <c:pt idx="649">
                  <c:v>343</c:v>
                </c:pt>
                <c:pt idx="650">
                  <c:v>265</c:v>
                </c:pt>
                <c:pt idx="651">
                  <c:v>290</c:v>
                </c:pt>
                <c:pt idx="652">
                  <c:v>313</c:v>
                </c:pt>
                <c:pt idx="653">
                  <c:v>330</c:v>
                </c:pt>
                <c:pt idx="654">
                  <c:v>332</c:v>
                </c:pt>
                <c:pt idx="655">
                  <c:v>355</c:v>
                </c:pt>
                <c:pt idx="656">
                  <c:v>303</c:v>
                </c:pt>
                <c:pt idx="657">
                  <c:v>96</c:v>
                </c:pt>
                <c:pt idx="658">
                  <c:v>158</c:v>
                </c:pt>
                <c:pt idx="659">
                  <c:v>258</c:v>
                </c:pt>
                <c:pt idx="660">
                  <c:v>330</c:v>
                </c:pt>
                <c:pt idx="661">
                  <c:v>292</c:v>
                </c:pt>
                <c:pt idx="662">
                  <c:v>371</c:v>
                </c:pt>
                <c:pt idx="663">
                  <c:v>388</c:v>
                </c:pt>
                <c:pt idx="664">
                  <c:v>207</c:v>
                </c:pt>
                <c:pt idx="665">
                  <c:v>53</c:v>
                </c:pt>
                <c:pt idx="666">
                  <c:v>365</c:v>
                </c:pt>
                <c:pt idx="667">
                  <c:v>37</c:v>
                </c:pt>
                <c:pt idx="668">
                  <c:v>26</c:v>
                </c:pt>
                <c:pt idx="669">
                  <c:v>136</c:v>
                </c:pt>
                <c:pt idx="670">
                  <c:v>388</c:v>
                </c:pt>
                <c:pt idx="671">
                  <c:v>177</c:v>
                </c:pt>
                <c:pt idx="672">
                  <c:v>253</c:v>
                </c:pt>
                <c:pt idx="673">
                  <c:v>396</c:v>
                </c:pt>
                <c:pt idx="674">
                  <c:v>85</c:v>
                </c:pt>
                <c:pt idx="675">
                  <c:v>240</c:v>
                </c:pt>
                <c:pt idx="676">
                  <c:v>213</c:v>
                </c:pt>
                <c:pt idx="677">
                  <c:v>257</c:v>
                </c:pt>
                <c:pt idx="678">
                  <c:v>311</c:v>
                </c:pt>
                <c:pt idx="679">
                  <c:v>223</c:v>
                </c:pt>
                <c:pt idx="680">
                  <c:v>224</c:v>
                </c:pt>
                <c:pt idx="681">
                  <c:v>167</c:v>
                </c:pt>
                <c:pt idx="682">
                  <c:v>78</c:v>
                </c:pt>
                <c:pt idx="683">
                  <c:v>94</c:v>
                </c:pt>
                <c:pt idx="684">
                  <c:v>276</c:v>
                </c:pt>
                <c:pt idx="685">
                  <c:v>78</c:v>
                </c:pt>
                <c:pt idx="686">
                  <c:v>108</c:v>
                </c:pt>
                <c:pt idx="687">
                  <c:v>356</c:v>
                </c:pt>
                <c:pt idx="688">
                  <c:v>225</c:v>
                </c:pt>
                <c:pt idx="689">
                  <c:v>170</c:v>
                </c:pt>
                <c:pt idx="690">
                  <c:v>103</c:v>
                </c:pt>
                <c:pt idx="691">
                  <c:v>183</c:v>
                </c:pt>
                <c:pt idx="692">
                  <c:v>174</c:v>
                </c:pt>
                <c:pt idx="693">
                  <c:v>124</c:v>
                </c:pt>
                <c:pt idx="694">
                  <c:v>229</c:v>
                </c:pt>
                <c:pt idx="695">
                  <c:v>40</c:v>
                </c:pt>
                <c:pt idx="696">
                  <c:v>20</c:v>
                </c:pt>
                <c:pt idx="697">
                  <c:v>352</c:v>
                </c:pt>
                <c:pt idx="698">
                  <c:v>386</c:v>
                </c:pt>
                <c:pt idx="699">
                  <c:v>139</c:v>
                </c:pt>
                <c:pt idx="700">
                  <c:v>114</c:v>
                </c:pt>
                <c:pt idx="701">
                  <c:v>36</c:v>
                </c:pt>
                <c:pt idx="702">
                  <c:v>236</c:v>
                </c:pt>
                <c:pt idx="703">
                  <c:v>11</c:v>
                </c:pt>
                <c:pt idx="704">
                  <c:v>368</c:v>
                </c:pt>
                <c:pt idx="705">
                  <c:v>110</c:v>
                </c:pt>
                <c:pt idx="706">
                  <c:v>30</c:v>
                </c:pt>
                <c:pt idx="707">
                  <c:v>67</c:v>
                </c:pt>
                <c:pt idx="708">
                  <c:v>398</c:v>
                </c:pt>
                <c:pt idx="709">
                  <c:v>189</c:v>
                </c:pt>
                <c:pt idx="710">
                  <c:v>350</c:v>
                </c:pt>
                <c:pt idx="711">
                  <c:v>358</c:v>
                </c:pt>
                <c:pt idx="712">
                  <c:v>29</c:v>
                </c:pt>
                <c:pt idx="713">
                  <c:v>264</c:v>
                </c:pt>
                <c:pt idx="714">
                  <c:v>326</c:v>
                </c:pt>
                <c:pt idx="715">
                  <c:v>47</c:v>
                </c:pt>
                <c:pt idx="716">
                  <c:v>157</c:v>
                </c:pt>
                <c:pt idx="717">
                  <c:v>34</c:v>
                </c:pt>
                <c:pt idx="718">
                  <c:v>395</c:v>
                </c:pt>
                <c:pt idx="719">
                  <c:v>130</c:v>
                </c:pt>
                <c:pt idx="720">
                  <c:v>35</c:v>
                </c:pt>
                <c:pt idx="721">
                  <c:v>178</c:v>
                </c:pt>
                <c:pt idx="722">
                  <c:v>332</c:v>
                </c:pt>
                <c:pt idx="723">
                  <c:v>234</c:v>
                </c:pt>
                <c:pt idx="724">
                  <c:v>10</c:v>
                </c:pt>
                <c:pt idx="725">
                  <c:v>316</c:v>
                </c:pt>
                <c:pt idx="726">
                  <c:v>270</c:v>
                </c:pt>
                <c:pt idx="727">
                  <c:v>22</c:v>
                </c:pt>
                <c:pt idx="728">
                  <c:v>57</c:v>
                </c:pt>
                <c:pt idx="729">
                  <c:v>322</c:v>
                </c:pt>
                <c:pt idx="730">
                  <c:v>380</c:v>
                </c:pt>
                <c:pt idx="731">
                  <c:v>300</c:v>
                </c:pt>
                <c:pt idx="732">
                  <c:v>341</c:v>
                </c:pt>
                <c:pt idx="733">
                  <c:v>103</c:v>
                </c:pt>
                <c:pt idx="734">
                  <c:v>270</c:v>
                </c:pt>
                <c:pt idx="735">
                  <c:v>287</c:v>
                </c:pt>
                <c:pt idx="736">
                  <c:v>368</c:v>
                </c:pt>
                <c:pt idx="737">
                  <c:v>214</c:v>
                </c:pt>
                <c:pt idx="738">
                  <c:v>194</c:v>
                </c:pt>
                <c:pt idx="739">
                  <c:v>184</c:v>
                </c:pt>
                <c:pt idx="740">
                  <c:v>396</c:v>
                </c:pt>
                <c:pt idx="741">
                  <c:v>389</c:v>
                </c:pt>
                <c:pt idx="742">
                  <c:v>318</c:v>
                </c:pt>
                <c:pt idx="743">
                  <c:v>78</c:v>
                </c:pt>
                <c:pt idx="744">
                  <c:v>113</c:v>
                </c:pt>
                <c:pt idx="745">
                  <c:v>255</c:v>
                </c:pt>
                <c:pt idx="746">
                  <c:v>170</c:v>
                </c:pt>
                <c:pt idx="747">
                  <c:v>209</c:v>
                </c:pt>
                <c:pt idx="748">
                  <c:v>225</c:v>
                </c:pt>
                <c:pt idx="749">
                  <c:v>221</c:v>
                </c:pt>
                <c:pt idx="750">
                  <c:v>25</c:v>
                </c:pt>
                <c:pt idx="751">
                  <c:v>381</c:v>
                </c:pt>
                <c:pt idx="752">
                  <c:v>341</c:v>
                </c:pt>
                <c:pt idx="753">
                  <c:v>214</c:v>
                </c:pt>
                <c:pt idx="754">
                  <c:v>374</c:v>
                </c:pt>
                <c:pt idx="755">
                  <c:v>48</c:v>
                </c:pt>
                <c:pt idx="756">
                  <c:v>98</c:v>
                </c:pt>
                <c:pt idx="757">
                  <c:v>265</c:v>
                </c:pt>
                <c:pt idx="758">
                  <c:v>263</c:v>
                </c:pt>
                <c:pt idx="759">
                  <c:v>225</c:v>
                </c:pt>
                <c:pt idx="760">
                  <c:v>377</c:v>
                </c:pt>
                <c:pt idx="761">
                  <c:v>312</c:v>
                </c:pt>
                <c:pt idx="762">
                  <c:v>181</c:v>
                </c:pt>
                <c:pt idx="763">
                  <c:v>146</c:v>
                </c:pt>
                <c:pt idx="764">
                  <c:v>393</c:v>
                </c:pt>
                <c:pt idx="765">
                  <c:v>187</c:v>
                </c:pt>
                <c:pt idx="766">
                  <c:v>86</c:v>
                </c:pt>
                <c:pt idx="767">
                  <c:v>197</c:v>
                </c:pt>
                <c:pt idx="768">
                  <c:v>24</c:v>
                </c:pt>
                <c:pt idx="769">
                  <c:v>301</c:v>
                </c:pt>
                <c:pt idx="770">
                  <c:v>328</c:v>
                </c:pt>
                <c:pt idx="771">
                  <c:v>334</c:v>
                </c:pt>
                <c:pt idx="772">
                  <c:v>223</c:v>
                </c:pt>
                <c:pt idx="773">
                  <c:v>217</c:v>
                </c:pt>
                <c:pt idx="774">
                  <c:v>178</c:v>
                </c:pt>
                <c:pt idx="775">
                  <c:v>339</c:v>
                </c:pt>
                <c:pt idx="776">
                  <c:v>289</c:v>
                </c:pt>
                <c:pt idx="777">
                  <c:v>314</c:v>
                </c:pt>
                <c:pt idx="778">
                  <c:v>155</c:v>
                </c:pt>
                <c:pt idx="779">
                  <c:v>272</c:v>
                </c:pt>
                <c:pt idx="780">
                  <c:v>13</c:v>
                </c:pt>
                <c:pt idx="781">
                  <c:v>99</c:v>
                </c:pt>
                <c:pt idx="782">
                  <c:v>69</c:v>
                </c:pt>
                <c:pt idx="783">
                  <c:v>320</c:v>
                </c:pt>
                <c:pt idx="784">
                  <c:v>25</c:v>
                </c:pt>
                <c:pt idx="785">
                  <c:v>236</c:v>
                </c:pt>
                <c:pt idx="786">
                  <c:v>38</c:v>
                </c:pt>
                <c:pt idx="787">
                  <c:v>160</c:v>
                </c:pt>
                <c:pt idx="788">
                  <c:v>254</c:v>
                </c:pt>
                <c:pt idx="789">
                  <c:v>279</c:v>
                </c:pt>
                <c:pt idx="790">
                  <c:v>88</c:v>
                </c:pt>
                <c:pt idx="791">
                  <c:v>298</c:v>
                </c:pt>
                <c:pt idx="792">
                  <c:v>162</c:v>
                </c:pt>
                <c:pt idx="793">
                  <c:v>286</c:v>
                </c:pt>
                <c:pt idx="794">
                  <c:v>288</c:v>
                </c:pt>
                <c:pt idx="795">
                  <c:v>66</c:v>
                </c:pt>
                <c:pt idx="796">
                  <c:v>195</c:v>
                </c:pt>
                <c:pt idx="797">
                  <c:v>102</c:v>
                </c:pt>
                <c:pt idx="798">
                  <c:v>285</c:v>
                </c:pt>
                <c:pt idx="799">
                  <c:v>167</c:v>
                </c:pt>
                <c:pt idx="800">
                  <c:v>284</c:v>
                </c:pt>
                <c:pt idx="801">
                  <c:v>190</c:v>
                </c:pt>
                <c:pt idx="802">
                  <c:v>368</c:v>
                </c:pt>
                <c:pt idx="803">
                  <c:v>86</c:v>
                </c:pt>
                <c:pt idx="804">
                  <c:v>160</c:v>
                </c:pt>
                <c:pt idx="805">
                  <c:v>247</c:v>
                </c:pt>
                <c:pt idx="806">
                  <c:v>298</c:v>
                </c:pt>
                <c:pt idx="807">
                  <c:v>240</c:v>
                </c:pt>
                <c:pt idx="808">
                  <c:v>27</c:v>
                </c:pt>
                <c:pt idx="809">
                  <c:v>82</c:v>
                </c:pt>
                <c:pt idx="810">
                  <c:v>198</c:v>
                </c:pt>
                <c:pt idx="811">
                  <c:v>26</c:v>
                </c:pt>
                <c:pt idx="812">
                  <c:v>28</c:v>
                </c:pt>
                <c:pt idx="813">
                  <c:v>228</c:v>
                </c:pt>
                <c:pt idx="814">
                  <c:v>335</c:v>
                </c:pt>
                <c:pt idx="815">
                  <c:v>129</c:v>
                </c:pt>
                <c:pt idx="816">
                  <c:v>110</c:v>
                </c:pt>
                <c:pt idx="817">
                  <c:v>43</c:v>
                </c:pt>
                <c:pt idx="818">
                  <c:v>93</c:v>
                </c:pt>
                <c:pt idx="819">
                  <c:v>205</c:v>
                </c:pt>
                <c:pt idx="820">
                  <c:v>339</c:v>
                </c:pt>
                <c:pt idx="821">
                  <c:v>211</c:v>
                </c:pt>
                <c:pt idx="822">
                  <c:v>353</c:v>
                </c:pt>
                <c:pt idx="823">
                  <c:v>350</c:v>
                </c:pt>
                <c:pt idx="824">
                  <c:v>20</c:v>
                </c:pt>
                <c:pt idx="825">
                  <c:v>356</c:v>
                </c:pt>
                <c:pt idx="826">
                  <c:v>227</c:v>
                </c:pt>
                <c:pt idx="827">
                  <c:v>262</c:v>
                </c:pt>
                <c:pt idx="828">
                  <c:v>231</c:v>
                </c:pt>
                <c:pt idx="829">
                  <c:v>392</c:v>
                </c:pt>
                <c:pt idx="830">
                  <c:v>378</c:v>
                </c:pt>
                <c:pt idx="831">
                  <c:v>89</c:v>
                </c:pt>
                <c:pt idx="832">
                  <c:v>16</c:v>
                </c:pt>
                <c:pt idx="833">
                  <c:v>281</c:v>
                </c:pt>
                <c:pt idx="834">
                  <c:v>236</c:v>
                </c:pt>
                <c:pt idx="835">
                  <c:v>25</c:v>
                </c:pt>
                <c:pt idx="836">
                  <c:v>21</c:v>
                </c:pt>
                <c:pt idx="837">
                  <c:v>300</c:v>
                </c:pt>
                <c:pt idx="838">
                  <c:v>250</c:v>
                </c:pt>
                <c:pt idx="839">
                  <c:v>30</c:v>
                </c:pt>
                <c:pt idx="840">
                  <c:v>187</c:v>
                </c:pt>
                <c:pt idx="841">
                  <c:v>237</c:v>
                </c:pt>
                <c:pt idx="842">
                  <c:v>282</c:v>
                </c:pt>
                <c:pt idx="843">
                  <c:v>297</c:v>
                </c:pt>
                <c:pt idx="844">
                  <c:v>306</c:v>
                </c:pt>
                <c:pt idx="845">
                  <c:v>143</c:v>
                </c:pt>
                <c:pt idx="846">
                  <c:v>292</c:v>
                </c:pt>
                <c:pt idx="847">
                  <c:v>162</c:v>
                </c:pt>
                <c:pt idx="848">
                  <c:v>75</c:v>
                </c:pt>
                <c:pt idx="849">
                  <c:v>146</c:v>
                </c:pt>
                <c:pt idx="850">
                  <c:v>101</c:v>
                </c:pt>
                <c:pt idx="851">
                  <c:v>326</c:v>
                </c:pt>
                <c:pt idx="852">
                  <c:v>268</c:v>
                </c:pt>
                <c:pt idx="853">
                  <c:v>112</c:v>
                </c:pt>
                <c:pt idx="854">
                  <c:v>64</c:v>
                </c:pt>
                <c:pt idx="855">
                  <c:v>266</c:v>
                </c:pt>
                <c:pt idx="856">
                  <c:v>110</c:v>
                </c:pt>
                <c:pt idx="857">
                  <c:v>207</c:v>
                </c:pt>
                <c:pt idx="858">
                  <c:v>310</c:v>
                </c:pt>
                <c:pt idx="859">
                  <c:v>235</c:v>
                </c:pt>
                <c:pt idx="860">
                  <c:v>246</c:v>
                </c:pt>
                <c:pt idx="861">
                  <c:v>35</c:v>
                </c:pt>
                <c:pt idx="862">
                  <c:v>130</c:v>
                </c:pt>
                <c:pt idx="863">
                  <c:v>191</c:v>
                </c:pt>
                <c:pt idx="864">
                  <c:v>208</c:v>
                </c:pt>
                <c:pt idx="865">
                  <c:v>311</c:v>
                </c:pt>
                <c:pt idx="866">
                  <c:v>264</c:v>
                </c:pt>
                <c:pt idx="867">
                  <c:v>131</c:v>
                </c:pt>
                <c:pt idx="868">
                  <c:v>40</c:v>
                </c:pt>
                <c:pt idx="869">
                  <c:v>324</c:v>
                </c:pt>
                <c:pt idx="870">
                  <c:v>294</c:v>
                </c:pt>
                <c:pt idx="871">
                  <c:v>115</c:v>
                </c:pt>
                <c:pt idx="872">
                  <c:v>233</c:v>
                </c:pt>
                <c:pt idx="873">
                  <c:v>282</c:v>
                </c:pt>
                <c:pt idx="874">
                  <c:v>241</c:v>
                </c:pt>
                <c:pt idx="875">
                  <c:v>265</c:v>
                </c:pt>
                <c:pt idx="876">
                  <c:v>33</c:v>
                </c:pt>
                <c:pt idx="877">
                  <c:v>118</c:v>
                </c:pt>
                <c:pt idx="878">
                  <c:v>200</c:v>
                </c:pt>
                <c:pt idx="879">
                  <c:v>356</c:v>
                </c:pt>
                <c:pt idx="880">
                  <c:v>34</c:v>
                </c:pt>
                <c:pt idx="881">
                  <c:v>196</c:v>
                </c:pt>
                <c:pt idx="882">
                  <c:v>297</c:v>
                </c:pt>
                <c:pt idx="883">
                  <c:v>125</c:v>
                </c:pt>
                <c:pt idx="884">
                  <c:v>347</c:v>
                </c:pt>
                <c:pt idx="885">
                  <c:v>375</c:v>
                </c:pt>
                <c:pt idx="886">
                  <c:v>46</c:v>
                </c:pt>
                <c:pt idx="887">
                  <c:v>291</c:v>
                </c:pt>
                <c:pt idx="888">
                  <c:v>146</c:v>
                </c:pt>
                <c:pt idx="889">
                  <c:v>236</c:v>
                </c:pt>
                <c:pt idx="890">
                  <c:v>329</c:v>
                </c:pt>
                <c:pt idx="891">
                  <c:v>337</c:v>
                </c:pt>
                <c:pt idx="892">
                  <c:v>191</c:v>
                </c:pt>
                <c:pt idx="893">
                  <c:v>371</c:v>
                </c:pt>
                <c:pt idx="894">
                  <c:v>95</c:v>
                </c:pt>
                <c:pt idx="895">
                  <c:v>62</c:v>
                </c:pt>
                <c:pt idx="896">
                  <c:v>357</c:v>
                </c:pt>
                <c:pt idx="897">
                  <c:v>364</c:v>
                </c:pt>
                <c:pt idx="898">
                  <c:v>244</c:v>
                </c:pt>
                <c:pt idx="899">
                  <c:v>276</c:v>
                </c:pt>
                <c:pt idx="900">
                  <c:v>296</c:v>
                </c:pt>
                <c:pt idx="901">
                  <c:v>109</c:v>
                </c:pt>
                <c:pt idx="902">
                  <c:v>96</c:v>
                </c:pt>
                <c:pt idx="903">
                  <c:v>24</c:v>
                </c:pt>
                <c:pt idx="904">
                  <c:v>110</c:v>
                </c:pt>
                <c:pt idx="905">
                  <c:v>174</c:v>
                </c:pt>
                <c:pt idx="906">
                  <c:v>38</c:v>
                </c:pt>
                <c:pt idx="907">
                  <c:v>123</c:v>
                </c:pt>
                <c:pt idx="908">
                  <c:v>116</c:v>
                </c:pt>
                <c:pt idx="909">
                  <c:v>373</c:v>
                </c:pt>
                <c:pt idx="910">
                  <c:v>139</c:v>
                </c:pt>
                <c:pt idx="911">
                  <c:v>93</c:v>
                </c:pt>
                <c:pt idx="912">
                  <c:v>280</c:v>
                </c:pt>
                <c:pt idx="913">
                  <c:v>253</c:v>
                </c:pt>
                <c:pt idx="914">
                  <c:v>397</c:v>
                </c:pt>
                <c:pt idx="915">
                  <c:v>223</c:v>
                </c:pt>
                <c:pt idx="916">
                  <c:v>315</c:v>
                </c:pt>
                <c:pt idx="917">
                  <c:v>175</c:v>
                </c:pt>
                <c:pt idx="918">
                  <c:v>288</c:v>
                </c:pt>
                <c:pt idx="919">
                  <c:v>68</c:v>
                </c:pt>
                <c:pt idx="920">
                  <c:v>99</c:v>
                </c:pt>
                <c:pt idx="921">
                  <c:v>380</c:v>
                </c:pt>
                <c:pt idx="922">
                  <c:v>340</c:v>
                </c:pt>
                <c:pt idx="923">
                  <c:v>203</c:v>
                </c:pt>
                <c:pt idx="924">
                  <c:v>132</c:v>
                </c:pt>
                <c:pt idx="925">
                  <c:v>145</c:v>
                </c:pt>
                <c:pt idx="926">
                  <c:v>148</c:v>
                </c:pt>
                <c:pt idx="927">
                  <c:v>238</c:v>
                </c:pt>
                <c:pt idx="928">
                  <c:v>283</c:v>
                </c:pt>
                <c:pt idx="929">
                  <c:v>59</c:v>
                </c:pt>
                <c:pt idx="930">
                  <c:v>127</c:v>
                </c:pt>
                <c:pt idx="931">
                  <c:v>211</c:v>
                </c:pt>
                <c:pt idx="932">
                  <c:v>200</c:v>
                </c:pt>
                <c:pt idx="933">
                  <c:v>373</c:v>
                </c:pt>
                <c:pt idx="934">
                  <c:v>332</c:v>
                </c:pt>
                <c:pt idx="935">
                  <c:v>190</c:v>
                </c:pt>
                <c:pt idx="936">
                  <c:v>87</c:v>
                </c:pt>
                <c:pt idx="937">
                  <c:v>84</c:v>
                </c:pt>
                <c:pt idx="938">
                  <c:v>304</c:v>
                </c:pt>
                <c:pt idx="939">
                  <c:v>290</c:v>
                </c:pt>
                <c:pt idx="940">
                  <c:v>30</c:v>
                </c:pt>
                <c:pt idx="941">
                  <c:v>180</c:v>
                </c:pt>
                <c:pt idx="942">
                  <c:v>24</c:v>
                </c:pt>
                <c:pt idx="943">
                  <c:v>220</c:v>
                </c:pt>
                <c:pt idx="944">
                  <c:v>57</c:v>
                </c:pt>
                <c:pt idx="945">
                  <c:v>95</c:v>
                </c:pt>
                <c:pt idx="946">
                  <c:v>158</c:v>
                </c:pt>
                <c:pt idx="947">
                  <c:v>197</c:v>
                </c:pt>
                <c:pt idx="948">
                  <c:v>381</c:v>
                </c:pt>
                <c:pt idx="949">
                  <c:v>315</c:v>
                </c:pt>
                <c:pt idx="950">
                  <c:v>160</c:v>
                </c:pt>
                <c:pt idx="951">
                  <c:v>150</c:v>
                </c:pt>
                <c:pt idx="952">
                  <c:v>78</c:v>
                </c:pt>
                <c:pt idx="953">
                  <c:v>269</c:v>
                </c:pt>
                <c:pt idx="954">
                  <c:v>343</c:v>
                </c:pt>
                <c:pt idx="955">
                  <c:v>18</c:v>
                </c:pt>
                <c:pt idx="956">
                  <c:v>130</c:v>
                </c:pt>
                <c:pt idx="957">
                  <c:v>380</c:v>
                </c:pt>
                <c:pt idx="958">
                  <c:v>110</c:v>
                </c:pt>
                <c:pt idx="959">
                  <c:v>158</c:v>
                </c:pt>
                <c:pt idx="960">
                  <c:v>155</c:v>
                </c:pt>
                <c:pt idx="961">
                  <c:v>362</c:v>
                </c:pt>
                <c:pt idx="962">
                  <c:v>252</c:v>
                </c:pt>
                <c:pt idx="963">
                  <c:v>250</c:v>
                </c:pt>
                <c:pt idx="964">
                  <c:v>346</c:v>
                </c:pt>
                <c:pt idx="965">
                  <c:v>52</c:v>
                </c:pt>
                <c:pt idx="966">
                  <c:v>104</c:v>
                </c:pt>
                <c:pt idx="967">
                  <c:v>235</c:v>
                </c:pt>
                <c:pt idx="968">
                  <c:v>15</c:v>
                </c:pt>
                <c:pt idx="969">
                  <c:v>223</c:v>
                </c:pt>
                <c:pt idx="970">
                  <c:v>215</c:v>
                </c:pt>
                <c:pt idx="971">
                  <c:v>76</c:v>
                </c:pt>
                <c:pt idx="972">
                  <c:v>109</c:v>
                </c:pt>
                <c:pt idx="973">
                  <c:v>21</c:v>
                </c:pt>
                <c:pt idx="974">
                  <c:v>246</c:v>
                </c:pt>
                <c:pt idx="975">
                  <c:v>331</c:v>
                </c:pt>
                <c:pt idx="976">
                  <c:v>267</c:v>
                </c:pt>
                <c:pt idx="977">
                  <c:v>346</c:v>
                </c:pt>
                <c:pt idx="978">
                  <c:v>144</c:v>
                </c:pt>
                <c:pt idx="979">
                  <c:v>231</c:v>
                </c:pt>
                <c:pt idx="980">
                  <c:v>165</c:v>
                </c:pt>
                <c:pt idx="981">
                  <c:v>151</c:v>
                </c:pt>
                <c:pt idx="982">
                  <c:v>167</c:v>
                </c:pt>
                <c:pt idx="983">
                  <c:v>335</c:v>
                </c:pt>
                <c:pt idx="984">
                  <c:v>380</c:v>
                </c:pt>
                <c:pt idx="985">
                  <c:v>353</c:v>
                </c:pt>
                <c:pt idx="986">
                  <c:v>271</c:v>
                </c:pt>
                <c:pt idx="987">
                  <c:v>292</c:v>
                </c:pt>
                <c:pt idx="988">
                  <c:v>347</c:v>
                </c:pt>
                <c:pt idx="989">
                  <c:v>353</c:v>
                </c:pt>
                <c:pt idx="990">
                  <c:v>238</c:v>
                </c:pt>
                <c:pt idx="991">
                  <c:v>385</c:v>
                </c:pt>
                <c:pt idx="992">
                  <c:v>289</c:v>
                </c:pt>
                <c:pt idx="993">
                  <c:v>367</c:v>
                </c:pt>
                <c:pt idx="994">
                  <c:v>299</c:v>
                </c:pt>
                <c:pt idx="995">
                  <c:v>177</c:v>
                </c:pt>
                <c:pt idx="996">
                  <c:v>56</c:v>
                </c:pt>
                <c:pt idx="997">
                  <c:v>212</c:v>
                </c:pt>
                <c:pt idx="998">
                  <c:v>223</c:v>
                </c:pt>
                <c:pt idx="999">
                  <c:v>255</c:v>
                </c:pt>
              </c:numCache>
            </c:numRef>
          </c:yVal>
          <c:smooth val="0"/>
          <c:extLst>
            <c:ext xmlns:c16="http://schemas.microsoft.com/office/drawing/2014/chart" uri="{C3380CC4-5D6E-409C-BE32-E72D297353CC}">
              <c16:uniqueId val="{00000000-EE69-49E6-95F1-A5ACCE42DB16}"/>
            </c:ext>
          </c:extLst>
        </c:ser>
        <c:dLbls>
          <c:showLegendKey val="0"/>
          <c:showVal val="0"/>
          <c:showCatName val="0"/>
          <c:showSerName val="0"/>
          <c:showPercent val="0"/>
          <c:showBubbleSize val="0"/>
        </c:dLbls>
        <c:axId val="1471550336"/>
        <c:axId val="1471532096"/>
      </c:scatterChart>
      <c:valAx>
        <c:axId val="1471550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71532096"/>
        <c:crosses val="autoZero"/>
        <c:crossBetween val="midCat"/>
      </c:valAx>
      <c:valAx>
        <c:axId val="14715320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 Delars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715503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BMW!$Q$1</c:f>
              <c:strCache>
                <c:ptCount val="1"/>
                <c:pt idx="0">
                  <c:v>competition_index</c:v>
                </c:pt>
              </c:strCache>
            </c:strRef>
          </c:tx>
          <c:spPr>
            <a:ln w="25400">
              <a:noFill/>
            </a:ln>
            <a:effectLst/>
          </c:spPr>
          <c:marker>
            <c:symbol val="circle"/>
            <c:size val="4"/>
            <c:spPr>
              <a:solidFill>
                <a:schemeClr val="accent5"/>
              </a:solidFill>
              <a:ln w="9525" cap="flat" cmpd="sng" algn="ctr">
                <a:solidFill>
                  <a:schemeClr val="accent5"/>
                </a:solidFill>
                <a:round/>
              </a:ln>
              <a:effectLst/>
            </c:spPr>
          </c:marker>
          <c:xVal>
            <c:numRef>
              <c:f>BMW!$I$2:$I$1001</c:f>
              <c:numCache>
                <c:formatCode>General</c:formatCode>
                <c:ptCount val="1000"/>
                <c:pt idx="0">
                  <c:v>324</c:v>
                </c:pt>
                <c:pt idx="1">
                  <c:v>556</c:v>
                </c:pt>
                <c:pt idx="2">
                  <c:v>152</c:v>
                </c:pt>
                <c:pt idx="3">
                  <c:v>730</c:v>
                </c:pt>
                <c:pt idx="4">
                  <c:v>1156</c:v>
                </c:pt>
                <c:pt idx="5">
                  <c:v>687</c:v>
                </c:pt>
                <c:pt idx="6">
                  <c:v>439</c:v>
                </c:pt>
                <c:pt idx="7">
                  <c:v>489</c:v>
                </c:pt>
                <c:pt idx="8">
                  <c:v>435</c:v>
                </c:pt>
                <c:pt idx="9">
                  <c:v>1080</c:v>
                </c:pt>
                <c:pt idx="10">
                  <c:v>447</c:v>
                </c:pt>
                <c:pt idx="11">
                  <c:v>827</c:v>
                </c:pt>
                <c:pt idx="12">
                  <c:v>712</c:v>
                </c:pt>
                <c:pt idx="13">
                  <c:v>1181</c:v>
                </c:pt>
                <c:pt idx="14">
                  <c:v>307</c:v>
                </c:pt>
                <c:pt idx="15">
                  <c:v>725</c:v>
                </c:pt>
                <c:pt idx="16">
                  <c:v>588</c:v>
                </c:pt>
                <c:pt idx="17">
                  <c:v>644</c:v>
                </c:pt>
                <c:pt idx="18">
                  <c:v>534</c:v>
                </c:pt>
                <c:pt idx="19">
                  <c:v>1004</c:v>
                </c:pt>
                <c:pt idx="20">
                  <c:v>544</c:v>
                </c:pt>
                <c:pt idx="21">
                  <c:v>751</c:v>
                </c:pt>
                <c:pt idx="22">
                  <c:v>1061</c:v>
                </c:pt>
                <c:pt idx="23">
                  <c:v>954</c:v>
                </c:pt>
                <c:pt idx="24">
                  <c:v>673</c:v>
                </c:pt>
                <c:pt idx="25">
                  <c:v>15</c:v>
                </c:pt>
                <c:pt idx="26">
                  <c:v>107</c:v>
                </c:pt>
                <c:pt idx="27">
                  <c:v>523</c:v>
                </c:pt>
                <c:pt idx="28">
                  <c:v>782</c:v>
                </c:pt>
                <c:pt idx="29">
                  <c:v>397</c:v>
                </c:pt>
                <c:pt idx="30">
                  <c:v>773</c:v>
                </c:pt>
                <c:pt idx="31">
                  <c:v>179</c:v>
                </c:pt>
                <c:pt idx="32">
                  <c:v>652</c:v>
                </c:pt>
                <c:pt idx="33">
                  <c:v>389</c:v>
                </c:pt>
                <c:pt idx="34">
                  <c:v>213</c:v>
                </c:pt>
                <c:pt idx="35">
                  <c:v>945</c:v>
                </c:pt>
                <c:pt idx="36">
                  <c:v>705</c:v>
                </c:pt>
                <c:pt idx="37">
                  <c:v>368</c:v>
                </c:pt>
                <c:pt idx="38">
                  <c:v>743</c:v>
                </c:pt>
                <c:pt idx="39">
                  <c:v>805</c:v>
                </c:pt>
                <c:pt idx="40">
                  <c:v>380</c:v>
                </c:pt>
                <c:pt idx="41">
                  <c:v>543</c:v>
                </c:pt>
                <c:pt idx="42">
                  <c:v>429</c:v>
                </c:pt>
                <c:pt idx="43">
                  <c:v>661</c:v>
                </c:pt>
                <c:pt idx="44">
                  <c:v>1001</c:v>
                </c:pt>
                <c:pt idx="45">
                  <c:v>413</c:v>
                </c:pt>
                <c:pt idx="46">
                  <c:v>396</c:v>
                </c:pt>
                <c:pt idx="47">
                  <c:v>225</c:v>
                </c:pt>
                <c:pt idx="48">
                  <c:v>992</c:v>
                </c:pt>
                <c:pt idx="49">
                  <c:v>476</c:v>
                </c:pt>
                <c:pt idx="50">
                  <c:v>357</c:v>
                </c:pt>
                <c:pt idx="51">
                  <c:v>1145</c:v>
                </c:pt>
                <c:pt idx="52">
                  <c:v>679</c:v>
                </c:pt>
                <c:pt idx="53">
                  <c:v>184</c:v>
                </c:pt>
                <c:pt idx="54">
                  <c:v>205</c:v>
                </c:pt>
                <c:pt idx="55">
                  <c:v>534</c:v>
                </c:pt>
                <c:pt idx="56">
                  <c:v>578</c:v>
                </c:pt>
                <c:pt idx="57">
                  <c:v>292</c:v>
                </c:pt>
                <c:pt idx="58">
                  <c:v>495</c:v>
                </c:pt>
                <c:pt idx="59">
                  <c:v>576</c:v>
                </c:pt>
                <c:pt idx="60">
                  <c:v>534</c:v>
                </c:pt>
                <c:pt idx="61">
                  <c:v>453</c:v>
                </c:pt>
                <c:pt idx="62">
                  <c:v>1070</c:v>
                </c:pt>
                <c:pt idx="63">
                  <c:v>348</c:v>
                </c:pt>
                <c:pt idx="64">
                  <c:v>651</c:v>
                </c:pt>
                <c:pt idx="65">
                  <c:v>307</c:v>
                </c:pt>
                <c:pt idx="66">
                  <c:v>951</c:v>
                </c:pt>
                <c:pt idx="67">
                  <c:v>393</c:v>
                </c:pt>
                <c:pt idx="68">
                  <c:v>453</c:v>
                </c:pt>
                <c:pt idx="69">
                  <c:v>1190</c:v>
                </c:pt>
                <c:pt idx="70">
                  <c:v>847</c:v>
                </c:pt>
                <c:pt idx="71">
                  <c:v>117</c:v>
                </c:pt>
                <c:pt idx="72">
                  <c:v>518</c:v>
                </c:pt>
                <c:pt idx="73">
                  <c:v>610</c:v>
                </c:pt>
                <c:pt idx="74">
                  <c:v>260</c:v>
                </c:pt>
                <c:pt idx="75">
                  <c:v>1115</c:v>
                </c:pt>
                <c:pt idx="76">
                  <c:v>677</c:v>
                </c:pt>
                <c:pt idx="77">
                  <c:v>370</c:v>
                </c:pt>
                <c:pt idx="78">
                  <c:v>532</c:v>
                </c:pt>
                <c:pt idx="79">
                  <c:v>691</c:v>
                </c:pt>
                <c:pt idx="80">
                  <c:v>899</c:v>
                </c:pt>
                <c:pt idx="81">
                  <c:v>605</c:v>
                </c:pt>
                <c:pt idx="82">
                  <c:v>474</c:v>
                </c:pt>
                <c:pt idx="83">
                  <c:v>706</c:v>
                </c:pt>
                <c:pt idx="84">
                  <c:v>272</c:v>
                </c:pt>
                <c:pt idx="85">
                  <c:v>531</c:v>
                </c:pt>
                <c:pt idx="86">
                  <c:v>586</c:v>
                </c:pt>
                <c:pt idx="87">
                  <c:v>667</c:v>
                </c:pt>
                <c:pt idx="88">
                  <c:v>559</c:v>
                </c:pt>
                <c:pt idx="89">
                  <c:v>502</c:v>
                </c:pt>
                <c:pt idx="90">
                  <c:v>822</c:v>
                </c:pt>
                <c:pt idx="91">
                  <c:v>564</c:v>
                </c:pt>
                <c:pt idx="92">
                  <c:v>1066</c:v>
                </c:pt>
                <c:pt idx="93">
                  <c:v>871</c:v>
                </c:pt>
                <c:pt idx="94">
                  <c:v>592</c:v>
                </c:pt>
                <c:pt idx="95">
                  <c:v>508</c:v>
                </c:pt>
                <c:pt idx="96">
                  <c:v>1177</c:v>
                </c:pt>
                <c:pt idx="97">
                  <c:v>630</c:v>
                </c:pt>
                <c:pt idx="98">
                  <c:v>845</c:v>
                </c:pt>
                <c:pt idx="99">
                  <c:v>880</c:v>
                </c:pt>
                <c:pt idx="100">
                  <c:v>100</c:v>
                </c:pt>
                <c:pt idx="101">
                  <c:v>451</c:v>
                </c:pt>
                <c:pt idx="102">
                  <c:v>944</c:v>
                </c:pt>
                <c:pt idx="103">
                  <c:v>705</c:v>
                </c:pt>
                <c:pt idx="104">
                  <c:v>947</c:v>
                </c:pt>
                <c:pt idx="105">
                  <c:v>658</c:v>
                </c:pt>
                <c:pt idx="106">
                  <c:v>532</c:v>
                </c:pt>
                <c:pt idx="107">
                  <c:v>904</c:v>
                </c:pt>
                <c:pt idx="108">
                  <c:v>728</c:v>
                </c:pt>
                <c:pt idx="109">
                  <c:v>709</c:v>
                </c:pt>
                <c:pt idx="110">
                  <c:v>368</c:v>
                </c:pt>
                <c:pt idx="111">
                  <c:v>1007</c:v>
                </c:pt>
                <c:pt idx="112">
                  <c:v>193</c:v>
                </c:pt>
                <c:pt idx="113">
                  <c:v>874</c:v>
                </c:pt>
                <c:pt idx="114">
                  <c:v>622</c:v>
                </c:pt>
                <c:pt idx="115">
                  <c:v>1049</c:v>
                </c:pt>
                <c:pt idx="116">
                  <c:v>857</c:v>
                </c:pt>
                <c:pt idx="117">
                  <c:v>426</c:v>
                </c:pt>
                <c:pt idx="118">
                  <c:v>1055</c:v>
                </c:pt>
                <c:pt idx="119">
                  <c:v>742</c:v>
                </c:pt>
                <c:pt idx="120">
                  <c:v>686</c:v>
                </c:pt>
                <c:pt idx="121">
                  <c:v>299</c:v>
                </c:pt>
                <c:pt idx="122">
                  <c:v>716</c:v>
                </c:pt>
                <c:pt idx="123">
                  <c:v>906</c:v>
                </c:pt>
                <c:pt idx="124">
                  <c:v>1038</c:v>
                </c:pt>
                <c:pt idx="125">
                  <c:v>421</c:v>
                </c:pt>
                <c:pt idx="126">
                  <c:v>551</c:v>
                </c:pt>
                <c:pt idx="127">
                  <c:v>941</c:v>
                </c:pt>
                <c:pt idx="128">
                  <c:v>626</c:v>
                </c:pt>
                <c:pt idx="129">
                  <c:v>632</c:v>
                </c:pt>
                <c:pt idx="130">
                  <c:v>837</c:v>
                </c:pt>
                <c:pt idx="131">
                  <c:v>749</c:v>
                </c:pt>
                <c:pt idx="132">
                  <c:v>373</c:v>
                </c:pt>
                <c:pt idx="133">
                  <c:v>753</c:v>
                </c:pt>
                <c:pt idx="134">
                  <c:v>1169</c:v>
                </c:pt>
                <c:pt idx="135">
                  <c:v>780</c:v>
                </c:pt>
                <c:pt idx="136">
                  <c:v>756</c:v>
                </c:pt>
                <c:pt idx="137">
                  <c:v>848</c:v>
                </c:pt>
                <c:pt idx="138">
                  <c:v>911</c:v>
                </c:pt>
                <c:pt idx="139">
                  <c:v>530</c:v>
                </c:pt>
                <c:pt idx="140">
                  <c:v>989</c:v>
                </c:pt>
                <c:pt idx="141">
                  <c:v>203</c:v>
                </c:pt>
                <c:pt idx="142">
                  <c:v>685</c:v>
                </c:pt>
                <c:pt idx="143">
                  <c:v>408</c:v>
                </c:pt>
                <c:pt idx="144">
                  <c:v>762</c:v>
                </c:pt>
                <c:pt idx="145">
                  <c:v>941</c:v>
                </c:pt>
                <c:pt idx="146">
                  <c:v>425</c:v>
                </c:pt>
                <c:pt idx="147">
                  <c:v>596</c:v>
                </c:pt>
                <c:pt idx="148">
                  <c:v>769</c:v>
                </c:pt>
                <c:pt idx="149">
                  <c:v>543</c:v>
                </c:pt>
                <c:pt idx="150">
                  <c:v>997</c:v>
                </c:pt>
                <c:pt idx="151">
                  <c:v>357</c:v>
                </c:pt>
                <c:pt idx="152">
                  <c:v>1043</c:v>
                </c:pt>
                <c:pt idx="153">
                  <c:v>849</c:v>
                </c:pt>
                <c:pt idx="154">
                  <c:v>122</c:v>
                </c:pt>
                <c:pt idx="155">
                  <c:v>916</c:v>
                </c:pt>
                <c:pt idx="156">
                  <c:v>882</c:v>
                </c:pt>
                <c:pt idx="157">
                  <c:v>472</c:v>
                </c:pt>
                <c:pt idx="158">
                  <c:v>448</c:v>
                </c:pt>
                <c:pt idx="159">
                  <c:v>956</c:v>
                </c:pt>
                <c:pt idx="160">
                  <c:v>628</c:v>
                </c:pt>
                <c:pt idx="161">
                  <c:v>806</c:v>
                </c:pt>
                <c:pt idx="162">
                  <c:v>465</c:v>
                </c:pt>
                <c:pt idx="163">
                  <c:v>121</c:v>
                </c:pt>
                <c:pt idx="164">
                  <c:v>923</c:v>
                </c:pt>
                <c:pt idx="165">
                  <c:v>507</c:v>
                </c:pt>
                <c:pt idx="166">
                  <c:v>288</c:v>
                </c:pt>
                <c:pt idx="167">
                  <c:v>519</c:v>
                </c:pt>
                <c:pt idx="168">
                  <c:v>527</c:v>
                </c:pt>
                <c:pt idx="169">
                  <c:v>883</c:v>
                </c:pt>
                <c:pt idx="170">
                  <c:v>361</c:v>
                </c:pt>
                <c:pt idx="171">
                  <c:v>388</c:v>
                </c:pt>
                <c:pt idx="172">
                  <c:v>844</c:v>
                </c:pt>
                <c:pt idx="173">
                  <c:v>687</c:v>
                </c:pt>
                <c:pt idx="174">
                  <c:v>880</c:v>
                </c:pt>
                <c:pt idx="175">
                  <c:v>887</c:v>
                </c:pt>
                <c:pt idx="176">
                  <c:v>788</c:v>
                </c:pt>
                <c:pt idx="177">
                  <c:v>1026</c:v>
                </c:pt>
                <c:pt idx="178">
                  <c:v>347</c:v>
                </c:pt>
                <c:pt idx="179">
                  <c:v>386</c:v>
                </c:pt>
                <c:pt idx="180">
                  <c:v>187</c:v>
                </c:pt>
                <c:pt idx="181">
                  <c:v>599</c:v>
                </c:pt>
                <c:pt idx="182">
                  <c:v>815</c:v>
                </c:pt>
                <c:pt idx="183">
                  <c:v>1044</c:v>
                </c:pt>
                <c:pt idx="184">
                  <c:v>536</c:v>
                </c:pt>
                <c:pt idx="185">
                  <c:v>967</c:v>
                </c:pt>
                <c:pt idx="186">
                  <c:v>744</c:v>
                </c:pt>
                <c:pt idx="187">
                  <c:v>341</c:v>
                </c:pt>
                <c:pt idx="188">
                  <c:v>511</c:v>
                </c:pt>
                <c:pt idx="189">
                  <c:v>790</c:v>
                </c:pt>
                <c:pt idx="190">
                  <c:v>457</c:v>
                </c:pt>
                <c:pt idx="191">
                  <c:v>245</c:v>
                </c:pt>
                <c:pt idx="192">
                  <c:v>818</c:v>
                </c:pt>
                <c:pt idx="193">
                  <c:v>596</c:v>
                </c:pt>
                <c:pt idx="194">
                  <c:v>396</c:v>
                </c:pt>
                <c:pt idx="195">
                  <c:v>523</c:v>
                </c:pt>
                <c:pt idx="196">
                  <c:v>419</c:v>
                </c:pt>
                <c:pt idx="197">
                  <c:v>173</c:v>
                </c:pt>
                <c:pt idx="198">
                  <c:v>393</c:v>
                </c:pt>
                <c:pt idx="199">
                  <c:v>654</c:v>
                </c:pt>
                <c:pt idx="200">
                  <c:v>773</c:v>
                </c:pt>
                <c:pt idx="201">
                  <c:v>211</c:v>
                </c:pt>
                <c:pt idx="202">
                  <c:v>375</c:v>
                </c:pt>
                <c:pt idx="203">
                  <c:v>975</c:v>
                </c:pt>
                <c:pt idx="204">
                  <c:v>396</c:v>
                </c:pt>
                <c:pt idx="205">
                  <c:v>500</c:v>
                </c:pt>
                <c:pt idx="206">
                  <c:v>142</c:v>
                </c:pt>
                <c:pt idx="207">
                  <c:v>523</c:v>
                </c:pt>
                <c:pt idx="208">
                  <c:v>697</c:v>
                </c:pt>
                <c:pt idx="209">
                  <c:v>941</c:v>
                </c:pt>
                <c:pt idx="210">
                  <c:v>446</c:v>
                </c:pt>
                <c:pt idx="211">
                  <c:v>477</c:v>
                </c:pt>
                <c:pt idx="212">
                  <c:v>1008</c:v>
                </c:pt>
                <c:pt idx="213">
                  <c:v>781</c:v>
                </c:pt>
                <c:pt idx="214">
                  <c:v>532</c:v>
                </c:pt>
                <c:pt idx="215">
                  <c:v>542</c:v>
                </c:pt>
                <c:pt idx="216">
                  <c:v>796</c:v>
                </c:pt>
                <c:pt idx="217">
                  <c:v>1237</c:v>
                </c:pt>
                <c:pt idx="218">
                  <c:v>318</c:v>
                </c:pt>
                <c:pt idx="219">
                  <c:v>592</c:v>
                </c:pt>
                <c:pt idx="220">
                  <c:v>677</c:v>
                </c:pt>
                <c:pt idx="221">
                  <c:v>551</c:v>
                </c:pt>
                <c:pt idx="222">
                  <c:v>924</c:v>
                </c:pt>
                <c:pt idx="223">
                  <c:v>536</c:v>
                </c:pt>
                <c:pt idx="224">
                  <c:v>1099</c:v>
                </c:pt>
                <c:pt idx="225">
                  <c:v>894</c:v>
                </c:pt>
                <c:pt idx="226">
                  <c:v>665</c:v>
                </c:pt>
                <c:pt idx="227">
                  <c:v>830</c:v>
                </c:pt>
                <c:pt idx="228">
                  <c:v>705</c:v>
                </c:pt>
                <c:pt idx="229">
                  <c:v>360</c:v>
                </c:pt>
                <c:pt idx="230">
                  <c:v>152</c:v>
                </c:pt>
                <c:pt idx="231">
                  <c:v>162</c:v>
                </c:pt>
                <c:pt idx="232">
                  <c:v>411</c:v>
                </c:pt>
                <c:pt idx="233">
                  <c:v>359</c:v>
                </c:pt>
                <c:pt idx="234">
                  <c:v>367</c:v>
                </c:pt>
                <c:pt idx="235">
                  <c:v>644</c:v>
                </c:pt>
                <c:pt idx="236">
                  <c:v>530</c:v>
                </c:pt>
                <c:pt idx="237">
                  <c:v>899</c:v>
                </c:pt>
                <c:pt idx="238">
                  <c:v>550</c:v>
                </c:pt>
                <c:pt idx="239">
                  <c:v>903</c:v>
                </c:pt>
                <c:pt idx="240">
                  <c:v>860</c:v>
                </c:pt>
                <c:pt idx="241">
                  <c:v>1012</c:v>
                </c:pt>
                <c:pt idx="242">
                  <c:v>538</c:v>
                </c:pt>
                <c:pt idx="243">
                  <c:v>516</c:v>
                </c:pt>
                <c:pt idx="244">
                  <c:v>407</c:v>
                </c:pt>
                <c:pt idx="245">
                  <c:v>925</c:v>
                </c:pt>
                <c:pt idx="246">
                  <c:v>1025</c:v>
                </c:pt>
                <c:pt idx="247">
                  <c:v>450</c:v>
                </c:pt>
                <c:pt idx="248">
                  <c:v>543</c:v>
                </c:pt>
                <c:pt idx="249">
                  <c:v>999</c:v>
                </c:pt>
                <c:pt idx="250">
                  <c:v>811</c:v>
                </c:pt>
                <c:pt idx="251">
                  <c:v>685</c:v>
                </c:pt>
                <c:pt idx="252">
                  <c:v>847</c:v>
                </c:pt>
                <c:pt idx="253">
                  <c:v>209</c:v>
                </c:pt>
                <c:pt idx="254">
                  <c:v>840</c:v>
                </c:pt>
                <c:pt idx="255">
                  <c:v>725</c:v>
                </c:pt>
                <c:pt idx="256">
                  <c:v>344</c:v>
                </c:pt>
                <c:pt idx="257">
                  <c:v>441</c:v>
                </c:pt>
                <c:pt idx="258">
                  <c:v>281</c:v>
                </c:pt>
                <c:pt idx="259">
                  <c:v>625</c:v>
                </c:pt>
                <c:pt idx="260">
                  <c:v>1104</c:v>
                </c:pt>
                <c:pt idx="261">
                  <c:v>540</c:v>
                </c:pt>
                <c:pt idx="262">
                  <c:v>457</c:v>
                </c:pt>
                <c:pt idx="263">
                  <c:v>420</c:v>
                </c:pt>
                <c:pt idx="264">
                  <c:v>897</c:v>
                </c:pt>
                <c:pt idx="265">
                  <c:v>529</c:v>
                </c:pt>
                <c:pt idx="266">
                  <c:v>943</c:v>
                </c:pt>
                <c:pt idx="267">
                  <c:v>634</c:v>
                </c:pt>
                <c:pt idx="268">
                  <c:v>670</c:v>
                </c:pt>
                <c:pt idx="269">
                  <c:v>1001</c:v>
                </c:pt>
                <c:pt idx="270">
                  <c:v>191</c:v>
                </c:pt>
                <c:pt idx="271">
                  <c:v>937</c:v>
                </c:pt>
                <c:pt idx="272">
                  <c:v>471</c:v>
                </c:pt>
                <c:pt idx="273">
                  <c:v>615</c:v>
                </c:pt>
                <c:pt idx="274">
                  <c:v>245</c:v>
                </c:pt>
                <c:pt idx="275">
                  <c:v>265</c:v>
                </c:pt>
                <c:pt idx="276">
                  <c:v>313</c:v>
                </c:pt>
                <c:pt idx="277">
                  <c:v>674</c:v>
                </c:pt>
                <c:pt idx="278">
                  <c:v>807</c:v>
                </c:pt>
                <c:pt idx="279">
                  <c:v>201</c:v>
                </c:pt>
                <c:pt idx="280">
                  <c:v>848</c:v>
                </c:pt>
                <c:pt idx="281">
                  <c:v>447</c:v>
                </c:pt>
                <c:pt idx="282">
                  <c:v>1051</c:v>
                </c:pt>
                <c:pt idx="283">
                  <c:v>436</c:v>
                </c:pt>
                <c:pt idx="284">
                  <c:v>197</c:v>
                </c:pt>
                <c:pt idx="285">
                  <c:v>1021</c:v>
                </c:pt>
                <c:pt idx="286">
                  <c:v>640</c:v>
                </c:pt>
                <c:pt idx="287">
                  <c:v>1081</c:v>
                </c:pt>
                <c:pt idx="288">
                  <c:v>100</c:v>
                </c:pt>
                <c:pt idx="289">
                  <c:v>675</c:v>
                </c:pt>
                <c:pt idx="290">
                  <c:v>351</c:v>
                </c:pt>
                <c:pt idx="291">
                  <c:v>355</c:v>
                </c:pt>
                <c:pt idx="292">
                  <c:v>1195</c:v>
                </c:pt>
                <c:pt idx="293">
                  <c:v>811</c:v>
                </c:pt>
                <c:pt idx="294">
                  <c:v>473</c:v>
                </c:pt>
                <c:pt idx="295">
                  <c:v>1027</c:v>
                </c:pt>
                <c:pt idx="296">
                  <c:v>505</c:v>
                </c:pt>
                <c:pt idx="297">
                  <c:v>369</c:v>
                </c:pt>
                <c:pt idx="298">
                  <c:v>782</c:v>
                </c:pt>
                <c:pt idx="299">
                  <c:v>432</c:v>
                </c:pt>
                <c:pt idx="300">
                  <c:v>773</c:v>
                </c:pt>
                <c:pt idx="301">
                  <c:v>554</c:v>
                </c:pt>
                <c:pt idx="302">
                  <c:v>398</c:v>
                </c:pt>
                <c:pt idx="303">
                  <c:v>424</c:v>
                </c:pt>
                <c:pt idx="304">
                  <c:v>67</c:v>
                </c:pt>
                <c:pt idx="305">
                  <c:v>540</c:v>
                </c:pt>
                <c:pt idx="306">
                  <c:v>887</c:v>
                </c:pt>
                <c:pt idx="307">
                  <c:v>687</c:v>
                </c:pt>
                <c:pt idx="308">
                  <c:v>514</c:v>
                </c:pt>
                <c:pt idx="309">
                  <c:v>255</c:v>
                </c:pt>
                <c:pt idx="310">
                  <c:v>302</c:v>
                </c:pt>
                <c:pt idx="311">
                  <c:v>730</c:v>
                </c:pt>
                <c:pt idx="312">
                  <c:v>847</c:v>
                </c:pt>
                <c:pt idx="313">
                  <c:v>498</c:v>
                </c:pt>
                <c:pt idx="314">
                  <c:v>176</c:v>
                </c:pt>
                <c:pt idx="315">
                  <c:v>736</c:v>
                </c:pt>
                <c:pt idx="316">
                  <c:v>836</c:v>
                </c:pt>
                <c:pt idx="317">
                  <c:v>609</c:v>
                </c:pt>
                <c:pt idx="318">
                  <c:v>753</c:v>
                </c:pt>
                <c:pt idx="319">
                  <c:v>632</c:v>
                </c:pt>
                <c:pt idx="320">
                  <c:v>531</c:v>
                </c:pt>
                <c:pt idx="321">
                  <c:v>542</c:v>
                </c:pt>
                <c:pt idx="322">
                  <c:v>529</c:v>
                </c:pt>
                <c:pt idx="323">
                  <c:v>130</c:v>
                </c:pt>
                <c:pt idx="324">
                  <c:v>533</c:v>
                </c:pt>
                <c:pt idx="325">
                  <c:v>430</c:v>
                </c:pt>
                <c:pt idx="326">
                  <c:v>647</c:v>
                </c:pt>
                <c:pt idx="327">
                  <c:v>520</c:v>
                </c:pt>
                <c:pt idx="328">
                  <c:v>961</c:v>
                </c:pt>
                <c:pt idx="329">
                  <c:v>552</c:v>
                </c:pt>
                <c:pt idx="330">
                  <c:v>1150</c:v>
                </c:pt>
                <c:pt idx="331">
                  <c:v>361</c:v>
                </c:pt>
                <c:pt idx="332">
                  <c:v>630</c:v>
                </c:pt>
                <c:pt idx="333">
                  <c:v>876</c:v>
                </c:pt>
                <c:pt idx="334">
                  <c:v>525</c:v>
                </c:pt>
                <c:pt idx="335">
                  <c:v>718</c:v>
                </c:pt>
                <c:pt idx="336">
                  <c:v>680</c:v>
                </c:pt>
                <c:pt idx="337">
                  <c:v>466</c:v>
                </c:pt>
                <c:pt idx="338">
                  <c:v>497</c:v>
                </c:pt>
                <c:pt idx="339">
                  <c:v>893</c:v>
                </c:pt>
                <c:pt idx="340">
                  <c:v>347</c:v>
                </c:pt>
                <c:pt idx="341">
                  <c:v>158</c:v>
                </c:pt>
                <c:pt idx="342">
                  <c:v>701</c:v>
                </c:pt>
                <c:pt idx="343">
                  <c:v>657</c:v>
                </c:pt>
                <c:pt idx="344">
                  <c:v>306</c:v>
                </c:pt>
                <c:pt idx="345">
                  <c:v>958</c:v>
                </c:pt>
                <c:pt idx="346">
                  <c:v>1096</c:v>
                </c:pt>
                <c:pt idx="347">
                  <c:v>1086</c:v>
                </c:pt>
                <c:pt idx="348">
                  <c:v>647</c:v>
                </c:pt>
                <c:pt idx="349">
                  <c:v>290</c:v>
                </c:pt>
                <c:pt idx="350">
                  <c:v>475</c:v>
                </c:pt>
                <c:pt idx="351">
                  <c:v>521</c:v>
                </c:pt>
                <c:pt idx="352">
                  <c:v>1019</c:v>
                </c:pt>
                <c:pt idx="353">
                  <c:v>421</c:v>
                </c:pt>
                <c:pt idx="354">
                  <c:v>630</c:v>
                </c:pt>
                <c:pt idx="355">
                  <c:v>811</c:v>
                </c:pt>
                <c:pt idx="356">
                  <c:v>465</c:v>
                </c:pt>
                <c:pt idx="357">
                  <c:v>542</c:v>
                </c:pt>
                <c:pt idx="358">
                  <c:v>395</c:v>
                </c:pt>
                <c:pt idx="359">
                  <c:v>467</c:v>
                </c:pt>
                <c:pt idx="360">
                  <c:v>536</c:v>
                </c:pt>
                <c:pt idx="361">
                  <c:v>571</c:v>
                </c:pt>
                <c:pt idx="362">
                  <c:v>206</c:v>
                </c:pt>
                <c:pt idx="363">
                  <c:v>1135</c:v>
                </c:pt>
                <c:pt idx="364">
                  <c:v>453</c:v>
                </c:pt>
                <c:pt idx="365">
                  <c:v>517</c:v>
                </c:pt>
                <c:pt idx="366">
                  <c:v>1137</c:v>
                </c:pt>
                <c:pt idx="367">
                  <c:v>539</c:v>
                </c:pt>
                <c:pt idx="368">
                  <c:v>613</c:v>
                </c:pt>
                <c:pt idx="369">
                  <c:v>730</c:v>
                </c:pt>
                <c:pt idx="370">
                  <c:v>934</c:v>
                </c:pt>
                <c:pt idx="371">
                  <c:v>980</c:v>
                </c:pt>
                <c:pt idx="372">
                  <c:v>725</c:v>
                </c:pt>
                <c:pt idx="373">
                  <c:v>499</c:v>
                </c:pt>
                <c:pt idx="374">
                  <c:v>662</c:v>
                </c:pt>
                <c:pt idx="375">
                  <c:v>608</c:v>
                </c:pt>
                <c:pt idx="376">
                  <c:v>719</c:v>
                </c:pt>
                <c:pt idx="377">
                  <c:v>450</c:v>
                </c:pt>
                <c:pt idx="378">
                  <c:v>257</c:v>
                </c:pt>
                <c:pt idx="379">
                  <c:v>699</c:v>
                </c:pt>
                <c:pt idx="380">
                  <c:v>1078</c:v>
                </c:pt>
                <c:pt idx="381">
                  <c:v>246</c:v>
                </c:pt>
                <c:pt idx="382">
                  <c:v>197</c:v>
                </c:pt>
                <c:pt idx="383">
                  <c:v>931</c:v>
                </c:pt>
                <c:pt idx="384">
                  <c:v>1013</c:v>
                </c:pt>
                <c:pt idx="385">
                  <c:v>499</c:v>
                </c:pt>
                <c:pt idx="386">
                  <c:v>977</c:v>
                </c:pt>
                <c:pt idx="387">
                  <c:v>790</c:v>
                </c:pt>
                <c:pt idx="388">
                  <c:v>880</c:v>
                </c:pt>
                <c:pt idx="389">
                  <c:v>346</c:v>
                </c:pt>
                <c:pt idx="390">
                  <c:v>353</c:v>
                </c:pt>
                <c:pt idx="391">
                  <c:v>620</c:v>
                </c:pt>
                <c:pt idx="392">
                  <c:v>675</c:v>
                </c:pt>
                <c:pt idx="393">
                  <c:v>667</c:v>
                </c:pt>
                <c:pt idx="394">
                  <c:v>868</c:v>
                </c:pt>
                <c:pt idx="395">
                  <c:v>836</c:v>
                </c:pt>
                <c:pt idx="396">
                  <c:v>231</c:v>
                </c:pt>
                <c:pt idx="397">
                  <c:v>567</c:v>
                </c:pt>
                <c:pt idx="398">
                  <c:v>1016</c:v>
                </c:pt>
                <c:pt idx="399">
                  <c:v>386</c:v>
                </c:pt>
                <c:pt idx="400">
                  <c:v>730</c:v>
                </c:pt>
                <c:pt idx="401">
                  <c:v>552</c:v>
                </c:pt>
                <c:pt idx="402">
                  <c:v>875</c:v>
                </c:pt>
                <c:pt idx="403">
                  <c:v>1083</c:v>
                </c:pt>
                <c:pt idx="404">
                  <c:v>978</c:v>
                </c:pt>
                <c:pt idx="405">
                  <c:v>248</c:v>
                </c:pt>
                <c:pt idx="406">
                  <c:v>351</c:v>
                </c:pt>
                <c:pt idx="407">
                  <c:v>556</c:v>
                </c:pt>
                <c:pt idx="408">
                  <c:v>578</c:v>
                </c:pt>
                <c:pt idx="409">
                  <c:v>147</c:v>
                </c:pt>
                <c:pt idx="410">
                  <c:v>886</c:v>
                </c:pt>
                <c:pt idx="411">
                  <c:v>319</c:v>
                </c:pt>
                <c:pt idx="412">
                  <c:v>369</c:v>
                </c:pt>
                <c:pt idx="413">
                  <c:v>493</c:v>
                </c:pt>
                <c:pt idx="414">
                  <c:v>581</c:v>
                </c:pt>
                <c:pt idx="415">
                  <c:v>517</c:v>
                </c:pt>
                <c:pt idx="416">
                  <c:v>207</c:v>
                </c:pt>
                <c:pt idx="417">
                  <c:v>281</c:v>
                </c:pt>
                <c:pt idx="418">
                  <c:v>775</c:v>
                </c:pt>
                <c:pt idx="419">
                  <c:v>724</c:v>
                </c:pt>
                <c:pt idx="420">
                  <c:v>664</c:v>
                </c:pt>
                <c:pt idx="421">
                  <c:v>953</c:v>
                </c:pt>
                <c:pt idx="422">
                  <c:v>187</c:v>
                </c:pt>
                <c:pt idx="423">
                  <c:v>305</c:v>
                </c:pt>
                <c:pt idx="424">
                  <c:v>525</c:v>
                </c:pt>
                <c:pt idx="425">
                  <c:v>451</c:v>
                </c:pt>
                <c:pt idx="426">
                  <c:v>813</c:v>
                </c:pt>
                <c:pt idx="427">
                  <c:v>552</c:v>
                </c:pt>
                <c:pt idx="428">
                  <c:v>911</c:v>
                </c:pt>
                <c:pt idx="429">
                  <c:v>865</c:v>
                </c:pt>
                <c:pt idx="430">
                  <c:v>765</c:v>
                </c:pt>
                <c:pt idx="431">
                  <c:v>638</c:v>
                </c:pt>
                <c:pt idx="432">
                  <c:v>313</c:v>
                </c:pt>
                <c:pt idx="433">
                  <c:v>778</c:v>
                </c:pt>
                <c:pt idx="434">
                  <c:v>947</c:v>
                </c:pt>
                <c:pt idx="435">
                  <c:v>588</c:v>
                </c:pt>
                <c:pt idx="436">
                  <c:v>517</c:v>
                </c:pt>
                <c:pt idx="437">
                  <c:v>192</c:v>
                </c:pt>
                <c:pt idx="438">
                  <c:v>400</c:v>
                </c:pt>
                <c:pt idx="439">
                  <c:v>469</c:v>
                </c:pt>
                <c:pt idx="440">
                  <c:v>884</c:v>
                </c:pt>
                <c:pt idx="441">
                  <c:v>910</c:v>
                </c:pt>
                <c:pt idx="442">
                  <c:v>372</c:v>
                </c:pt>
                <c:pt idx="443">
                  <c:v>305</c:v>
                </c:pt>
                <c:pt idx="444">
                  <c:v>636</c:v>
                </c:pt>
                <c:pt idx="445">
                  <c:v>433</c:v>
                </c:pt>
                <c:pt idx="446">
                  <c:v>931</c:v>
                </c:pt>
                <c:pt idx="447">
                  <c:v>751</c:v>
                </c:pt>
                <c:pt idx="448">
                  <c:v>904</c:v>
                </c:pt>
                <c:pt idx="449">
                  <c:v>652</c:v>
                </c:pt>
                <c:pt idx="450">
                  <c:v>573</c:v>
                </c:pt>
                <c:pt idx="451">
                  <c:v>1027</c:v>
                </c:pt>
                <c:pt idx="452">
                  <c:v>575</c:v>
                </c:pt>
                <c:pt idx="453">
                  <c:v>848</c:v>
                </c:pt>
                <c:pt idx="454">
                  <c:v>432</c:v>
                </c:pt>
                <c:pt idx="455">
                  <c:v>918</c:v>
                </c:pt>
                <c:pt idx="456">
                  <c:v>1197</c:v>
                </c:pt>
                <c:pt idx="457">
                  <c:v>216</c:v>
                </c:pt>
                <c:pt idx="458">
                  <c:v>847</c:v>
                </c:pt>
                <c:pt idx="459">
                  <c:v>72</c:v>
                </c:pt>
                <c:pt idx="460">
                  <c:v>416</c:v>
                </c:pt>
                <c:pt idx="461">
                  <c:v>827</c:v>
                </c:pt>
                <c:pt idx="462">
                  <c:v>355</c:v>
                </c:pt>
                <c:pt idx="463">
                  <c:v>254</c:v>
                </c:pt>
                <c:pt idx="464">
                  <c:v>626</c:v>
                </c:pt>
                <c:pt idx="465">
                  <c:v>862</c:v>
                </c:pt>
                <c:pt idx="466">
                  <c:v>409</c:v>
                </c:pt>
                <c:pt idx="467">
                  <c:v>561</c:v>
                </c:pt>
                <c:pt idx="468">
                  <c:v>889</c:v>
                </c:pt>
                <c:pt idx="469">
                  <c:v>784</c:v>
                </c:pt>
                <c:pt idx="470">
                  <c:v>495</c:v>
                </c:pt>
                <c:pt idx="471">
                  <c:v>417</c:v>
                </c:pt>
                <c:pt idx="472">
                  <c:v>869</c:v>
                </c:pt>
                <c:pt idx="473">
                  <c:v>951</c:v>
                </c:pt>
                <c:pt idx="474">
                  <c:v>542</c:v>
                </c:pt>
                <c:pt idx="475">
                  <c:v>398</c:v>
                </c:pt>
                <c:pt idx="476">
                  <c:v>296</c:v>
                </c:pt>
                <c:pt idx="477">
                  <c:v>517</c:v>
                </c:pt>
                <c:pt idx="478">
                  <c:v>418</c:v>
                </c:pt>
                <c:pt idx="479">
                  <c:v>306</c:v>
                </c:pt>
                <c:pt idx="480">
                  <c:v>930</c:v>
                </c:pt>
                <c:pt idx="481">
                  <c:v>805</c:v>
                </c:pt>
                <c:pt idx="482">
                  <c:v>538</c:v>
                </c:pt>
                <c:pt idx="483">
                  <c:v>697</c:v>
                </c:pt>
                <c:pt idx="484">
                  <c:v>902</c:v>
                </c:pt>
                <c:pt idx="485">
                  <c:v>1118</c:v>
                </c:pt>
                <c:pt idx="486">
                  <c:v>1242</c:v>
                </c:pt>
                <c:pt idx="487">
                  <c:v>406</c:v>
                </c:pt>
                <c:pt idx="488">
                  <c:v>878</c:v>
                </c:pt>
                <c:pt idx="489">
                  <c:v>479</c:v>
                </c:pt>
                <c:pt idx="490">
                  <c:v>721</c:v>
                </c:pt>
                <c:pt idx="491">
                  <c:v>1161</c:v>
                </c:pt>
                <c:pt idx="492">
                  <c:v>717</c:v>
                </c:pt>
                <c:pt idx="493">
                  <c:v>428</c:v>
                </c:pt>
                <c:pt idx="494">
                  <c:v>929</c:v>
                </c:pt>
                <c:pt idx="495">
                  <c:v>1044</c:v>
                </c:pt>
                <c:pt idx="496">
                  <c:v>1016</c:v>
                </c:pt>
                <c:pt idx="497">
                  <c:v>602</c:v>
                </c:pt>
                <c:pt idx="498">
                  <c:v>1109</c:v>
                </c:pt>
                <c:pt idx="499">
                  <c:v>711</c:v>
                </c:pt>
                <c:pt idx="500">
                  <c:v>896</c:v>
                </c:pt>
                <c:pt idx="501">
                  <c:v>937</c:v>
                </c:pt>
                <c:pt idx="502">
                  <c:v>724</c:v>
                </c:pt>
                <c:pt idx="503">
                  <c:v>480</c:v>
                </c:pt>
                <c:pt idx="504">
                  <c:v>157</c:v>
                </c:pt>
                <c:pt idx="505">
                  <c:v>488</c:v>
                </c:pt>
                <c:pt idx="506">
                  <c:v>149</c:v>
                </c:pt>
                <c:pt idx="507">
                  <c:v>863</c:v>
                </c:pt>
                <c:pt idx="508">
                  <c:v>512</c:v>
                </c:pt>
                <c:pt idx="509">
                  <c:v>1153</c:v>
                </c:pt>
                <c:pt idx="510">
                  <c:v>639</c:v>
                </c:pt>
                <c:pt idx="511">
                  <c:v>545</c:v>
                </c:pt>
                <c:pt idx="512">
                  <c:v>430</c:v>
                </c:pt>
                <c:pt idx="513">
                  <c:v>807</c:v>
                </c:pt>
                <c:pt idx="514">
                  <c:v>622</c:v>
                </c:pt>
                <c:pt idx="515">
                  <c:v>805</c:v>
                </c:pt>
                <c:pt idx="516">
                  <c:v>667</c:v>
                </c:pt>
                <c:pt idx="517">
                  <c:v>1202</c:v>
                </c:pt>
                <c:pt idx="518">
                  <c:v>151</c:v>
                </c:pt>
                <c:pt idx="519">
                  <c:v>711</c:v>
                </c:pt>
                <c:pt idx="520">
                  <c:v>561</c:v>
                </c:pt>
                <c:pt idx="521">
                  <c:v>192</c:v>
                </c:pt>
                <c:pt idx="522">
                  <c:v>936</c:v>
                </c:pt>
                <c:pt idx="523">
                  <c:v>395</c:v>
                </c:pt>
                <c:pt idx="524">
                  <c:v>267</c:v>
                </c:pt>
                <c:pt idx="525">
                  <c:v>716</c:v>
                </c:pt>
                <c:pt idx="526">
                  <c:v>524</c:v>
                </c:pt>
                <c:pt idx="527">
                  <c:v>717</c:v>
                </c:pt>
                <c:pt idx="528">
                  <c:v>935</c:v>
                </c:pt>
                <c:pt idx="529">
                  <c:v>622</c:v>
                </c:pt>
                <c:pt idx="530">
                  <c:v>681</c:v>
                </c:pt>
                <c:pt idx="531">
                  <c:v>348</c:v>
                </c:pt>
                <c:pt idx="532">
                  <c:v>231</c:v>
                </c:pt>
                <c:pt idx="533">
                  <c:v>896</c:v>
                </c:pt>
                <c:pt idx="534">
                  <c:v>735</c:v>
                </c:pt>
                <c:pt idx="535">
                  <c:v>708</c:v>
                </c:pt>
                <c:pt idx="536">
                  <c:v>625</c:v>
                </c:pt>
                <c:pt idx="537">
                  <c:v>1022</c:v>
                </c:pt>
                <c:pt idx="538">
                  <c:v>951</c:v>
                </c:pt>
                <c:pt idx="539">
                  <c:v>212</c:v>
                </c:pt>
                <c:pt idx="540">
                  <c:v>982</c:v>
                </c:pt>
                <c:pt idx="541">
                  <c:v>659</c:v>
                </c:pt>
                <c:pt idx="542">
                  <c:v>1031</c:v>
                </c:pt>
                <c:pt idx="543">
                  <c:v>666</c:v>
                </c:pt>
                <c:pt idx="544">
                  <c:v>601</c:v>
                </c:pt>
                <c:pt idx="545">
                  <c:v>510</c:v>
                </c:pt>
                <c:pt idx="546">
                  <c:v>474</c:v>
                </c:pt>
                <c:pt idx="547">
                  <c:v>759</c:v>
                </c:pt>
                <c:pt idx="548">
                  <c:v>750</c:v>
                </c:pt>
                <c:pt idx="549">
                  <c:v>930</c:v>
                </c:pt>
                <c:pt idx="550">
                  <c:v>905</c:v>
                </c:pt>
                <c:pt idx="551">
                  <c:v>798</c:v>
                </c:pt>
                <c:pt idx="552">
                  <c:v>311</c:v>
                </c:pt>
                <c:pt idx="553">
                  <c:v>170</c:v>
                </c:pt>
                <c:pt idx="554">
                  <c:v>282</c:v>
                </c:pt>
                <c:pt idx="555">
                  <c:v>668</c:v>
                </c:pt>
                <c:pt idx="556">
                  <c:v>284</c:v>
                </c:pt>
                <c:pt idx="557">
                  <c:v>641</c:v>
                </c:pt>
                <c:pt idx="558">
                  <c:v>550</c:v>
                </c:pt>
                <c:pt idx="559">
                  <c:v>626</c:v>
                </c:pt>
                <c:pt idx="560">
                  <c:v>1033</c:v>
                </c:pt>
                <c:pt idx="561">
                  <c:v>730</c:v>
                </c:pt>
                <c:pt idx="562">
                  <c:v>705</c:v>
                </c:pt>
                <c:pt idx="563">
                  <c:v>542</c:v>
                </c:pt>
                <c:pt idx="564">
                  <c:v>380</c:v>
                </c:pt>
                <c:pt idx="565">
                  <c:v>605</c:v>
                </c:pt>
                <c:pt idx="566">
                  <c:v>646</c:v>
                </c:pt>
                <c:pt idx="567">
                  <c:v>738</c:v>
                </c:pt>
                <c:pt idx="568">
                  <c:v>467</c:v>
                </c:pt>
                <c:pt idx="569">
                  <c:v>406</c:v>
                </c:pt>
                <c:pt idx="570">
                  <c:v>346</c:v>
                </c:pt>
                <c:pt idx="571">
                  <c:v>784</c:v>
                </c:pt>
                <c:pt idx="572">
                  <c:v>182</c:v>
                </c:pt>
                <c:pt idx="573">
                  <c:v>431</c:v>
                </c:pt>
                <c:pt idx="574">
                  <c:v>309</c:v>
                </c:pt>
                <c:pt idx="575">
                  <c:v>381</c:v>
                </c:pt>
                <c:pt idx="576">
                  <c:v>553</c:v>
                </c:pt>
                <c:pt idx="577">
                  <c:v>632</c:v>
                </c:pt>
                <c:pt idx="578">
                  <c:v>887</c:v>
                </c:pt>
                <c:pt idx="579">
                  <c:v>759</c:v>
                </c:pt>
                <c:pt idx="580">
                  <c:v>615</c:v>
                </c:pt>
                <c:pt idx="581">
                  <c:v>111</c:v>
                </c:pt>
                <c:pt idx="582">
                  <c:v>492</c:v>
                </c:pt>
                <c:pt idx="583">
                  <c:v>245</c:v>
                </c:pt>
                <c:pt idx="584">
                  <c:v>1114</c:v>
                </c:pt>
                <c:pt idx="585">
                  <c:v>641</c:v>
                </c:pt>
                <c:pt idx="586">
                  <c:v>737</c:v>
                </c:pt>
                <c:pt idx="587">
                  <c:v>225</c:v>
                </c:pt>
                <c:pt idx="588">
                  <c:v>451</c:v>
                </c:pt>
                <c:pt idx="589">
                  <c:v>265</c:v>
                </c:pt>
                <c:pt idx="590">
                  <c:v>609</c:v>
                </c:pt>
                <c:pt idx="591">
                  <c:v>703</c:v>
                </c:pt>
                <c:pt idx="592">
                  <c:v>327</c:v>
                </c:pt>
                <c:pt idx="593">
                  <c:v>591</c:v>
                </c:pt>
                <c:pt idx="594">
                  <c:v>1069</c:v>
                </c:pt>
                <c:pt idx="595">
                  <c:v>530</c:v>
                </c:pt>
                <c:pt idx="596">
                  <c:v>587</c:v>
                </c:pt>
                <c:pt idx="597">
                  <c:v>905</c:v>
                </c:pt>
                <c:pt idx="598">
                  <c:v>717</c:v>
                </c:pt>
                <c:pt idx="599">
                  <c:v>408</c:v>
                </c:pt>
                <c:pt idx="600">
                  <c:v>976</c:v>
                </c:pt>
                <c:pt idx="601">
                  <c:v>802</c:v>
                </c:pt>
                <c:pt idx="602">
                  <c:v>644</c:v>
                </c:pt>
                <c:pt idx="603">
                  <c:v>737</c:v>
                </c:pt>
                <c:pt idx="604">
                  <c:v>410</c:v>
                </c:pt>
                <c:pt idx="605">
                  <c:v>511</c:v>
                </c:pt>
                <c:pt idx="606">
                  <c:v>527</c:v>
                </c:pt>
                <c:pt idx="607">
                  <c:v>521</c:v>
                </c:pt>
                <c:pt idx="608">
                  <c:v>355</c:v>
                </c:pt>
                <c:pt idx="609">
                  <c:v>406</c:v>
                </c:pt>
                <c:pt idx="610">
                  <c:v>250</c:v>
                </c:pt>
                <c:pt idx="611">
                  <c:v>407</c:v>
                </c:pt>
                <c:pt idx="612">
                  <c:v>914</c:v>
                </c:pt>
                <c:pt idx="613">
                  <c:v>387</c:v>
                </c:pt>
                <c:pt idx="614">
                  <c:v>798</c:v>
                </c:pt>
                <c:pt idx="615">
                  <c:v>1027</c:v>
                </c:pt>
                <c:pt idx="616">
                  <c:v>314</c:v>
                </c:pt>
                <c:pt idx="617">
                  <c:v>953</c:v>
                </c:pt>
                <c:pt idx="618">
                  <c:v>797</c:v>
                </c:pt>
                <c:pt idx="619">
                  <c:v>668</c:v>
                </c:pt>
                <c:pt idx="620">
                  <c:v>459</c:v>
                </c:pt>
                <c:pt idx="621">
                  <c:v>637</c:v>
                </c:pt>
                <c:pt idx="622">
                  <c:v>822</c:v>
                </c:pt>
                <c:pt idx="623">
                  <c:v>309</c:v>
                </c:pt>
                <c:pt idx="624">
                  <c:v>994</c:v>
                </c:pt>
                <c:pt idx="625">
                  <c:v>496</c:v>
                </c:pt>
                <c:pt idx="626">
                  <c:v>354</c:v>
                </c:pt>
                <c:pt idx="627">
                  <c:v>381</c:v>
                </c:pt>
                <c:pt idx="628">
                  <c:v>984</c:v>
                </c:pt>
                <c:pt idx="629">
                  <c:v>829</c:v>
                </c:pt>
                <c:pt idx="630">
                  <c:v>106</c:v>
                </c:pt>
                <c:pt idx="631">
                  <c:v>720</c:v>
                </c:pt>
                <c:pt idx="632">
                  <c:v>835</c:v>
                </c:pt>
                <c:pt idx="633">
                  <c:v>1024</c:v>
                </c:pt>
                <c:pt idx="634">
                  <c:v>815</c:v>
                </c:pt>
                <c:pt idx="635">
                  <c:v>719</c:v>
                </c:pt>
                <c:pt idx="636">
                  <c:v>377</c:v>
                </c:pt>
                <c:pt idx="637">
                  <c:v>663</c:v>
                </c:pt>
                <c:pt idx="638">
                  <c:v>641</c:v>
                </c:pt>
                <c:pt idx="639">
                  <c:v>415</c:v>
                </c:pt>
                <c:pt idx="640">
                  <c:v>651</c:v>
                </c:pt>
                <c:pt idx="641">
                  <c:v>877</c:v>
                </c:pt>
                <c:pt idx="642">
                  <c:v>533</c:v>
                </c:pt>
                <c:pt idx="643">
                  <c:v>456</c:v>
                </c:pt>
                <c:pt idx="644">
                  <c:v>814</c:v>
                </c:pt>
                <c:pt idx="645">
                  <c:v>557</c:v>
                </c:pt>
                <c:pt idx="646">
                  <c:v>730</c:v>
                </c:pt>
                <c:pt idx="647">
                  <c:v>550</c:v>
                </c:pt>
                <c:pt idx="648">
                  <c:v>842</c:v>
                </c:pt>
                <c:pt idx="649">
                  <c:v>1071</c:v>
                </c:pt>
                <c:pt idx="650">
                  <c:v>929</c:v>
                </c:pt>
                <c:pt idx="651">
                  <c:v>977</c:v>
                </c:pt>
                <c:pt idx="652">
                  <c:v>989</c:v>
                </c:pt>
                <c:pt idx="653">
                  <c:v>1096</c:v>
                </c:pt>
                <c:pt idx="654">
                  <c:v>835</c:v>
                </c:pt>
                <c:pt idx="655">
                  <c:v>886</c:v>
                </c:pt>
                <c:pt idx="656">
                  <c:v>682</c:v>
                </c:pt>
                <c:pt idx="657">
                  <c:v>622</c:v>
                </c:pt>
                <c:pt idx="658">
                  <c:v>482</c:v>
                </c:pt>
                <c:pt idx="659">
                  <c:v>739</c:v>
                </c:pt>
                <c:pt idx="660">
                  <c:v>1062</c:v>
                </c:pt>
                <c:pt idx="661">
                  <c:v>995</c:v>
                </c:pt>
                <c:pt idx="662">
                  <c:v>759</c:v>
                </c:pt>
                <c:pt idx="663">
                  <c:v>895</c:v>
                </c:pt>
                <c:pt idx="664">
                  <c:v>754</c:v>
                </c:pt>
                <c:pt idx="665">
                  <c:v>203</c:v>
                </c:pt>
                <c:pt idx="666">
                  <c:v>1193</c:v>
                </c:pt>
                <c:pt idx="667">
                  <c:v>226</c:v>
                </c:pt>
                <c:pt idx="668">
                  <c:v>267</c:v>
                </c:pt>
                <c:pt idx="669">
                  <c:v>475</c:v>
                </c:pt>
                <c:pt idx="670">
                  <c:v>1119</c:v>
                </c:pt>
                <c:pt idx="671">
                  <c:v>713</c:v>
                </c:pt>
                <c:pt idx="672">
                  <c:v>744</c:v>
                </c:pt>
                <c:pt idx="673">
                  <c:v>963</c:v>
                </c:pt>
                <c:pt idx="674">
                  <c:v>304</c:v>
                </c:pt>
                <c:pt idx="675">
                  <c:v>766</c:v>
                </c:pt>
                <c:pt idx="676">
                  <c:v>434</c:v>
                </c:pt>
                <c:pt idx="677">
                  <c:v>905</c:v>
                </c:pt>
                <c:pt idx="678">
                  <c:v>662</c:v>
                </c:pt>
                <c:pt idx="679">
                  <c:v>513</c:v>
                </c:pt>
                <c:pt idx="680">
                  <c:v>800</c:v>
                </c:pt>
                <c:pt idx="681">
                  <c:v>679</c:v>
                </c:pt>
                <c:pt idx="682">
                  <c:v>221</c:v>
                </c:pt>
                <c:pt idx="683">
                  <c:v>256</c:v>
                </c:pt>
                <c:pt idx="684">
                  <c:v>853</c:v>
                </c:pt>
                <c:pt idx="685">
                  <c:v>317</c:v>
                </c:pt>
                <c:pt idx="686">
                  <c:v>461</c:v>
                </c:pt>
                <c:pt idx="687">
                  <c:v>964</c:v>
                </c:pt>
                <c:pt idx="688">
                  <c:v>453</c:v>
                </c:pt>
                <c:pt idx="689">
                  <c:v>622</c:v>
                </c:pt>
                <c:pt idx="690">
                  <c:v>275</c:v>
                </c:pt>
                <c:pt idx="691">
                  <c:v>400</c:v>
                </c:pt>
                <c:pt idx="692">
                  <c:v>769</c:v>
                </c:pt>
                <c:pt idx="693">
                  <c:v>519</c:v>
                </c:pt>
                <c:pt idx="694">
                  <c:v>861</c:v>
                </c:pt>
                <c:pt idx="695">
                  <c:v>505</c:v>
                </c:pt>
                <c:pt idx="696">
                  <c:v>429</c:v>
                </c:pt>
                <c:pt idx="697">
                  <c:v>1007</c:v>
                </c:pt>
                <c:pt idx="698">
                  <c:v>931</c:v>
                </c:pt>
                <c:pt idx="699">
                  <c:v>426</c:v>
                </c:pt>
                <c:pt idx="700">
                  <c:v>288</c:v>
                </c:pt>
                <c:pt idx="701">
                  <c:v>298</c:v>
                </c:pt>
                <c:pt idx="702">
                  <c:v>868</c:v>
                </c:pt>
                <c:pt idx="703">
                  <c:v>92</c:v>
                </c:pt>
                <c:pt idx="704">
                  <c:v>1006</c:v>
                </c:pt>
                <c:pt idx="705">
                  <c:v>548</c:v>
                </c:pt>
                <c:pt idx="706">
                  <c:v>187</c:v>
                </c:pt>
                <c:pt idx="707">
                  <c:v>286</c:v>
                </c:pt>
                <c:pt idx="708">
                  <c:v>916</c:v>
                </c:pt>
                <c:pt idx="709">
                  <c:v>708</c:v>
                </c:pt>
                <c:pt idx="710">
                  <c:v>1021</c:v>
                </c:pt>
                <c:pt idx="711">
                  <c:v>749</c:v>
                </c:pt>
                <c:pt idx="712">
                  <c:v>417</c:v>
                </c:pt>
                <c:pt idx="713">
                  <c:v>631</c:v>
                </c:pt>
                <c:pt idx="714">
                  <c:v>928</c:v>
                </c:pt>
                <c:pt idx="715">
                  <c:v>123</c:v>
                </c:pt>
                <c:pt idx="716">
                  <c:v>380</c:v>
                </c:pt>
                <c:pt idx="717">
                  <c:v>446</c:v>
                </c:pt>
                <c:pt idx="718">
                  <c:v>1088</c:v>
                </c:pt>
                <c:pt idx="719">
                  <c:v>496</c:v>
                </c:pt>
                <c:pt idx="720">
                  <c:v>171</c:v>
                </c:pt>
                <c:pt idx="721">
                  <c:v>511</c:v>
                </c:pt>
                <c:pt idx="722">
                  <c:v>908</c:v>
                </c:pt>
                <c:pt idx="723">
                  <c:v>778</c:v>
                </c:pt>
                <c:pt idx="724">
                  <c:v>247</c:v>
                </c:pt>
                <c:pt idx="725">
                  <c:v>834</c:v>
                </c:pt>
                <c:pt idx="726">
                  <c:v>573</c:v>
                </c:pt>
                <c:pt idx="727">
                  <c:v>155</c:v>
                </c:pt>
                <c:pt idx="728">
                  <c:v>529</c:v>
                </c:pt>
                <c:pt idx="729">
                  <c:v>744</c:v>
                </c:pt>
                <c:pt idx="730">
                  <c:v>1087</c:v>
                </c:pt>
                <c:pt idx="731">
                  <c:v>684</c:v>
                </c:pt>
                <c:pt idx="732">
                  <c:v>933</c:v>
                </c:pt>
                <c:pt idx="733">
                  <c:v>235</c:v>
                </c:pt>
                <c:pt idx="734">
                  <c:v>553</c:v>
                </c:pt>
                <c:pt idx="735">
                  <c:v>644</c:v>
                </c:pt>
                <c:pt idx="736">
                  <c:v>1073</c:v>
                </c:pt>
                <c:pt idx="737">
                  <c:v>597</c:v>
                </c:pt>
                <c:pt idx="738">
                  <c:v>827</c:v>
                </c:pt>
                <c:pt idx="739">
                  <c:v>425</c:v>
                </c:pt>
                <c:pt idx="740">
                  <c:v>869</c:v>
                </c:pt>
                <c:pt idx="741">
                  <c:v>1067</c:v>
                </c:pt>
                <c:pt idx="742">
                  <c:v>816</c:v>
                </c:pt>
                <c:pt idx="743">
                  <c:v>457</c:v>
                </c:pt>
                <c:pt idx="744">
                  <c:v>533</c:v>
                </c:pt>
                <c:pt idx="745">
                  <c:v>775</c:v>
                </c:pt>
                <c:pt idx="746">
                  <c:v>683</c:v>
                </c:pt>
                <c:pt idx="747">
                  <c:v>525</c:v>
                </c:pt>
                <c:pt idx="748">
                  <c:v>482</c:v>
                </c:pt>
                <c:pt idx="749">
                  <c:v>861</c:v>
                </c:pt>
                <c:pt idx="750">
                  <c:v>193</c:v>
                </c:pt>
                <c:pt idx="751">
                  <c:v>805</c:v>
                </c:pt>
                <c:pt idx="752">
                  <c:v>883</c:v>
                </c:pt>
                <c:pt idx="753">
                  <c:v>714</c:v>
                </c:pt>
                <c:pt idx="754">
                  <c:v>824</c:v>
                </c:pt>
                <c:pt idx="755">
                  <c:v>347</c:v>
                </c:pt>
                <c:pt idx="756">
                  <c:v>298</c:v>
                </c:pt>
                <c:pt idx="757">
                  <c:v>596</c:v>
                </c:pt>
                <c:pt idx="758">
                  <c:v>713</c:v>
                </c:pt>
                <c:pt idx="759">
                  <c:v>686</c:v>
                </c:pt>
                <c:pt idx="760">
                  <c:v>785</c:v>
                </c:pt>
                <c:pt idx="761">
                  <c:v>922</c:v>
                </c:pt>
                <c:pt idx="762">
                  <c:v>514</c:v>
                </c:pt>
                <c:pt idx="763">
                  <c:v>570</c:v>
                </c:pt>
                <c:pt idx="764">
                  <c:v>1129</c:v>
                </c:pt>
                <c:pt idx="765">
                  <c:v>599</c:v>
                </c:pt>
                <c:pt idx="766">
                  <c:v>256</c:v>
                </c:pt>
                <c:pt idx="767">
                  <c:v>377</c:v>
                </c:pt>
                <c:pt idx="768">
                  <c:v>185</c:v>
                </c:pt>
                <c:pt idx="769">
                  <c:v>678</c:v>
                </c:pt>
                <c:pt idx="770">
                  <c:v>967</c:v>
                </c:pt>
                <c:pt idx="771">
                  <c:v>966</c:v>
                </c:pt>
                <c:pt idx="772">
                  <c:v>538</c:v>
                </c:pt>
                <c:pt idx="773">
                  <c:v>880</c:v>
                </c:pt>
                <c:pt idx="774">
                  <c:v>495</c:v>
                </c:pt>
                <c:pt idx="775">
                  <c:v>879</c:v>
                </c:pt>
                <c:pt idx="776">
                  <c:v>971</c:v>
                </c:pt>
                <c:pt idx="777">
                  <c:v>1012</c:v>
                </c:pt>
                <c:pt idx="778">
                  <c:v>707</c:v>
                </c:pt>
                <c:pt idx="779">
                  <c:v>753</c:v>
                </c:pt>
                <c:pt idx="780">
                  <c:v>290</c:v>
                </c:pt>
                <c:pt idx="781">
                  <c:v>457</c:v>
                </c:pt>
                <c:pt idx="782">
                  <c:v>595</c:v>
                </c:pt>
                <c:pt idx="783">
                  <c:v>1086</c:v>
                </c:pt>
                <c:pt idx="784">
                  <c:v>244</c:v>
                </c:pt>
                <c:pt idx="785">
                  <c:v>889</c:v>
                </c:pt>
                <c:pt idx="786">
                  <c:v>415</c:v>
                </c:pt>
                <c:pt idx="787">
                  <c:v>527</c:v>
                </c:pt>
                <c:pt idx="788">
                  <c:v>694</c:v>
                </c:pt>
                <c:pt idx="789">
                  <c:v>848</c:v>
                </c:pt>
                <c:pt idx="790">
                  <c:v>426</c:v>
                </c:pt>
                <c:pt idx="791">
                  <c:v>782</c:v>
                </c:pt>
                <c:pt idx="792">
                  <c:v>515</c:v>
                </c:pt>
                <c:pt idx="793">
                  <c:v>804</c:v>
                </c:pt>
                <c:pt idx="794">
                  <c:v>869</c:v>
                </c:pt>
                <c:pt idx="795">
                  <c:v>201</c:v>
                </c:pt>
                <c:pt idx="796">
                  <c:v>524</c:v>
                </c:pt>
                <c:pt idx="797">
                  <c:v>476</c:v>
                </c:pt>
                <c:pt idx="798">
                  <c:v>884</c:v>
                </c:pt>
                <c:pt idx="799">
                  <c:v>430</c:v>
                </c:pt>
                <c:pt idx="800">
                  <c:v>849</c:v>
                </c:pt>
                <c:pt idx="801">
                  <c:v>469</c:v>
                </c:pt>
                <c:pt idx="802">
                  <c:v>994</c:v>
                </c:pt>
                <c:pt idx="803">
                  <c:v>468</c:v>
                </c:pt>
                <c:pt idx="804">
                  <c:v>786</c:v>
                </c:pt>
                <c:pt idx="805">
                  <c:v>762</c:v>
                </c:pt>
                <c:pt idx="806">
                  <c:v>640</c:v>
                </c:pt>
                <c:pt idx="807">
                  <c:v>640</c:v>
                </c:pt>
                <c:pt idx="808">
                  <c:v>224</c:v>
                </c:pt>
                <c:pt idx="809">
                  <c:v>641</c:v>
                </c:pt>
                <c:pt idx="810">
                  <c:v>668</c:v>
                </c:pt>
                <c:pt idx="811">
                  <c:v>396</c:v>
                </c:pt>
                <c:pt idx="812">
                  <c:v>438</c:v>
                </c:pt>
                <c:pt idx="813">
                  <c:v>951</c:v>
                </c:pt>
                <c:pt idx="814">
                  <c:v>1066</c:v>
                </c:pt>
                <c:pt idx="815">
                  <c:v>390</c:v>
                </c:pt>
                <c:pt idx="816">
                  <c:v>303</c:v>
                </c:pt>
                <c:pt idx="817">
                  <c:v>247</c:v>
                </c:pt>
                <c:pt idx="818">
                  <c:v>576</c:v>
                </c:pt>
                <c:pt idx="819">
                  <c:v>693</c:v>
                </c:pt>
                <c:pt idx="820">
                  <c:v>1095</c:v>
                </c:pt>
                <c:pt idx="821">
                  <c:v>482</c:v>
                </c:pt>
                <c:pt idx="822">
                  <c:v>980</c:v>
                </c:pt>
                <c:pt idx="823">
                  <c:v>1075</c:v>
                </c:pt>
                <c:pt idx="824">
                  <c:v>476</c:v>
                </c:pt>
                <c:pt idx="825">
                  <c:v>1122</c:v>
                </c:pt>
                <c:pt idx="826">
                  <c:v>641</c:v>
                </c:pt>
                <c:pt idx="827">
                  <c:v>820</c:v>
                </c:pt>
                <c:pt idx="828">
                  <c:v>789</c:v>
                </c:pt>
                <c:pt idx="829">
                  <c:v>985</c:v>
                </c:pt>
                <c:pt idx="830">
                  <c:v>928</c:v>
                </c:pt>
                <c:pt idx="831">
                  <c:v>301</c:v>
                </c:pt>
                <c:pt idx="832">
                  <c:v>70</c:v>
                </c:pt>
                <c:pt idx="833">
                  <c:v>654</c:v>
                </c:pt>
                <c:pt idx="834">
                  <c:v>584</c:v>
                </c:pt>
                <c:pt idx="835">
                  <c:v>396</c:v>
                </c:pt>
                <c:pt idx="836">
                  <c:v>238</c:v>
                </c:pt>
                <c:pt idx="837">
                  <c:v>629</c:v>
                </c:pt>
                <c:pt idx="838">
                  <c:v>662</c:v>
                </c:pt>
                <c:pt idx="839">
                  <c:v>80</c:v>
                </c:pt>
                <c:pt idx="840">
                  <c:v>401</c:v>
                </c:pt>
                <c:pt idx="841">
                  <c:v>588</c:v>
                </c:pt>
                <c:pt idx="842">
                  <c:v>935</c:v>
                </c:pt>
                <c:pt idx="843">
                  <c:v>796</c:v>
                </c:pt>
                <c:pt idx="844">
                  <c:v>964</c:v>
                </c:pt>
                <c:pt idx="845">
                  <c:v>312</c:v>
                </c:pt>
                <c:pt idx="846">
                  <c:v>977</c:v>
                </c:pt>
                <c:pt idx="847">
                  <c:v>747</c:v>
                </c:pt>
                <c:pt idx="848">
                  <c:v>581</c:v>
                </c:pt>
                <c:pt idx="849">
                  <c:v>389</c:v>
                </c:pt>
                <c:pt idx="850">
                  <c:v>330</c:v>
                </c:pt>
                <c:pt idx="851">
                  <c:v>1118</c:v>
                </c:pt>
                <c:pt idx="852">
                  <c:v>733</c:v>
                </c:pt>
                <c:pt idx="853">
                  <c:v>479</c:v>
                </c:pt>
                <c:pt idx="854">
                  <c:v>194</c:v>
                </c:pt>
                <c:pt idx="855">
                  <c:v>637</c:v>
                </c:pt>
                <c:pt idx="856">
                  <c:v>277</c:v>
                </c:pt>
                <c:pt idx="857">
                  <c:v>502</c:v>
                </c:pt>
                <c:pt idx="858">
                  <c:v>1066</c:v>
                </c:pt>
                <c:pt idx="859">
                  <c:v>810</c:v>
                </c:pt>
                <c:pt idx="860">
                  <c:v>968</c:v>
                </c:pt>
                <c:pt idx="861">
                  <c:v>270</c:v>
                </c:pt>
                <c:pt idx="862">
                  <c:v>451</c:v>
                </c:pt>
                <c:pt idx="863">
                  <c:v>512</c:v>
                </c:pt>
                <c:pt idx="864">
                  <c:v>685</c:v>
                </c:pt>
                <c:pt idx="865">
                  <c:v>1051</c:v>
                </c:pt>
                <c:pt idx="866">
                  <c:v>912</c:v>
                </c:pt>
                <c:pt idx="867">
                  <c:v>376</c:v>
                </c:pt>
                <c:pt idx="868">
                  <c:v>420</c:v>
                </c:pt>
                <c:pt idx="869">
                  <c:v>951</c:v>
                </c:pt>
                <c:pt idx="870">
                  <c:v>869</c:v>
                </c:pt>
                <c:pt idx="871">
                  <c:v>367</c:v>
                </c:pt>
                <c:pt idx="872">
                  <c:v>591</c:v>
                </c:pt>
                <c:pt idx="873">
                  <c:v>662</c:v>
                </c:pt>
                <c:pt idx="874">
                  <c:v>916</c:v>
                </c:pt>
                <c:pt idx="875">
                  <c:v>695</c:v>
                </c:pt>
                <c:pt idx="876">
                  <c:v>530</c:v>
                </c:pt>
                <c:pt idx="877">
                  <c:v>716</c:v>
                </c:pt>
                <c:pt idx="878">
                  <c:v>533</c:v>
                </c:pt>
                <c:pt idx="879">
                  <c:v>967</c:v>
                </c:pt>
                <c:pt idx="880">
                  <c:v>388</c:v>
                </c:pt>
                <c:pt idx="881">
                  <c:v>545</c:v>
                </c:pt>
                <c:pt idx="882">
                  <c:v>892</c:v>
                </c:pt>
                <c:pt idx="883">
                  <c:v>669</c:v>
                </c:pt>
                <c:pt idx="884">
                  <c:v>926</c:v>
                </c:pt>
                <c:pt idx="885">
                  <c:v>749</c:v>
                </c:pt>
                <c:pt idx="886">
                  <c:v>136</c:v>
                </c:pt>
                <c:pt idx="887">
                  <c:v>727</c:v>
                </c:pt>
                <c:pt idx="888">
                  <c:v>600</c:v>
                </c:pt>
                <c:pt idx="889">
                  <c:v>674</c:v>
                </c:pt>
                <c:pt idx="890">
                  <c:v>935</c:v>
                </c:pt>
                <c:pt idx="891">
                  <c:v>719</c:v>
                </c:pt>
                <c:pt idx="892">
                  <c:v>780</c:v>
                </c:pt>
                <c:pt idx="893">
                  <c:v>913</c:v>
                </c:pt>
                <c:pt idx="894">
                  <c:v>465</c:v>
                </c:pt>
                <c:pt idx="895">
                  <c:v>527</c:v>
                </c:pt>
                <c:pt idx="896">
                  <c:v>900</c:v>
                </c:pt>
                <c:pt idx="897">
                  <c:v>823</c:v>
                </c:pt>
                <c:pt idx="898">
                  <c:v>560</c:v>
                </c:pt>
                <c:pt idx="899">
                  <c:v>636</c:v>
                </c:pt>
                <c:pt idx="900">
                  <c:v>907</c:v>
                </c:pt>
                <c:pt idx="901">
                  <c:v>224</c:v>
                </c:pt>
                <c:pt idx="902">
                  <c:v>186</c:v>
                </c:pt>
                <c:pt idx="903">
                  <c:v>406</c:v>
                </c:pt>
                <c:pt idx="904">
                  <c:v>455</c:v>
                </c:pt>
                <c:pt idx="905">
                  <c:v>711</c:v>
                </c:pt>
                <c:pt idx="906">
                  <c:v>253</c:v>
                </c:pt>
                <c:pt idx="907">
                  <c:v>387</c:v>
                </c:pt>
                <c:pt idx="908">
                  <c:v>455</c:v>
                </c:pt>
                <c:pt idx="909">
                  <c:v>880</c:v>
                </c:pt>
                <c:pt idx="910">
                  <c:v>380</c:v>
                </c:pt>
                <c:pt idx="911">
                  <c:v>372</c:v>
                </c:pt>
                <c:pt idx="912">
                  <c:v>610</c:v>
                </c:pt>
                <c:pt idx="913">
                  <c:v>794</c:v>
                </c:pt>
                <c:pt idx="914">
                  <c:v>1130</c:v>
                </c:pt>
                <c:pt idx="915">
                  <c:v>861</c:v>
                </c:pt>
                <c:pt idx="916">
                  <c:v>1036</c:v>
                </c:pt>
                <c:pt idx="917">
                  <c:v>606</c:v>
                </c:pt>
                <c:pt idx="918">
                  <c:v>791</c:v>
                </c:pt>
                <c:pt idx="919">
                  <c:v>547</c:v>
                </c:pt>
                <c:pt idx="920">
                  <c:v>349</c:v>
                </c:pt>
                <c:pt idx="921">
                  <c:v>1149</c:v>
                </c:pt>
                <c:pt idx="922">
                  <c:v>898</c:v>
                </c:pt>
                <c:pt idx="923">
                  <c:v>522</c:v>
                </c:pt>
                <c:pt idx="924">
                  <c:v>411</c:v>
                </c:pt>
                <c:pt idx="925">
                  <c:v>334</c:v>
                </c:pt>
                <c:pt idx="926">
                  <c:v>463</c:v>
                </c:pt>
                <c:pt idx="927">
                  <c:v>579</c:v>
                </c:pt>
                <c:pt idx="928">
                  <c:v>881</c:v>
                </c:pt>
                <c:pt idx="929">
                  <c:v>496</c:v>
                </c:pt>
                <c:pt idx="930">
                  <c:v>450</c:v>
                </c:pt>
                <c:pt idx="931">
                  <c:v>821</c:v>
                </c:pt>
                <c:pt idx="932">
                  <c:v>827</c:v>
                </c:pt>
                <c:pt idx="933">
                  <c:v>1156</c:v>
                </c:pt>
                <c:pt idx="934">
                  <c:v>738</c:v>
                </c:pt>
                <c:pt idx="935">
                  <c:v>600</c:v>
                </c:pt>
                <c:pt idx="936">
                  <c:v>566</c:v>
                </c:pt>
                <c:pt idx="937">
                  <c:v>268</c:v>
                </c:pt>
                <c:pt idx="938">
                  <c:v>973</c:v>
                </c:pt>
                <c:pt idx="939">
                  <c:v>602</c:v>
                </c:pt>
                <c:pt idx="940">
                  <c:v>336</c:v>
                </c:pt>
                <c:pt idx="941">
                  <c:v>636</c:v>
                </c:pt>
                <c:pt idx="942">
                  <c:v>324</c:v>
                </c:pt>
                <c:pt idx="943">
                  <c:v>724</c:v>
                </c:pt>
                <c:pt idx="944">
                  <c:v>150</c:v>
                </c:pt>
                <c:pt idx="945">
                  <c:v>429</c:v>
                </c:pt>
                <c:pt idx="946">
                  <c:v>576</c:v>
                </c:pt>
                <c:pt idx="947">
                  <c:v>744</c:v>
                </c:pt>
                <c:pt idx="948">
                  <c:v>819</c:v>
                </c:pt>
                <c:pt idx="949">
                  <c:v>1029</c:v>
                </c:pt>
                <c:pt idx="950">
                  <c:v>403</c:v>
                </c:pt>
                <c:pt idx="951">
                  <c:v>515</c:v>
                </c:pt>
                <c:pt idx="952">
                  <c:v>557</c:v>
                </c:pt>
                <c:pt idx="953">
                  <c:v>607</c:v>
                </c:pt>
                <c:pt idx="954">
                  <c:v>1116</c:v>
                </c:pt>
                <c:pt idx="955">
                  <c:v>130</c:v>
                </c:pt>
                <c:pt idx="956">
                  <c:v>559</c:v>
                </c:pt>
                <c:pt idx="957">
                  <c:v>1088</c:v>
                </c:pt>
                <c:pt idx="958">
                  <c:v>360</c:v>
                </c:pt>
                <c:pt idx="959">
                  <c:v>740</c:v>
                </c:pt>
                <c:pt idx="960">
                  <c:v>521</c:v>
                </c:pt>
                <c:pt idx="961">
                  <c:v>1196</c:v>
                </c:pt>
                <c:pt idx="962">
                  <c:v>724</c:v>
                </c:pt>
                <c:pt idx="963">
                  <c:v>710</c:v>
                </c:pt>
                <c:pt idx="964">
                  <c:v>1156</c:v>
                </c:pt>
                <c:pt idx="965">
                  <c:v>243</c:v>
                </c:pt>
                <c:pt idx="966">
                  <c:v>630</c:v>
                </c:pt>
                <c:pt idx="967">
                  <c:v>666</c:v>
                </c:pt>
                <c:pt idx="968">
                  <c:v>59</c:v>
                </c:pt>
                <c:pt idx="969">
                  <c:v>804</c:v>
                </c:pt>
                <c:pt idx="970">
                  <c:v>596</c:v>
                </c:pt>
                <c:pt idx="971">
                  <c:v>320</c:v>
                </c:pt>
                <c:pt idx="972">
                  <c:v>565</c:v>
                </c:pt>
                <c:pt idx="973">
                  <c:v>96</c:v>
                </c:pt>
                <c:pt idx="974">
                  <c:v>575</c:v>
                </c:pt>
                <c:pt idx="975">
                  <c:v>968</c:v>
                </c:pt>
                <c:pt idx="976">
                  <c:v>582</c:v>
                </c:pt>
                <c:pt idx="977">
                  <c:v>1124</c:v>
                </c:pt>
                <c:pt idx="978">
                  <c:v>697</c:v>
                </c:pt>
                <c:pt idx="979">
                  <c:v>704</c:v>
                </c:pt>
                <c:pt idx="980">
                  <c:v>332</c:v>
                </c:pt>
                <c:pt idx="981">
                  <c:v>654</c:v>
                </c:pt>
                <c:pt idx="982">
                  <c:v>663</c:v>
                </c:pt>
                <c:pt idx="983">
                  <c:v>698</c:v>
                </c:pt>
                <c:pt idx="984">
                  <c:v>880</c:v>
                </c:pt>
                <c:pt idx="985">
                  <c:v>887</c:v>
                </c:pt>
                <c:pt idx="986">
                  <c:v>720</c:v>
                </c:pt>
                <c:pt idx="987">
                  <c:v>910</c:v>
                </c:pt>
                <c:pt idx="988">
                  <c:v>726</c:v>
                </c:pt>
                <c:pt idx="989">
                  <c:v>821</c:v>
                </c:pt>
                <c:pt idx="990">
                  <c:v>710</c:v>
                </c:pt>
                <c:pt idx="991">
                  <c:v>1036</c:v>
                </c:pt>
                <c:pt idx="992">
                  <c:v>648</c:v>
                </c:pt>
                <c:pt idx="993">
                  <c:v>783</c:v>
                </c:pt>
                <c:pt idx="994">
                  <c:v>668</c:v>
                </c:pt>
                <c:pt idx="995">
                  <c:v>570</c:v>
                </c:pt>
                <c:pt idx="996">
                  <c:v>433</c:v>
                </c:pt>
                <c:pt idx="997">
                  <c:v>614</c:v>
                </c:pt>
                <c:pt idx="998">
                  <c:v>511</c:v>
                </c:pt>
                <c:pt idx="999">
                  <c:v>891</c:v>
                </c:pt>
              </c:numCache>
            </c:numRef>
          </c:xVal>
          <c:yVal>
            <c:numRef>
              <c:f>BMW!$Q$2:$Q$1001</c:f>
              <c:numCache>
                <c:formatCode>General</c:formatCode>
                <c:ptCount val="1000"/>
                <c:pt idx="0">
                  <c:v>8</c:v>
                </c:pt>
                <c:pt idx="1">
                  <c:v>7</c:v>
                </c:pt>
                <c:pt idx="2">
                  <c:v>7</c:v>
                </c:pt>
                <c:pt idx="3">
                  <c:v>5</c:v>
                </c:pt>
                <c:pt idx="4">
                  <c:v>2</c:v>
                </c:pt>
                <c:pt idx="5">
                  <c:v>6</c:v>
                </c:pt>
                <c:pt idx="6">
                  <c:v>10</c:v>
                </c:pt>
                <c:pt idx="7">
                  <c:v>3</c:v>
                </c:pt>
                <c:pt idx="8">
                  <c:v>4</c:v>
                </c:pt>
                <c:pt idx="9">
                  <c:v>10</c:v>
                </c:pt>
                <c:pt idx="10">
                  <c:v>2</c:v>
                </c:pt>
                <c:pt idx="11">
                  <c:v>2</c:v>
                </c:pt>
                <c:pt idx="12">
                  <c:v>8</c:v>
                </c:pt>
                <c:pt idx="13">
                  <c:v>8</c:v>
                </c:pt>
                <c:pt idx="14">
                  <c:v>10</c:v>
                </c:pt>
                <c:pt idx="15">
                  <c:v>6</c:v>
                </c:pt>
                <c:pt idx="16">
                  <c:v>5</c:v>
                </c:pt>
                <c:pt idx="17">
                  <c:v>8</c:v>
                </c:pt>
                <c:pt idx="18">
                  <c:v>4</c:v>
                </c:pt>
                <c:pt idx="19">
                  <c:v>4</c:v>
                </c:pt>
                <c:pt idx="20">
                  <c:v>5</c:v>
                </c:pt>
                <c:pt idx="21">
                  <c:v>1</c:v>
                </c:pt>
                <c:pt idx="22">
                  <c:v>1</c:v>
                </c:pt>
                <c:pt idx="23">
                  <c:v>2</c:v>
                </c:pt>
                <c:pt idx="24">
                  <c:v>8</c:v>
                </c:pt>
                <c:pt idx="25">
                  <c:v>7</c:v>
                </c:pt>
                <c:pt idx="26">
                  <c:v>10</c:v>
                </c:pt>
                <c:pt idx="27">
                  <c:v>9</c:v>
                </c:pt>
                <c:pt idx="28">
                  <c:v>5</c:v>
                </c:pt>
                <c:pt idx="29">
                  <c:v>2</c:v>
                </c:pt>
                <c:pt idx="30">
                  <c:v>7</c:v>
                </c:pt>
                <c:pt idx="31">
                  <c:v>8</c:v>
                </c:pt>
                <c:pt idx="32">
                  <c:v>7</c:v>
                </c:pt>
                <c:pt idx="33">
                  <c:v>7</c:v>
                </c:pt>
                <c:pt idx="34">
                  <c:v>5</c:v>
                </c:pt>
                <c:pt idx="35">
                  <c:v>2</c:v>
                </c:pt>
                <c:pt idx="36">
                  <c:v>6</c:v>
                </c:pt>
                <c:pt idx="37">
                  <c:v>4</c:v>
                </c:pt>
                <c:pt idx="38">
                  <c:v>10</c:v>
                </c:pt>
                <c:pt idx="39">
                  <c:v>2</c:v>
                </c:pt>
                <c:pt idx="40">
                  <c:v>9</c:v>
                </c:pt>
                <c:pt idx="41">
                  <c:v>7</c:v>
                </c:pt>
                <c:pt idx="42">
                  <c:v>6</c:v>
                </c:pt>
                <c:pt idx="43">
                  <c:v>5</c:v>
                </c:pt>
                <c:pt idx="44">
                  <c:v>3</c:v>
                </c:pt>
                <c:pt idx="45">
                  <c:v>10</c:v>
                </c:pt>
                <c:pt idx="46">
                  <c:v>10</c:v>
                </c:pt>
                <c:pt idx="47">
                  <c:v>4</c:v>
                </c:pt>
                <c:pt idx="48">
                  <c:v>3</c:v>
                </c:pt>
                <c:pt idx="49">
                  <c:v>8</c:v>
                </c:pt>
                <c:pt idx="50">
                  <c:v>3</c:v>
                </c:pt>
                <c:pt idx="51">
                  <c:v>7</c:v>
                </c:pt>
                <c:pt idx="52">
                  <c:v>7</c:v>
                </c:pt>
                <c:pt idx="53">
                  <c:v>7</c:v>
                </c:pt>
                <c:pt idx="54">
                  <c:v>7</c:v>
                </c:pt>
                <c:pt idx="55">
                  <c:v>2</c:v>
                </c:pt>
                <c:pt idx="56">
                  <c:v>10</c:v>
                </c:pt>
                <c:pt idx="57">
                  <c:v>3</c:v>
                </c:pt>
                <c:pt idx="58">
                  <c:v>10</c:v>
                </c:pt>
                <c:pt idx="59">
                  <c:v>9</c:v>
                </c:pt>
                <c:pt idx="60">
                  <c:v>3</c:v>
                </c:pt>
                <c:pt idx="61">
                  <c:v>2</c:v>
                </c:pt>
                <c:pt idx="62">
                  <c:v>9</c:v>
                </c:pt>
                <c:pt idx="63">
                  <c:v>10</c:v>
                </c:pt>
                <c:pt idx="64">
                  <c:v>9</c:v>
                </c:pt>
                <c:pt idx="65">
                  <c:v>4</c:v>
                </c:pt>
                <c:pt idx="66">
                  <c:v>9</c:v>
                </c:pt>
                <c:pt idx="67">
                  <c:v>3</c:v>
                </c:pt>
                <c:pt idx="68">
                  <c:v>7</c:v>
                </c:pt>
                <c:pt idx="69">
                  <c:v>7</c:v>
                </c:pt>
                <c:pt idx="70">
                  <c:v>8</c:v>
                </c:pt>
                <c:pt idx="71">
                  <c:v>10</c:v>
                </c:pt>
                <c:pt idx="72">
                  <c:v>4</c:v>
                </c:pt>
                <c:pt idx="73">
                  <c:v>3</c:v>
                </c:pt>
                <c:pt idx="74">
                  <c:v>3</c:v>
                </c:pt>
                <c:pt idx="75">
                  <c:v>5</c:v>
                </c:pt>
                <c:pt idx="76">
                  <c:v>1</c:v>
                </c:pt>
                <c:pt idx="77">
                  <c:v>10</c:v>
                </c:pt>
                <c:pt idx="78">
                  <c:v>3</c:v>
                </c:pt>
                <c:pt idx="79">
                  <c:v>6</c:v>
                </c:pt>
                <c:pt idx="80">
                  <c:v>3</c:v>
                </c:pt>
                <c:pt idx="81">
                  <c:v>5</c:v>
                </c:pt>
                <c:pt idx="82">
                  <c:v>9</c:v>
                </c:pt>
                <c:pt idx="83">
                  <c:v>2</c:v>
                </c:pt>
                <c:pt idx="84">
                  <c:v>2</c:v>
                </c:pt>
                <c:pt idx="85">
                  <c:v>6</c:v>
                </c:pt>
                <c:pt idx="86">
                  <c:v>6</c:v>
                </c:pt>
                <c:pt idx="87">
                  <c:v>8</c:v>
                </c:pt>
                <c:pt idx="88">
                  <c:v>2</c:v>
                </c:pt>
                <c:pt idx="89">
                  <c:v>9</c:v>
                </c:pt>
                <c:pt idx="90">
                  <c:v>2</c:v>
                </c:pt>
                <c:pt idx="91">
                  <c:v>1</c:v>
                </c:pt>
                <c:pt idx="92">
                  <c:v>10</c:v>
                </c:pt>
                <c:pt idx="93">
                  <c:v>2</c:v>
                </c:pt>
                <c:pt idx="94">
                  <c:v>7</c:v>
                </c:pt>
                <c:pt idx="95">
                  <c:v>8</c:v>
                </c:pt>
                <c:pt idx="96">
                  <c:v>5</c:v>
                </c:pt>
                <c:pt idx="97">
                  <c:v>6</c:v>
                </c:pt>
                <c:pt idx="98">
                  <c:v>1</c:v>
                </c:pt>
                <c:pt idx="99">
                  <c:v>6</c:v>
                </c:pt>
                <c:pt idx="100">
                  <c:v>8</c:v>
                </c:pt>
                <c:pt idx="101">
                  <c:v>3</c:v>
                </c:pt>
                <c:pt idx="102">
                  <c:v>1</c:v>
                </c:pt>
                <c:pt idx="103">
                  <c:v>4</c:v>
                </c:pt>
                <c:pt idx="104">
                  <c:v>1</c:v>
                </c:pt>
                <c:pt idx="105">
                  <c:v>8</c:v>
                </c:pt>
                <c:pt idx="106">
                  <c:v>5</c:v>
                </c:pt>
                <c:pt idx="107">
                  <c:v>1</c:v>
                </c:pt>
                <c:pt idx="108">
                  <c:v>8</c:v>
                </c:pt>
                <c:pt idx="109">
                  <c:v>9</c:v>
                </c:pt>
                <c:pt idx="110">
                  <c:v>10</c:v>
                </c:pt>
                <c:pt idx="111">
                  <c:v>2</c:v>
                </c:pt>
                <c:pt idx="112">
                  <c:v>9</c:v>
                </c:pt>
                <c:pt idx="113">
                  <c:v>8</c:v>
                </c:pt>
                <c:pt idx="114">
                  <c:v>7</c:v>
                </c:pt>
                <c:pt idx="115">
                  <c:v>3</c:v>
                </c:pt>
                <c:pt idx="116">
                  <c:v>2</c:v>
                </c:pt>
                <c:pt idx="117">
                  <c:v>7</c:v>
                </c:pt>
                <c:pt idx="118">
                  <c:v>5</c:v>
                </c:pt>
                <c:pt idx="119">
                  <c:v>6</c:v>
                </c:pt>
                <c:pt idx="120">
                  <c:v>4</c:v>
                </c:pt>
                <c:pt idx="121">
                  <c:v>2</c:v>
                </c:pt>
                <c:pt idx="122">
                  <c:v>9</c:v>
                </c:pt>
                <c:pt idx="123">
                  <c:v>3</c:v>
                </c:pt>
                <c:pt idx="124">
                  <c:v>7</c:v>
                </c:pt>
                <c:pt idx="125">
                  <c:v>8</c:v>
                </c:pt>
                <c:pt idx="126">
                  <c:v>2</c:v>
                </c:pt>
                <c:pt idx="127">
                  <c:v>6</c:v>
                </c:pt>
                <c:pt idx="128">
                  <c:v>8</c:v>
                </c:pt>
                <c:pt idx="129">
                  <c:v>7</c:v>
                </c:pt>
                <c:pt idx="130">
                  <c:v>3</c:v>
                </c:pt>
                <c:pt idx="131">
                  <c:v>1</c:v>
                </c:pt>
                <c:pt idx="132">
                  <c:v>6</c:v>
                </c:pt>
                <c:pt idx="133">
                  <c:v>8</c:v>
                </c:pt>
                <c:pt idx="134">
                  <c:v>6</c:v>
                </c:pt>
                <c:pt idx="135">
                  <c:v>5</c:v>
                </c:pt>
                <c:pt idx="136">
                  <c:v>8</c:v>
                </c:pt>
                <c:pt idx="137">
                  <c:v>2</c:v>
                </c:pt>
                <c:pt idx="138">
                  <c:v>1</c:v>
                </c:pt>
                <c:pt idx="139">
                  <c:v>1</c:v>
                </c:pt>
                <c:pt idx="140">
                  <c:v>4</c:v>
                </c:pt>
                <c:pt idx="141">
                  <c:v>6</c:v>
                </c:pt>
                <c:pt idx="142">
                  <c:v>9</c:v>
                </c:pt>
                <c:pt idx="143">
                  <c:v>1</c:v>
                </c:pt>
                <c:pt idx="144">
                  <c:v>1</c:v>
                </c:pt>
                <c:pt idx="145">
                  <c:v>5</c:v>
                </c:pt>
                <c:pt idx="146">
                  <c:v>10</c:v>
                </c:pt>
                <c:pt idx="147">
                  <c:v>5</c:v>
                </c:pt>
                <c:pt idx="148">
                  <c:v>5</c:v>
                </c:pt>
                <c:pt idx="149">
                  <c:v>10</c:v>
                </c:pt>
                <c:pt idx="150">
                  <c:v>6</c:v>
                </c:pt>
                <c:pt idx="151">
                  <c:v>8</c:v>
                </c:pt>
                <c:pt idx="152">
                  <c:v>3</c:v>
                </c:pt>
                <c:pt idx="153">
                  <c:v>9</c:v>
                </c:pt>
                <c:pt idx="154">
                  <c:v>1</c:v>
                </c:pt>
                <c:pt idx="155">
                  <c:v>4</c:v>
                </c:pt>
                <c:pt idx="156">
                  <c:v>9</c:v>
                </c:pt>
                <c:pt idx="157">
                  <c:v>8</c:v>
                </c:pt>
                <c:pt idx="158">
                  <c:v>10</c:v>
                </c:pt>
                <c:pt idx="159">
                  <c:v>9</c:v>
                </c:pt>
                <c:pt idx="160">
                  <c:v>1</c:v>
                </c:pt>
                <c:pt idx="161">
                  <c:v>9</c:v>
                </c:pt>
                <c:pt idx="162">
                  <c:v>3</c:v>
                </c:pt>
                <c:pt idx="163">
                  <c:v>10</c:v>
                </c:pt>
                <c:pt idx="164">
                  <c:v>9</c:v>
                </c:pt>
                <c:pt idx="165">
                  <c:v>1</c:v>
                </c:pt>
                <c:pt idx="166">
                  <c:v>1</c:v>
                </c:pt>
                <c:pt idx="167">
                  <c:v>9</c:v>
                </c:pt>
                <c:pt idx="168">
                  <c:v>6</c:v>
                </c:pt>
                <c:pt idx="169">
                  <c:v>4</c:v>
                </c:pt>
                <c:pt idx="170">
                  <c:v>7</c:v>
                </c:pt>
                <c:pt idx="171">
                  <c:v>5</c:v>
                </c:pt>
                <c:pt idx="172">
                  <c:v>10</c:v>
                </c:pt>
                <c:pt idx="173">
                  <c:v>7</c:v>
                </c:pt>
                <c:pt idx="174">
                  <c:v>8</c:v>
                </c:pt>
                <c:pt idx="175">
                  <c:v>8</c:v>
                </c:pt>
                <c:pt idx="176">
                  <c:v>1</c:v>
                </c:pt>
                <c:pt idx="177">
                  <c:v>8</c:v>
                </c:pt>
                <c:pt idx="178">
                  <c:v>6</c:v>
                </c:pt>
                <c:pt idx="179">
                  <c:v>4</c:v>
                </c:pt>
                <c:pt idx="180">
                  <c:v>8</c:v>
                </c:pt>
                <c:pt idx="181">
                  <c:v>3</c:v>
                </c:pt>
                <c:pt idx="182">
                  <c:v>4</c:v>
                </c:pt>
                <c:pt idx="183">
                  <c:v>6</c:v>
                </c:pt>
                <c:pt idx="184">
                  <c:v>7</c:v>
                </c:pt>
                <c:pt idx="185">
                  <c:v>4</c:v>
                </c:pt>
                <c:pt idx="186">
                  <c:v>4</c:v>
                </c:pt>
                <c:pt idx="187">
                  <c:v>7</c:v>
                </c:pt>
                <c:pt idx="188">
                  <c:v>6</c:v>
                </c:pt>
                <c:pt idx="189">
                  <c:v>8</c:v>
                </c:pt>
                <c:pt idx="190">
                  <c:v>1</c:v>
                </c:pt>
                <c:pt idx="191">
                  <c:v>10</c:v>
                </c:pt>
                <c:pt idx="192">
                  <c:v>7</c:v>
                </c:pt>
                <c:pt idx="193">
                  <c:v>7</c:v>
                </c:pt>
                <c:pt idx="194">
                  <c:v>7</c:v>
                </c:pt>
                <c:pt idx="195">
                  <c:v>7</c:v>
                </c:pt>
                <c:pt idx="196">
                  <c:v>10</c:v>
                </c:pt>
                <c:pt idx="197">
                  <c:v>10</c:v>
                </c:pt>
                <c:pt idx="198">
                  <c:v>8</c:v>
                </c:pt>
                <c:pt idx="199">
                  <c:v>9</c:v>
                </c:pt>
                <c:pt idx="200">
                  <c:v>9</c:v>
                </c:pt>
                <c:pt idx="201">
                  <c:v>2</c:v>
                </c:pt>
                <c:pt idx="202">
                  <c:v>7</c:v>
                </c:pt>
                <c:pt idx="203">
                  <c:v>7</c:v>
                </c:pt>
                <c:pt idx="204">
                  <c:v>4</c:v>
                </c:pt>
                <c:pt idx="205">
                  <c:v>9</c:v>
                </c:pt>
                <c:pt idx="206">
                  <c:v>8</c:v>
                </c:pt>
                <c:pt idx="207">
                  <c:v>1</c:v>
                </c:pt>
                <c:pt idx="208">
                  <c:v>2</c:v>
                </c:pt>
                <c:pt idx="209">
                  <c:v>2</c:v>
                </c:pt>
                <c:pt idx="210">
                  <c:v>8</c:v>
                </c:pt>
                <c:pt idx="211">
                  <c:v>1</c:v>
                </c:pt>
                <c:pt idx="212">
                  <c:v>4</c:v>
                </c:pt>
                <c:pt idx="213">
                  <c:v>10</c:v>
                </c:pt>
                <c:pt idx="214">
                  <c:v>5</c:v>
                </c:pt>
                <c:pt idx="215">
                  <c:v>9</c:v>
                </c:pt>
                <c:pt idx="216">
                  <c:v>7</c:v>
                </c:pt>
                <c:pt idx="217">
                  <c:v>8</c:v>
                </c:pt>
                <c:pt idx="218">
                  <c:v>9</c:v>
                </c:pt>
                <c:pt idx="219">
                  <c:v>7</c:v>
                </c:pt>
                <c:pt idx="220">
                  <c:v>5</c:v>
                </c:pt>
                <c:pt idx="221">
                  <c:v>5</c:v>
                </c:pt>
                <c:pt idx="222">
                  <c:v>10</c:v>
                </c:pt>
                <c:pt idx="223">
                  <c:v>6</c:v>
                </c:pt>
                <c:pt idx="224">
                  <c:v>5</c:v>
                </c:pt>
                <c:pt idx="225">
                  <c:v>9</c:v>
                </c:pt>
                <c:pt idx="226">
                  <c:v>3</c:v>
                </c:pt>
                <c:pt idx="227">
                  <c:v>3</c:v>
                </c:pt>
                <c:pt idx="228">
                  <c:v>7</c:v>
                </c:pt>
                <c:pt idx="229">
                  <c:v>7</c:v>
                </c:pt>
                <c:pt idx="230">
                  <c:v>6</c:v>
                </c:pt>
                <c:pt idx="231">
                  <c:v>3</c:v>
                </c:pt>
                <c:pt idx="232">
                  <c:v>7</c:v>
                </c:pt>
                <c:pt idx="233">
                  <c:v>5</c:v>
                </c:pt>
                <c:pt idx="234">
                  <c:v>7</c:v>
                </c:pt>
                <c:pt idx="235">
                  <c:v>2</c:v>
                </c:pt>
                <c:pt idx="236">
                  <c:v>6</c:v>
                </c:pt>
                <c:pt idx="237">
                  <c:v>8</c:v>
                </c:pt>
                <c:pt idx="238">
                  <c:v>1</c:v>
                </c:pt>
                <c:pt idx="239">
                  <c:v>4</c:v>
                </c:pt>
                <c:pt idx="240">
                  <c:v>1</c:v>
                </c:pt>
                <c:pt idx="241">
                  <c:v>1</c:v>
                </c:pt>
                <c:pt idx="242">
                  <c:v>10</c:v>
                </c:pt>
                <c:pt idx="243">
                  <c:v>8</c:v>
                </c:pt>
                <c:pt idx="244">
                  <c:v>7</c:v>
                </c:pt>
                <c:pt idx="245">
                  <c:v>10</c:v>
                </c:pt>
                <c:pt idx="246">
                  <c:v>1</c:v>
                </c:pt>
                <c:pt idx="247">
                  <c:v>2</c:v>
                </c:pt>
                <c:pt idx="248">
                  <c:v>4</c:v>
                </c:pt>
                <c:pt idx="249">
                  <c:v>1</c:v>
                </c:pt>
                <c:pt idx="250">
                  <c:v>3</c:v>
                </c:pt>
                <c:pt idx="251">
                  <c:v>8</c:v>
                </c:pt>
                <c:pt idx="252">
                  <c:v>8</c:v>
                </c:pt>
                <c:pt idx="253">
                  <c:v>8</c:v>
                </c:pt>
                <c:pt idx="254">
                  <c:v>6</c:v>
                </c:pt>
                <c:pt idx="255">
                  <c:v>6</c:v>
                </c:pt>
                <c:pt idx="256">
                  <c:v>5</c:v>
                </c:pt>
                <c:pt idx="257">
                  <c:v>9</c:v>
                </c:pt>
                <c:pt idx="258">
                  <c:v>4</c:v>
                </c:pt>
                <c:pt idx="259">
                  <c:v>10</c:v>
                </c:pt>
                <c:pt idx="260">
                  <c:v>7</c:v>
                </c:pt>
                <c:pt idx="261">
                  <c:v>1</c:v>
                </c:pt>
                <c:pt idx="262">
                  <c:v>9</c:v>
                </c:pt>
                <c:pt idx="263">
                  <c:v>7</c:v>
                </c:pt>
                <c:pt idx="264">
                  <c:v>10</c:v>
                </c:pt>
                <c:pt idx="265">
                  <c:v>9</c:v>
                </c:pt>
                <c:pt idx="266">
                  <c:v>7</c:v>
                </c:pt>
                <c:pt idx="267">
                  <c:v>2</c:v>
                </c:pt>
                <c:pt idx="268">
                  <c:v>6</c:v>
                </c:pt>
                <c:pt idx="269">
                  <c:v>10</c:v>
                </c:pt>
                <c:pt idx="270">
                  <c:v>4</c:v>
                </c:pt>
                <c:pt idx="271">
                  <c:v>3</c:v>
                </c:pt>
                <c:pt idx="272">
                  <c:v>2</c:v>
                </c:pt>
                <c:pt idx="273">
                  <c:v>6</c:v>
                </c:pt>
                <c:pt idx="274">
                  <c:v>8</c:v>
                </c:pt>
                <c:pt idx="275">
                  <c:v>6</c:v>
                </c:pt>
                <c:pt idx="276">
                  <c:v>9</c:v>
                </c:pt>
                <c:pt idx="277">
                  <c:v>5</c:v>
                </c:pt>
                <c:pt idx="278">
                  <c:v>2</c:v>
                </c:pt>
                <c:pt idx="279">
                  <c:v>8</c:v>
                </c:pt>
                <c:pt idx="280">
                  <c:v>9</c:v>
                </c:pt>
                <c:pt idx="281">
                  <c:v>10</c:v>
                </c:pt>
                <c:pt idx="282">
                  <c:v>4</c:v>
                </c:pt>
                <c:pt idx="283">
                  <c:v>6</c:v>
                </c:pt>
                <c:pt idx="284">
                  <c:v>10</c:v>
                </c:pt>
                <c:pt idx="285">
                  <c:v>8</c:v>
                </c:pt>
                <c:pt idx="286">
                  <c:v>9</c:v>
                </c:pt>
                <c:pt idx="287">
                  <c:v>5</c:v>
                </c:pt>
                <c:pt idx="288">
                  <c:v>6</c:v>
                </c:pt>
                <c:pt idx="289">
                  <c:v>4</c:v>
                </c:pt>
                <c:pt idx="290">
                  <c:v>5</c:v>
                </c:pt>
                <c:pt idx="291">
                  <c:v>7</c:v>
                </c:pt>
                <c:pt idx="292">
                  <c:v>9</c:v>
                </c:pt>
                <c:pt idx="293">
                  <c:v>10</c:v>
                </c:pt>
                <c:pt idx="294">
                  <c:v>6</c:v>
                </c:pt>
                <c:pt idx="295">
                  <c:v>6</c:v>
                </c:pt>
                <c:pt idx="296">
                  <c:v>8</c:v>
                </c:pt>
                <c:pt idx="297">
                  <c:v>4</c:v>
                </c:pt>
                <c:pt idx="298">
                  <c:v>3</c:v>
                </c:pt>
                <c:pt idx="299">
                  <c:v>7</c:v>
                </c:pt>
                <c:pt idx="300">
                  <c:v>5</c:v>
                </c:pt>
                <c:pt idx="301">
                  <c:v>2</c:v>
                </c:pt>
                <c:pt idx="302">
                  <c:v>2</c:v>
                </c:pt>
                <c:pt idx="303">
                  <c:v>6</c:v>
                </c:pt>
                <c:pt idx="304">
                  <c:v>8</c:v>
                </c:pt>
                <c:pt idx="305">
                  <c:v>1</c:v>
                </c:pt>
                <c:pt idx="306">
                  <c:v>6</c:v>
                </c:pt>
                <c:pt idx="307">
                  <c:v>2</c:v>
                </c:pt>
                <c:pt idx="308">
                  <c:v>2</c:v>
                </c:pt>
                <c:pt idx="309">
                  <c:v>7</c:v>
                </c:pt>
                <c:pt idx="310">
                  <c:v>10</c:v>
                </c:pt>
                <c:pt idx="311">
                  <c:v>1</c:v>
                </c:pt>
                <c:pt idx="312">
                  <c:v>6</c:v>
                </c:pt>
                <c:pt idx="313">
                  <c:v>7</c:v>
                </c:pt>
                <c:pt idx="314">
                  <c:v>8</c:v>
                </c:pt>
                <c:pt idx="315">
                  <c:v>7</c:v>
                </c:pt>
                <c:pt idx="316">
                  <c:v>6</c:v>
                </c:pt>
                <c:pt idx="317">
                  <c:v>9</c:v>
                </c:pt>
                <c:pt idx="318">
                  <c:v>3</c:v>
                </c:pt>
                <c:pt idx="319">
                  <c:v>6</c:v>
                </c:pt>
                <c:pt idx="320">
                  <c:v>4</c:v>
                </c:pt>
                <c:pt idx="321">
                  <c:v>2</c:v>
                </c:pt>
                <c:pt idx="322">
                  <c:v>1</c:v>
                </c:pt>
                <c:pt idx="323">
                  <c:v>1</c:v>
                </c:pt>
                <c:pt idx="324">
                  <c:v>10</c:v>
                </c:pt>
                <c:pt idx="325">
                  <c:v>3</c:v>
                </c:pt>
                <c:pt idx="326">
                  <c:v>4</c:v>
                </c:pt>
                <c:pt idx="327">
                  <c:v>2</c:v>
                </c:pt>
                <c:pt idx="328">
                  <c:v>1</c:v>
                </c:pt>
                <c:pt idx="329">
                  <c:v>4</c:v>
                </c:pt>
                <c:pt idx="330">
                  <c:v>7</c:v>
                </c:pt>
                <c:pt idx="331">
                  <c:v>10</c:v>
                </c:pt>
                <c:pt idx="332">
                  <c:v>6</c:v>
                </c:pt>
                <c:pt idx="333">
                  <c:v>6</c:v>
                </c:pt>
                <c:pt idx="334">
                  <c:v>9</c:v>
                </c:pt>
                <c:pt idx="335">
                  <c:v>2</c:v>
                </c:pt>
                <c:pt idx="336">
                  <c:v>4</c:v>
                </c:pt>
                <c:pt idx="337">
                  <c:v>5</c:v>
                </c:pt>
                <c:pt idx="338">
                  <c:v>1</c:v>
                </c:pt>
                <c:pt idx="339">
                  <c:v>8</c:v>
                </c:pt>
                <c:pt idx="340">
                  <c:v>8</c:v>
                </c:pt>
                <c:pt idx="341">
                  <c:v>6</c:v>
                </c:pt>
                <c:pt idx="342">
                  <c:v>5</c:v>
                </c:pt>
                <c:pt idx="343">
                  <c:v>8</c:v>
                </c:pt>
                <c:pt idx="344">
                  <c:v>3</c:v>
                </c:pt>
                <c:pt idx="345">
                  <c:v>3</c:v>
                </c:pt>
                <c:pt idx="346">
                  <c:v>2</c:v>
                </c:pt>
                <c:pt idx="347">
                  <c:v>5</c:v>
                </c:pt>
                <c:pt idx="348">
                  <c:v>3</c:v>
                </c:pt>
                <c:pt idx="349">
                  <c:v>3</c:v>
                </c:pt>
                <c:pt idx="350">
                  <c:v>6</c:v>
                </c:pt>
                <c:pt idx="351">
                  <c:v>8</c:v>
                </c:pt>
                <c:pt idx="352">
                  <c:v>2</c:v>
                </c:pt>
                <c:pt idx="353">
                  <c:v>4</c:v>
                </c:pt>
                <c:pt idx="354">
                  <c:v>7</c:v>
                </c:pt>
                <c:pt idx="355">
                  <c:v>1</c:v>
                </c:pt>
                <c:pt idx="356">
                  <c:v>1</c:v>
                </c:pt>
                <c:pt idx="357">
                  <c:v>10</c:v>
                </c:pt>
                <c:pt idx="358">
                  <c:v>7</c:v>
                </c:pt>
                <c:pt idx="359">
                  <c:v>7</c:v>
                </c:pt>
                <c:pt idx="360">
                  <c:v>1</c:v>
                </c:pt>
                <c:pt idx="361">
                  <c:v>1</c:v>
                </c:pt>
                <c:pt idx="362">
                  <c:v>4</c:v>
                </c:pt>
                <c:pt idx="363">
                  <c:v>5</c:v>
                </c:pt>
                <c:pt idx="364">
                  <c:v>5</c:v>
                </c:pt>
                <c:pt idx="365">
                  <c:v>4</c:v>
                </c:pt>
                <c:pt idx="366">
                  <c:v>8</c:v>
                </c:pt>
                <c:pt idx="367">
                  <c:v>7</c:v>
                </c:pt>
                <c:pt idx="368">
                  <c:v>9</c:v>
                </c:pt>
                <c:pt idx="369">
                  <c:v>7</c:v>
                </c:pt>
                <c:pt idx="370">
                  <c:v>10</c:v>
                </c:pt>
                <c:pt idx="371">
                  <c:v>1</c:v>
                </c:pt>
                <c:pt idx="372">
                  <c:v>7</c:v>
                </c:pt>
                <c:pt idx="373">
                  <c:v>1</c:v>
                </c:pt>
                <c:pt idx="374">
                  <c:v>7</c:v>
                </c:pt>
                <c:pt idx="375">
                  <c:v>10</c:v>
                </c:pt>
                <c:pt idx="376">
                  <c:v>8</c:v>
                </c:pt>
                <c:pt idx="377">
                  <c:v>9</c:v>
                </c:pt>
                <c:pt idx="378">
                  <c:v>3</c:v>
                </c:pt>
                <c:pt idx="379">
                  <c:v>4</c:v>
                </c:pt>
                <c:pt idx="380">
                  <c:v>4</c:v>
                </c:pt>
                <c:pt idx="381">
                  <c:v>9</c:v>
                </c:pt>
                <c:pt idx="382">
                  <c:v>7</c:v>
                </c:pt>
                <c:pt idx="383">
                  <c:v>3</c:v>
                </c:pt>
                <c:pt idx="384">
                  <c:v>10</c:v>
                </c:pt>
                <c:pt idx="385">
                  <c:v>5</c:v>
                </c:pt>
                <c:pt idx="386">
                  <c:v>7</c:v>
                </c:pt>
                <c:pt idx="387">
                  <c:v>8</c:v>
                </c:pt>
                <c:pt idx="388">
                  <c:v>1</c:v>
                </c:pt>
                <c:pt idx="389">
                  <c:v>2</c:v>
                </c:pt>
                <c:pt idx="390">
                  <c:v>7</c:v>
                </c:pt>
                <c:pt idx="391">
                  <c:v>2</c:v>
                </c:pt>
                <c:pt idx="392">
                  <c:v>7</c:v>
                </c:pt>
                <c:pt idx="393">
                  <c:v>9</c:v>
                </c:pt>
                <c:pt idx="394">
                  <c:v>2</c:v>
                </c:pt>
                <c:pt idx="395">
                  <c:v>7</c:v>
                </c:pt>
                <c:pt idx="396">
                  <c:v>4</c:v>
                </c:pt>
                <c:pt idx="397">
                  <c:v>2</c:v>
                </c:pt>
                <c:pt idx="398">
                  <c:v>7</c:v>
                </c:pt>
                <c:pt idx="399">
                  <c:v>5</c:v>
                </c:pt>
                <c:pt idx="400">
                  <c:v>1</c:v>
                </c:pt>
                <c:pt idx="401">
                  <c:v>5</c:v>
                </c:pt>
                <c:pt idx="402">
                  <c:v>3</c:v>
                </c:pt>
                <c:pt idx="403">
                  <c:v>7</c:v>
                </c:pt>
                <c:pt idx="404">
                  <c:v>6</c:v>
                </c:pt>
                <c:pt idx="405">
                  <c:v>8</c:v>
                </c:pt>
                <c:pt idx="406">
                  <c:v>5</c:v>
                </c:pt>
                <c:pt idx="407">
                  <c:v>2</c:v>
                </c:pt>
                <c:pt idx="408">
                  <c:v>9</c:v>
                </c:pt>
                <c:pt idx="409">
                  <c:v>8</c:v>
                </c:pt>
                <c:pt idx="410">
                  <c:v>6</c:v>
                </c:pt>
                <c:pt idx="411">
                  <c:v>10</c:v>
                </c:pt>
                <c:pt idx="412">
                  <c:v>7</c:v>
                </c:pt>
                <c:pt idx="413">
                  <c:v>9</c:v>
                </c:pt>
                <c:pt idx="414">
                  <c:v>7</c:v>
                </c:pt>
                <c:pt idx="415">
                  <c:v>3</c:v>
                </c:pt>
                <c:pt idx="416">
                  <c:v>6</c:v>
                </c:pt>
                <c:pt idx="417">
                  <c:v>7</c:v>
                </c:pt>
                <c:pt idx="418">
                  <c:v>2</c:v>
                </c:pt>
                <c:pt idx="419">
                  <c:v>3</c:v>
                </c:pt>
                <c:pt idx="420">
                  <c:v>4</c:v>
                </c:pt>
                <c:pt idx="421">
                  <c:v>10</c:v>
                </c:pt>
                <c:pt idx="422">
                  <c:v>6</c:v>
                </c:pt>
                <c:pt idx="423">
                  <c:v>1</c:v>
                </c:pt>
                <c:pt idx="424">
                  <c:v>9</c:v>
                </c:pt>
                <c:pt idx="425">
                  <c:v>5</c:v>
                </c:pt>
                <c:pt idx="426">
                  <c:v>7</c:v>
                </c:pt>
                <c:pt idx="427">
                  <c:v>9</c:v>
                </c:pt>
                <c:pt idx="428">
                  <c:v>9</c:v>
                </c:pt>
                <c:pt idx="429">
                  <c:v>1</c:v>
                </c:pt>
                <c:pt idx="430">
                  <c:v>1</c:v>
                </c:pt>
                <c:pt idx="431">
                  <c:v>3</c:v>
                </c:pt>
                <c:pt idx="432">
                  <c:v>6</c:v>
                </c:pt>
                <c:pt idx="433">
                  <c:v>2</c:v>
                </c:pt>
                <c:pt idx="434">
                  <c:v>10</c:v>
                </c:pt>
                <c:pt idx="435">
                  <c:v>1</c:v>
                </c:pt>
                <c:pt idx="436">
                  <c:v>1</c:v>
                </c:pt>
                <c:pt idx="437">
                  <c:v>5</c:v>
                </c:pt>
                <c:pt idx="438">
                  <c:v>4</c:v>
                </c:pt>
                <c:pt idx="439">
                  <c:v>1</c:v>
                </c:pt>
                <c:pt idx="440">
                  <c:v>4</c:v>
                </c:pt>
                <c:pt idx="441">
                  <c:v>3</c:v>
                </c:pt>
                <c:pt idx="442">
                  <c:v>2</c:v>
                </c:pt>
                <c:pt idx="443">
                  <c:v>9</c:v>
                </c:pt>
                <c:pt idx="444">
                  <c:v>1</c:v>
                </c:pt>
                <c:pt idx="445">
                  <c:v>7</c:v>
                </c:pt>
                <c:pt idx="446">
                  <c:v>4</c:v>
                </c:pt>
                <c:pt idx="447">
                  <c:v>5</c:v>
                </c:pt>
                <c:pt idx="448">
                  <c:v>10</c:v>
                </c:pt>
                <c:pt idx="449">
                  <c:v>5</c:v>
                </c:pt>
                <c:pt idx="450">
                  <c:v>1</c:v>
                </c:pt>
                <c:pt idx="451">
                  <c:v>6</c:v>
                </c:pt>
                <c:pt idx="452">
                  <c:v>9</c:v>
                </c:pt>
                <c:pt idx="453">
                  <c:v>2</c:v>
                </c:pt>
                <c:pt idx="454">
                  <c:v>7</c:v>
                </c:pt>
                <c:pt idx="455">
                  <c:v>6</c:v>
                </c:pt>
                <c:pt idx="456">
                  <c:v>5</c:v>
                </c:pt>
                <c:pt idx="457">
                  <c:v>4</c:v>
                </c:pt>
                <c:pt idx="458">
                  <c:v>4</c:v>
                </c:pt>
                <c:pt idx="459">
                  <c:v>6</c:v>
                </c:pt>
                <c:pt idx="460">
                  <c:v>4</c:v>
                </c:pt>
                <c:pt idx="461">
                  <c:v>5</c:v>
                </c:pt>
                <c:pt idx="462">
                  <c:v>6</c:v>
                </c:pt>
                <c:pt idx="463">
                  <c:v>5</c:v>
                </c:pt>
                <c:pt idx="464">
                  <c:v>7</c:v>
                </c:pt>
                <c:pt idx="465">
                  <c:v>9</c:v>
                </c:pt>
                <c:pt idx="466">
                  <c:v>10</c:v>
                </c:pt>
                <c:pt idx="467">
                  <c:v>7</c:v>
                </c:pt>
                <c:pt idx="468">
                  <c:v>7</c:v>
                </c:pt>
                <c:pt idx="469">
                  <c:v>4</c:v>
                </c:pt>
                <c:pt idx="470">
                  <c:v>1</c:v>
                </c:pt>
                <c:pt idx="471">
                  <c:v>8</c:v>
                </c:pt>
                <c:pt idx="472">
                  <c:v>4</c:v>
                </c:pt>
                <c:pt idx="473">
                  <c:v>1</c:v>
                </c:pt>
                <c:pt idx="474">
                  <c:v>5</c:v>
                </c:pt>
                <c:pt idx="475">
                  <c:v>8</c:v>
                </c:pt>
                <c:pt idx="476">
                  <c:v>4</c:v>
                </c:pt>
                <c:pt idx="477">
                  <c:v>8</c:v>
                </c:pt>
                <c:pt idx="478">
                  <c:v>8</c:v>
                </c:pt>
                <c:pt idx="479">
                  <c:v>3</c:v>
                </c:pt>
                <c:pt idx="480">
                  <c:v>9</c:v>
                </c:pt>
                <c:pt idx="481">
                  <c:v>3</c:v>
                </c:pt>
                <c:pt idx="482">
                  <c:v>1</c:v>
                </c:pt>
                <c:pt idx="483">
                  <c:v>2</c:v>
                </c:pt>
                <c:pt idx="484">
                  <c:v>6</c:v>
                </c:pt>
                <c:pt idx="485">
                  <c:v>10</c:v>
                </c:pt>
                <c:pt idx="486">
                  <c:v>2</c:v>
                </c:pt>
                <c:pt idx="487">
                  <c:v>6</c:v>
                </c:pt>
                <c:pt idx="488">
                  <c:v>1</c:v>
                </c:pt>
                <c:pt idx="489">
                  <c:v>1</c:v>
                </c:pt>
                <c:pt idx="490">
                  <c:v>5</c:v>
                </c:pt>
                <c:pt idx="491">
                  <c:v>10</c:v>
                </c:pt>
                <c:pt idx="492">
                  <c:v>9</c:v>
                </c:pt>
                <c:pt idx="493">
                  <c:v>8</c:v>
                </c:pt>
                <c:pt idx="494">
                  <c:v>3</c:v>
                </c:pt>
                <c:pt idx="495">
                  <c:v>3</c:v>
                </c:pt>
                <c:pt idx="496">
                  <c:v>1</c:v>
                </c:pt>
                <c:pt idx="497">
                  <c:v>3</c:v>
                </c:pt>
                <c:pt idx="498">
                  <c:v>1</c:v>
                </c:pt>
                <c:pt idx="499">
                  <c:v>8</c:v>
                </c:pt>
                <c:pt idx="500">
                  <c:v>1</c:v>
                </c:pt>
                <c:pt idx="501">
                  <c:v>5</c:v>
                </c:pt>
                <c:pt idx="502">
                  <c:v>9</c:v>
                </c:pt>
                <c:pt idx="503">
                  <c:v>7</c:v>
                </c:pt>
                <c:pt idx="504">
                  <c:v>4</c:v>
                </c:pt>
                <c:pt idx="505">
                  <c:v>9</c:v>
                </c:pt>
                <c:pt idx="506">
                  <c:v>9</c:v>
                </c:pt>
                <c:pt idx="507">
                  <c:v>2</c:v>
                </c:pt>
                <c:pt idx="508">
                  <c:v>10</c:v>
                </c:pt>
                <c:pt idx="509">
                  <c:v>10</c:v>
                </c:pt>
                <c:pt idx="510">
                  <c:v>6</c:v>
                </c:pt>
                <c:pt idx="511">
                  <c:v>4</c:v>
                </c:pt>
                <c:pt idx="512">
                  <c:v>8</c:v>
                </c:pt>
                <c:pt idx="513">
                  <c:v>7</c:v>
                </c:pt>
                <c:pt idx="514">
                  <c:v>7</c:v>
                </c:pt>
                <c:pt idx="515">
                  <c:v>10</c:v>
                </c:pt>
                <c:pt idx="516">
                  <c:v>9</c:v>
                </c:pt>
                <c:pt idx="517">
                  <c:v>5</c:v>
                </c:pt>
                <c:pt idx="518">
                  <c:v>6</c:v>
                </c:pt>
                <c:pt idx="519">
                  <c:v>1</c:v>
                </c:pt>
                <c:pt idx="520">
                  <c:v>6</c:v>
                </c:pt>
                <c:pt idx="521">
                  <c:v>2</c:v>
                </c:pt>
                <c:pt idx="522">
                  <c:v>6</c:v>
                </c:pt>
                <c:pt idx="523">
                  <c:v>9</c:v>
                </c:pt>
                <c:pt idx="524">
                  <c:v>8</c:v>
                </c:pt>
                <c:pt idx="525">
                  <c:v>9</c:v>
                </c:pt>
                <c:pt idx="526">
                  <c:v>10</c:v>
                </c:pt>
                <c:pt idx="527">
                  <c:v>8</c:v>
                </c:pt>
                <c:pt idx="528">
                  <c:v>3</c:v>
                </c:pt>
                <c:pt idx="529">
                  <c:v>8</c:v>
                </c:pt>
                <c:pt idx="530">
                  <c:v>6</c:v>
                </c:pt>
                <c:pt idx="531">
                  <c:v>6</c:v>
                </c:pt>
                <c:pt idx="532">
                  <c:v>6</c:v>
                </c:pt>
                <c:pt idx="533">
                  <c:v>3</c:v>
                </c:pt>
                <c:pt idx="534">
                  <c:v>10</c:v>
                </c:pt>
                <c:pt idx="535">
                  <c:v>1</c:v>
                </c:pt>
                <c:pt idx="536">
                  <c:v>4</c:v>
                </c:pt>
                <c:pt idx="537">
                  <c:v>10</c:v>
                </c:pt>
                <c:pt idx="538">
                  <c:v>6</c:v>
                </c:pt>
                <c:pt idx="539">
                  <c:v>10</c:v>
                </c:pt>
                <c:pt idx="540">
                  <c:v>2</c:v>
                </c:pt>
                <c:pt idx="541">
                  <c:v>7</c:v>
                </c:pt>
                <c:pt idx="542">
                  <c:v>7</c:v>
                </c:pt>
                <c:pt idx="543">
                  <c:v>4</c:v>
                </c:pt>
                <c:pt idx="544">
                  <c:v>4</c:v>
                </c:pt>
                <c:pt idx="545">
                  <c:v>1</c:v>
                </c:pt>
                <c:pt idx="546">
                  <c:v>2</c:v>
                </c:pt>
                <c:pt idx="547">
                  <c:v>9</c:v>
                </c:pt>
                <c:pt idx="548">
                  <c:v>10</c:v>
                </c:pt>
                <c:pt idx="549">
                  <c:v>8</c:v>
                </c:pt>
                <c:pt idx="550">
                  <c:v>8</c:v>
                </c:pt>
                <c:pt idx="551">
                  <c:v>9</c:v>
                </c:pt>
                <c:pt idx="552">
                  <c:v>7</c:v>
                </c:pt>
                <c:pt idx="553">
                  <c:v>9</c:v>
                </c:pt>
                <c:pt idx="554">
                  <c:v>10</c:v>
                </c:pt>
                <c:pt idx="555">
                  <c:v>2</c:v>
                </c:pt>
                <c:pt idx="556">
                  <c:v>6</c:v>
                </c:pt>
                <c:pt idx="557">
                  <c:v>3</c:v>
                </c:pt>
                <c:pt idx="558">
                  <c:v>6</c:v>
                </c:pt>
                <c:pt idx="559">
                  <c:v>3</c:v>
                </c:pt>
                <c:pt idx="560">
                  <c:v>8</c:v>
                </c:pt>
                <c:pt idx="561">
                  <c:v>4</c:v>
                </c:pt>
                <c:pt idx="562">
                  <c:v>10</c:v>
                </c:pt>
                <c:pt idx="563">
                  <c:v>6</c:v>
                </c:pt>
                <c:pt idx="564">
                  <c:v>9</c:v>
                </c:pt>
                <c:pt idx="565">
                  <c:v>2</c:v>
                </c:pt>
                <c:pt idx="566">
                  <c:v>2</c:v>
                </c:pt>
                <c:pt idx="567">
                  <c:v>7</c:v>
                </c:pt>
                <c:pt idx="568">
                  <c:v>2</c:v>
                </c:pt>
                <c:pt idx="569">
                  <c:v>2</c:v>
                </c:pt>
                <c:pt idx="570">
                  <c:v>4</c:v>
                </c:pt>
                <c:pt idx="571">
                  <c:v>9</c:v>
                </c:pt>
                <c:pt idx="572">
                  <c:v>8</c:v>
                </c:pt>
                <c:pt idx="573">
                  <c:v>2</c:v>
                </c:pt>
                <c:pt idx="574">
                  <c:v>8</c:v>
                </c:pt>
                <c:pt idx="575">
                  <c:v>4</c:v>
                </c:pt>
                <c:pt idx="576">
                  <c:v>2</c:v>
                </c:pt>
                <c:pt idx="577">
                  <c:v>10</c:v>
                </c:pt>
                <c:pt idx="578">
                  <c:v>7</c:v>
                </c:pt>
                <c:pt idx="579">
                  <c:v>6</c:v>
                </c:pt>
                <c:pt idx="580">
                  <c:v>10</c:v>
                </c:pt>
                <c:pt idx="581">
                  <c:v>5</c:v>
                </c:pt>
                <c:pt idx="582">
                  <c:v>1</c:v>
                </c:pt>
                <c:pt idx="583">
                  <c:v>2</c:v>
                </c:pt>
                <c:pt idx="584">
                  <c:v>8</c:v>
                </c:pt>
                <c:pt idx="585">
                  <c:v>1</c:v>
                </c:pt>
                <c:pt idx="586">
                  <c:v>3</c:v>
                </c:pt>
                <c:pt idx="587">
                  <c:v>2</c:v>
                </c:pt>
                <c:pt idx="588">
                  <c:v>5</c:v>
                </c:pt>
                <c:pt idx="589">
                  <c:v>4</c:v>
                </c:pt>
                <c:pt idx="590">
                  <c:v>7</c:v>
                </c:pt>
                <c:pt idx="591">
                  <c:v>5</c:v>
                </c:pt>
                <c:pt idx="592">
                  <c:v>8</c:v>
                </c:pt>
                <c:pt idx="593">
                  <c:v>4</c:v>
                </c:pt>
                <c:pt idx="594">
                  <c:v>6</c:v>
                </c:pt>
                <c:pt idx="595">
                  <c:v>4</c:v>
                </c:pt>
                <c:pt idx="596">
                  <c:v>2</c:v>
                </c:pt>
                <c:pt idx="597">
                  <c:v>1</c:v>
                </c:pt>
                <c:pt idx="598">
                  <c:v>1</c:v>
                </c:pt>
                <c:pt idx="599">
                  <c:v>8</c:v>
                </c:pt>
                <c:pt idx="600">
                  <c:v>4</c:v>
                </c:pt>
                <c:pt idx="601">
                  <c:v>5</c:v>
                </c:pt>
                <c:pt idx="602">
                  <c:v>8</c:v>
                </c:pt>
                <c:pt idx="603">
                  <c:v>7</c:v>
                </c:pt>
                <c:pt idx="604">
                  <c:v>8</c:v>
                </c:pt>
                <c:pt idx="605">
                  <c:v>8</c:v>
                </c:pt>
                <c:pt idx="606">
                  <c:v>6</c:v>
                </c:pt>
                <c:pt idx="607">
                  <c:v>10</c:v>
                </c:pt>
                <c:pt idx="608">
                  <c:v>2</c:v>
                </c:pt>
                <c:pt idx="609">
                  <c:v>6</c:v>
                </c:pt>
                <c:pt idx="610">
                  <c:v>1</c:v>
                </c:pt>
                <c:pt idx="611">
                  <c:v>1</c:v>
                </c:pt>
                <c:pt idx="612">
                  <c:v>3</c:v>
                </c:pt>
                <c:pt idx="613">
                  <c:v>3</c:v>
                </c:pt>
                <c:pt idx="614">
                  <c:v>5</c:v>
                </c:pt>
                <c:pt idx="615">
                  <c:v>1</c:v>
                </c:pt>
                <c:pt idx="616">
                  <c:v>10</c:v>
                </c:pt>
                <c:pt idx="617">
                  <c:v>6</c:v>
                </c:pt>
                <c:pt idx="618">
                  <c:v>7</c:v>
                </c:pt>
                <c:pt idx="619">
                  <c:v>10</c:v>
                </c:pt>
                <c:pt idx="620">
                  <c:v>3</c:v>
                </c:pt>
                <c:pt idx="621">
                  <c:v>4</c:v>
                </c:pt>
                <c:pt idx="622">
                  <c:v>10</c:v>
                </c:pt>
                <c:pt idx="623">
                  <c:v>10</c:v>
                </c:pt>
                <c:pt idx="624">
                  <c:v>10</c:v>
                </c:pt>
                <c:pt idx="625">
                  <c:v>10</c:v>
                </c:pt>
                <c:pt idx="626">
                  <c:v>10</c:v>
                </c:pt>
                <c:pt idx="627">
                  <c:v>3</c:v>
                </c:pt>
                <c:pt idx="628">
                  <c:v>1</c:v>
                </c:pt>
                <c:pt idx="629">
                  <c:v>8</c:v>
                </c:pt>
                <c:pt idx="630">
                  <c:v>10</c:v>
                </c:pt>
                <c:pt idx="631">
                  <c:v>10</c:v>
                </c:pt>
                <c:pt idx="632">
                  <c:v>2</c:v>
                </c:pt>
                <c:pt idx="633">
                  <c:v>1</c:v>
                </c:pt>
                <c:pt idx="634">
                  <c:v>8</c:v>
                </c:pt>
                <c:pt idx="635">
                  <c:v>7</c:v>
                </c:pt>
                <c:pt idx="636">
                  <c:v>7</c:v>
                </c:pt>
                <c:pt idx="637">
                  <c:v>4</c:v>
                </c:pt>
                <c:pt idx="638">
                  <c:v>9</c:v>
                </c:pt>
                <c:pt idx="639">
                  <c:v>6</c:v>
                </c:pt>
                <c:pt idx="640">
                  <c:v>2</c:v>
                </c:pt>
                <c:pt idx="641">
                  <c:v>1</c:v>
                </c:pt>
                <c:pt idx="642">
                  <c:v>1</c:v>
                </c:pt>
                <c:pt idx="643">
                  <c:v>9</c:v>
                </c:pt>
                <c:pt idx="644">
                  <c:v>4</c:v>
                </c:pt>
                <c:pt idx="645">
                  <c:v>5</c:v>
                </c:pt>
                <c:pt idx="646">
                  <c:v>3</c:v>
                </c:pt>
                <c:pt idx="647">
                  <c:v>4</c:v>
                </c:pt>
                <c:pt idx="648">
                  <c:v>8</c:v>
                </c:pt>
                <c:pt idx="649">
                  <c:v>4</c:v>
                </c:pt>
                <c:pt idx="650">
                  <c:v>9</c:v>
                </c:pt>
                <c:pt idx="651">
                  <c:v>9</c:v>
                </c:pt>
                <c:pt idx="652">
                  <c:v>6</c:v>
                </c:pt>
                <c:pt idx="653">
                  <c:v>2</c:v>
                </c:pt>
                <c:pt idx="654">
                  <c:v>10</c:v>
                </c:pt>
                <c:pt idx="655">
                  <c:v>7</c:v>
                </c:pt>
                <c:pt idx="656">
                  <c:v>9</c:v>
                </c:pt>
                <c:pt idx="657">
                  <c:v>6</c:v>
                </c:pt>
                <c:pt idx="658">
                  <c:v>3</c:v>
                </c:pt>
                <c:pt idx="659">
                  <c:v>7</c:v>
                </c:pt>
                <c:pt idx="660">
                  <c:v>5</c:v>
                </c:pt>
                <c:pt idx="661">
                  <c:v>1</c:v>
                </c:pt>
                <c:pt idx="662">
                  <c:v>3</c:v>
                </c:pt>
                <c:pt idx="663">
                  <c:v>5</c:v>
                </c:pt>
                <c:pt idx="664">
                  <c:v>7</c:v>
                </c:pt>
                <c:pt idx="665">
                  <c:v>3</c:v>
                </c:pt>
                <c:pt idx="666">
                  <c:v>6</c:v>
                </c:pt>
                <c:pt idx="667">
                  <c:v>5</c:v>
                </c:pt>
                <c:pt idx="668">
                  <c:v>1</c:v>
                </c:pt>
                <c:pt idx="669">
                  <c:v>10</c:v>
                </c:pt>
                <c:pt idx="670">
                  <c:v>6</c:v>
                </c:pt>
                <c:pt idx="671">
                  <c:v>8</c:v>
                </c:pt>
                <c:pt idx="672">
                  <c:v>1</c:v>
                </c:pt>
                <c:pt idx="673">
                  <c:v>2</c:v>
                </c:pt>
                <c:pt idx="674">
                  <c:v>4</c:v>
                </c:pt>
                <c:pt idx="675">
                  <c:v>2</c:v>
                </c:pt>
                <c:pt idx="676">
                  <c:v>9</c:v>
                </c:pt>
                <c:pt idx="677">
                  <c:v>10</c:v>
                </c:pt>
                <c:pt idx="678">
                  <c:v>8</c:v>
                </c:pt>
                <c:pt idx="679">
                  <c:v>8</c:v>
                </c:pt>
                <c:pt idx="680">
                  <c:v>4</c:v>
                </c:pt>
                <c:pt idx="681">
                  <c:v>5</c:v>
                </c:pt>
                <c:pt idx="682">
                  <c:v>4</c:v>
                </c:pt>
                <c:pt idx="683">
                  <c:v>9</c:v>
                </c:pt>
                <c:pt idx="684">
                  <c:v>2</c:v>
                </c:pt>
                <c:pt idx="685">
                  <c:v>8</c:v>
                </c:pt>
                <c:pt idx="686">
                  <c:v>2</c:v>
                </c:pt>
                <c:pt idx="687">
                  <c:v>1</c:v>
                </c:pt>
                <c:pt idx="688">
                  <c:v>10</c:v>
                </c:pt>
                <c:pt idx="689">
                  <c:v>3</c:v>
                </c:pt>
                <c:pt idx="690">
                  <c:v>9</c:v>
                </c:pt>
                <c:pt idx="691">
                  <c:v>3</c:v>
                </c:pt>
                <c:pt idx="692">
                  <c:v>9</c:v>
                </c:pt>
                <c:pt idx="693">
                  <c:v>7</c:v>
                </c:pt>
                <c:pt idx="694">
                  <c:v>10</c:v>
                </c:pt>
                <c:pt idx="695">
                  <c:v>1</c:v>
                </c:pt>
                <c:pt idx="696">
                  <c:v>10</c:v>
                </c:pt>
                <c:pt idx="697">
                  <c:v>5</c:v>
                </c:pt>
                <c:pt idx="698">
                  <c:v>9</c:v>
                </c:pt>
                <c:pt idx="699">
                  <c:v>3</c:v>
                </c:pt>
                <c:pt idx="700">
                  <c:v>9</c:v>
                </c:pt>
                <c:pt idx="701">
                  <c:v>5</c:v>
                </c:pt>
                <c:pt idx="702">
                  <c:v>9</c:v>
                </c:pt>
                <c:pt idx="703">
                  <c:v>10</c:v>
                </c:pt>
                <c:pt idx="704">
                  <c:v>6</c:v>
                </c:pt>
                <c:pt idx="705">
                  <c:v>9</c:v>
                </c:pt>
                <c:pt idx="706">
                  <c:v>7</c:v>
                </c:pt>
                <c:pt idx="707">
                  <c:v>7</c:v>
                </c:pt>
                <c:pt idx="708">
                  <c:v>8</c:v>
                </c:pt>
                <c:pt idx="709">
                  <c:v>7</c:v>
                </c:pt>
                <c:pt idx="710">
                  <c:v>9</c:v>
                </c:pt>
                <c:pt idx="711">
                  <c:v>9</c:v>
                </c:pt>
                <c:pt idx="712">
                  <c:v>6</c:v>
                </c:pt>
                <c:pt idx="713">
                  <c:v>7</c:v>
                </c:pt>
                <c:pt idx="714">
                  <c:v>2</c:v>
                </c:pt>
                <c:pt idx="715">
                  <c:v>9</c:v>
                </c:pt>
                <c:pt idx="716">
                  <c:v>1</c:v>
                </c:pt>
                <c:pt idx="717">
                  <c:v>1</c:v>
                </c:pt>
                <c:pt idx="718">
                  <c:v>3</c:v>
                </c:pt>
                <c:pt idx="719">
                  <c:v>6</c:v>
                </c:pt>
                <c:pt idx="720">
                  <c:v>5</c:v>
                </c:pt>
                <c:pt idx="721">
                  <c:v>2</c:v>
                </c:pt>
                <c:pt idx="722">
                  <c:v>9</c:v>
                </c:pt>
                <c:pt idx="723">
                  <c:v>10</c:v>
                </c:pt>
                <c:pt idx="724">
                  <c:v>4</c:v>
                </c:pt>
                <c:pt idx="725">
                  <c:v>4</c:v>
                </c:pt>
                <c:pt idx="726">
                  <c:v>5</c:v>
                </c:pt>
                <c:pt idx="727">
                  <c:v>8</c:v>
                </c:pt>
                <c:pt idx="728">
                  <c:v>10</c:v>
                </c:pt>
                <c:pt idx="729">
                  <c:v>4</c:v>
                </c:pt>
                <c:pt idx="730">
                  <c:v>5</c:v>
                </c:pt>
                <c:pt idx="731">
                  <c:v>4</c:v>
                </c:pt>
                <c:pt idx="732">
                  <c:v>6</c:v>
                </c:pt>
                <c:pt idx="733">
                  <c:v>3</c:v>
                </c:pt>
                <c:pt idx="734">
                  <c:v>8</c:v>
                </c:pt>
                <c:pt idx="735">
                  <c:v>6</c:v>
                </c:pt>
                <c:pt idx="736">
                  <c:v>10</c:v>
                </c:pt>
                <c:pt idx="737">
                  <c:v>5</c:v>
                </c:pt>
                <c:pt idx="738">
                  <c:v>2</c:v>
                </c:pt>
                <c:pt idx="739">
                  <c:v>10</c:v>
                </c:pt>
                <c:pt idx="740">
                  <c:v>10</c:v>
                </c:pt>
                <c:pt idx="741">
                  <c:v>7</c:v>
                </c:pt>
                <c:pt idx="742">
                  <c:v>2</c:v>
                </c:pt>
                <c:pt idx="743">
                  <c:v>1</c:v>
                </c:pt>
                <c:pt idx="744">
                  <c:v>7</c:v>
                </c:pt>
                <c:pt idx="745">
                  <c:v>5</c:v>
                </c:pt>
                <c:pt idx="746">
                  <c:v>1</c:v>
                </c:pt>
                <c:pt idx="747">
                  <c:v>4</c:v>
                </c:pt>
                <c:pt idx="748">
                  <c:v>4</c:v>
                </c:pt>
                <c:pt idx="749">
                  <c:v>10</c:v>
                </c:pt>
                <c:pt idx="750">
                  <c:v>7</c:v>
                </c:pt>
                <c:pt idx="751">
                  <c:v>9</c:v>
                </c:pt>
                <c:pt idx="752">
                  <c:v>2</c:v>
                </c:pt>
                <c:pt idx="753">
                  <c:v>1</c:v>
                </c:pt>
                <c:pt idx="754">
                  <c:v>2</c:v>
                </c:pt>
                <c:pt idx="755">
                  <c:v>7</c:v>
                </c:pt>
                <c:pt idx="756">
                  <c:v>10</c:v>
                </c:pt>
                <c:pt idx="757">
                  <c:v>6</c:v>
                </c:pt>
                <c:pt idx="758">
                  <c:v>4</c:v>
                </c:pt>
                <c:pt idx="759">
                  <c:v>1</c:v>
                </c:pt>
                <c:pt idx="760">
                  <c:v>1</c:v>
                </c:pt>
                <c:pt idx="761">
                  <c:v>5</c:v>
                </c:pt>
                <c:pt idx="762">
                  <c:v>1</c:v>
                </c:pt>
                <c:pt idx="763">
                  <c:v>7</c:v>
                </c:pt>
                <c:pt idx="764">
                  <c:v>1</c:v>
                </c:pt>
                <c:pt idx="765">
                  <c:v>1</c:v>
                </c:pt>
                <c:pt idx="766">
                  <c:v>2</c:v>
                </c:pt>
                <c:pt idx="767">
                  <c:v>10</c:v>
                </c:pt>
                <c:pt idx="768">
                  <c:v>3</c:v>
                </c:pt>
                <c:pt idx="769">
                  <c:v>1</c:v>
                </c:pt>
                <c:pt idx="770">
                  <c:v>9</c:v>
                </c:pt>
                <c:pt idx="771">
                  <c:v>10</c:v>
                </c:pt>
                <c:pt idx="772">
                  <c:v>8</c:v>
                </c:pt>
                <c:pt idx="773">
                  <c:v>5</c:v>
                </c:pt>
                <c:pt idx="774">
                  <c:v>2</c:v>
                </c:pt>
                <c:pt idx="775">
                  <c:v>5</c:v>
                </c:pt>
                <c:pt idx="776">
                  <c:v>6</c:v>
                </c:pt>
                <c:pt idx="777">
                  <c:v>1</c:v>
                </c:pt>
                <c:pt idx="778">
                  <c:v>4</c:v>
                </c:pt>
                <c:pt idx="779">
                  <c:v>9</c:v>
                </c:pt>
                <c:pt idx="780">
                  <c:v>2</c:v>
                </c:pt>
                <c:pt idx="781">
                  <c:v>5</c:v>
                </c:pt>
                <c:pt idx="782">
                  <c:v>1</c:v>
                </c:pt>
                <c:pt idx="783">
                  <c:v>4</c:v>
                </c:pt>
                <c:pt idx="784">
                  <c:v>4</c:v>
                </c:pt>
                <c:pt idx="785">
                  <c:v>6</c:v>
                </c:pt>
                <c:pt idx="786">
                  <c:v>10</c:v>
                </c:pt>
                <c:pt idx="787">
                  <c:v>9</c:v>
                </c:pt>
                <c:pt idx="788">
                  <c:v>3</c:v>
                </c:pt>
                <c:pt idx="789">
                  <c:v>9</c:v>
                </c:pt>
                <c:pt idx="790">
                  <c:v>6</c:v>
                </c:pt>
                <c:pt idx="791">
                  <c:v>7</c:v>
                </c:pt>
                <c:pt idx="792">
                  <c:v>10</c:v>
                </c:pt>
                <c:pt idx="793">
                  <c:v>2</c:v>
                </c:pt>
                <c:pt idx="794">
                  <c:v>10</c:v>
                </c:pt>
                <c:pt idx="795">
                  <c:v>6</c:v>
                </c:pt>
                <c:pt idx="796">
                  <c:v>6</c:v>
                </c:pt>
                <c:pt idx="797">
                  <c:v>2</c:v>
                </c:pt>
                <c:pt idx="798">
                  <c:v>2</c:v>
                </c:pt>
                <c:pt idx="799">
                  <c:v>2</c:v>
                </c:pt>
                <c:pt idx="800">
                  <c:v>10</c:v>
                </c:pt>
                <c:pt idx="801">
                  <c:v>1</c:v>
                </c:pt>
                <c:pt idx="802">
                  <c:v>5</c:v>
                </c:pt>
                <c:pt idx="803">
                  <c:v>8</c:v>
                </c:pt>
                <c:pt idx="804">
                  <c:v>2</c:v>
                </c:pt>
                <c:pt idx="805">
                  <c:v>5</c:v>
                </c:pt>
                <c:pt idx="806">
                  <c:v>8</c:v>
                </c:pt>
                <c:pt idx="807">
                  <c:v>10</c:v>
                </c:pt>
                <c:pt idx="808">
                  <c:v>5</c:v>
                </c:pt>
                <c:pt idx="809">
                  <c:v>2</c:v>
                </c:pt>
                <c:pt idx="810">
                  <c:v>3</c:v>
                </c:pt>
                <c:pt idx="811">
                  <c:v>6</c:v>
                </c:pt>
                <c:pt idx="812">
                  <c:v>5</c:v>
                </c:pt>
                <c:pt idx="813">
                  <c:v>4</c:v>
                </c:pt>
                <c:pt idx="814">
                  <c:v>4</c:v>
                </c:pt>
                <c:pt idx="815">
                  <c:v>5</c:v>
                </c:pt>
                <c:pt idx="816">
                  <c:v>2</c:v>
                </c:pt>
                <c:pt idx="817">
                  <c:v>9</c:v>
                </c:pt>
                <c:pt idx="818">
                  <c:v>2</c:v>
                </c:pt>
                <c:pt idx="819">
                  <c:v>10</c:v>
                </c:pt>
                <c:pt idx="820">
                  <c:v>2</c:v>
                </c:pt>
                <c:pt idx="821">
                  <c:v>10</c:v>
                </c:pt>
                <c:pt idx="822">
                  <c:v>9</c:v>
                </c:pt>
                <c:pt idx="823">
                  <c:v>3</c:v>
                </c:pt>
                <c:pt idx="824">
                  <c:v>10</c:v>
                </c:pt>
                <c:pt idx="825">
                  <c:v>7</c:v>
                </c:pt>
                <c:pt idx="826">
                  <c:v>4</c:v>
                </c:pt>
                <c:pt idx="827">
                  <c:v>6</c:v>
                </c:pt>
                <c:pt idx="828">
                  <c:v>4</c:v>
                </c:pt>
                <c:pt idx="829">
                  <c:v>10</c:v>
                </c:pt>
                <c:pt idx="830">
                  <c:v>7</c:v>
                </c:pt>
                <c:pt idx="831">
                  <c:v>1</c:v>
                </c:pt>
                <c:pt idx="832">
                  <c:v>3</c:v>
                </c:pt>
                <c:pt idx="833">
                  <c:v>3</c:v>
                </c:pt>
                <c:pt idx="834">
                  <c:v>1</c:v>
                </c:pt>
                <c:pt idx="835">
                  <c:v>6</c:v>
                </c:pt>
                <c:pt idx="836">
                  <c:v>9</c:v>
                </c:pt>
                <c:pt idx="837">
                  <c:v>8</c:v>
                </c:pt>
                <c:pt idx="838">
                  <c:v>7</c:v>
                </c:pt>
                <c:pt idx="839">
                  <c:v>10</c:v>
                </c:pt>
                <c:pt idx="840">
                  <c:v>8</c:v>
                </c:pt>
                <c:pt idx="841">
                  <c:v>6</c:v>
                </c:pt>
                <c:pt idx="842">
                  <c:v>9</c:v>
                </c:pt>
                <c:pt idx="843">
                  <c:v>3</c:v>
                </c:pt>
                <c:pt idx="844">
                  <c:v>10</c:v>
                </c:pt>
                <c:pt idx="845">
                  <c:v>10</c:v>
                </c:pt>
                <c:pt idx="846">
                  <c:v>9</c:v>
                </c:pt>
                <c:pt idx="847">
                  <c:v>4</c:v>
                </c:pt>
                <c:pt idx="848">
                  <c:v>7</c:v>
                </c:pt>
                <c:pt idx="849">
                  <c:v>9</c:v>
                </c:pt>
                <c:pt idx="850">
                  <c:v>2</c:v>
                </c:pt>
                <c:pt idx="851">
                  <c:v>2</c:v>
                </c:pt>
                <c:pt idx="852">
                  <c:v>9</c:v>
                </c:pt>
                <c:pt idx="853">
                  <c:v>3</c:v>
                </c:pt>
                <c:pt idx="854">
                  <c:v>9</c:v>
                </c:pt>
                <c:pt idx="855">
                  <c:v>5</c:v>
                </c:pt>
                <c:pt idx="856">
                  <c:v>6</c:v>
                </c:pt>
                <c:pt idx="857">
                  <c:v>2</c:v>
                </c:pt>
                <c:pt idx="858">
                  <c:v>8</c:v>
                </c:pt>
                <c:pt idx="859">
                  <c:v>9</c:v>
                </c:pt>
                <c:pt idx="860">
                  <c:v>2</c:v>
                </c:pt>
                <c:pt idx="861">
                  <c:v>6</c:v>
                </c:pt>
                <c:pt idx="862">
                  <c:v>6</c:v>
                </c:pt>
                <c:pt idx="863">
                  <c:v>8</c:v>
                </c:pt>
                <c:pt idx="864">
                  <c:v>10</c:v>
                </c:pt>
                <c:pt idx="865">
                  <c:v>5</c:v>
                </c:pt>
                <c:pt idx="866">
                  <c:v>9</c:v>
                </c:pt>
                <c:pt idx="867">
                  <c:v>1</c:v>
                </c:pt>
                <c:pt idx="868">
                  <c:v>9</c:v>
                </c:pt>
                <c:pt idx="869">
                  <c:v>10</c:v>
                </c:pt>
                <c:pt idx="870">
                  <c:v>7</c:v>
                </c:pt>
                <c:pt idx="871">
                  <c:v>4</c:v>
                </c:pt>
                <c:pt idx="872">
                  <c:v>3</c:v>
                </c:pt>
                <c:pt idx="873">
                  <c:v>10</c:v>
                </c:pt>
                <c:pt idx="874">
                  <c:v>6</c:v>
                </c:pt>
                <c:pt idx="875">
                  <c:v>1</c:v>
                </c:pt>
                <c:pt idx="876">
                  <c:v>3</c:v>
                </c:pt>
                <c:pt idx="877">
                  <c:v>2</c:v>
                </c:pt>
                <c:pt idx="878">
                  <c:v>9</c:v>
                </c:pt>
                <c:pt idx="879">
                  <c:v>3</c:v>
                </c:pt>
                <c:pt idx="880">
                  <c:v>2</c:v>
                </c:pt>
                <c:pt idx="881">
                  <c:v>4</c:v>
                </c:pt>
                <c:pt idx="882">
                  <c:v>2</c:v>
                </c:pt>
                <c:pt idx="883">
                  <c:v>1</c:v>
                </c:pt>
                <c:pt idx="884">
                  <c:v>6</c:v>
                </c:pt>
                <c:pt idx="885">
                  <c:v>10</c:v>
                </c:pt>
                <c:pt idx="886">
                  <c:v>8</c:v>
                </c:pt>
                <c:pt idx="887">
                  <c:v>10</c:v>
                </c:pt>
                <c:pt idx="888">
                  <c:v>10</c:v>
                </c:pt>
                <c:pt idx="889">
                  <c:v>2</c:v>
                </c:pt>
                <c:pt idx="890">
                  <c:v>9</c:v>
                </c:pt>
                <c:pt idx="891">
                  <c:v>3</c:v>
                </c:pt>
                <c:pt idx="892">
                  <c:v>8</c:v>
                </c:pt>
                <c:pt idx="893">
                  <c:v>8</c:v>
                </c:pt>
                <c:pt idx="894">
                  <c:v>3</c:v>
                </c:pt>
                <c:pt idx="895">
                  <c:v>3</c:v>
                </c:pt>
                <c:pt idx="896">
                  <c:v>6</c:v>
                </c:pt>
                <c:pt idx="897">
                  <c:v>1</c:v>
                </c:pt>
                <c:pt idx="898">
                  <c:v>4</c:v>
                </c:pt>
                <c:pt idx="899">
                  <c:v>1</c:v>
                </c:pt>
                <c:pt idx="900">
                  <c:v>3</c:v>
                </c:pt>
                <c:pt idx="901">
                  <c:v>9</c:v>
                </c:pt>
                <c:pt idx="902">
                  <c:v>5</c:v>
                </c:pt>
                <c:pt idx="903">
                  <c:v>5</c:v>
                </c:pt>
                <c:pt idx="904">
                  <c:v>4</c:v>
                </c:pt>
                <c:pt idx="905">
                  <c:v>3</c:v>
                </c:pt>
                <c:pt idx="906">
                  <c:v>5</c:v>
                </c:pt>
                <c:pt idx="907">
                  <c:v>4</c:v>
                </c:pt>
                <c:pt idx="908">
                  <c:v>8</c:v>
                </c:pt>
                <c:pt idx="909">
                  <c:v>4</c:v>
                </c:pt>
                <c:pt idx="910">
                  <c:v>8</c:v>
                </c:pt>
                <c:pt idx="911">
                  <c:v>6</c:v>
                </c:pt>
                <c:pt idx="912">
                  <c:v>5</c:v>
                </c:pt>
                <c:pt idx="913">
                  <c:v>4</c:v>
                </c:pt>
                <c:pt idx="914">
                  <c:v>4</c:v>
                </c:pt>
                <c:pt idx="915">
                  <c:v>4</c:v>
                </c:pt>
                <c:pt idx="916">
                  <c:v>9</c:v>
                </c:pt>
                <c:pt idx="917">
                  <c:v>4</c:v>
                </c:pt>
                <c:pt idx="918">
                  <c:v>9</c:v>
                </c:pt>
                <c:pt idx="919">
                  <c:v>10</c:v>
                </c:pt>
                <c:pt idx="920">
                  <c:v>6</c:v>
                </c:pt>
                <c:pt idx="921">
                  <c:v>10</c:v>
                </c:pt>
                <c:pt idx="922">
                  <c:v>7</c:v>
                </c:pt>
                <c:pt idx="923">
                  <c:v>10</c:v>
                </c:pt>
                <c:pt idx="924">
                  <c:v>3</c:v>
                </c:pt>
                <c:pt idx="925">
                  <c:v>8</c:v>
                </c:pt>
                <c:pt idx="926">
                  <c:v>3</c:v>
                </c:pt>
                <c:pt idx="927">
                  <c:v>1</c:v>
                </c:pt>
                <c:pt idx="928">
                  <c:v>10</c:v>
                </c:pt>
                <c:pt idx="929">
                  <c:v>5</c:v>
                </c:pt>
                <c:pt idx="930">
                  <c:v>2</c:v>
                </c:pt>
                <c:pt idx="931">
                  <c:v>10</c:v>
                </c:pt>
                <c:pt idx="932">
                  <c:v>6</c:v>
                </c:pt>
                <c:pt idx="933">
                  <c:v>10</c:v>
                </c:pt>
                <c:pt idx="934">
                  <c:v>9</c:v>
                </c:pt>
                <c:pt idx="935">
                  <c:v>1</c:v>
                </c:pt>
                <c:pt idx="936">
                  <c:v>4</c:v>
                </c:pt>
                <c:pt idx="937">
                  <c:v>1</c:v>
                </c:pt>
                <c:pt idx="938">
                  <c:v>1</c:v>
                </c:pt>
                <c:pt idx="939">
                  <c:v>8</c:v>
                </c:pt>
                <c:pt idx="940">
                  <c:v>2</c:v>
                </c:pt>
                <c:pt idx="941">
                  <c:v>1</c:v>
                </c:pt>
                <c:pt idx="942">
                  <c:v>8</c:v>
                </c:pt>
                <c:pt idx="943">
                  <c:v>4</c:v>
                </c:pt>
                <c:pt idx="944">
                  <c:v>3</c:v>
                </c:pt>
                <c:pt idx="945">
                  <c:v>4</c:v>
                </c:pt>
                <c:pt idx="946">
                  <c:v>5</c:v>
                </c:pt>
                <c:pt idx="947">
                  <c:v>1</c:v>
                </c:pt>
                <c:pt idx="948">
                  <c:v>1</c:v>
                </c:pt>
                <c:pt idx="949">
                  <c:v>3</c:v>
                </c:pt>
                <c:pt idx="950">
                  <c:v>6</c:v>
                </c:pt>
                <c:pt idx="951">
                  <c:v>1</c:v>
                </c:pt>
                <c:pt idx="952">
                  <c:v>2</c:v>
                </c:pt>
                <c:pt idx="953">
                  <c:v>7</c:v>
                </c:pt>
                <c:pt idx="954">
                  <c:v>1</c:v>
                </c:pt>
                <c:pt idx="955">
                  <c:v>7</c:v>
                </c:pt>
                <c:pt idx="956">
                  <c:v>4</c:v>
                </c:pt>
                <c:pt idx="957">
                  <c:v>10</c:v>
                </c:pt>
                <c:pt idx="958">
                  <c:v>6</c:v>
                </c:pt>
                <c:pt idx="959">
                  <c:v>8</c:v>
                </c:pt>
                <c:pt idx="960">
                  <c:v>9</c:v>
                </c:pt>
                <c:pt idx="961">
                  <c:v>6</c:v>
                </c:pt>
                <c:pt idx="962">
                  <c:v>9</c:v>
                </c:pt>
                <c:pt idx="963">
                  <c:v>4</c:v>
                </c:pt>
                <c:pt idx="964">
                  <c:v>6</c:v>
                </c:pt>
                <c:pt idx="965">
                  <c:v>8</c:v>
                </c:pt>
                <c:pt idx="966">
                  <c:v>9</c:v>
                </c:pt>
                <c:pt idx="967">
                  <c:v>3</c:v>
                </c:pt>
                <c:pt idx="968">
                  <c:v>2</c:v>
                </c:pt>
                <c:pt idx="969">
                  <c:v>6</c:v>
                </c:pt>
                <c:pt idx="970">
                  <c:v>4</c:v>
                </c:pt>
                <c:pt idx="971">
                  <c:v>1</c:v>
                </c:pt>
                <c:pt idx="972">
                  <c:v>8</c:v>
                </c:pt>
                <c:pt idx="973">
                  <c:v>9</c:v>
                </c:pt>
                <c:pt idx="974">
                  <c:v>9</c:v>
                </c:pt>
                <c:pt idx="975">
                  <c:v>2</c:v>
                </c:pt>
                <c:pt idx="976">
                  <c:v>9</c:v>
                </c:pt>
                <c:pt idx="977">
                  <c:v>7</c:v>
                </c:pt>
                <c:pt idx="978">
                  <c:v>5</c:v>
                </c:pt>
                <c:pt idx="979">
                  <c:v>7</c:v>
                </c:pt>
                <c:pt idx="980">
                  <c:v>9</c:v>
                </c:pt>
                <c:pt idx="981">
                  <c:v>8</c:v>
                </c:pt>
                <c:pt idx="982">
                  <c:v>6</c:v>
                </c:pt>
                <c:pt idx="983">
                  <c:v>4</c:v>
                </c:pt>
                <c:pt idx="984">
                  <c:v>1</c:v>
                </c:pt>
                <c:pt idx="985">
                  <c:v>6</c:v>
                </c:pt>
                <c:pt idx="986">
                  <c:v>3</c:v>
                </c:pt>
                <c:pt idx="987">
                  <c:v>6</c:v>
                </c:pt>
                <c:pt idx="988">
                  <c:v>6</c:v>
                </c:pt>
                <c:pt idx="989">
                  <c:v>4</c:v>
                </c:pt>
                <c:pt idx="990">
                  <c:v>2</c:v>
                </c:pt>
                <c:pt idx="991">
                  <c:v>9</c:v>
                </c:pt>
                <c:pt idx="992">
                  <c:v>2</c:v>
                </c:pt>
                <c:pt idx="993">
                  <c:v>3</c:v>
                </c:pt>
                <c:pt idx="994">
                  <c:v>10</c:v>
                </c:pt>
                <c:pt idx="995">
                  <c:v>1</c:v>
                </c:pt>
                <c:pt idx="996">
                  <c:v>7</c:v>
                </c:pt>
                <c:pt idx="997">
                  <c:v>1</c:v>
                </c:pt>
                <c:pt idx="998">
                  <c:v>9</c:v>
                </c:pt>
                <c:pt idx="999">
                  <c:v>1</c:v>
                </c:pt>
              </c:numCache>
            </c:numRef>
          </c:yVal>
          <c:smooth val="0"/>
          <c:extLst>
            <c:ext xmlns:c16="http://schemas.microsoft.com/office/drawing/2014/chart" uri="{C3380CC4-5D6E-409C-BE32-E72D297353CC}">
              <c16:uniqueId val="{00000000-743A-4869-923D-6F82016CB26D}"/>
            </c:ext>
          </c:extLst>
        </c:ser>
        <c:dLbls>
          <c:showLegendKey val="0"/>
          <c:showVal val="0"/>
          <c:showCatName val="0"/>
          <c:showSerName val="0"/>
          <c:showPercent val="0"/>
          <c:showBubbleSize val="0"/>
        </c:dLbls>
        <c:axId val="1462895120"/>
        <c:axId val="1462873040"/>
      </c:scatterChart>
      <c:valAx>
        <c:axId val="14628951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62873040"/>
        <c:crosses val="autoZero"/>
        <c:crossBetween val="midCat"/>
      </c:valAx>
      <c:valAx>
        <c:axId val="146287304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 Competetion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62895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Price Relation with Units Sold</a:t>
            </a:r>
          </a:p>
        </c:rich>
      </c:tx>
      <c:layout>
        <c:manualLayout>
          <c:xMode val="edge"/>
          <c:yMode val="edge"/>
          <c:x val="0.24922358060505595"/>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ubbleChart>
        <c:varyColors val="0"/>
        <c:ser>
          <c:idx val="0"/>
          <c:order val="0"/>
          <c:tx>
            <c:strRef>
              <c:f>Pivots!$G$89</c:f>
              <c:strCache>
                <c:ptCount val="1"/>
                <c:pt idx="0">
                  <c:v>Sum of units_sold</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Calibri"/>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xVal>
            <c:strRef>
              <c:f>Pivots!$F$90:$F$93</c:f>
              <c:strCache>
                <c:ptCount val="4"/>
                <c:pt idx="0">
                  <c:v>High</c:v>
                </c:pt>
                <c:pt idx="1">
                  <c:v>Mid</c:v>
                </c:pt>
                <c:pt idx="2">
                  <c:v>Low</c:v>
                </c:pt>
                <c:pt idx="3">
                  <c:v>Grand Total</c:v>
                </c:pt>
              </c:strCache>
            </c:strRef>
          </c:xVal>
          <c:yVal>
            <c:numRef>
              <c:f>Pivots!$G$90:$G$93</c:f>
              <c:numCache>
                <c:formatCode>General</c:formatCode>
                <c:ptCount val="4"/>
                <c:pt idx="0">
                  <c:v>275294</c:v>
                </c:pt>
                <c:pt idx="1">
                  <c:v>227604</c:v>
                </c:pt>
                <c:pt idx="2">
                  <c:v>130294</c:v>
                </c:pt>
                <c:pt idx="3">
                  <c:v>633192</c:v>
                </c:pt>
              </c:numCache>
            </c:numRef>
          </c:yVal>
          <c:bubbleSize>
            <c:numLit>
              <c:formatCode>General</c:formatCode>
              <c:ptCount val="4"/>
              <c:pt idx="0">
                <c:v>1</c:v>
              </c:pt>
              <c:pt idx="1">
                <c:v>1</c:v>
              </c:pt>
              <c:pt idx="2">
                <c:v>1</c:v>
              </c:pt>
              <c:pt idx="3">
                <c:v>1</c:v>
              </c:pt>
            </c:numLit>
          </c:bubbleSize>
          <c:bubble3D val="1"/>
          <c:extLst>
            <c:ext xmlns:c16="http://schemas.microsoft.com/office/drawing/2014/chart" uri="{C3380CC4-5D6E-409C-BE32-E72D297353CC}">
              <c16:uniqueId val="{00000000-4645-4B00-A797-0914352DEAEC}"/>
            </c:ext>
          </c:extLst>
        </c:ser>
        <c:dLbls>
          <c:dLblPos val="ctr"/>
          <c:showLegendKey val="0"/>
          <c:showVal val="1"/>
          <c:showCatName val="0"/>
          <c:showSerName val="0"/>
          <c:showPercent val="0"/>
          <c:showBubbleSize val="0"/>
        </c:dLbls>
        <c:bubbleScale val="100"/>
        <c:showNegBubbles val="0"/>
        <c:axId val="1462911920"/>
        <c:axId val="1462915280"/>
      </c:bubbleChart>
      <c:valAx>
        <c:axId val="14629119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2915280"/>
        <c:crosses val="autoZero"/>
        <c:crossBetween val="midCat"/>
      </c:valAx>
      <c:valAx>
        <c:axId val="14629152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Price</a:t>
                </a:r>
              </a:p>
            </c:rich>
          </c:tx>
          <c:layout>
            <c:manualLayout>
              <c:xMode val="edge"/>
              <c:yMode val="edge"/>
              <c:x val="2.8947368421052631E-2"/>
              <c:y val="0.3570521790625753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29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2">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a:latin typeface="Calibri"/>
    </cs:defRPr>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527050</xdr:colOff>
      <xdr:row>8</xdr:row>
      <xdr:rowOff>101600</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2817C5F1-811E-40F9-BB98-456E6F0472F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38100"/>
              <a:ext cx="1136650" cy="15367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69850</xdr:rowOff>
    </xdr:from>
    <xdr:to>
      <xdr:col>1</xdr:col>
      <xdr:colOff>527050</xdr:colOff>
      <xdr:row>16</xdr:row>
      <xdr:rowOff>127000</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8BDACB27-9817-40F1-83BB-BFB01D72D4B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1543050"/>
              <a:ext cx="1136650" cy="15303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69850</xdr:rowOff>
    </xdr:from>
    <xdr:to>
      <xdr:col>1</xdr:col>
      <xdr:colOff>596900</xdr:colOff>
      <xdr:row>32</xdr:row>
      <xdr:rowOff>139700</xdr:rowOff>
    </xdr:to>
    <mc:AlternateContent xmlns:mc="http://schemas.openxmlformats.org/markup-compatibility/2006" xmlns:a14="http://schemas.microsoft.com/office/drawing/2010/main">
      <mc:Choice Requires="a14">
        <xdr:graphicFrame macro="">
          <xdr:nvGraphicFramePr>
            <xdr:cNvPr id="6" name="engine_type 1">
              <a:extLst>
                <a:ext uri="{FF2B5EF4-FFF2-40B4-BE49-F238E27FC236}">
                  <a16:creationId xmlns:a16="http://schemas.microsoft.com/office/drawing/2014/main" id="{7C1C440F-BE89-447B-82DB-C46140B904FD}"/>
                </a:ext>
              </a:extLst>
            </xdr:cNvPr>
            <xdr:cNvGraphicFramePr/>
          </xdr:nvGraphicFramePr>
          <xdr:xfrm>
            <a:off x="0" y="0"/>
            <a:ext cx="0" cy="0"/>
          </xdr:xfrm>
          <a:graphic>
            <a:graphicData uri="http://schemas.microsoft.com/office/drawing/2010/slicer">
              <sle:slicer xmlns:sle="http://schemas.microsoft.com/office/drawing/2010/slicer" name="engine_type 1"/>
            </a:graphicData>
          </a:graphic>
        </xdr:graphicFrame>
      </mc:Choice>
      <mc:Fallback xmlns="">
        <xdr:sp macro="" textlink="">
          <xdr:nvSpPr>
            <xdr:cNvPr id="0" name=""/>
            <xdr:cNvSpPr>
              <a:spLocks noTextEdit="1"/>
            </xdr:cNvSpPr>
          </xdr:nvSpPr>
          <xdr:spPr>
            <a:xfrm>
              <a:off x="0" y="4489450"/>
              <a:ext cx="1206500" cy="15430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127000</xdr:rowOff>
    </xdr:from>
    <xdr:to>
      <xdr:col>1</xdr:col>
      <xdr:colOff>508000</xdr:colOff>
      <xdr:row>24</xdr:row>
      <xdr:rowOff>88900</xdr:rowOff>
    </xdr:to>
    <mc:AlternateContent xmlns:mc="http://schemas.openxmlformats.org/markup-compatibility/2006" xmlns:a14="http://schemas.microsoft.com/office/drawing/2010/main">
      <mc:Choice Requires="a14">
        <xdr:graphicFrame macro="">
          <xdr:nvGraphicFramePr>
            <xdr:cNvPr id="7" name="model 1">
              <a:extLst>
                <a:ext uri="{FF2B5EF4-FFF2-40B4-BE49-F238E27FC236}">
                  <a16:creationId xmlns:a16="http://schemas.microsoft.com/office/drawing/2014/main" id="{DAB141BD-8567-41F9-90ED-E1031CBE5E21}"/>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0" y="3073400"/>
              <a:ext cx="1117600" cy="14351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146050</xdr:rowOff>
    </xdr:from>
    <xdr:to>
      <xdr:col>1</xdr:col>
      <xdr:colOff>482600</xdr:colOff>
      <xdr:row>47</xdr:row>
      <xdr:rowOff>44450</xdr:rowOff>
    </xdr:to>
    <mc:AlternateContent xmlns:mc="http://schemas.openxmlformats.org/markup-compatibility/2006" xmlns:a14="http://schemas.microsoft.com/office/drawing/2010/main">
      <mc:Choice Requires="a14">
        <xdr:graphicFrame macro="">
          <xdr:nvGraphicFramePr>
            <xdr:cNvPr id="8" name="segment 1">
              <a:extLst>
                <a:ext uri="{FF2B5EF4-FFF2-40B4-BE49-F238E27FC236}">
                  <a16:creationId xmlns:a16="http://schemas.microsoft.com/office/drawing/2014/main" id="{F0117128-6345-4839-B046-F84E5A6EAB2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6038850"/>
              <a:ext cx="1092200" cy="26606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546100</xdr:colOff>
      <xdr:row>7</xdr:row>
      <xdr:rowOff>38100</xdr:rowOff>
    </xdr:from>
    <xdr:to>
      <xdr:col>7</xdr:col>
      <xdr:colOff>101600</xdr:colOff>
      <xdr:row>18</xdr:row>
      <xdr:rowOff>133350</xdr:rowOff>
    </xdr:to>
    <xdr:graphicFrame macro="">
      <xdr:nvGraphicFramePr>
        <xdr:cNvPr id="10" name="Chart 9">
          <a:extLst>
            <a:ext uri="{FF2B5EF4-FFF2-40B4-BE49-F238E27FC236}">
              <a16:creationId xmlns:a16="http://schemas.microsoft.com/office/drawing/2014/main" id="{CBDC667F-7D14-4637-877B-5B00FD2C6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177800</xdr:colOff>
      <xdr:row>7</xdr:row>
      <xdr:rowOff>38100</xdr:rowOff>
    </xdr:from>
    <xdr:to>
      <xdr:col>13</xdr:col>
      <xdr:colOff>95250</xdr:colOff>
      <xdr:row>18</xdr:row>
      <xdr:rowOff>158750</xdr:rowOff>
    </xdr:to>
    <xdr:graphicFrame macro="">
      <xdr:nvGraphicFramePr>
        <xdr:cNvPr id="14" name="Chart 13">
          <a:extLst>
            <a:ext uri="{FF2B5EF4-FFF2-40B4-BE49-F238E27FC236}">
              <a16:creationId xmlns:a16="http://schemas.microsoft.com/office/drawing/2014/main" id="{615DEC15-B023-4FEB-B815-F16F866CA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533400</xdr:colOff>
      <xdr:row>19</xdr:row>
      <xdr:rowOff>12700</xdr:rowOff>
    </xdr:from>
    <xdr:to>
      <xdr:col>6</xdr:col>
      <xdr:colOff>292100</xdr:colOff>
      <xdr:row>28</xdr:row>
      <xdr:rowOff>69850</xdr:rowOff>
    </xdr:to>
    <xdr:graphicFrame macro="">
      <xdr:nvGraphicFramePr>
        <xdr:cNvPr id="15" name="Chart 14">
          <a:extLst>
            <a:ext uri="{FF2B5EF4-FFF2-40B4-BE49-F238E27FC236}">
              <a16:creationId xmlns:a16="http://schemas.microsoft.com/office/drawing/2014/main" id="{D5202518-19BD-4031-A32F-1005860DE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342900</xdr:colOff>
      <xdr:row>19</xdr:row>
      <xdr:rowOff>6350</xdr:rowOff>
    </xdr:from>
    <xdr:to>
      <xdr:col>9</xdr:col>
      <xdr:colOff>850900</xdr:colOff>
      <xdr:row>28</xdr:row>
      <xdr:rowOff>69850</xdr:rowOff>
    </xdr:to>
    <xdr:graphicFrame macro="">
      <xdr:nvGraphicFramePr>
        <xdr:cNvPr id="16" name="Chart 15">
          <a:extLst>
            <a:ext uri="{FF2B5EF4-FFF2-40B4-BE49-F238E27FC236}">
              <a16:creationId xmlns:a16="http://schemas.microsoft.com/office/drawing/2014/main" id="{D82E1BEE-2FFE-4662-94DD-F1B172930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914400</xdr:colOff>
      <xdr:row>19</xdr:row>
      <xdr:rowOff>19050</xdr:rowOff>
    </xdr:from>
    <xdr:to>
      <xdr:col>18</xdr:col>
      <xdr:colOff>450850</xdr:colOff>
      <xdr:row>28</xdr:row>
      <xdr:rowOff>69850</xdr:rowOff>
    </xdr:to>
    <xdr:graphicFrame macro="">
      <xdr:nvGraphicFramePr>
        <xdr:cNvPr id="17" name="Chart 16">
          <a:extLst>
            <a:ext uri="{FF2B5EF4-FFF2-40B4-BE49-F238E27FC236}">
              <a16:creationId xmlns:a16="http://schemas.microsoft.com/office/drawing/2014/main" id="{56647908-7CB3-44AA-9819-B6B07243A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133350</xdr:colOff>
      <xdr:row>7</xdr:row>
      <xdr:rowOff>25400</xdr:rowOff>
    </xdr:from>
    <xdr:to>
      <xdr:col>21</xdr:col>
      <xdr:colOff>304800</xdr:colOff>
      <xdr:row>19</xdr:row>
      <xdr:rowOff>0</xdr:rowOff>
    </xdr:to>
    <xdr:graphicFrame macro="">
      <xdr:nvGraphicFramePr>
        <xdr:cNvPr id="4" name="Chart 3">
          <a:extLst>
            <a:ext uri="{FF2B5EF4-FFF2-40B4-BE49-F238E27FC236}">
              <a16:creationId xmlns:a16="http://schemas.microsoft.com/office/drawing/2014/main" id="{F13AE5F4-FCD7-4D5F-9C17-8489FFA6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552450</xdr:colOff>
      <xdr:row>28</xdr:row>
      <xdr:rowOff>120650</xdr:rowOff>
    </xdr:from>
    <xdr:to>
      <xdr:col>8</xdr:col>
      <xdr:colOff>101600</xdr:colOff>
      <xdr:row>40</xdr:row>
      <xdr:rowOff>171450</xdr:rowOff>
    </xdr:to>
    <xdr:graphicFrame macro="">
      <xdr:nvGraphicFramePr>
        <xdr:cNvPr id="11" name="Chart 10">
          <a:extLst>
            <a:ext uri="{FF2B5EF4-FFF2-40B4-BE49-F238E27FC236}">
              <a16:creationId xmlns:a16="http://schemas.microsoft.com/office/drawing/2014/main" id="{E3D975F8-4FAE-4835-98E3-E53AF3BF1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25400</xdr:colOff>
      <xdr:row>28</xdr:row>
      <xdr:rowOff>105228</xdr:rowOff>
    </xdr:from>
    <xdr:to>
      <xdr:col>22</xdr:col>
      <xdr:colOff>239485</xdr:colOff>
      <xdr:row>40</xdr:row>
      <xdr:rowOff>172356</xdr:rowOff>
    </xdr:to>
    <xdr:graphicFrame macro="">
      <xdr:nvGraphicFramePr>
        <xdr:cNvPr id="13" name="Chart 12">
          <a:extLst>
            <a:ext uri="{FF2B5EF4-FFF2-40B4-BE49-F238E27FC236}">
              <a16:creationId xmlns:a16="http://schemas.microsoft.com/office/drawing/2014/main" id="{36F65C70-24BD-4F62-BA52-6D2918A77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184150</xdr:colOff>
      <xdr:row>28</xdr:row>
      <xdr:rowOff>121557</xdr:rowOff>
    </xdr:from>
    <xdr:to>
      <xdr:col>15</xdr:col>
      <xdr:colOff>23586</xdr:colOff>
      <xdr:row>40</xdr:row>
      <xdr:rowOff>140607</xdr:rowOff>
    </xdr:to>
    <xdr:graphicFrame macro="">
      <xdr:nvGraphicFramePr>
        <xdr:cNvPr id="18" name="Chart 17">
          <a:extLst>
            <a:ext uri="{FF2B5EF4-FFF2-40B4-BE49-F238E27FC236}">
              <a16:creationId xmlns:a16="http://schemas.microsoft.com/office/drawing/2014/main" id="{D1F566BC-F28D-4CA1-B82B-845E5591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2B" refreshedDate="46135.411842245368" createdVersion="8" refreshedVersion="8" minRefreshableVersion="3" recordCount="1001" xr:uid="{71B49973-FC2A-46D3-8AE9-35093D997A4D}">
  <cacheSource type="worksheet">
    <worksheetSource ref="A1:Q1048576" sheet="BMW"/>
  </cacheSource>
  <cacheFields count="17">
    <cacheField name="year" numFmtId="0">
      <sharedItems containsString="0" containsBlank="1" containsNumber="1" containsInteger="1" minValue="2015" maxValue="2024" count="11">
        <n v="2021"/>
        <n v="2018"/>
        <n v="2022"/>
        <n v="2019"/>
        <n v="2024"/>
        <n v="2017"/>
        <n v="2020"/>
        <n v="2016"/>
        <n v="2015"/>
        <n v="2023"/>
        <m/>
      </sharedItems>
    </cacheField>
    <cacheField name="month" numFmtId="0">
      <sharedItems containsBlank="1"/>
    </cacheField>
    <cacheField name="country" numFmtId="0">
      <sharedItems containsBlank="1" count="11">
        <s v="Australia"/>
        <s v="USA"/>
        <s v="Brazil"/>
        <s v="China"/>
        <s v="India"/>
        <s v="UK"/>
        <s v="Canada"/>
        <s v="Germany"/>
        <s v="France"/>
        <s v="Japan"/>
        <m/>
      </sharedItems>
    </cacheField>
    <cacheField name="model" numFmtId="0">
      <sharedItems containsBlank="1" count="11">
        <s v="X1"/>
        <s v="i4"/>
        <s v="5 Series"/>
        <s v="i7"/>
        <s v="X5"/>
        <s v="X7"/>
        <s v="3 Series"/>
        <s v="7 Series"/>
        <s v="X3"/>
        <s v="iX"/>
        <m/>
      </sharedItems>
    </cacheField>
    <cacheField name="segment" numFmtId="0">
      <sharedItems containsBlank="1" count="4">
        <s v="SUV"/>
        <s v="Sedan"/>
        <s v="Electric"/>
        <m/>
      </sharedItems>
    </cacheField>
    <cacheField name="engine_type" numFmtId="0">
      <sharedItems containsBlank="1" count="5">
        <s v="Petrol"/>
        <s v="Electric"/>
        <s v="Hybrid"/>
        <s v="Diesel"/>
        <m/>
      </sharedItems>
    </cacheField>
    <cacheField name="price_usd" numFmtId="0">
      <sharedItems containsString="0" containsBlank="1" containsNumber="1" containsInteger="1" minValue="35060" maxValue="119817" count="995">
        <n v="82234"/>
        <n v="82291"/>
        <n v="40594"/>
        <n v="42371"/>
        <n v="82315"/>
        <n v="118564"/>
        <n v="114526"/>
        <n v="51626"/>
        <n v="42130"/>
        <n v="41828"/>
        <n v="92514"/>
        <n v="87664"/>
        <n v="52883"/>
        <n v="78059"/>
        <n v="119078"/>
        <n v="77932"/>
        <n v="96269"/>
        <n v="110986"/>
        <n v="37035"/>
        <n v="75745"/>
        <n v="52241"/>
        <n v="87975"/>
        <n v="58154"/>
        <n v="60625"/>
        <n v="79950"/>
        <n v="91396"/>
        <n v="48331"/>
        <n v="98927"/>
        <n v="119719"/>
        <n v="98014"/>
        <n v="74346"/>
        <n v="105411"/>
        <n v="89478"/>
        <n v="47254"/>
        <n v="90734"/>
        <n v="63621"/>
        <n v="111441"/>
        <n v="81121"/>
        <n v="116418"/>
        <n v="95197"/>
        <n v="119577"/>
        <n v="77431"/>
        <n v="39837"/>
        <n v="118163"/>
        <n v="106232"/>
        <n v="83994"/>
        <n v="114079"/>
        <n v="47615"/>
        <n v="36466"/>
        <n v="65771"/>
        <n v="118886"/>
        <n v="100911"/>
        <n v="55746"/>
        <n v="95739"/>
        <n v="108369"/>
        <n v="36893"/>
        <n v="65573"/>
        <n v="75874"/>
        <n v="112362"/>
        <n v="68367"/>
        <n v="56199"/>
        <n v="109328"/>
        <n v="92724"/>
        <n v="71405"/>
        <n v="50989"/>
        <n v="63931"/>
        <n v="44290"/>
        <n v="73367"/>
        <n v="114878"/>
        <n v="114481"/>
        <n v="111298"/>
        <n v="65133"/>
        <n v="62052"/>
        <n v="75475"/>
        <n v="117666"/>
        <n v="92656"/>
        <n v="39633"/>
        <n v="52304"/>
        <n v="81546"/>
        <n v="42008"/>
        <n v="83291"/>
        <n v="62405"/>
        <n v="71386"/>
        <n v="55827"/>
        <n v="68040"/>
        <n v="95354"/>
        <n v="113543"/>
        <n v="53157"/>
        <n v="70315"/>
        <n v="70932"/>
        <n v="56164"/>
        <n v="49414"/>
        <n v="49327"/>
        <n v="35946"/>
        <n v="49693"/>
        <n v="62241"/>
        <n v="50540"/>
        <n v="107255"/>
        <n v="99757"/>
        <n v="76203"/>
        <n v="60081"/>
        <n v="96861"/>
        <n v="46350"/>
        <n v="90512"/>
        <n v="91809"/>
        <n v="77832"/>
        <n v="63369"/>
        <n v="66728"/>
        <n v="52576"/>
        <n v="64001"/>
        <n v="118384"/>
        <n v="35390"/>
        <n v="80436"/>
        <n v="46569"/>
        <n v="48029"/>
        <n v="57490"/>
        <n v="80875"/>
        <n v="40867"/>
        <n v="115820"/>
        <n v="44121"/>
        <n v="36539"/>
        <n v="52027"/>
        <n v="109229"/>
        <n v="43921"/>
        <n v="85435"/>
        <n v="45310"/>
        <n v="98965"/>
        <n v="104922"/>
        <n v="117839"/>
        <n v="47242"/>
        <n v="43947"/>
        <n v="106466"/>
        <n v="96816"/>
        <n v="83785"/>
        <n v="35507"/>
        <n v="101972"/>
        <n v="62151"/>
        <n v="46618"/>
        <n v="109286"/>
        <n v="51122"/>
        <n v="42354"/>
        <n v="65979"/>
        <n v="114376"/>
        <n v="87774"/>
        <n v="40037"/>
        <n v="63633"/>
        <n v="59495"/>
        <n v="99550"/>
        <n v="116384"/>
        <n v="71483"/>
        <n v="108373"/>
        <n v="69069"/>
        <n v="42370"/>
        <n v="106947"/>
        <n v="74133"/>
        <n v="35692"/>
        <n v="63926"/>
        <n v="108984"/>
        <n v="78390"/>
        <n v="84593"/>
        <n v="110609"/>
        <n v="40209"/>
        <n v="41533"/>
        <n v="42211"/>
        <n v="44927"/>
        <n v="112463"/>
        <n v="59594"/>
        <n v="109852"/>
        <n v="112713"/>
        <n v="111382"/>
        <n v="42933"/>
        <n v="75696"/>
        <n v="100449"/>
        <n v="102616"/>
        <n v="41089"/>
        <n v="91548"/>
        <n v="61123"/>
        <n v="42797"/>
        <n v="85013"/>
        <n v="43346"/>
        <n v="68672"/>
        <n v="52653"/>
        <n v="84556"/>
        <n v="61140"/>
        <n v="36184"/>
        <n v="69493"/>
        <n v="79148"/>
        <n v="59846"/>
        <n v="57195"/>
        <n v="40606"/>
        <n v="38956"/>
        <n v="51555"/>
        <n v="53690"/>
        <n v="93502"/>
        <n v="83849"/>
        <n v="61347"/>
        <n v="84056"/>
        <n v="98851"/>
        <n v="116502"/>
        <n v="105211"/>
        <n v="76850"/>
        <n v="113545"/>
        <n v="62843"/>
        <n v="97320"/>
        <n v="64793"/>
        <n v="74516"/>
        <n v="52857"/>
        <n v="54627"/>
        <n v="96822"/>
        <n v="119101"/>
        <n v="87248"/>
        <n v="90798"/>
        <n v="79116"/>
        <n v="110318"/>
        <n v="63557"/>
        <n v="106334"/>
        <n v="110163"/>
        <n v="113002"/>
        <n v="77614"/>
        <n v="47720"/>
        <n v="92608"/>
        <n v="107095"/>
        <n v="119694"/>
        <n v="70892"/>
        <n v="112242"/>
        <n v="112606"/>
        <n v="35924"/>
        <n v="86322"/>
        <n v="61478"/>
        <n v="106042"/>
        <n v="81418"/>
        <n v="97217"/>
        <n v="115846"/>
        <n v="108762"/>
        <n v="46781"/>
        <n v="40515"/>
        <n v="71133"/>
        <n v="117508"/>
        <n v="111946"/>
        <n v="44095"/>
        <n v="55470"/>
        <n v="78129"/>
        <n v="43531"/>
        <n v="72038"/>
        <n v="77674"/>
        <n v="117476"/>
        <n v="64831"/>
        <n v="92174"/>
        <n v="46279"/>
        <n v="73220"/>
        <n v="95610"/>
        <n v="87719"/>
        <n v="88051"/>
        <n v="107013"/>
        <n v="91652"/>
        <n v="100524"/>
        <n v="117936"/>
        <n v="41470"/>
        <n v="102598"/>
        <n v="76798"/>
        <n v="88473"/>
        <n v="54880"/>
        <n v="79439"/>
        <n v="49308"/>
        <n v="70081"/>
        <n v="110242"/>
        <n v="85383"/>
        <n v="44837"/>
        <n v="87151"/>
        <n v="71824"/>
        <n v="68073"/>
        <n v="61299"/>
        <n v="93861"/>
        <n v="65063"/>
        <n v="104453"/>
        <n v="103472"/>
        <n v="49506"/>
        <n v="114854"/>
        <n v="61026"/>
        <n v="62672"/>
        <n v="73417"/>
        <n v="87413"/>
        <n v="100066"/>
        <n v="94213"/>
        <n v="85971"/>
        <n v="62281"/>
        <n v="63091"/>
        <n v="85494"/>
        <n v="53610"/>
        <n v="36079"/>
        <n v="81751"/>
        <n v="90432"/>
        <n v="65951"/>
        <n v="115863"/>
        <n v="113291"/>
        <n v="94872"/>
        <n v="42235"/>
        <n v="117733"/>
        <n v="97712"/>
        <n v="56473"/>
        <n v="102567"/>
        <n v="114823"/>
        <n v="67230"/>
        <n v="119573"/>
        <n v="103876"/>
        <n v="75644"/>
        <n v="83664"/>
        <n v="80203"/>
        <n v="101677"/>
        <n v="60425"/>
        <n v="119817"/>
        <n v="104806"/>
        <n v="77814"/>
        <n v="105219"/>
        <n v="84646"/>
        <n v="74884"/>
        <n v="104322"/>
        <n v="56650"/>
        <n v="44190"/>
        <n v="73196"/>
        <n v="74449"/>
        <n v="74661"/>
        <n v="64709"/>
        <n v="115428"/>
        <n v="110179"/>
        <n v="44943"/>
        <n v="78240"/>
        <n v="80760"/>
        <n v="56042"/>
        <n v="78894"/>
        <n v="41869"/>
        <n v="96078"/>
        <n v="91759"/>
        <n v="79306"/>
        <n v="90371"/>
        <n v="55918"/>
        <n v="63379"/>
        <n v="118232"/>
        <n v="37962"/>
        <n v="48851"/>
        <n v="80747"/>
        <n v="87349"/>
        <n v="105832"/>
        <n v="91356"/>
        <n v="49745"/>
        <n v="40730"/>
        <n v="48921"/>
        <n v="106138"/>
        <n v="118111"/>
        <n v="54023"/>
        <n v="80349"/>
        <n v="116533"/>
        <n v="118286"/>
        <n v="76979"/>
        <n v="57837"/>
        <n v="49997"/>
        <n v="80039"/>
        <n v="55923"/>
        <n v="43876"/>
        <n v="95973"/>
        <n v="37887"/>
        <n v="98723"/>
        <n v="77422"/>
        <n v="86413"/>
        <n v="37841"/>
        <n v="63756"/>
        <n v="106576"/>
        <n v="45304"/>
        <n v="65341"/>
        <n v="39758"/>
        <n v="52010"/>
        <n v="95758"/>
        <n v="66658"/>
        <n v="84002"/>
        <n v="36375"/>
        <n v="57092"/>
        <n v="35490"/>
        <n v="38729"/>
        <n v="40974"/>
        <n v="118860"/>
        <n v="56398"/>
        <n v="69650"/>
        <n v="56292"/>
        <n v="38159"/>
        <n v="97766"/>
        <n v="52065"/>
        <n v="56638"/>
        <n v="36073"/>
        <n v="81511"/>
        <n v="119307"/>
        <n v="64320"/>
        <n v="104876"/>
        <n v="69924"/>
        <n v="116720"/>
        <n v="75734"/>
        <n v="103116"/>
        <n v="75025"/>
        <n v="37159"/>
        <n v="83940"/>
        <n v="114436"/>
        <n v="111976"/>
        <n v="49678"/>
        <n v="96075"/>
        <n v="82204"/>
        <n v="47021"/>
        <n v="41772"/>
        <n v="102163"/>
        <n v="108755"/>
        <n v="58464"/>
        <n v="86137"/>
        <n v="65232"/>
        <n v="96497"/>
        <n v="109024"/>
        <n v="86448"/>
        <n v="119517"/>
        <n v="35901"/>
        <n v="118597"/>
        <n v="37881"/>
        <n v="64863"/>
        <n v="40622"/>
        <n v="36378"/>
        <n v="118168"/>
        <n v="106186"/>
        <n v="80201"/>
        <n v="94251"/>
        <n v="107572"/>
        <n v="74255"/>
        <n v="98212"/>
        <n v="85210"/>
        <n v="57499"/>
        <n v="86628"/>
        <n v="96360"/>
        <n v="39603"/>
        <n v="47632"/>
        <n v="65607"/>
        <n v="100756"/>
        <n v="81994"/>
        <n v="98382"/>
        <n v="105354"/>
        <n v="91344"/>
        <n v="88775"/>
        <n v="42349"/>
        <n v="106154"/>
        <n v="62464"/>
        <n v="77624"/>
        <n v="72344"/>
        <n v="118791"/>
        <n v="59299"/>
        <n v="82975"/>
        <n v="36462"/>
        <n v="116441"/>
        <n v="116788"/>
        <n v="75581"/>
        <n v="106289"/>
        <n v="49175"/>
        <n v="41191"/>
        <n v="118434"/>
        <n v="119518"/>
        <n v="115158"/>
        <n v="101537"/>
        <n v="82645"/>
        <n v="58283"/>
        <n v="94123"/>
        <n v="65024"/>
        <n v="84630"/>
        <n v="65734"/>
        <n v="35515"/>
        <n v="101727"/>
        <n v="81216"/>
        <n v="106833"/>
        <n v="93755"/>
        <n v="62856"/>
        <n v="108870"/>
        <n v="59162"/>
        <n v="41008"/>
        <n v="42987"/>
        <n v="97532"/>
        <n v="38332"/>
        <n v="101323"/>
        <n v="73990"/>
        <n v="44873"/>
        <n v="117542"/>
        <n v="71444"/>
        <n v="70340"/>
        <n v="40033"/>
        <n v="108324"/>
        <n v="50689"/>
        <n v="35066"/>
        <n v="80246"/>
        <n v="42533"/>
        <n v="115639"/>
        <n v="105152"/>
        <n v="94658"/>
        <n v="73498"/>
        <n v="46772"/>
        <n v="84036"/>
        <n v="93531"/>
        <n v="47940"/>
        <n v="51932"/>
        <n v="91827"/>
        <n v="96431"/>
        <n v="59648"/>
        <n v="67966"/>
        <n v="62777"/>
        <n v="67567"/>
        <n v="52174"/>
        <n v="77598"/>
        <n v="94199"/>
        <n v="48798"/>
        <n v="100364"/>
        <n v="52558"/>
        <n v="96084"/>
        <n v="79237"/>
        <n v="100497"/>
        <n v="35178"/>
        <n v="52118"/>
        <n v="57616"/>
        <n v="35798"/>
        <n v="42601"/>
        <n v="60363"/>
        <n v="37795"/>
        <n v="80264"/>
        <n v="107833"/>
        <n v="38084"/>
        <n v="111646"/>
        <n v="35731"/>
        <n v="36129"/>
        <n v="63022"/>
        <n v="36605"/>
        <n v="112506"/>
        <n v="79130"/>
        <n v="64265"/>
        <n v="67330"/>
        <n v="103469"/>
        <n v="50187"/>
        <n v="60791"/>
        <n v="105610"/>
        <n v="74867"/>
        <n v="35893"/>
        <n v="54773"/>
        <n v="39239"/>
        <n v="55863"/>
        <n v="86415"/>
        <n v="103968"/>
        <n v="95430"/>
        <n v="36515"/>
        <n v="49605"/>
        <n v="91240"/>
        <n v="40586"/>
        <n v="66186"/>
        <n v="61928"/>
        <n v="118087"/>
        <n v="55711"/>
        <n v="89962"/>
        <n v="55039"/>
        <n v="71561"/>
        <n v="110483"/>
        <n v="116395"/>
        <n v="36577"/>
        <n v="63350"/>
        <n v="68798"/>
        <n v="116417"/>
        <n v="45785"/>
        <n v="107227"/>
        <n v="96957"/>
        <n v="100431"/>
        <n v="52297"/>
        <n v="106894"/>
        <n v="98772"/>
        <n v="54581"/>
        <n v="90192"/>
        <n v="99173"/>
        <n v="50511"/>
        <n v="111106"/>
        <n v="83665"/>
        <n v="79414"/>
        <n v="116010"/>
        <n v="107573"/>
        <n v="48386"/>
        <n v="89460"/>
        <n v="41221"/>
        <n v="58474"/>
        <n v="56045"/>
        <n v="39922"/>
        <n v="57706"/>
        <n v="77771"/>
        <n v="87335"/>
        <n v="87949"/>
        <n v="105714"/>
        <n v="50240"/>
        <n v="37716"/>
        <n v="51574"/>
        <n v="118255"/>
        <n v="108717"/>
        <n v="79066"/>
        <n v="96826"/>
        <n v="55213"/>
        <n v="106916"/>
        <n v="101151"/>
        <n v="85906"/>
        <n v="35463"/>
        <n v="66973"/>
        <n v="109694"/>
        <n v="55651"/>
        <n v="103694"/>
        <n v="55008"/>
        <n v="105474"/>
        <n v="73185"/>
        <n v="109417"/>
        <n v="106139"/>
        <n v="69980"/>
        <n v="57504"/>
        <n v="89970"/>
        <n v="51766"/>
        <n v="46695"/>
        <n v="52796"/>
        <n v="77543"/>
        <n v="49559"/>
        <n v="68139"/>
        <n v="43802"/>
        <n v="108843"/>
        <n v="75205"/>
        <n v="69159"/>
        <n v="46516"/>
        <n v="85492"/>
        <n v="64086"/>
        <n v="65480"/>
        <n v="87091"/>
        <n v="82766"/>
        <n v="73737"/>
        <n v="44265"/>
        <n v="105990"/>
        <n v="50386"/>
        <n v="72425"/>
        <n v="78254"/>
        <n v="88634"/>
        <n v="82662"/>
        <n v="110452"/>
        <n v="45143"/>
        <n v="50581"/>
        <n v="102443"/>
        <n v="64424"/>
        <n v="76984"/>
        <n v="76505"/>
        <n v="97699"/>
        <n v="61957"/>
        <n v="60464"/>
        <n v="58649"/>
        <n v="77065"/>
        <n v="69758"/>
        <n v="40596"/>
        <n v="51374"/>
        <n v="38775"/>
        <n v="62388"/>
        <n v="56029"/>
        <n v="118981"/>
        <n v="88639"/>
        <n v="49645"/>
        <n v="66105"/>
        <n v="48668"/>
        <n v="50960"/>
        <n v="46357"/>
        <n v="99604"/>
        <n v="86796"/>
        <n v="50804"/>
        <n v="49626"/>
        <n v="63132"/>
        <n v="42951"/>
        <n v="41449"/>
        <n v="54065"/>
        <n v="44130"/>
        <n v="97287"/>
        <n v="86702"/>
        <n v="71993"/>
        <n v="66875"/>
        <n v="41054"/>
        <n v="83517"/>
        <n v="111368"/>
        <n v="64670"/>
        <n v="84112"/>
        <n v="63307"/>
        <n v="102087"/>
        <n v="82922"/>
        <n v="98080"/>
        <n v="114335"/>
        <n v="61312"/>
        <n v="101985"/>
        <n v="75277"/>
        <n v="66551"/>
        <n v="91597"/>
        <n v="80212"/>
        <n v="44637"/>
        <n v="78258"/>
        <n v="70693"/>
        <n v="44824"/>
        <n v="61950"/>
        <n v="58488"/>
        <n v="35215"/>
        <n v="46523"/>
        <n v="110900"/>
        <n v="103689"/>
        <n v="58834"/>
        <n v="69474"/>
        <n v="78066"/>
        <n v="45400"/>
        <n v="45345"/>
        <n v="68896"/>
        <n v="63899"/>
        <n v="63229"/>
        <n v="40583"/>
        <n v="39897"/>
        <n v="106537"/>
        <n v="39567"/>
        <n v="109807"/>
        <n v="112239"/>
        <n v="48329"/>
        <n v="106792"/>
        <n v="35228"/>
        <n v="117214"/>
        <n v="72052"/>
        <n v="92769"/>
        <n v="81032"/>
        <n v="68686"/>
        <n v="111981"/>
        <n v="98261"/>
        <n v="37809"/>
        <n v="76785"/>
        <n v="71547"/>
        <n v="77818"/>
        <n v="106927"/>
        <n v="100681"/>
        <n v="114465"/>
        <n v="72333"/>
        <n v="51576"/>
        <n v="74405"/>
        <n v="108779"/>
        <n v="66601"/>
        <n v="102946"/>
        <n v="102356"/>
        <n v="87116"/>
        <n v="97894"/>
        <n v="69635"/>
        <n v="42465"/>
        <n v="91754"/>
        <n v="73871"/>
        <n v="97874"/>
        <n v="112733"/>
        <n v="64511"/>
        <n v="115960"/>
        <n v="83821"/>
        <n v="100776"/>
        <n v="105167"/>
        <n v="110135"/>
        <n v="79462"/>
        <n v="96382"/>
        <n v="67574"/>
        <n v="76910"/>
        <n v="108531"/>
        <n v="60186"/>
        <n v="57813"/>
        <n v="113812"/>
        <n v="113282"/>
        <n v="53557"/>
        <n v="63060"/>
        <n v="93866"/>
        <n v="107104"/>
        <n v="41080"/>
        <n v="48854"/>
        <n v="102695"/>
        <n v="62025"/>
        <n v="87982"/>
        <n v="76081"/>
        <n v="39368"/>
        <n v="62094"/>
        <n v="81040"/>
        <n v="101766"/>
        <n v="118053"/>
        <n v="58991"/>
        <n v="36301"/>
        <n v="63610"/>
        <n v="116463"/>
        <n v="69678"/>
        <n v="59466"/>
        <n v="115440"/>
        <n v="75875"/>
        <n v="61081"/>
        <n v="59354"/>
        <n v="53300"/>
        <n v="99384"/>
        <n v="95892"/>
        <n v="70525"/>
        <n v="61532"/>
        <n v="41464"/>
        <n v="51562"/>
        <n v="90514"/>
        <n v="109219"/>
        <n v="67634"/>
        <n v="35060"/>
        <n v="44269"/>
        <n v="98143"/>
        <n v="58065"/>
        <n v="37895"/>
        <n v="115859"/>
        <n v="47352"/>
        <n v="84737"/>
        <n v="67016"/>
        <n v="96304"/>
        <n v="46962"/>
        <n v="68302"/>
        <n v="39011"/>
        <n v="54782"/>
        <n v="102691"/>
        <n v="74725"/>
        <n v="44196"/>
        <n v="78459"/>
        <n v="113863"/>
        <n v="67769"/>
        <n v="59700"/>
        <n v="115356"/>
        <n v="111427"/>
        <n v="40269"/>
        <n v="78880"/>
        <n v="43320"/>
        <n v="84589"/>
        <n v="111276"/>
        <n v="70897"/>
        <n v="93565"/>
        <n v="65930"/>
        <n v="92233"/>
        <n v="117821"/>
        <n v="49380"/>
        <n v="111896"/>
        <n v="105934"/>
        <n v="90830"/>
        <n v="40529"/>
        <n v="117987"/>
        <n v="84178"/>
        <n v="41937"/>
        <n v="74886"/>
        <n v="84699"/>
        <n v="111396"/>
        <n v="60279"/>
        <n v="73106"/>
        <n v="114737"/>
        <n v="75544"/>
        <n v="43997"/>
        <n v="75860"/>
        <n v="38225"/>
        <n v="94470"/>
        <n v="98656"/>
        <n v="86880"/>
        <n v="111290"/>
        <n v="91633"/>
        <n v="61655"/>
        <n v="78601"/>
        <n v="38114"/>
        <n v="61502"/>
        <n v="84768"/>
        <n v="83128"/>
        <n v="55028"/>
        <n v="90565"/>
        <n v="118123"/>
        <n v="70333"/>
        <n v="38174"/>
        <n v="70398"/>
        <n v="70929"/>
        <n v="39321"/>
        <n v="90421"/>
        <n v="107635"/>
        <n v="58760"/>
        <n v="46360"/>
        <n v="45313"/>
        <n v="40801"/>
        <n v="49130"/>
        <n v="49271"/>
        <n v="51075"/>
        <n v="53984"/>
        <n v="95942"/>
        <n v="47861"/>
        <n v="117203"/>
        <n v="106376"/>
        <n v="96247"/>
        <n v="104101"/>
        <n v="55977"/>
        <n v="85617"/>
        <n v="92473"/>
        <n v="107902"/>
        <n v="50630"/>
        <n v="55056"/>
        <n v="42382"/>
        <n v="90739"/>
        <n v="116685"/>
        <n v="83639"/>
        <n v="94838"/>
        <n v="81041"/>
        <n v="35992"/>
        <n v="107394"/>
        <n v="102657"/>
        <n v="62160"/>
        <n v="80156"/>
        <n v="86375"/>
        <n v="54572"/>
        <n v="39136"/>
        <n v="96868"/>
        <n v="117263"/>
        <n v="67167"/>
        <n v="50479"/>
        <n v="66376"/>
        <n v="39823"/>
        <n v="105456"/>
        <n v="54585"/>
        <n v="52272"/>
        <n v="61619"/>
        <n v="110069"/>
        <n v="74895"/>
        <n v="38720"/>
        <n v="54267"/>
        <n v="50696"/>
        <n v="64968"/>
        <n v="88364"/>
        <n v="58345"/>
        <n v="86567"/>
        <n v="96607"/>
        <n v="54385"/>
        <n v="118658"/>
        <n v="101900"/>
        <n v="103244"/>
        <n v="100425"/>
        <n v="113518"/>
        <n v="117844"/>
        <n v="67919"/>
        <n v="92196"/>
        <n v="114401"/>
        <n v="35495"/>
        <n v="79755"/>
        <n v="102684"/>
        <n v="68324"/>
        <n v="113929"/>
        <n v="36552"/>
        <n v="86272"/>
        <n v="70853"/>
        <n v="67924"/>
        <n v="109462"/>
        <n v="58889"/>
        <n v="89675"/>
        <n v="108591"/>
        <n v="105190"/>
        <n v="57634"/>
        <n v="67363"/>
        <n v="98752"/>
        <n v="112004"/>
        <n v="91398"/>
        <n v="75718"/>
        <n v="117916"/>
        <n v="61870"/>
        <n v="72394"/>
        <n v="87057"/>
        <n v="114795"/>
        <n v="115409"/>
        <n v="48016"/>
        <n v="77137"/>
        <n v="35153"/>
        <n v="42853"/>
        <n v="47379"/>
        <n v="50792"/>
        <n v="53100"/>
        <n v="98456"/>
        <n v="46049"/>
        <n v="35786"/>
        <n v="104904"/>
        <n v="65699"/>
        <n v="82691"/>
        <n v="72040"/>
        <n v="92986"/>
        <n v="73762"/>
        <n v="58600"/>
        <n v="54810"/>
        <n v="92204"/>
        <n v="55085"/>
        <n v="81854"/>
        <n v="109797"/>
        <n v="119269"/>
        <n v="74779"/>
        <n v="91207"/>
        <n v="68980"/>
        <n v="91117"/>
        <n v="49141"/>
        <n v="44344"/>
        <n v="50896"/>
        <n v="64813"/>
        <n v="119431"/>
        <n v="100679"/>
        <n v="45681"/>
        <n v="107903"/>
        <m/>
      </sharedItems>
    </cacheField>
    <cacheField name="Price Category" numFmtId="0">
      <sharedItems containsBlank="1" count="4">
        <s v="High"/>
        <s v="Low"/>
        <s v="Mid"/>
        <m/>
      </sharedItems>
    </cacheField>
    <cacheField name="units_sold" numFmtId="0">
      <sharedItems containsString="0" containsBlank="1" containsNumber="1" containsInteger="1" minValue="15" maxValue="1242" count="622">
        <n v="324"/>
        <n v="556"/>
        <n v="152"/>
        <n v="730"/>
        <n v="1156"/>
        <n v="687"/>
        <n v="439"/>
        <n v="489"/>
        <n v="435"/>
        <n v="1080"/>
        <n v="447"/>
        <n v="827"/>
        <n v="712"/>
        <n v="1181"/>
        <n v="307"/>
        <n v="725"/>
        <n v="588"/>
        <n v="644"/>
        <n v="534"/>
        <n v="1004"/>
        <n v="544"/>
        <n v="751"/>
        <n v="1061"/>
        <n v="954"/>
        <n v="673"/>
        <n v="15"/>
        <n v="107"/>
        <n v="523"/>
        <n v="782"/>
        <n v="397"/>
        <n v="773"/>
        <n v="179"/>
        <n v="652"/>
        <n v="389"/>
        <n v="213"/>
        <n v="945"/>
        <n v="705"/>
        <n v="368"/>
        <n v="743"/>
        <n v="805"/>
        <n v="380"/>
        <n v="543"/>
        <n v="429"/>
        <n v="661"/>
        <n v="1001"/>
        <n v="413"/>
        <n v="396"/>
        <n v="225"/>
        <n v="992"/>
        <n v="476"/>
        <n v="357"/>
        <n v="1145"/>
        <n v="679"/>
        <n v="184"/>
        <n v="205"/>
        <n v="578"/>
        <n v="292"/>
        <n v="495"/>
        <n v="576"/>
        <n v="453"/>
        <n v="1070"/>
        <n v="348"/>
        <n v="651"/>
        <n v="951"/>
        <n v="393"/>
        <n v="1190"/>
        <n v="847"/>
        <n v="117"/>
        <n v="518"/>
        <n v="610"/>
        <n v="260"/>
        <n v="1115"/>
        <n v="677"/>
        <n v="370"/>
        <n v="532"/>
        <n v="691"/>
        <n v="899"/>
        <n v="605"/>
        <n v="474"/>
        <n v="706"/>
        <n v="272"/>
        <n v="531"/>
        <n v="586"/>
        <n v="667"/>
        <n v="559"/>
        <n v="502"/>
        <n v="822"/>
        <n v="564"/>
        <n v="1066"/>
        <n v="871"/>
        <n v="592"/>
        <n v="508"/>
        <n v="1177"/>
        <n v="630"/>
        <n v="845"/>
        <n v="880"/>
        <n v="100"/>
        <n v="451"/>
        <n v="944"/>
        <n v="947"/>
        <n v="658"/>
        <n v="904"/>
        <n v="728"/>
        <n v="709"/>
        <n v="1007"/>
        <n v="193"/>
        <n v="874"/>
        <n v="622"/>
        <n v="1049"/>
        <n v="857"/>
        <n v="426"/>
        <n v="1055"/>
        <n v="742"/>
        <n v="686"/>
        <n v="299"/>
        <n v="716"/>
        <n v="906"/>
        <n v="1038"/>
        <n v="421"/>
        <n v="551"/>
        <n v="941"/>
        <n v="626"/>
        <n v="632"/>
        <n v="837"/>
        <n v="749"/>
        <n v="373"/>
        <n v="753"/>
        <n v="1169"/>
        <n v="780"/>
        <n v="756"/>
        <n v="848"/>
        <n v="911"/>
        <n v="530"/>
        <n v="989"/>
        <n v="203"/>
        <n v="685"/>
        <n v="408"/>
        <n v="762"/>
        <n v="425"/>
        <n v="596"/>
        <n v="769"/>
        <n v="997"/>
        <n v="1043"/>
        <n v="849"/>
        <n v="122"/>
        <n v="916"/>
        <n v="882"/>
        <n v="472"/>
        <n v="448"/>
        <n v="956"/>
        <n v="628"/>
        <n v="806"/>
        <n v="465"/>
        <n v="121"/>
        <n v="923"/>
        <n v="507"/>
        <n v="288"/>
        <n v="519"/>
        <n v="527"/>
        <n v="883"/>
        <n v="361"/>
        <n v="388"/>
        <n v="844"/>
        <n v="887"/>
        <n v="788"/>
        <n v="1026"/>
        <n v="347"/>
        <n v="386"/>
        <n v="187"/>
        <n v="599"/>
        <n v="815"/>
        <n v="1044"/>
        <n v="536"/>
        <n v="967"/>
        <n v="744"/>
        <n v="341"/>
        <n v="511"/>
        <n v="790"/>
        <n v="457"/>
        <n v="245"/>
        <n v="818"/>
        <n v="419"/>
        <n v="173"/>
        <n v="654"/>
        <n v="211"/>
        <n v="375"/>
        <n v="975"/>
        <n v="500"/>
        <n v="142"/>
        <n v="697"/>
        <n v="446"/>
        <n v="477"/>
        <n v="1008"/>
        <n v="781"/>
        <n v="542"/>
        <n v="796"/>
        <n v="1237"/>
        <n v="318"/>
        <n v="924"/>
        <n v="1099"/>
        <n v="894"/>
        <n v="665"/>
        <n v="830"/>
        <n v="360"/>
        <n v="162"/>
        <n v="411"/>
        <n v="359"/>
        <n v="367"/>
        <n v="550"/>
        <n v="903"/>
        <n v="860"/>
        <n v="1012"/>
        <n v="538"/>
        <n v="516"/>
        <n v="407"/>
        <n v="925"/>
        <n v="1025"/>
        <n v="450"/>
        <n v="999"/>
        <n v="811"/>
        <n v="209"/>
        <n v="840"/>
        <n v="344"/>
        <n v="441"/>
        <n v="281"/>
        <n v="625"/>
        <n v="1104"/>
        <n v="540"/>
        <n v="420"/>
        <n v="897"/>
        <n v="529"/>
        <n v="943"/>
        <n v="634"/>
        <n v="670"/>
        <n v="191"/>
        <n v="937"/>
        <n v="471"/>
        <n v="615"/>
        <n v="265"/>
        <n v="313"/>
        <n v="674"/>
        <n v="807"/>
        <n v="201"/>
        <n v="1051"/>
        <n v="436"/>
        <n v="197"/>
        <n v="1021"/>
        <n v="640"/>
        <n v="1081"/>
        <n v="675"/>
        <n v="351"/>
        <n v="355"/>
        <n v="1195"/>
        <n v="473"/>
        <n v="1027"/>
        <n v="505"/>
        <n v="369"/>
        <n v="432"/>
        <n v="554"/>
        <n v="398"/>
        <n v="424"/>
        <n v="67"/>
        <n v="514"/>
        <n v="255"/>
        <n v="302"/>
        <n v="498"/>
        <n v="176"/>
        <n v="736"/>
        <n v="836"/>
        <n v="609"/>
        <n v="130"/>
        <n v="533"/>
        <n v="430"/>
        <n v="647"/>
        <n v="520"/>
        <n v="961"/>
        <n v="552"/>
        <n v="1150"/>
        <n v="876"/>
        <n v="525"/>
        <n v="718"/>
        <n v="680"/>
        <n v="466"/>
        <n v="497"/>
        <n v="893"/>
        <n v="158"/>
        <n v="701"/>
        <n v="657"/>
        <n v="306"/>
        <n v="958"/>
        <n v="1096"/>
        <n v="1086"/>
        <n v="290"/>
        <n v="475"/>
        <n v="521"/>
        <n v="1019"/>
        <n v="395"/>
        <n v="467"/>
        <n v="571"/>
        <n v="206"/>
        <n v="1135"/>
        <n v="517"/>
        <n v="1137"/>
        <n v="539"/>
        <n v="613"/>
        <n v="934"/>
        <n v="980"/>
        <n v="499"/>
        <n v="662"/>
        <n v="608"/>
        <n v="719"/>
        <n v="257"/>
        <n v="699"/>
        <n v="1078"/>
        <n v="246"/>
        <n v="931"/>
        <n v="1013"/>
        <n v="977"/>
        <n v="346"/>
        <n v="353"/>
        <n v="620"/>
        <n v="868"/>
        <n v="231"/>
        <n v="567"/>
        <n v="1016"/>
        <n v="875"/>
        <n v="1083"/>
        <n v="978"/>
        <n v="248"/>
        <n v="147"/>
        <n v="886"/>
        <n v="319"/>
        <n v="493"/>
        <n v="581"/>
        <n v="207"/>
        <n v="775"/>
        <n v="724"/>
        <n v="664"/>
        <n v="953"/>
        <n v="305"/>
        <n v="813"/>
        <n v="865"/>
        <n v="765"/>
        <n v="638"/>
        <n v="778"/>
        <n v="192"/>
        <n v="400"/>
        <n v="469"/>
        <n v="884"/>
        <n v="910"/>
        <n v="372"/>
        <n v="636"/>
        <n v="433"/>
        <n v="573"/>
        <n v="575"/>
        <n v="918"/>
        <n v="1197"/>
        <n v="216"/>
        <n v="72"/>
        <n v="416"/>
        <n v="254"/>
        <n v="862"/>
        <n v="409"/>
        <n v="561"/>
        <n v="889"/>
        <n v="784"/>
        <n v="417"/>
        <n v="869"/>
        <n v="296"/>
        <n v="418"/>
        <n v="930"/>
        <n v="902"/>
        <n v="1118"/>
        <n v="1242"/>
        <n v="406"/>
        <n v="878"/>
        <n v="479"/>
        <n v="721"/>
        <n v="1161"/>
        <n v="717"/>
        <n v="428"/>
        <n v="929"/>
        <n v="602"/>
        <n v="1109"/>
        <n v="711"/>
        <n v="896"/>
        <n v="480"/>
        <n v="157"/>
        <n v="488"/>
        <n v="149"/>
        <n v="863"/>
        <n v="512"/>
        <n v="1153"/>
        <n v="639"/>
        <n v="545"/>
        <n v="1202"/>
        <n v="151"/>
        <n v="936"/>
        <n v="267"/>
        <n v="524"/>
        <n v="935"/>
        <n v="681"/>
        <n v="735"/>
        <n v="708"/>
        <n v="1022"/>
        <n v="212"/>
        <n v="982"/>
        <n v="659"/>
        <n v="1031"/>
        <n v="666"/>
        <n v="601"/>
        <n v="510"/>
        <n v="759"/>
        <n v="750"/>
        <n v="905"/>
        <n v="798"/>
        <n v="311"/>
        <n v="170"/>
        <n v="282"/>
        <n v="668"/>
        <n v="284"/>
        <n v="641"/>
        <n v="1033"/>
        <n v="646"/>
        <n v="738"/>
        <n v="182"/>
        <n v="431"/>
        <n v="309"/>
        <n v="381"/>
        <n v="553"/>
        <n v="111"/>
        <n v="492"/>
        <n v="1114"/>
        <n v="737"/>
        <n v="703"/>
        <n v="327"/>
        <n v="591"/>
        <n v="1069"/>
        <n v="587"/>
        <n v="976"/>
        <n v="802"/>
        <n v="410"/>
        <n v="250"/>
        <n v="914"/>
        <n v="387"/>
        <n v="314"/>
        <n v="797"/>
        <n v="459"/>
        <n v="637"/>
        <n v="994"/>
        <n v="496"/>
        <n v="354"/>
        <n v="984"/>
        <n v="829"/>
        <n v="106"/>
        <n v="720"/>
        <n v="835"/>
        <n v="1024"/>
        <n v="377"/>
        <n v="663"/>
        <n v="415"/>
        <n v="877"/>
        <n v="456"/>
        <n v="814"/>
        <n v="557"/>
        <n v="842"/>
        <n v="1071"/>
        <n v="682"/>
        <n v="482"/>
        <n v="739"/>
        <n v="1062"/>
        <n v="995"/>
        <n v="895"/>
        <n v="754"/>
        <n v="1193"/>
        <n v="226"/>
        <n v="1119"/>
        <n v="713"/>
        <n v="963"/>
        <n v="304"/>
        <n v="766"/>
        <n v="434"/>
        <n v="513"/>
        <n v="800"/>
        <n v="221"/>
        <n v="256"/>
        <n v="853"/>
        <n v="317"/>
        <n v="461"/>
        <n v="964"/>
        <n v="275"/>
        <n v="861"/>
        <n v="298"/>
        <n v="92"/>
        <n v="1006"/>
        <n v="548"/>
        <n v="286"/>
        <n v="631"/>
        <n v="928"/>
        <n v="123"/>
        <n v="1088"/>
        <n v="171"/>
        <n v="908"/>
        <n v="247"/>
        <n v="834"/>
        <n v="155"/>
        <n v="1087"/>
        <n v="684"/>
        <n v="933"/>
        <n v="235"/>
        <n v="1073"/>
        <n v="597"/>
        <n v="1067"/>
        <n v="816"/>
        <n v="683"/>
        <n v="714"/>
        <n v="824"/>
        <n v="785"/>
        <n v="922"/>
        <n v="570"/>
        <n v="1129"/>
        <n v="185"/>
        <n v="678"/>
        <n v="966"/>
        <n v="879"/>
        <n v="971"/>
        <n v="707"/>
        <n v="595"/>
        <n v="244"/>
        <n v="694"/>
        <n v="515"/>
        <n v="804"/>
        <n v="468"/>
        <n v="786"/>
        <n v="224"/>
        <n v="438"/>
        <n v="390"/>
        <n v="303"/>
        <n v="693"/>
        <n v="1095"/>
        <n v="1075"/>
        <n v="1122"/>
        <n v="820"/>
        <n v="789"/>
        <n v="985"/>
        <n v="301"/>
        <n v="70"/>
        <n v="584"/>
        <n v="238"/>
        <n v="629"/>
        <n v="80"/>
        <n v="401"/>
        <n v="312"/>
        <n v="747"/>
        <n v="330"/>
        <n v="733"/>
        <n v="194"/>
        <n v="277"/>
        <n v="810"/>
        <n v="968"/>
        <n v="270"/>
        <n v="912"/>
        <n v="376"/>
        <n v="695"/>
        <n v="892"/>
        <n v="669"/>
        <n v="926"/>
        <n v="136"/>
        <n v="727"/>
        <n v="600"/>
        <n v="913"/>
        <n v="900"/>
        <n v="823"/>
        <n v="560"/>
        <n v="907"/>
        <n v="186"/>
        <n v="455"/>
        <n v="253"/>
        <n v="794"/>
        <n v="1130"/>
        <n v="1036"/>
        <n v="606"/>
        <n v="791"/>
        <n v="547"/>
        <n v="349"/>
        <n v="1149"/>
        <n v="898"/>
        <n v="522"/>
        <n v="334"/>
        <n v="463"/>
        <n v="579"/>
        <n v="881"/>
        <n v="821"/>
        <n v="566"/>
        <n v="268"/>
        <n v="973"/>
        <n v="336"/>
        <n v="150"/>
        <n v="819"/>
        <n v="1029"/>
        <n v="403"/>
        <n v="607"/>
        <n v="1116"/>
        <n v="740"/>
        <n v="1196"/>
        <n v="710"/>
        <n v="243"/>
        <n v="59"/>
        <n v="320"/>
        <n v="565"/>
        <n v="96"/>
        <n v="582"/>
        <n v="1124"/>
        <n v="704"/>
        <n v="332"/>
        <n v="698"/>
        <n v="726"/>
        <n v="648"/>
        <n v="783"/>
        <n v="614"/>
        <n v="891"/>
        <m/>
      </sharedItems>
    </cacheField>
    <cacheField name="Revenue" numFmtId="0">
      <sharedItems containsString="0" containsBlank="1" containsNumber="1" containsInteger="1" minValue="1370940" maxValue="136271631"/>
    </cacheField>
    <cacheField name="marketing_spend_usd" numFmtId="0">
      <sharedItems containsString="0" containsBlank="1" containsNumber="1" containsInteger="1" minValue="50363" maxValue="498927"/>
    </cacheField>
    <cacheField name="Revenue After Marketing" numFmtId="0">
      <sharedItems containsString="0" containsBlank="1" containsNumber="1" containsInteger="1" minValue="1309391" maxValue="135821419"/>
    </cacheField>
    <cacheField name="dealership_count" numFmtId="0">
      <sharedItems containsString="0" containsBlank="1" containsNumber="1" containsInteger="1" minValue="10" maxValue="399" count="356">
        <n v="96"/>
        <n v="234"/>
        <n v="25"/>
        <n v="319"/>
        <n v="367"/>
        <n v="172"/>
        <n v="107"/>
        <n v="165"/>
        <n v="11"/>
        <n v="359"/>
        <n v="178"/>
        <n v="324"/>
        <n v="334"/>
        <n v="384"/>
        <n v="101"/>
        <n v="190"/>
        <n v="240"/>
        <n v="310"/>
        <n v="157"/>
        <n v="289"/>
        <n v="198"/>
        <n v="356"/>
        <n v="323"/>
        <n v="137"/>
        <n v="16"/>
        <n v="56"/>
        <n v="62"/>
        <n v="196"/>
        <n v="47"/>
        <n v="235"/>
        <n v="233"/>
        <n v="163"/>
        <n v="57"/>
        <n v="360"/>
        <n v="156"/>
        <n v="73"/>
        <n v="358"/>
        <n v="191"/>
        <n v="134"/>
        <n v="188"/>
        <n v="48"/>
        <n v="269"/>
        <n v="391"/>
        <n v="12"/>
        <n v="38"/>
        <n v="381"/>
        <n v="20"/>
        <n v="106"/>
        <n v="212"/>
        <n v="30"/>
        <n v="232"/>
        <n v="111"/>
        <n v="55"/>
        <n v="75"/>
        <n v="100"/>
        <n v="173"/>
        <n v="120"/>
        <n v="347"/>
        <n v="132"/>
        <n v="202"/>
        <n v="108"/>
        <n v="300"/>
        <n v="168"/>
        <n v="112"/>
        <n v="394"/>
        <n v="290"/>
        <n v="52"/>
        <n v="93"/>
        <n v="200"/>
        <n v="60"/>
        <n v="395"/>
        <n v="219"/>
        <n v="135"/>
        <n v="78"/>
        <n v="274"/>
        <n v="267"/>
        <n v="197"/>
        <n v="239"/>
        <n v="19"/>
        <n v="123"/>
        <n v="85"/>
        <n v="94"/>
        <n v="58"/>
        <n v="335"/>
        <n v="186"/>
        <n v="396"/>
        <n v="398"/>
        <n v="227"/>
        <n v="355"/>
        <n v="264"/>
        <n v="245"/>
        <n v="35"/>
        <n v="81"/>
        <n v="270"/>
        <n v="263"/>
        <n v="280"/>
        <n v="153"/>
        <n v="266"/>
        <n v="268"/>
        <n v="22"/>
        <n v="385"/>
        <n v="217"/>
        <n v="320"/>
        <n v="244"/>
        <n v="158"/>
        <n v="331"/>
        <n v="164"/>
        <n v="175"/>
        <n v="99"/>
        <n v="195"/>
        <n v="327"/>
        <n v="183"/>
        <n v="226"/>
        <n v="273"/>
        <n v="126"/>
        <n v="208"/>
        <n v="329"/>
        <n v="209"/>
        <n v="380"/>
        <n v="350"/>
        <n v="257"/>
        <n v="285"/>
        <n v="67"/>
        <n v="311"/>
        <n v="40"/>
        <n v="258"/>
        <n v="102"/>
        <n v="103"/>
        <n v="294"/>
        <n v="89"/>
        <n v="301"/>
        <n v="374"/>
        <n v="383"/>
        <n v="46"/>
        <n v="351"/>
        <n v="336"/>
        <n v="241"/>
        <n v="345"/>
        <n v="23"/>
        <n v="382"/>
        <n v="82"/>
        <n v="225"/>
        <n v="314"/>
        <n v="229"/>
        <n v="337"/>
        <n v="224"/>
        <n v="230"/>
        <n v="51"/>
        <n v="144"/>
        <n v="370"/>
        <n v="292"/>
        <n v="34"/>
        <n v="138"/>
        <n v="339"/>
        <n v="162"/>
        <n v="76"/>
        <n v="15"/>
        <n v="91"/>
        <n v="213"/>
        <n v="159"/>
        <n v="302"/>
        <n v="33"/>
        <n v="377"/>
        <n v="221"/>
        <n v="74"/>
        <n v="218"/>
        <n v="260"/>
        <n v="125"/>
        <n v="246"/>
        <n v="114"/>
        <n v="340"/>
        <n v="342"/>
        <n v="44"/>
        <n v="37"/>
        <n v="68"/>
        <n v="252"/>
        <n v="216"/>
        <n v="276"/>
        <n v="344"/>
        <n v="124"/>
        <n v="77"/>
        <n v="308"/>
        <n v="84"/>
        <n v="306"/>
        <n v="187"/>
        <n v="170"/>
        <n v="366"/>
        <n v="185"/>
        <n v="88"/>
        <n v="392"/>
        <n v="141"/>
        <n v="297"/>
        <n v="10"/>
        <n v="65"/>
        <n v="121"/>
        <n v="295"/>
        <n v="45"/>
        <n v="92"/>
        <n v="316"/>
        <n v="31"/>
        <n v="116"/>
        <n v="118"/>
        <n v="365"/>
        <n v="189"/>
        <n v="109"/>
        <n v="393"/>
        <n v="309"/>
        <n v="282"/>
        <n v="110"/>
        <n v="253"/>
        <n v="247"/>
        <n v="362"/>
        <n v="368"/>
        <n v="220"/>
        <n v="238"/>
        <n v="397"/>
        <n v="149"/>
        <n v="279"/>
        <n v="256"/>
        <n v="21"/>
        <n v="364"/>
        <n v="346"/>
        <n v="115"/>
        <n v="41"/>
        <n v="83"/>
        <n v="180"/>
        <n v="371"/>
        <n v="146"/>
        <n v="155"/>
        <n v="18"/>
        <n v="71"/>
        <n v="194"/>
        <n v="390"/>
        <n v="152"/>
        <n v="399"/>
        <n v="129"/>
        <n v="179"/>
        <n v="166"/>
        <n v="251"/>
        <n v="181"/>
        <n v="29"/>
        <n v="322"/>
        <n v="205"/>
        <n v="61"/>
        <n v="17"/>
        <n v="54"/>
        <n v="243"/>
        <n v="298"/>
        <n v="39"/>
        <n v="140"/>
        <n v="262"/>
        <n v="150"/>
        <n v="139"/>
        <n v="255"/>
        <n v="361"/>
        <n v="119"/>
        <n v="265"/>
        <n v="321"/>
        <n v="171"/>
        <n v="80"/>
        <n v="64"/>
        <n v="332"/>
        <n v="207"/>
        <n v="307"/>
        <n v="363"/>
        <n v="113"/>
        <n v="53"/>
        <n v="287"/>
        <n v="389"/>
        <n v="376"/>
        <n v="338"/>
        <n v="284"/>
        <n v="49"/>
        <n v="36"/>
        <n v="199"/>
        <n v="176"/>
        <n v="288"/>
        <n v="142"/>
        <n v="291"/>
        <n v="278"/>
        <n v="27"/>
        <n v="214"/>
        <n v="250"/>
        <n v="378"/>
        <n v="143"/>
        <n v="59"/>
        <n v="79"/>
        <n v="271"/>
        <n v="160"/>
        <n v="98"/>
        <n v="222"/>
        <n v="242"/>
        <n v="192"/>
        <n v="43"/>
        <n v="201"/>
        <n v="148"/>
        <n v="130"/>
        <n v="72"/>
        <n v="182"/>
        <n v="325"/>
        <n v="169"/>
        <n v="161"/>
        <n v="204"/>
        <n v="343"/>
        <n v="313"/>
        <n v="330"/>
        <n v="303"/>
        <n v="388"/>
        <n v="26"/>
        <n v="136"/>
        <n v="177"/>
        <n v="223"/>
        <n v="167"/>
        <n v="174"/>
        <n v="352"/>
        <n v="386"/>
        <n v="236"/>
        <n v="326"/>
        <n v="341"/>
        <n v="184"/>
        <n v="318"/>
        <n v="312"/>
        <n v="86"/>
        <n v="24"/>
        <n v="328"/>
        <n v="272"/>
        <n v="13"/>
        <n v="69"/>
        <n v="254"/>
        <n v="286"/>
        <n v="66"/>
        <n v="28"/>
        <n v="228"/>
        <n v="211"/>
        <n v="353"/>
        <n v="231"/>
        <n v="281"/>
        <n v="237"/>
        <n v="131"/>
        <n v="375"/>
        <n v="95"/>
        <n v="357"/>
        <n v="296"/>
        <n v="373"/>
        <n v="315"/>
        <n v="203"/>
        <n v="145"/>
        <n v="283"/>
        <n v="127"/>
        <n v="87"/>
        <n v="304"/>
        <n v="104"/>
        <n v="215"/>
        <n v="151"/>
        <n v="299"/>
        <m/>
      </sharedItems>
    </cacheField>
    <cacheField name="fuel_price_usd" numFmtId="0">
      <sharedItems containsString="0" containsBlank="1" containsNumber="1" minValue="0.97" maxValue="0.97"/>
    </cacheField>
    <cacheField name="gdp_growth_percent" numFmtId="0">
      <sharedItems containsString="0" containsBlank="1" containsNumber="1" minValue="6.29" maxValue="6.29"/>
    </cacheField>
    <cacheField name="interest_rate_percent" numFmtId="0">
      <sharedItems containsString="0" containsBlank="1" containsNumber="1" minValue="1.2" maxValue="1.2"/>
    </cacheField>
    <cacheField name="competition_index" numFmtId="0">
      <sharedItems containsString="0" containsBlank="1" containsNumber="1" containsInteger="1" minValue="1" maxValue="10"/>
    </cacheField>
  </cacheFields>
  <extLst>
    <ext xmlns:x14="http://schemas.microsoft.com/office/spreadsheetml/2009/9/main" uri="{725AE2AE-9491-48be-B2B4-4EB974FC3084}">
      <x14:pivotCacheDefinition pivotCacheId="275579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s v="1"/>
    <x v="0"/>
    <x v="0"/>
    <x v="0"/>
    <x v="0"/>
    <x v="0"/>
    <x v="0"/>
    <x v="0"/>
    <n v="26643816"/>
    <n v="315372"/>
    <n v="26328444"/>
    <x v="0"/>
    <n v="0.97"/>
    <n v="6.29"/>
    <n v="1.2"/>
    <n v="8"/>
  </r>
  <r>
    <x v="1"/>
    <s v="8"/>
    <x v="0"/>
    <x v="1"/>
    <x v="1"/>
    <x v="1"/>
    <x v="1"/>
    <x v="0"/>
    <x v="1"/>
    <n v="45753796"/>
    <n v="447798"/>
    <n v="45305998"/>
    <x v="1"/>
    <n v="0.97"/>
    <n v="6.29"/>
    <n v="1.2"/>
    <n v="7"/>
  </r>
  <r>
    <x v="2"/>
    <s v="12"/>
    <x v="1"/>
    <x v="2"/>
    <x v="2"/>
    <x v="2"/>
    <x v="2"/>
    <x v="1"/>
    <x v="2"/>
    <n v="6170288"/>
    <n v="259755"/>
    <n v="5910533"/>
    <x v="2"/>
    <n v="0.97"/>
    <n v="6.29"/>
    <n v="1.2"/>
    <n v="7"/>
  </r>
  <r>
    <x v="3"/>
    <s v="11"/>
    <x v="0"/>
    <x v="3"/>
    <x v="0"/>
    <x v="1"/>
    <x v="3"/>
    <x v="1"/>
    <x v="3"/>
    <n v="30930830"/>
    <n v="323541"/>
    <n v="30607289"/>
    <x v="3"/>
    <n v="0.97"/>
    <n v="6.29"/>
    <n v="1.2"/>
    <n v="5"/>
  </r>
  <r>
    <x v="0"/>
    <s v="12"/>
    <x v="2"/>
    <x v="4"/>
    <x v="0"/>
    <x v="3"/>
    <x v="4"/>
    <x v="0"/>
    <x v="4"/>
    <n v="95156140"/>
    <n v="482015"/>
    <n v="94674125"/>
    <x v="4"/>
    <n v="0.97"/>
    <n v="6.29"/>
    <n v="1.2"/>
    <n v="2"/>
  </r>
  <r>
    <x v="4"/>
    <s v="12"/>
    <x v="3"/>
    <x v="3"/>
    <x v="2"/>
    <x v="3"/>
    <x v="5"/>
    <x v="0"/>
    <x v="5"/>
    <n v="81453468"/>
    <n v="349155"/>
    <n v="81104313"/>
    <x v="5"/>
    <n v="0.97"/>
    <n v="6.29"/>
    <n v="1.2"/>
    <n v="6"/>
  </r>
  <r>
    <x v="5"/>
    <s v="4"/>
    <x v="1"/>
    <x v="1"/>
    <x v="2"/>
    <x v="3"/>
    <x v="6"/>
    <x v="0"/>
    <x v="6"/>
    <n v="50276914"/>
    <n v="129183"/>
    <n v="50147731"/>
    <x v="6"/>
    <n v="0.97"/>
    <n v="6.29"/>
    <n v="1.2"/>
    <n v="10"/>
  </r>
  <r>
    <x v="0"/>
    <s v="4"/>
    <x v="1"/>
    <x v="5"/>
    <x v="1"/>
    <x v="3"/>
    <x v="7"/>
    <x v="2"/>
    <x v="7"/>
    <n v="25245114"/>
    <n v="405398"/>
    <n v="24839716"/>
    <x v="7"/>
    <n v="0.97"/>
    <n v="6.29"/>
    <n v="1.2"/>
    <n v="3"/>
  </r>
  <r>
    <x v="2"/>
    <s v="5"/>
    <x v="4"/>
    <x v="6"/>
    <x v="1"/>
    <x v="0"/>
    <x v="8"/>
    <x v="1"/>
    <x v="8"/>
    <n v="18326550"/>
    <n v="487480"/>
    <n v="17839070"/>
    <x v="8"/>
    <n v="0.97"/>
    <n v="6.29"/>
    <n v="1.2"/>
    <n v="4"/>
  </r>
  <r>
    <x v="3"/>
    <s v="8"/>
    <x v="5"/>
    <x v="7"/>
    <x v="0"/>
    <x v="0"/>
    <x v="9"/>
    <x v="1"/>
    <x v="9"/>
    <n v="45174240"/>
    <n v="92317"/>
    <n v="45081923"/>
    <x v="9"/>
    <n v="0.97"/>
    <n v="6.29"/>
    <n v="1.2"/>
    <n v="10"/>
  </r>
  <r>
    <x v="1"/>
    <s v="5"/>
    <x v="5"/>
    <x v="2"/>
    <x v="2"/>
    <x v="1"/>
    <x v="10"/>
    <x v="0"/>
    <x v="10"/>
    <n v="41353758"/>
    <n v="228986"/>
    <n v="41124772"/>
    <x v="10"/>
    <n v="0.97"/>
    <n v="6.29"/>
    <n v="1.2"/>
    <n v="2"/>
  </r>
  <r>
    <x v="2"/>
    <s v="8"/>
    <x v="2"/>
    <x v="8"/>
    <x v="2"/>
    <x v="2"/>
    <x v="11"/>
    <x v="0"/>
    <x v="11"/>
    <n v="72498128"/>
    <n v="265705"/>
    <n v="72232423"/>
    <x v="11"/>
    <n v="0.97"/>
    <n v="6.29"/>
    <n v="1.2"/>
    <n v="2"/>
  </r>
  <r>
    <x v="2"/>
    <s v="10"/>
    <x v="6"/>
    <x v="8"/>
    <x v="2"/>
    <x v="3"/>
    <x v="12"/>
    <x v="2"/>
    <x v="12"/>
    <n v="37652696"/>
    <n v="414633"/>
    <n v="37238063"/>
    <x v="12"/>
    <n v="0.97"/>
    <n v="6.29"/>
    <n v="1.2"/>
    <n v="8"/>
  </r>
  <r>
    <x v="5"/>
    <s v="1"/>
    <x v="7"/>
    <x v="8"/>
    <x v="0"/>
    <x v="1"/>
    <x v="13"/>
    <x v="2"/>
    <x v="13"/>
    <n v="92187679"/>
    <n v="226326"/>
    <n v="91961353"/>
    <x v="13"/>
    <n v="0.97"/>
    <n v="6.29"/>
    <n v="1.2"/>
    <n v="8"/>
  </r>
  <r>
    <x v="6"/>
    <s v="12"/>
    <x v="7"/>
    <x v="0"/>
    <x v="2"/>
    <x v="0"/>
    <x v="14"/>
    <x v="0"/>
    <x v="14"/>
    <n v="36556946"/>
    <n v="352240"/>
    <n v="36204706"/>
    <x v="14"/>
    <n v="0.97"/>
    <n v="6.29"/>
    <n v="1.2"/>
    <n v="10"/>
  </r>
  <r>
    <x v="3"/>
    <s v="10"/>
    <x v="8"/>
    <x v="8"/>
    <x v="2"/>
    <x v="0"/>
    <x v="15"/>
    <x v="2"/>
    <x v="15"/>
    <n v="56500700"/>
    <n v="365929"/>
    <n v="56134771"/>
    <x v="15"/>
    <n v="0.97"/>
    <n v="6.29"/>
    <n v="1.2"/>
    <n v="6"/>
  </r>
  <r>
    <x v="7"/>
    <s v="9"/>
    <x v="2"/>
    <x v="7"/>
    <x v="0"/>
    <x v="2"/>
    <x v="16"/>
    <x v="0"/>
    <x v="16"/>
    <n v="56606172"/>
    <n v="102344"/>
    <n v="56503828"/>
    <x v="16"/>
    <n v="0.97"/>
    <n v="6.29"/>
    <n v="1.2"/>
    <n v="5"/>
  </r>
  <r>
    <x v="2"/>
    <s v="6"/>
    <x v="1"/>
    <x v="6"/>
    <x v="1"/>
    <x v="2"/>
    <x v="17"/>
    <x v="0"/>
    <x v="17"/>
    <n v="71474984"/>
    <n v="296060"/>
    <n v="71178924"/>
    <x v="17"/>
    <n v="0.97"/>
    <n v="6.29"/>
    <n v="1.2"/>
    <n v="8"/>
  </r>
  <r>
    <x v="6"/>
    <s v="3"/>
    <x v="2"/>
    <x v="8"/>
    <x v="1"/>
    <x v="2"/>
    <x v="18"/>
    <x v="1"/>
    <x v="18"/>
    <n v="19776690"/>
    <n v="432526"/>
    <n v="19344164"/>
    <x v="18"/>
    <n v="0.97"/>
    <n v="6.29"/>
    <n v="1.2"/>
    <n v="4"/>
  </r>
  <r>
    <x v="7"/>
    <s v="8"/>
    <x v="2"/>
    <x v="3"/>
    <x v="0"/>
    <x v="1"/>
    <x v="19"/>
    <x v="2"/>
    <x v="19"/>
    <n v="76047980"/>
    <n v="249618"/>
    <n v="75798362"/>
    <x v="19"/>
    <n v="0.97"/>
    <n v="6.29"/>
    <n v="1.2"/>
    <n v="4"/>
  </r>
  <r>
    <x v="3"/>
    <s v="9"/>
    <x v="2"/>
    <x v="3"/>
    <x v="2"/>
    <x v="0"/>
    <x v="20"/>
    <x v="2"/>
    <x v="20"/>
    <n v="28419104"/>
    <n v="209484"/>
    <n v="28209620"/>
    <x v="20"/>
    <n v="0.97"/>
    <n v="6.29"/>
    <n v="1.2"/>
    <n v="5"/>
  </r>
  <r>
    <x v="8"/>
    <s v="6"/>
    <x v="5"/>
    <x v="0"/>
    <x v="0"/>
    <x v="0"/>
    <x v="21"/>
    <x v="0"/>
    <x v="21"/>
    <n v="66069225"/>
    <n v="160489"/>
    <n v="65908736"/>
    <x v="21"/>
    <n v="0.97"/>
    <n v="6.29"/>
    <n v="1.2"/>
    <n v="1"/>
  </r>
  <r>
    <x v="4"/>
    <s v="11"/>
    <x v="2"/>
    <x v="7"/>
    <x v="1"/>
    <x v="2"/>
    <x v="22"/>
    <x v="2"/>
    <x v="22"/>
    <n v="61701394"/>
    <n v="494874"/>
    <n v="61206520"/>
    <x v="9"/>
    <n v="0.97"/>
    <n v="6.29"/>
    <n v="1.2"/>
    <n v="1"/>
  </r>
  <r>
    <x v="6"/>
    <s v="7"/>
    <x v="3"/>
    <x v="6"/>
    <x v="1"/>
    <x v="3"/>
    <x v="23"/>
    <x v="2"/>
    <x v="23"/>
    <n v="57836250"/>
    <n v="492765"/>
    <n v="57343485"/>
    <x v="22"/>
    <n v="0.97"/>
    <n v="6.29"/>
    <n v="1.2"/>
    <n v="2"/>
  </r>
  <r>
    <x v="9"/>
    <s v="1"/>
    <x v="7"/>
    <x v="2"/>
    <x v="0"/>
    <x v="2"/>
    <x v="24"/>
    <x v="2"/>
    <x v="24"/>
    <n v="53806350"/>
    <n v="308667"/>
    <n v="53497683"/>
    <x v="23"/>
    <n v="0.97"/>
    <n v="6.29"/>
    <n v="1.2"/>
    <n v="8"/>
  </r>
  <r>
    <x v="8"/>
    <s v="5"/>
    <x v="8"/>
    <x v="1"/>
    <x v="0"/>
    <x v="1"/>
    <x v="25"/>
    <x v="0"/>
    <x v="25"/>
    <n v="1370940"/>
    <n v="61549"/>
    <n v="1309391"/>
    <x v="24"/>
    <n v="0.97"/>
    <n v="6.29"/>
    <n v="1.2"/>
    <n v="7"/>
  </r>
  <r>
    <x v="4"/>
    <s v="5"/>
    <x v="3"/>
    <x v="6"/>
    <x v="1"/>
    <x v="2"/>
    <x v="26"/>
    <x v="1"/>
    <x v="26"/>
    <n v="5171417"/>
    <n v="75739"/>
    <n v="5095678"/>
    <x v="25"/>
    <n v="0.97"/>
    <n v="6.29"/>
    <n v="1.2"/>
    <n v="10"/>
  </r>
  <r>
    <x v="5"/>
    <s v="10"/>
    <x v="8"/>
    <x v="1"/>
    <x v="0"/>
    <x v="2"/>
    <x v="27"/>
    <x v="0"/>
    <x v="27"/>
    <n v="51738821"/>
    <n v="333353"/>
    <n v="51405468"/>
    <x v="26"/>
    <n v="0.97"/>
    <n v="6.29"/>
    <n v="1.2"/>
    <n v="9"/>
  </r>
  <r>
    <x v="0"/>
    <s v="4"/>
    <x v="4"/>
    <x v="5"/>
    <x v="1"/>
    <x v="1"/>
    <x v="28"/>
    <x v="0"/>
    <x v="28"/>
    <n v="93620258"/>
    <n v="157051"/>
    <n v="93463207"/>
    <x v="27"/>
    <n v="0.97"/>
    <n v="6.29"/>
    <n v="1.2"/>
    <n v="5"/>
  </r>
  <r>
    <x v="1"/>
    <s v="6"/>
    <x v="8"/>
    <x v="1"/>
    <x v="0"/>
    <x v="2"/>
    <x v="29"/>
    <x v="0"/>
    <x v="29"/>
    <n v="38911558"/>
    <n v="65116"/>
    <n v="38846442"/>
    <x v="28"/>
    <n v="0.97"/>
    <n v="6.29"/>
    <n v="1.2"/>
    <n v="2"/>
  </r>
  <r>
    <x v="9"/>
    <s v="7"/>
    <x v="7"/>
    <x v="4"/>
    <x v="0"/>
    <x v="0"/>
    <x v="30"/>
    <x v="2"/>
    <x v="30"/>
    <n v="57469458"/>
    <n v="70045"/>
    <n v="57399413"/>
    <x v="29"/>
    <n v="0.97"/>
    <n v="6.29"/>
    <n v="1.2"/>
    <n v="7"/>
  </r>
  <r>
    <x v="5"/>
    <s v="9"/>
    <x v="7"/>
    <x v="3"/>
    <x v="0"/>
    <x v="3"/>
    <x v="31"/>
    <x v="0"/>
    <x v="31"/>
    <n v="18868569"/>
    <n v="469543"/>
    <n v="18399026"/>
    <x v="26"/>
    <n v="0.97"/>
    <n v="6.29"/>
    <n v="1.2"/>
    <n v="8"/>
  </r>
  <r>
    <x v="3"/>
    <s v="1"/>
    <x v="2"/>
    <x v="7"/>
    <x v="1"/>
    <x v="2"/>
    <x v="32"/>
    <x v="0"/>
    <x v="32"/>
    <n v="58339656"/>
    <n v="85709"/>
    <n v="58253947"/>
    <x v="30"/>
    <n v="0.97"/>
    <n v="6.29"/>
    <n v="1.2"/>
    <n v="7"/>
  </r>
  <r>
    <x v="5"/>
    <s v="6"/>
    <x v="9"/>
    <x v="9"/>
    <x v="0"/>
    <x v="1"/>
    <x v="33"/>
    <x v="1"/>
    <x v="33"/>
    <n v="18381806"/>
    <n v="355761"/>
    <n v="18026045"/>
    <x v="31"/>
    <n v="0.97"/>
    <n v="6.29"/>
    <n v="1.2"/>
    <n v="7"/>
  </r>
  <r>
    <x v="0"/>
    <s v="7"/>
    <x v="4"/>
    <x v="0"/>
    <x v="1"/>
    <x v="3"/>
    <x v="34"/>
    <x v="0"/>
    <x v="34"/>
    <n v="19326342"/>
    <n v="207977"/>
    <n v="19118365"/>
    <x v="32"/>
    <n v="0.97"/>
    <n v="6.29"/>
    <n v="1.2"/>
    <n v="5"/>
  </r>
  <r>
    <x v="3"/>
    <s v="3"/>
    <x v="1"/>
    <x v="4"/>
    <x v="1"/>
    <x v="1"/>
    <x v="35"/>
    <x v="2"/>
    <x v="35"/>
    <n v="60121845"/>
    <n v="253675"/>
    <n v="59868170"/>
    <x v="33"/>
    <n v="0.97"/>
    <n v="6.29"/>
    <n v="1.2"/>
    <n v="2"/>
  </r>
  <r>
    <x v="9"/>
    <s v="8"/>
    <x v="0"/>
    <x v="1"/>
    <x v="0"/>
    <x v="3"/>
    <x v="36"/>
    <x v="0"/>
    <x v="36"/>
    <n v="78565905"/>
    <n v="279167"/>
    <n v="78286738"/>
    <x v="34"/>
    <n v="0.97"/>
    <n v="6.29"/>
    <n v="1.2"/>
    <n v="6"/>
  </r>
  <r>
    <x v="0"/>
    <s v="5"/>
    <x v="8"/>
    <x v="8"/>
    <x v="0"/>
    <x v="3"/>
    <x v="37"/>
    <x v="0"/>
    <x v="37"/>
    <n v="29852528"/>
    <n v="431923"/>
    <n v="29420605"/>
    <x v="35"/>
    <n v="0.97"/>
    <n v="6.29"/>
    <n v="1.2"/>
    <n v="4"/>
  </r>
  <r>
    <x v="7"/>
    <s v="9"/>
    <x v="9"/>
    <x v="7"/>
    <x v="1"/>
    <x v="2"/>
    <x v="38"/>
    <x v="0"/>
    <x v="38"/>
    <n v="86498574"/>
    <n v="355063"/>
    <n v="86143511"/>
    <x v="36"/>
    <n v="0.97"/>
    <n v="6.29"/>
    <n v="1.2"/>
    <n v="10"/>
  </r>
  <r>
    <x v="1"/>
    <s v="5"/>
    <x v="2"/>
    <x v="4"/>
    <x v="1"/>
    <x v="0"/>
    <x v="39"/>
    <x v="0"/>
    <x v="39"/>
    <n v="76633585"/>
    <n v="395665"/>
    <n v="76237920"/>
    <x v="37"/>
    <n v="0.97"/>
    <n v="6.29"/>
    <n v="1.2"/>
    <n v="2"/>
  </r>
  <r>
    <x v="9"/>
    <s v="9"/>
    <x v="5"/>
    <x v="0"/>
    <x v="2"/>
    <x v="2"/>
    <x v="40"/>
    <x v="0"/>
    <x v="40"/>
    <n v="45439260"/>
    <n v="269222"/>
    <n v="45170038"/>
    <x v="38"/>
    <n v="0.97"/>
    <n v="6.29"/>
    <n v="1.2"/>
    <n v="9"/>
  </r>
  <r>
    <x v="7"/>
    <s v="10"/>
    <x v="1"/>
    <x v="3"/>
    <x v="1"/>
    <x v="1"/>
    <x v="41"/>
    <x v="2"/>
    <x v="41"/>
    <n v="42045033"/>
    <n v="239518"/>
    <n v="41805515"/>
    <x v="39"/>
    <n v="0.97"/>
    <n v="6.29"/>
    <n v="1.2"/>
    <n v="7"/>
  </r>
  <r>
    <x v="4"/>
    <s v="4"/>
    <x v="6"/>
    <x v="7"/>
    <x v="2"/>
    <x v="1"/>
    <x v="42"/>
    <x v="1"/>
    <x v="42"/>
    <n v="17090073"/>
    <n v="233500"/>
    <n v="16856573"/>
    <x v="40"/>
    <n v="0.97"/>
    <n v="6.29"/>
    <n v="1.2"/>
    <n v="6"/>
  </r>
  <r>
    <x v="9"/>
    <s v="9"/>
    <x v="9"/>
    <x v="0"/>
    <x v="2"/>
    <x v="3"/>
    <x v="43"/>
    <x v="0"/>
    <x v="43"/>
    <n v="78105743"/>
    <n v="491110"/>
    <n v="77614633"/>
    <x v="41"/>
    <n v="0.97"/>
    <n v="6.29"/>
    <n v="1.2"/>
    <n v="5"/>
  </r>
  <r>
    <x v="4"/>
    <s v="5"/>
    <x v="5"/>
    <x v="5"/>
    <x v="2"/>
    <x v="3"/>
    <x v="44"/>
    <x v="0"/>
    <x v="44"/>
    <n v="106338232"/>
    <n v="318591"/>
    <n v="106019641"/>
    <x v="42"/>
    <n v="0.97"/>
    <n v="6.29"/>
    <n v="1.2"/>
    <n v="3"/>
  </r>
  <r>
    <x v="3"/>
    <s v="10"/>
    <x v="4"/>
    <x v="5"/>
    <x v="0"/>
    <x v="0"/>
    <x v="45"/>
    <x v="0"/>
    <x v="45"/>
    <n v="34689522"/>
    <n v="55499"/>
    <n v="34634023"/>
    <x v="43"/>
    <n v="0.97"/>
    <n v="6.29"/>
    <n v="1.2"/>
    <n v="10"/>
  </r>
  <r>
    <x v="7"/>
    <s v="9"/>
    <x v="2"/>
    <x v="0"/>
    <x v="0"/>
    <x v="2"/>
    <x v="46"/>
    <x v="0"/>
    <x v="46"/>
    <n v="45175284"/>
    <n v="89041"/>
    <n v="45086243"/>
    <x v="35"/>
    <n v="0.97"/>
    <n v="6.29"/>
    <n v="1.2"/>
    <n v="10"/>
  </r>
  <r>
    <x v="1"/>
    <s v="3"/>
    <x v="1"/>
    <x v="4"/>
    <x v="1"/>
    <x v="1"/>
    <x v="47"/>
    <x v="1"/>
    <x v="47"/>
    <n v="10713375"/>
    <n v="343459"/>
    <n v="10369916"/>
    <x v="44"/>
    <n v="0.97"/>
    <n v="6.29"/>
    <n v="1.2"/>
    <n v="4"/>
  </r>
  <r>
    <x v="0"/>
    <s v="4"/>
    <x v="1"/>
    <x v="7"/>
    <x v="2"/>
    <x v="3"/>
    <x v="48"/>
    <x v="1"/>
    <x v="48"/>
    <n v="36174272"/>
    <n v="182371"/>
    <n v="35991901"/>
    <x v="45"/>
    <n v="0.97"/>
    <n v="6.29"/>
    <n v="1.2"/>
    <n v="3"/>
  </r>
  <r>
    <x v="2"/>
    <s v="9"/>
    <x v="1"/>
    <x v="4"/>
    <x v="0"/>
    <x v="0"/>
    <x v="49"/>
    <x v="2"/>
    <x v="49"/>
    <n v="31306996"/>
    <n v="432650"/>
    <n v="30874346"/>
    <x v="46"/>
    <n v="0.97"/>
    <n v="6.29"/>
    <n v="1.2"/>
    <n v="8"/>
  </r>
  <r>
    <x v="5"/>
    <s v="10"/>
    <x v="4"/>
    <x v="2"/>
    <x v="0"/>
    <x v="1"/>
    <x v="50"/>
    <x v="0"/>
    <x v="50"/>
    <n v="42442302"/>
    <n v="186066"/>
    <n v="42256236"/>
    <x v="47"/>
    <n v="0.97"/>
    <n v="6.29"/>
    <n v="1.2"/>
    <n v="3"/>
  </r>
  <r>
    <x v="8"/>
    <s v="11"/>
    <x v="8"/>
    <x v="1"/>
    <x v="0"/>
    <x v="3"/>
    <x v="51"/>
    <x v="0"/>
    <x v="51"/>
    <n v="115543095"/>
    <n v="276486"/>
    <n v="115266609"/>
    <x v="4"/>
    <n v="0.97"/>
    <n v="6.29"/>
    <n v="1.2"/>
    <n v="7"/>
  </r>
  <r>
    <x v="1"/>
    <s v="6"/>
    <x v="6"/>
    <x v="2"/>
    <x v="0"/>
    <x v="1"/>
    <x v="52"/>
    <x v="2"/>
    <x v="52"/>
    <n v="37851534"/>
    <n v="262235"/>
    <n v="37589299"/>
    <x v="48"/>
    <n v="0.97"/>
    <n v="6.29"/>
    <n v="1.2"/>
    <n v="7"/>
  </r>
  <r>
    <x v="7"/>
    <s v="2"/>
    <x v="4"/>
    <x v="5"/>
    <x v="0"/>
    <x v="0"/>
    <x v="53"/>
    <x v="0"/>
    <x v="53"/>
    <n v="17615976"/>
    <n v="307831"/>
    <n v="17308145"/>
    <x v="49"/>
    <n v="0.97"/>
    <n v="6.29"/>
    <n v="1.2"/>
    <n v="7"/>
  </r>
  <r>
    <x v="2"/>
    <s v="7"/>
    <x v="0"/>
    <x v="3"/>
    <x v="2"/>
    <x v="0"/>
    <x v="54"/>
    <x v="0"/>
    <x v="54"/>
    <n v="22215645"/>
    <n v="450705"/>
    <n v="21764940"/>
    <x v="40"/>
    <n v="0.97"/>
    <n v="6.29"/>
    <n v="1.2"/>
    <n v="7"/>
  </r>
  <r>
    <x v="1"/>
    <s v="2"/>
    <x v="6"/>
    <x v="6"/>
    <x v="2"/>
    <x v="1"/>
    <x v="55"/>
    <x v="1"/>
    <x v="18"/>
    <n v="19700862"/>
    <n v="403791"/>
    <n v="19297071"/>
    <x v="50"/>
    <n v="0.97"/>
    <n v="6.29"/>
    <n v="1.2"/>
    <n v="2"/>
  </r>
  <r>
    <x v="7"/>
    <s v="11"/>
    <x v="7"/>
    <x v="1"/>
    <x v="2"/>
    <x v="2"/>
    <x v="56"/>
    <x v="2"/>
    <x v="55"/>
    <n v="37901194"/>
    <n v="344499"/>
    <n v="37556695"/>
    <x v="51"/>
    <n v="0.97"/>
    <n v="6.29"/>
    <n v="1.2"/>
    <n v="10"/>
  </r>
  <r>
    <x v="6"/>
    <s v="2"/>
    <x v="2"/>
    <x v="5"/>
    <x v="2"/>
    <x v="1"/>
    <x v="57"/>
    <x v="2"/>
    <x v="56"/>
    <n v="22155208"/>
    <n v="385949"/>
    <n v="21769259"/>
    <x v="52"/>
    <n v="0.97"/>
    <n v="6.29"/>
    <n v="1.2"/>
    <n v="3"/>
  </r>
  <r>
    <x v="6"/>
    <s v="11"/>
    <x v="4"/>
    <x v="4"/>
    <x v="1"/>
    <x v="3"/>
    <x v="58"/>
    <x v="0"/>
    <x v="57"/>
    <n v="55619190"/>
    <n v="380511"/>
    <n v="55238679"/>
    <x v="53"/>
    <n v="0.97"/>
    <n v="6.29"/>
    <n v="1.2"/>
    <n v="10"/>
  </r>
  <r>
    <x v="4"/>
    <s v="1"/>
    <x v="5"/>
    <x v="4"/>
    <x v="2"/>
    <x v="2"/>
    <x v="59"/>
    <x v="2"/>
    <x v="58"/>
    <n v="39379392"/>
    <n v="422050"/>
    <n v="38957342"/>
    <x v="54"/>
    <n v="0.97"/>
    <n v="6.29"/>
    <n v="1.2"/>
    <n v="9"/>
  </r>
  <r>
    <x v="1"/>
    <s v="11"/>
    <x v="6"/>
    <x v="4"/>
    <x v="0"/>
    <x v="3"/>
    <x v="60"/>
    <x v="2"/>
    <x v="18"/>
    <n v="30010266"/>
    <n v="429553"/>
    <n v="29580713"/>
    <x v="55"/>
    <n v="0.97"/>
    <n v="6.29"/>
    <n v="1.2"/>
    <n v="3"/>
  </r>
  <r>
    <x v="6"/>
    <s v="11"/>
    <x v="0"/>
    <x v="3"/>
    <x v="2"/>
    <x v="1"/>
    <x v="61"/>
    <x v="0"/>
    <x v="59"/>
    <n v="49525584"/>
    <n v="389499"/>
    <n v="49136085"/>
    <x v="56"/>
    <n v="0.97"/>
    <n v="6.29"/>
    <n v="1.2"/>
    <n v="2"/>
  </r>
  <r>
    <x v="7"/>
    <s v="12"/>
    <x v="7"/>
    <x v="2"/>
    <x v="1"/>
    <x v="2"/>
    <x v="62"/>
    <x v="0"/>
    <x v="60"/>
    <n v="99214680"/>
    <n v="166220"/>
    <n v="99048460"/>
    <x v="57"/>
    <n v="0.97"/>
    <n v="6.29"/>
    <n v="1.2"/>
    <n v="9"/>
  </r>
  <r>
    <x v="4"/>
    <s v="11"/>
    <x v="8"/>
    <x v="6"/>
    <x v="0"/>
    <x v="3"/>
    <x v="63"/>
    <x v="2"/>
    <x v="61"/>
    <n v="24848940"/>
    <n v="271421"/>
    <n v="24577519"/>
    <x v="58"/>
    <n v="0.97"/>
    <n v="6.29"/>
    <n v="1.2"/>
    <n v="10"/>
  </r>
  <r>
    <x v="7"/>
    <s v="3"/>
    <x v="5"/>
    <x v="4"/>
    <x v="2"/>
    <x v="1"/>
    <x v="64"/>
    <x v="2"/>
    <x v="62"/>
    <n v="33193839"/>
    <n v="399317"/>
    <n v="32794522"/>
    <x v="59"/>
    <n v="0.97"/>
    <n v="6.29"/>
    <n v="1.2"/>
    <n v="9"/>
  </r>
  <r>
    <x v="4"/>
    <s v="6"/>
    <x v="6"/>
    <x v="9"/>
    <x v="2"/>
    <x v="1"/>
    <x v="65"/>
    <x v="2"/>
    <x v="14"/>
    <n v="19626817"/>
    <n v="314140"/>
    <n v="19312677"/>
    <x v="60"/>
    <n v="0.97"/>
    <n v="6.29"/>
    <n v="1.2"/>
    <n v="4"/>
  </r>
  <r>
    <x v="1"/>
    <s v="8"/>
    <x v="2"/>
    <x v="1"/>
    <x v="2"/>
    <x v="2"/>
    <x v="66"/>
    <x v="1"/>
    <x v="63"/>
    <n v="42119790"/>
    <n v="301071"/>
    <n v="41818719"/>
    <x v="61"/>
    <n v="0.97"/>
    <n v="6.29"/>
    <n v="1.2"/>
    <n v="9"/>
  </r>
  <r>
    <x v="2"/>
    <s v="9"/>
    <x v="5"/>
    <x v="7"/>
    <x v="0"/>
    <x v="1"/>
    <x v="67"/>
    <x v="2"/>
    <x v="64"/>
    <n v="28833231"/>
    <n v="356531"/>
    <n v="28476700"/>
    <x v="62"/>
    <n v="0.97"/>
    <n v="6.29"/>
    <n v="1.2"/>
    <n v="3"/>
  </r>
  <r>
    <x v="0"/>
    <s v="7"/>
    <x v="7"/>
    <x v="9"/>
    <x v="0"/>
    <x v="0"/>
    <x v="68"/>
    <x v="0"/>
    <x v="59"/>
    <n v="52039734"/>
    <n v="53089"/>
    <n v="51986645"/>
    <x v="63"/>
    <n v="0.97"/>
    <n v="6.29"/>
    <n v="1.2"/>
    <n v="7"/>
  </r>
  <r>
    <x v="9"/>
    <s v="4"/>
    <x v="5"/>
    <x v="6"/>
    <x v="1"/>
    <x v="3"/>
    <x v="69"/>
    <x v="0"/>
    <x v="65"/>
    <n v="136232390"/>
    <n v="410971"/>
    <n v="135821419"/>
    <x v="64"/>
    <n v="0.97"/>
    <n v="6.29"/>
    <n v="1.2"/>
    <n v="7"/>
  </r>
  <r>
    <x v="2"/>
    <s v="6"/>
    <x v="3"/>
    <x v="3"/>
    <x v="0"/>
    <x v="3"/>
    <x v="70"/>
    <x v="0"/>
    <x v="66"/>
    <n v="94269406"/>
    <n v="332803"/>
    <n v="93936603"/>
    <x v="65"/>
    <n v="0.97"/>
    <n v="6.29"/>
    <n v="1.2"/>
    <n v="8"/>
  </r>
  <r>
    <x v="3"/>
    <s v="5"/>
    <x v="9"/>
    <x v="6"/>
    <x v="0"/>
    <x v="1"/>
    <x v="71"/>
    <x v="2"/>
    <x v="67"/>
    <n v="7620561"/>
    <n v="357322"/>
    <n v="7263239"/>
    <x v="66"/>
    <n v="0.97"/>
    <n v="6.29"/>
    <n v="1.2"/>
    <n v="10"/>
  </r>
  <r>
    <x v="7"/>
    <s v="8"/>
    <x v="8"/>
    <x v="7"/>
    <x v="2"/>
    <x v="1"/>
    <x v="72"/>
    <x v="2"/>
    <x v="68"/>
    <n v="32142936"/>
    <n v="145965"/>
    <n v="31996971"/>
    <x v="67"/>
    <n v="0.97"/>
    <n v="6.29"/>
    <n v="1.2"/>
    <n v="4"/>
  </r>
  <r>
    <x v="3"/>
    <s v="1"/>
    <x v="7"/>
    <x v="1"/>
    <x v="0"/>
    <x v="0"/>
    <x v="73"/>
    <x v="2"/>
    <x v="69"/>
    <n v="46039750"/>
    <n v="131268"/>
    <n v="45908482"/>
    <x v="68"/>
    <n v="0.97"/>
    <n v="6.29"/>
    <n v="1.2"/>
    <n v="3"/>
  </r>
  <r>
    <x v="2"/>
    <s v="1"/>
    <x v="5"/>
    <x v="7"/>
    <x v="2"/>
    <x v="2"/>
    <x v="74"/>
    <x v="0"/>
    <x v="70"/>
    <n v="30593160"/>
    <n v="397186"/>
    <n v="30195974"/>
    <x v="69"/>
    <n v="0.97"/>
    <n v="6.29"/>
    <n v="1.2"/>
    <n v="3"/>
  </r>
  <r>
    <x v="4"/>
    <s v="11"/>
    <x v="9"/>
    <x v="0"/>
    <x v="2"/>
    <x v="1"/>
    <x v="75"/>
    <x v="0"/>
    <x v="71"/>
    <n v="103311440"/>
    <n v="418615"/>
    <n v="102892825"/>
    <x v="70"/>
    <n v="0.97"/>
    <n v="6.29"/>
    <n v="1.2"/>
    <n v="5"/>
  </r>
  <r>
    <x v="9"/>
    <s v="6"/>
    <x v="9"/>
    <x v="1"/>
    <x v="0"/>
    <x v="1"/>
    <x v="76"/>
    <x v="1"/>
    <x v="72"/>
    <n v="26831541"/>
    <n v="251798"/>
    <n v="26579743"/>
    <x v="71"/>
    <n v="0.97"/>
    <n v="6.29"/>
    <n v="1.2"/>
    <n v="1"/>
  </r>
  <r>
    <x v="9"/>
    <s v="10"/>
    <x v="5"/>
    <x v="6"/>
    <x v="1"/>
    <x v="1"/>
    <x v="77"/>
    <x v="2"/>
    <x v="73"/>
    <n v="19352480"/>
    <n v="382255"/>
    <n v="18970225"/>
    <x v="72"/>
    <n v="0.97"/>
    <n v="6.29"/>
    <n v="1.2"/>
    <n v="10"/>
  </r>
  <r>
    <x v="8"/>
    <s v="12"/>
    <x v="2"/>
    <x v="4"/>
    <x v="1"/>
    <x v="1"/>
    <x v="78"/>
    <x v="0"/>
    <x v="74"/>
    <n v="43382472"/>
    <n v="287103"/>
    <n v="43095369"/>
    <x v="73"/>
    <n v="0.97"/>
    <n v="6.29"/>
    <n v="1.2"/>
    <n v="3"/>
  </r>
  <r>
    <x v="9"/>
    <s v="2"/>
    <x v="3"/>
    <x v="6"/>
    <x v="0"/>
    <x v="3"/>
    <x v="79"/>
    <x v="1"/>
    <x v="75"/>
    <n v="29027528"/>
    <n v="294754"/>
    <n v="28732774"/>
    <x v="74"/>
    <n v="0.97"/>
    <n v="6.29"/>
    <n v="1.2"/>
    <n v="6"/>
  </r>
  <r>
    <x v="0"/>
    <s v="5"/>
    <x v="4"/>
    <x v="6"/>
    <x v="1"/>
    <x v="1"/>
    <x v="80"/>
    <x v="0"/>
    <x v="76"/>
    <n v="74878609"/>
    <n v="215637"/>
    <n v="74662972"/>
    <x v="75"/>
    <n v="0.97"/>
    <n v="6.29"/>
    <n v="1.2"/>
    <n v="3"/>
  </r>
  <r>
    <x v="9"/>
    <s v="1"/>
    <x v="3"/>
    <x v="1"/>
    <x v="2"/>
    <x v="3"/>
    <x v="81"/>
    <x v="2"/>
    <x v="77"/>
    <n v="37755025"/>
    <n v="412579"/>
    <n v="37342446"/>
    <x v="76"/>
    <n v="0.97"/>
    <n v="6.29"/>
    <n v="1.2"/>
    <n v="5"/>
  </r>
  <r>
    <x v="2"/>
    <s v="7"/>
    <x v="5"/>
    <x v="0"/>
    <x v="2"/>
    <x v="1"/>
    <x v="82"/>
    <x v="2"/>
    <x v="78"/>
    <n v="33836964"/>
    <n v="139242"/>
    <n v="33697722"/>
    <x v="77"/>
    <n v="0.97"/>
    <n v="6.29"/>
    <n v="1.2"/>
    <n v="9"/>
  </r>
  <r>
    <x v="8"/>
    <s v="1"/>
    <x v="8"/>
    <x v="6"/>
    <x v="0"/>
    <x v="2"/>
    <x v="83"/>
    <x v="2"/>
    <x v="79"/>
    <n v="39413862"/>
    <n v="425348"/>
    <n v="38988514"/>
    <x v="20"/>
    <n v="0.97"/>
    <n v="6.29"/>
    <n v="1.2"/>
    <n v="2"/>
  </r>
  <r>
    <x v="2"/>
    <s v="4"/>
    <x v="4"/>
    <x v="9"/>
    <x v="1"/>
    <x v="0"/>
    <x v="84"/>
    <x v="2"/>
    <x v="80"/>
    <n v="18506880"/>
    <n v="203956"/>
    <n v="18302924"/>
    <x v="78"/>
    <n v="0.97"/>
    <n v="6.29"/>
    <n v="1.2"/>
    <n v="2"/>
  </r>
  <r>
    <x v="2"/>
    <s v="9"/>
    <x v="7"/>
    <x v="5"/>
    <x v="1"/>
    <x v="2"/>
    <x v="85"/>
    <x v="0"/>
    <x v="81"/>
    <n v="50632974"/>
    <n v="329343"/>
    <n v="50303631"/>
    <x v="79"/>
    <n v="0.97"/>
    <n v="6.29"/>
    <n v="1.2"/>
    <n v="6"/>
  </r>
  <r>
    <x v="5"/>
    <s v="1"/>
    <x v="3"/>
    <x v="8"/>
    <x v="2"/>
    <x v="1"/>
    <x v="86"/>
    <x v="0"/>
    <x v="82"/>
    <n v="66536198"/>
    <n v="110038"/>
    <n v="66426160"/>
    <x v="80"/>
    <n v="0.97"/>
    <n v="6.29"/>
    <n v="1.2"/>
    <n v="6"/>
  </r>
  <r>
    <x v="8"/>
    <s v="4"/>
    <x v="5"/>
    <x v="8"/>
    <x v="0"/>
    <x v="1"/>
    <x v="87"/>
    <x v="2"/>
    <x v="83"/>
    <n v="35455719"/>
    <n v="107786"/>
    <n v="35347933"/>
    <x v="55"/>
    <n v="0.97"/>
    <n v="6.29"/>
    <n v="1.2"/>
    <n v="8"/>
  </r>
  <r>
    <x v="2"/>
    <s v="6"/>
    <x v="3"/>
    <x v="6"/>
    <x v="1"/>
    <x v="1"/>
    <x v="88"/>
    <x v="2"/>
    <x v="84"/>
    <n v="39306085"/>
    <n v="421780"/>
    <n v="38884305"/>
    <x v="81"/>
    <n v="0.97"/>
    <n v="6.29"/>
    <n v="1.2"/>
    <n v="2"/>
  </r>
  <r>
    <x v="5"/>
    <s v="6"/>
    <x v="4"/>
    <x v="9"/>
    <x v="0"/>
    <x v="2"/>
    <x v="89"/>
    <x v="2"/>
    <x v="85"/>
    <n v="35607864"/>
    <n v="286042"/>
    <n v="35321822"/>
    <x v="82"/>
    <n v="0.97"/>
    <n v="6.29"/>
    <n v="1.2"/>
    <n v="9"/>
  </r>
  <r>
    <x v="5"/>
    <s v="12"/>
    <x v="0"/>
    <x v="4"/>
    <x v="1"/>
    <x v="1"/>
    <x v="90"/>
    <x v="2"/>
    <x v="86"/>
    <n v="46166808"/>
    <n v="361438"/>
    <n v="45805370"/>
    <x v="83"/>
    <n v="0.97"/>
    <n v="6.29"/>
    <n v="1.2"/>
    <n v="2"/>
  </r>
  <r>
    <x v="8"/>
    <s v="8"/>
    <x v="6"/>
    <x v="3"/>
    <x v="2"/>
    <x v="2"/>
    <x v="91"/>
    <x v="1"/>
    <x v="87"/>
    <n v="27869496"/>
    <n v="259087"/>
    <n v="27610409"/>
    <x v="84"/>
    <n v="0.97"/>
    <n v="6.29"/>
    <n v="1.2"/>
    <n v="1"/>
  </r>
  <r>
    <x v="3"/>
    <s v="1"/>
    <x v="3"/>
    <x v="3"/>
    <x v="2"/>
    <x v="3"/>
    <x v="92"/>
    <x v="1"/>
    <x v="88"/>
    <n v="52582582"/>
    <n v="215250"/>
    <n v="52367332"/>
    <x v="85"/>
    <n v="0.97"/>
    <n v="6.29"/>
    <n v="1.2"/>
    <n v="10"/>
  </r>
  <r>
    <x v="4"/>
    <s v="7"/>
    <x v="7"/>
    <x v="1"/>
    <x v="0"/>
    <x v="0"/>
    <x v="93"/>
    <x v="1"/>
    <x v="89"/>
    <n v="31308966"/>
    <n v="455881"/>
    <n v="30853085"/>
    <x v="86"/>
    <n v="0.97"/>
    <n v="6.29"/>
    <n v="1.2"/>
    <n v="2"/>
  </r>
  <r>
    <x v="0"/>
    <s v="1"/>
    <x v="7"/>
    <x v="8"/>
    <x v="2"/>
    <x v="0"/>
    <x v="94"/>
    <x v="1"/>
    <x v="90"/>
    <n v="29418256"/>
    <n v="312678"/>
    <n v="29105578"/>
    <x v="87"/>
    <n v="0.97"/>
    <n v="6.29"/>
    <n v="1.2"/>
    <n v="7"/>
  </r>
  <r>
    <x v="4"/>
    <s v="7"/>
    <x v="1"/>
    <x v="6"/>
    <x v="1"/>
    <x v="2"/>
    <x v="95"/>
    <x v="2"/>
    <x v="91"/>
    <n v="31618428"/>
    <n v="403972"/>
    <n v="31214456"/>
    <x v="20"/>
    <n v="0.97"/>
    <n v="6.29"/>
    <n v="1.2"/>
    <n v="8"/>
  </r>
  <r>
    <x v="9"/>
    <s v="3"/>
    <x v="3"/>
    <x v="3"/>
    <x v="2"/>
    <x v="3"/>
    <x v="96"/>
    <x v="2"/>
    <x v="92"/>
    <n v="59485580"/>
    <n v="348276"/>
    <n v="59137304"/>
    <x v="88"/>
    <n v="0.97"/>
    <n v="6.29"/>
    <n v="1.2"/>
    <n v="5"/>
  </r>
  <r>
    <x v="0"/>
    <s v="11"/>
    <x v="6"/>
    <x v="6"/>
    <x v="0"/>
    <x v="2"/>
    <x v="97"/>
    <x v="0"/>
    <x v="93"/>
    <n v="67570650"/>
    <n v="427864"/>
    <n v="67142786"/>
    <x v="77"/>
    <n v="0.97"/>
    <n v="6.29"/>
    <n v="1.2"/>
    <n v="6"/>
  </r>
  <r>
    <x v="9"/>
    <s v="8"/>
    <x v="2"/>
    <x v="1"/>
    <x v="0"/>
    <x v="3"/>
    <x v="98"/>
    <x v="0"/>
    <x v="94"/>
    <n v="84294665"/>
    <n v="348254"/>
    <n v="83946411"/>
    <x v="89"/>
    <n v="0.97"/>
    <n v="6.29"/>
    <n v="1.2"/>
    <n v="1"/>
  </r>
  <r>
    <x v="2"/>
    <s v="3"/>
    <x v="9"/>
    <x v="8"/>
    <x v="0"/>
    <x v="1"/>
    <x v="99"/>
    <x v="2"/>
    <x v="95"/>
    <n v="67058640"/>
    <n v="239826"/>
    <n v="66818814"/>
    <x v="90"/>
    <n v="0.97"/>
    <n v="6.29"/>
    <n v="1.2"/>
    <n v="6"/>
  </r>
  <r>
    <x v="7"/>
    <s v="1"/>
    <x v="6"/>
    <x v="7"/>
    <x v="1"/>
    <x v="3"/>
    <x v="100"/>
    <x v="2"/>
    <x v="96"/>
    <n v="6008100"/>
    <n v="375724"/>
    <n v="5632376"/>
    <x v="91"/>
    <n v="0.97"/>
    <n v="6.29"/>
    <n v="1.2"/>
    <n v="8"/>
  </r>
  <r>
    <x v="8"/>
    <s v="8"/>
    <x v="9"/>
    <x v="5"/>
    <x v="1"/>
    <x v="3"/>
    <x v="101"/>
    <x v="0"/>
    <x v="97"/>
    <n v="43684311"/>
    <n v="465685"/>
    <n v="43218626"/>
    <x v="92"/>
    <n v="0.97"/>
    <n v="6.29"/>
    <n v="1.2"/>
    <n v="3"/>
  </r>
  <r>
    <x v="0"/>
    <s v="3"/>
    <x v="9"/>
    <x v="5"/>
    <x v="1"/>
    <x v="3"/>
    <x v="102"/>
    <x v="1"/>
    <x v="98"/>
    <n v="43754400"/>
    <n v="376160"/>
    <n v="43378240"/>
    <x v="93"/>
    <n v="0.97"/>
    <n v="6.29"/>
    <n v="1.2"/>
    <n v="1"/>
  </r>
  <r>
    <x v="0"/>
    <s v="2"/>
    <x v="0"/>
    <x v="3"/>
    <x v="1"/>
    <x v="0"/>
    <x v="103"/>
    <x v="0"/>
    <x v="36"/>
    <n v="63810960"/>
    <n v="96233"/>
    <n v="63714727"/>
    <x v="94"/>
    <n v="0.97"/>
    <n v="6.29"/>
    <n v="1.2"/>
    <n v="4"/>
  </r>
  <r>
    <x v="2"/>
    <s v="1"/>
    <x v="1"/>
    <x v="5"/>
    <x v="1"/>
    <x v="3"/>
    <x v="104"/>
    <x v="0"/>
    <x v="99"/>
    <n v="86943123"/>
    <n v="442007"/>
    <n v="86501116"/>
    <x v="95"/>
    <n v="0.97"/>
    <n v="6.29"/>
    <n v="1.2"/>
    <n v="1"/>
  </r>
  <r>
    <x v="3"/>
    <s v="3"/>
    <x v="6"/>
    <x v="7"/>
    <x v="2"/>
    <x v="1"/>
    <x v="105"/>
    <x v="2"/>
    <x v="100"/>
    <n v="51213456"/>
    <n v="247780"/>
    <n v="50965676"/>
    <x v="58"/>
    <n v="0.97"/>
    <n v="6.29"/>
    <n v="1.2"/>
    <n v="8"/>
  </r>
  <r>
    <x v="5"/>
    <s v="2"/>
    <x v="6"/>
    <x v="6"/>
    <x v="1"/>
    <x v="1"/>
    <x v="106"/>
    <x v="2"/>
    <x v="74"/>
    <n v="33712308"/>
    <n v="274522"/>
    <n v="33437786"/>
    <x v="96"/>
    <n v="0.97"/>
    <n v="6.29"/>
    <n v="1.2"/>
    <n v="5"/>
  </r>
  <r>
    <x v="2"/>
    <s v="2"/>
    <x v="0"/>
    <x v="1"/>
    <x v="1"/>
    <x v="1"/>
    <x v="107"/>
    <x v="2"/>
    <x v="101"/>
    <n v="60322112"/>
    <n v="156311"/>
    <n v="60165801"/>
    <x v="97"/>
    <n v="0.97"/>
    <n v="6.29"/>
    <n v="1.2"/>
    <n v="1"/>
  </r>
  <r>
    <x v="6"/>
    <s v="6"/>
    <x v="3"/>
    <x v="7"/>
    <x v="2"/>
    <x v="3"/>
    <x v="108"/>
    <x v="2"/>
    <x v="102"/>
    <n v="38275328"/>
    <n v="84409"/>
    <n v="38190919"/>
    <x v="96"/>
    <n v="0.97"/>
    <n v="6.29"/>
    <n v="1.2"/>
    <n v="8"/>
  </r>
  <r>
    <x v="5"/>
    <s v="12"/>
    <x v="3"/>
    <x v="1"/>
    <x v="1"/>
    <x v="2"/>
    <x v="109"/>
    <x v="2"/>
    <x v="103"/>
    <n v="45376709"/>
    <n v="296231"/>
    <n v="45080478"/>
    <x v="98"/>
    <n v="0.97"/>
    <n v="6.29"/>
    <n v="1.2"/>
    <n v="9"/>
  </r>
  <r>
    <x v="8"/>
    <s v="1"/>
    <x v="3"/>
    <x v="1"/>
    <x v="0"/>
    <x v="2"/>
    <x v="110"/>
    <x v="0"/>
    <x v="37"/>
    <n v="43565312"/>
    <n v="462540"/>
    <n v="43102772"/>
    <x v="25"/>
    <n v="0.97"/>
    <n v="6.29"/>
    <n v="1.2"/>
    <n v="10"/>
  </r>
  <r>
    <x v="5"/>
    <s v="2"/>
    <x v="8"/>
    <x v="8"/>
    <x v="1"/>
    <x v="1"/>
    <x v="111"/>
    <x v="1"/>
    <x v="104"/>
    <n v="35637730"/>
    <n v="451954"/>
    <n v="35185776"/>
    <x v="33"/>
    <n v="0.97"/>
    <n v="6.29"/>
    <n v="1.2"/>
    <n v="2"/>
  </r>
  <r>
    <x v="3"/>
    <s v="6"/>
    <x v="9"/>
    <x v="6"/>
    <x v="1"/>
    <x v="0"/>
    <x v="112"/>
    <x v="0"/>
    <x v="105"/>
    <n v="15524148"/>
    <n v="336198"/>
    <n v="15187950"/>
    <x v="99"/>
    <n v="0.97"/>
    <n v="6.29"/>
    <n v="1.2"/>
    <n v="9"/>
  </r>
  <r>
    <x v="5"/>
    <s v="3"/>
    <x v="8"/>
    <x v="9"/>
    <x v="0"/>
    <x v="2"/>
    <x v="113"/>
    <x v="1"/>
    <x v="106"/>
    <n v="40701306"/>
    <n v="79709"/>
    <n v="40621597"/>
    <x v="100"/>
    <n v="0.97"/>
    <n v="6.29"/>
    <n v="1.2"/>
    <n v="8"/>
  </r>
  <r>
    <x v="8"/>
    <s v="4"/>
    <x v="1"/>
    <x v="5"/>
    <x v="0"/>
    <x v="3"/>
    <x v="114"/>
    <x v="1"/>
    <x v="107"/>
    <n v="29874038"/>
    <n v="159321"/>
    <n v="29714717"/>
    <x v="101"/>
    <n v="0.97"/>
    <n v="6.29"/>
    <n v="1.2"/>
    <n v="7"/>
  </r>
  <r>
    <x v="3"/>
    <s v="1"/>
    <x v="0"/>
    <x v="9"/>
    <x v="0"/>
    <x v="2"/>
    <x v="115"/>
    <x v="2"/>
    <x v="108"/>
    <n v="60307010"/>
    <n v="50363"/>
    <n v="60256647"/>
    <x v="102"/>
    <n v="0.97"/>
    <n v="6.29"/>
    <n v="1.2"/>
    <n v="3"/>
  </r>
  <r>
    <x v="4"/>
    <s v="8"/>
    <x v="6"/>
    <x v="8"/>
    <x v="0"/>
    <x v="1"/>
    <x v="116"/>
    <x v="0"/>
    <x v="109"/>
    <n v="69309875"/>
    <n v="322502"/>
    <n v="68987373"/>
    <x v="103"/>
    <n v="0.97"/>
    <n v="6.29"/>
    <n v="1.2"/>
    <n v="2"/>
  </r>
  <r>
    <x v="0"/>
    <s v="7"/>
    <x v="9"/>
    <x v="1"/>
    <x v="1"/>
    <x v="0"/>
    <x v="117"/>
    <x v="1"/>
    <x v="110"/>
    <n v="17409342"/>
    <n v="446456"/>
    <n v="16962886"/>
    <x v="104"/>
    <n v="0.97"/>
    <n v="6.29"/>
    <n v="1.2"/>
    <n v="7"/>
  </r>
  <r>
    <x v="0"/>
    <s v="7"/>
    <x v="8"/>
    <x v="3"/>
    <x v="0"/>
    <x v="2"/>
    <x v="118"/>
    <x v="0"/>
    <x v="111"/>
    <n v="122190100"/>
    <n v="95689"/>
    <n v="122094411"/>
    <x v="105"/>
    <n v="0.97"/>
    <n v="6.29"/>
    <n v="1.2"/>
    <n v="5"/>
  </r>
  <r>
    <x v="9"/>
    <s v="3"/>
    <x v="8"/>
    <x v="5"/>
    <x v="0"/>
    <x v="2"/>
    <x v="119"/>
    <x v="1"/>
    <x v="112"/>
    <n v="32737782"/>
    <n v="314080"/>
    <n v="32423702"/>
    <x v="106"/>
    <n v="0.97"/>
    <n v="6.29"/>
    <n v="1.2"/>
    <n v="6"/>
  </r>
  <r>
    <x v="4"/>
    <s v="10"/>
    <x v="5"/>
    <x v="5"/>
    <x v="2"/>
    <x v="1"/>
    <x v="120"/>
    <x v="1"/>
    <x v="113"/>
    <n v="25065754"/>
    <n v="424416"/>
    <n v="24641338"/>
    <x v="107"/>
    <n v="0.97"/>
    <n v="6.29"/>
    <n v="1.2"/>
    <n v="4"/>
  </r>
  <r>
    <x v="4"/>
    <s v="10"/>
    <x v="8"/>
    <x v="6"/>
    <x v="0"/>
    <x v="0"/>
    <x v="121"/>
    <x v="2"/>
    <x v="114"/>
    <n v="15556073"/>
    <n v="141074"/>
    <n v="15414999"/>
    <x v="108"/>
    <n v="0.97"/>
    <n v="6.29"/>
    <n v="1.2"/>
    <n v="2"/>
  </r>
  <r>
    <x v="5"/>
    <s v="3"/>
    <x v="2"/>
    <x v="0"/>
    <x v="0"/>
    <x v="0"/>
    <x v="122"/>
    <x v="0"/>
    <x v="115"/>
    <n v="78207964"/>
    <n v="225037"/>
    <n v="77982927"/>
    <x v="109"/>
    <n v="0.97"/>
    <n v="6.29"/>
    <n v="1.2"/>
    <n v="9"/>
  </r>
  <r>
    <x v="0"/>
    <s v="2"/>
    <x v="6"/>
    <x v="2"/>
    <x v="2"/>
    <x v="1"/>
    <x v="123"/>
    <x v="1"/>
    <x v="116"/>
    <n v="39792426"/>
    <n v="258606"/>
    <n v="39533820"/>
    <x v="110"/>
    <n v="0.97"/>
    <n v="6.29"/>
    <n v="1.2"/>
    <n v="3"/>
  </r>
  <r>
    <x v="8"/>
    <s v="12"/>
    <x v="2"/>
    <x v="2"/>
    <x v="2"/>
    <x v="3"/>
    <x v="124"/>
    <x v="0"/>
    <x v="117"/>
    <n v="88681530"/>
    <n v="50882"/>
    <n v="88630648"/>
    <x v="4"/>
    <n v="0.97"/>
    <n v="6.29"/>
    <n v="1.2"/>
    <n v="7"/>
  </r>
  <r>
    <x v="1"/>
    <s v="1"/>
    <x v="6"/>
    <x v="2"/>
    <x v="1"/>
    <x v="2"/>
    <x v="125"/>
    <x v="1"/>
    <x v="118"/>
    <n v="19075510"/>
    <n v="463440"/>
    <n v="18612070"/>
    <x v="111"/>
    <n v="0.97"/>
    <n v="6.29"/>
    <n v="1.2"/>
    <n v="8"/>
  </r>
  <r>
    <x v="1"/>
    <s v="7"/>
    <x v="0"/>
    <x v="0"/>
    <x v="2"/>
    <x v="3"/>
    <x v="126"/>
    <x v="0"/>
    <x v="119"/>
    <n v="54529715"/>
    <n v="417371"/>
    <n v="54112344"/>
    <x v="112"/>
    <n v="0.97"/>
    <n v="6.29"/>
    <n v="1.2"/>
    <n v="2"/>
  </r>
  <r>
    <x v="3"/>
    <s v="7"/>
    <x v="6"/>
    <x v="6"/>
    <x v="1"/>
    <x v="2"/>
    <x v="127"/>
    <x v="0"/>
    <x v="120"/>
    <n v="98731602"/>
    <n v="304822"/>
    <n v="98426780"/>
    <x v="113"/>
    <n v="0.97"/>
    <n v="6.29"/>
    <n v="1.2"/>
    <n v="6"/>
  </r>
  <r>
    <x v="0"/>
    <s v="12"/>
    <x v="2"/>
    <x v="0"/>
    <x v="2"/>
    <x v="2"/>
    <x v="128"/>
    <x v="0"/>
    <x v="121"/>
    <n v="73767214"/>
    <n v="175865"/>
    <n v="73591349"/>
    <x v="47"/>
    <n v="0.97"/>
    <n v="6.29"/>
    <n v="1.2"/>
    <n v="8"/>
  </r>
  <r>
    <x v="0"/>
    <s v="2"/>
    <x v="6"/>
    <x v="2"/>
    <x v="2"/>
    <x v="3"/>
    <x v="129"/>
    <x v="1"/>
    <x v="122"/>
    <n v="29856944"/>
    <n v="173745"/>
    <n v="29683199"/>
    <x v="114"/>
    <n v="0.97"/>
    <n v="6.29"/>
    <n v="1.2"/>
    <n v="7"/>
  </r>
  <r>
    <x v="1"/>
    <s v="7"/>
    <x v="0"/>
    <x v="8"/>
    <x v="1"/>
    <x v="1"/>
    <x v="130"/>
    <x v="1"/>
    <x v="123"/>
    <n v="36783639"/>
    <n v="474041"/>
    <n v="36309598"/>
    <x v="115"/>
    <n v="0.97"/>
    <n v="6.29"/>
    <n v="1.2"/>
    <n v="3"/>
  </r>
  <r>
    <x v="0"/>
    <s v="8"/>
    <x v="0"/>
    <x v="7"/>
    <x v="2"/>
    <x v="1"/>
    <x v="131"/>
    <x v="0"/>
    <x v="124"/>
    <n v="79743034"/>
    <n v="78885"/>
    <n v="79664149"/>
    <x v="116"/>
    <n v="0.97"/>
    <n v="6.29"/>
    <n v="1.2"/>
    <n v="1"/>
  </r>
  <r>
    <x v="5"/>
    <s v="1"/>
    <x v="1"/>
    <x v="1"/>
    <x v="1"/>
    <x v="2"/>
    <x v="132"/>
    <x v="0"/>
    <x v="125"/>
    <n v="36112368"/>
    <n v="221128"/>
    <n v="35891240"/>
    <x v="49"/>
    <n v="0.97"/>
    <n v="6.29"/>
    <n v="1.2"/>
    <n v="6"/>
  </r>
  <r>
    <x v="6"/>
    <s v="9"/>
    <x v="6"/>
    <x v="0"/>
    <x v="2"/>
    <x v="1"/>
    <x v="133"/>
    <x v="0"/>
    <x v="126"/>
    <n v="63090105"/>
    <n v="446419"/>
    <n v="62643686"/>
    <x v="117"/>
    <n v="0.97"/>
    <n v="6.29"/>
    <n v="1.2"/>
    <n v="8"/>
  </r>
  <r>
    <x v="7"/>
    <s v="7"/>
    <x v="5"/>
    <x v="6"/>
    <x v="0"/>
    <x v="2"/>
    <x v="134"/>
    <x v="1"/>
    <x v="127"/>
    <n v="41507683"/>
    <n v="241313"/>
    <n v="41266370"/>
    <x v="118"/>
    <n v="0.97"/>
    <n v="6.29"/>
    <n v="1.2"/>
    <n v="6"/>
  </r>
  <r>
    <x v="4"/>
    <s v="3"/>
    <x v="3"/>
    <x v="6"/>
    <x v="2"/>
    <x v="1"/>
    <x v="135"/>
    <x v="0"/>
    <x v="128"/>
    <n v="79538160"/>
    <n v="445460"/>
    <n v="79092700"/>
    <x v="119"/>
    <n v="0.97"/>
    <n v="6.29"/>
    <n v="1.2"/>
    <n v="5"/>
  </r>
  <r>
    <x v="9"/>
    <s v="8"/>
    <x v="7"/>
    <x v="9"/>
    <x v="1"/>
    <x v="2"/>
    <x v="136"/>
    <x v="2"/>
    <x v="129"/>
    <n v="46986156"/>
    <n v="410466"/>
    <n v="46575690"/>
    <x v="120"/>
    <n v="0.97"/>
    <n v="6.29"/>
    <n v="1.2"/>
    <n v="8"/>
  </r>
  <r>
    <x v="3"/>
    <s v="7"/>
    <x v="0"/>
    <x v="7"/>
    <x v="2"/>
    <x v="1"/>
    <x v="137"/>
    <x v="1"/>
    <x v="130"/>
    <n v="39532064"/>
    <n v="380763"/>
    <n v="39151301"/>
    <x v="121"/>
    <n v="0.97"/>
    <n v="6.29"/>
    <n v="1.2"/>
    <n v="2"/>
  </r>
  <r>
    <x v="6"/>
    <s v="11"/>
    <x v="4"/>
    <x v="3"/>
    <x v="1"/>
    <x v="0"/>
    <x v="138"/>
    <x v="0"/>
    <x v="131"/>
    <n v="99559546"/>
    <n v="71584"/>
    <n v="99487962"/>
    <x v="113"/>
    <n v="0.97"/>
    <n v="6.29"/>
    <n v="1.2"/>
    <n v="1"/>
  </r>
  <r>
    <x v="1"/>
    <s v="8"/>
    <x v="3"/>
    <x v="5"/>
    <x v="1"/>
    <x v="3"/>
    <x v="139"/>
    <x v="2"/>
    <x v="132"/>
    <n v="27094660"/>
    <n v="320665"/>
    <n v="26773995"/>
    <x v="122"/>
    <n v="0.97"/>
    <n v="6.29"/>
    <n v="1.2"/>
    <n v="1"/>
  </r>
  <r>
    <x v="4"/>
    <s v="6"/>
    <x v="9"/>
    <x v="2"/>
    <x v="0"/>
    <x v="0"/>
    <x v="140"/>
    <x v="1"/>
    <x v="133"/>
    <n v="41888106"/>
    <n v="231089"/>
    <n v="41657017"/>
    <x v="123"/>
    <n v="0.97"/>
    <n v="6.29"/>
    <n v="1.2"/>
    <n v="4"/>
  </r>
  <r>
    <x v="0"/>
    <s v="9"/>
    <x v="6"/>
    <x v="3"/>
    <x v="0"/>
    <x v="3"/>
    <x v="141"/>
    <x v="2"/>
    <x v="134"/>
    <n v="13393737"/>
    <n v="345685"/>
    <n v="13048052"/>
    <x v="124"/>
    <n v="0.97"/>
    <n v="6.29"/>
    <n v="1.2"/>
    <n v="6"/>
  </r>
  <r>
    <x v="9"/>
    <s v="5"/>
    <x v="2"/>
    <x v="9"/>
    <x v="1"/>
    <x v="3"/>
    <x v="142"/>
    <x v="0"/>
    <x v="135"/>
    <n v="78347560"/>
    <n v="79063"/>
    <n v="78268497"/>
    <x v="125"/>
    <n v="0.97"/>
    <n v="6.29"/>
    <n v="1.2"/>
    <n v="9"/>
  </r>
  <r>
    <x v="0"/>
    <s v="3"/>
    <x v="7"/>
    <x v="2"/>
    <x v="2"/>
    <x v="2"/>
    <x v="143"/>
    <x v="0"/>
    <x v="136"/>
    <n v="35811792"/>
    <n v="120268"/>
    <n v="35691524"/>
    <x v="126"/>
    <n v="0.97"/>
    <n v="6.29"/>
    <n v="1.2"/>
    <n v="1"/>
  </r>
  <r>
    <x v="8"/>
    <s v="3"/>
    <x v="4"/>
    <x v="7"/>
    <x v="1"/>
    <x v="3"/>
    <x v="144"/>
    <x v="1"/>
    <x v="137"/>
    <n v="30508194"/>
    <n v="306306"/>
    <n v="30201888"/>
    <x v="74"/>
    <n v="0.97"/>
    <n v="6.29"/>
    <n v="1.2"/>
    <n v="1"/>
  </r>
  <r>
    <x v="8"/>
    <s v="1"/>
    <x v="3"/>
    <x v="9"/>
    <x v="1"/>
    <x v="0"/>
    <x v="145"/>
    <x v="2"/>
    <x v="120"/>
    <n v="59878653"/>
    <n v="176218"/>
    <n v="59702435"/>
    <x v="95"/>
    <n v="0.97"/>
    <n v="6.29"/>
    <n v="1.2"/>
    <n v="5"/>
  </r>
  <r>
    <x v="9"/>
    <s v="12"/>
    <x v="6"/>
    <x v="2"/>
    <x v="2"/>
    <x v="0"/>
    <x v="146"/>
    <x v="2"/>
    <x v="138"/>
    <n v="25285375"/>
    <n v="430350"/>
    <n v="24855025"/>
    <x v="127"/>
    <n v="0.97"/>
    <n v="6.29"/>
    <n v="1.2"/>
    <n v="10"/>
  </r>
  <r>
    <x v="9"/>
    <s v="8"/>
    <x v="1"/>
    <x v="7"/>
    <x v="2"/>
    <x v="1"/>
    <x v="147"/>
    <x v="0"/>
    <x v="139"/>
    <n v="59331800"/>
    <n v="274126"/>
    <n v="59057674"/>
    <x v="31"/>
    <n v="0.97"/>
    <n v="6.29"/>
    <n v="1.2"/>
    <n v="5"/>
  </r>
  <r>
    <x v="1"/>
    <s v="2"/>
    <x v="9"/>
    <x v="4"/>
    <x v="2"/>
    <x v="0"/>
    <x v="148"/>
    <x v="0"/>
    <x v="140"/>
    <n v="89499296"/>
    <n v="220635"/>
    <n v="89278661"/>
    <x v="128"/>
    <n v="0.97"/>
    <n v="6.29"/>
    <n v="1.2"/>
    <n v="5"/>
  </r>
  <r>
    <x v="9"/>
    <s v="3"/>
    <x v="7"/>
    <x v="3"/>
    <x v="2"/>
    <x v="1"/>
    <x v="149"/>
    <x v="2"/>
    <x v="41"/>
    <n v="38815269"/>
    <n v="220824"/>
    <n v="38594445"/>
    <x v="129"/>
    <n v="0.97"/>
    <n v="6.29"/>
    <n v="1.2"/>
    <n v="10"/>
  </r>
  <r>
    <x v="5"/>
    <s v="8"/>
    <x v="5"/>
    <x v="3"/>
    <x v="1"/>
    <x v="3"/>
    <x v="150"/>
    <x v="0"/>
    <x v="141"/>
    <n v="108047881"/>
    <n v="276305"/>
    <n v="107771576"/>
    <x v="130"/>
    <n v="0.97"/>
    <n v="6.29"/>
    <n v="1.2"/>
    <n v="6"/>
  </r>
  <r>
    <x v="0"/>
    <s v="8"/>
    <x v="1"/>
    <x v="5"/>
    <x v="1"/>
    <x v="0"/>
    <x v="151"/>
    <x v="2"/>
    <x v="50"/>
    <n v="24657633"/>
    <n v="445783"/>
    <n v="24211850"/>
    <x v="67"/>
    <n v="0.97"/>
    <n v="6.29"/>
    <n v="1.2"/>
    <n v="8"/>
  </r>
  <r>
    <x v="6"/>
    <s v="11"/>
    <x v="4"/>
    <x v="7"/>
    <x v="0"/>
    <x v="3"/>
    <x v="152"/>
    <x v="1"/>
    <x v="142"/>
    <n v="44191910"/>
    <n v="459337"/>
    <n v="43732573"/>
    <x v="131"/>
    <n v="0.97"/>
    <n v="6.29"/>
    <n v="1.2"/>
    <n v="3"/>
  </r>
  <r>
    <x v="2"/>
    <s v="4"/>
    <x v="7"/>
    <x v="0"/>
    <x v="1"/>
    <x v="0"/>
    <x v="153"/>
    <x v="0"/>
    <x v="143"/>
    <n v="90798003"/>
    <n v="444890"/>
    <n v="90353113"/>
    <x v="132"/>
    <n v="0.97"/>
    <n v="6.29"/>
    <n v="1.2"/>
    <n v="9"/>
  </r>
  <r>
    <x v="9"/>
    <s v="4"/>
    <x v="1"/>
    <x v="4"/>
    <x v="2"/>
    <x v="0"/>
    <x v="154"/>
    <x v="2"/>
    <x v="144"/>
    <n v="9044226"/>
    <n v="126411"/>
    <n v="8917815"/>
    <x v="133"/>
    <n v="0.97"/>
    <n v="6.29"/>
    <n v="1.2"/>
    <n v="1"/>
  </r>
  <r>
    <x v="3"/>
    <s v="5"/>
    <x v="9"/>
    <x v="8"/>
    <x v="0"/>
    <x v="1"/>
    <x v="155"/>
    <x v="1"/>
    <x v="145"/>
    <n v="32693872"/>
    <n v="159876"/>
    <n v="32533996"/>
    <x v="134"/>
    <n v="0.97"/>
    <n v="6.29"/>
    <n v="1.2"/>
    <n v="4"/>
  </r>
  <r>
    <x v="8"/>
    <s v="6"/>
    <x v="5"/>
    <x v="2"/>
    <x v="2"/>
    <x v="3"/>
    <x v="156"/>
    <x v="2"/>
    <x v="146"/>
    <n v="56382732"/>
    <n v="248153"/>
    <n v="56134579"/>
    <x v="135"/>
    <n v="0.97"/>
    <n v="6.29"/>
    <n v="1.2"/>
    <n v="9"/>
  </r>
  <r>
    <x v="5"/>
    <s v="5"/>
    <x v="1"/>
    <x v="4"/>
    <x v="1"/>
    <x v="0"/>
    <x v="157"/>
    <x v="0"/>
    <x v="147"/>
    <n v="51440448"/>
    <n v="210212"/>
    <n v="51230236"/>
    <x v="136"/>
    <n v="0.97"/>
    <n v="6.29"/>
    <n v="1.2"/>
    <n v="8"/>
  </r>
  <r>
    <x v="4"/>
    <s v="7"/>
    <x v="8"/>
    <x v="7"/>
    <x v="0"/>
    <x v="2"/>
    <x v="158"/>
    <x v="2"/>
    <x v="148"/>
    <n v="35118720"/>
    <n v="190399"/>
    <n v="34928321"/>
    <x v="126"/>
    <n v="0.97"/>
    <n v="6.29"/>
    <n v="1.2"/>
    <n v="10"/>
  </r>
  <r>
    <x v="2"/>
    <s v="2"/>
    <x v="5"/>
    <x v="1"/>
    <x v="2"/>
    <x v="3"/>
    <x v="159"/>
    <x v="0"/>
    <x v="149"/>
    <n v="80870908"/>
    <n v="73331"/>
    <n v="80797577"/>
    <x v="137"/>
    <n v="0.97"/>
    <n v="6.29"/>
    <n v="1.2"/>
    <n v="9"/>
  </r>
  <r>
    <x v="6"/>
    <s v="7"/>
    <x v="4"/>
    <x v="2"/>
    <x v="0"/>
    <x v="3"/>
    <x v="160"/>
    <x v="0"/>
    <x v="150"/>
    <n v="69462452"/>
    <n v="73004"/>
    <n v="69389448"/>
    <x v="51"/>
    <n v="0.97"/>
    <n v="6.29"/>
    <n v="1.2"/>
    <n v="1"/>
  </r>
  <r>
    <x v="2"/>
    <s v="10"/>
    <x v="9"/>
    <x v="6"/>
    <x v="0"/>
    <x v="3"/>
    <x v="161"/>
    <x v="1"/>
    <x v="151"/>
    <n v="32408454"/>
    <n v="288441"/>
    <n v="32120013"/>
    <x v="107"/>
    <n v="0.97"/>
    <n v="6.29"/>
    <n v="1.2"/>
    <n v="9"/>
  </r>
  <r>
    <x v="9"/>
    <s v="7"/>
    <x v="6"/>
    <x v="3"/>
    <x v="1"/>
    <x v="1"/>
    <x v="162"/>
    <x v="1"/>
    <x v="152"/>
    <n v="19312845"/>
    <n v="431387"/>
    <n v="18881458"/>
    <x v="62"/>
    <n v="0.97"/>
    <n v="6.29"/>
    <n v="1.2"/>
    <n v="3"/>
  </r>
  <r>
    <x v="1"/>
    <s v="1"/>
    <x v="2"/>
    <x v="7"/>
    <x v="2"/>
    <x v="2"/>
    <x v="163"/>
    <x v="1"/>
    <x v="153"/>
    <n v="5107531"/>
    <n v="453708"/>
    <n v="4653823"/>
    <x v="138"/>
    <n v="0.97"/>
    <n v="6.29"/>
    <n v="1.2"/>
    <n v="10"/>
  </r>
  <r>
    <x v="8"/>
    <s v="7"/>
    <x v="2"/>
    <x v="6"/>
    <x v="0"/>
    <x v="3"/>
    <x v="164"/>
    <x v="1"/>
    <x v="154"/>
    <n v="41467621"/>
    <n v="498013"/>
    <n v="40969608"/>
    <x v="139"/>
    <n v="0.97"/>
    <n v="6.29"/>
    <n v="1.2"/>
    <n v="9"/>
  </r>
  <r>
    <x v="8"/>
    <s v="5"/>
    <x v="2"/>
    <x v="5"/>
    <x v="0"/>
    <x v="0"/>
    <x v="165"/>
    <x v="0"/>
    <x v="155"/>
    <n v="57018741"/>
    <n v="239167"/>
    <n v="56779574"/>
    <x v="1"/>
    <n v="0.97"/>
    <n v="6.29"/>
    <n v="1.2"/>
    <n v="1"/>
  </r>
  <r>
    <x v="4"/>
    <s v="3"/>
    <x v="7"/>
    <x v="9"/>
    <x v="2"/>
    <x v="0"/>
    <x v="166"/>
    <x v="2"/>
    <x v="156"/>
    <n v="17163072"/>
    <n v="456965"/>
    <n v="16706107"/>
    <x v="140"/>
    <n v="0.97"/>
    <n v="6.29"/>
    <n v="1.2"/>
    <n v="1"/>
  </r>
  <r>
    <x v="1"/>
    <s v="3"/>
    <x v="4"/>
    <x v="8"/>
    <x v="0"/>
    <x v="1"/>
    <x v="167"/>
    <x v="0"/>
    <x v="157"/>
    <n v="57013188"/>
    <n v="375361"/>
    <n v="56637827"/>
    <x v="125"/>
    <n v="0.97"/>
    <n v="6.29"/>
    <n v="1.2"/>
    <n v="9"/>
  </r>
  <r>
    <x v="0"/>
    <s v="4"/>
    <x v="9"/>
    <x v="8"/>
    <x v="0"/>
    <x v="0"/>
    <x v="168"/>
    <x v="0"/>
    <x v="158"/>
    <n v="59399751"/>
    <n v="139044"/>
    <n v="59260707"/>
    <x v="54"/>
    <n v="0.97"/>
    <n v="6.29"/>
    <n v="1.2"/>
    <n v="6"/>
  </r>
  <r>
    <x v="7"/>
    <s v="12"/>
    <x v="5"/>
    <x v="6"/>
    <x v="0"/>
    <x v="3"/>
    <x v="169"/>
    <x v="0"/>
    <x v="159"/>
    <n v="98350306"/>
    <n v="321189"/>
    <n v="98029117"/>
    <x v="141"/>
    <n v="0.97"/>
    <n v="6.29"/>
    <n v="1.2"/>
    <n v="4"/>
  </r>
  <r>
    <x v="5"/>
    <s v="2"/>
    <x v="7"/>
    <x v="3"/>
    <x v="2"/>
    <x v="0"/>
    <x v="170"/>
    <x v="1"/>
    <x v="160"/>
    <n v="15498813"/>
    <n v="332260"/>
    <n v="15166553"/>
    <x v="108"/>
    <n v="0.97"/>
    <n v="6.29"/>
    <n v="1.2"/>
    <n v="7"/>
  </r>
  <r>
    <x v="8"/>
    <s v="2"/>
    <x v="4"/>
    <x v="5"/>
    <x v="2"/>
    <x v="3"/>
    <x v="171"/>
    <x v="2"/>
    <x v="161"/>
    <n v="29370048"/>
    <n v="68667"/>
    <n v="29301381"/>
    <x v="44"/>
    <n v="0.97"/>
    <n v="6.29"/>
    <n v="1.2"/>
    <n v="5"/>
  </r>
  <r>
    <x v="3"/>
    <s v="1"/>
    <x v="6"/>
    <x v="1"/>
    <x v="2"/>
    <x v="0"/>
    <x v="172"/>
    <x v="0"/>
    <x v="162"/>
    <n v="84778956"/>
    <n v="387201"/>
    <n v="84391755"/>
    <x v="142"/>
    <n v="0.97"/>
    <n v="6.29"/>
    <n v="1.2"/>
    <n v="10"/>
  </r>
  <r>
    <x v="8"/>
    <s v="5"/>
    <x v="8"/>
    <x v="3"/>
    <x v="2"/>
    <x v="2"/>
    <x v="173"/>
    <x v="0"/>
    <x v="5"/>
    <n v="70497192"/>
    <n v="124205"/>
    <n v="70372987"/>
    <x v="143"/>
    <n v="0.97"/>
    <n v="6.29"/>
    <n v="1.2"/>
    <n v="7"/>
  </r>
  <r>
    <x v="2"/>
    <s v="4"/>
    <x v="9"/>
    <x v="4"/>
    <x v="1"/>
    <x v="1"/>
    <x v="174"/>
    <x v="1"/>
    <x v="95"/>
    <n v="36158320"/>
    <n v="77302"/>
    <n v="36081018"/>
    <x v="144"/>
    <n v="0.97"/>
    <n v="6.29"/>
    <n v="1.2"/>
    <n v="8"/>
  </r>
  <r>
    <x v="8"/>
    <s v="11"/>
    <x v="2"/>
    <x v="8"/>
    <x v="0"/>
    <x v="1"/>
    <x v="175"/>
    <x v="0"/>
    <x v="163"/>
    <n v="81203076"/>
    <n v="454499"/>
    <n v="80748577"/>
    <x v="145"/>
    <n v="0.97"/>
    <n v="6.29"/>
    <n v="1.2"/>
    <n v="8"/>
  </r>
  <r>
    <x v="8"/>
    <s v="10"/>
    <x v="1"/>
    <x v="4"/>
    <x v="2"/>
    <x v="2"/>
    <x v="176"/>
    <x v="2"/>
    <x v="164"/>
    <n v="48164924"/>
    <n v="212007"/>
    <n v="47952917"/>
    <x v="146"/>
    <n v="0.97"/>
    <n v="6.29"/>
    <n v="1.2"/>
    <n v="1"/>
  </r>
  <r>
    <x v="7"/>
    <s v="2"/>
    <x v="9"/>
    <x v="2"/>
    <x v="0"/>
    <x v="2"/>
    <x v="177"/>
    <x v="1"/>
    <x v="165"/>
    <n v="43909722"/>
    <n v="122534"/>
    <n v="43787188"/>
    <x v="86"/>
    <n v="0.97"/>
    <n v="6.29"/>
    <n v="1.2"/>
    <n v="8"/>
  </r>
  <r>
    <x v="7"/>
    <s v="3"/>
    <x v="0"/>
    <x v="0"/>
    <x v="0"/>
    <x v="1"/>
    <x v="178"/>
    <x v="0"/>
    <x v="166"/>
    <n v="29499511"/>
    <n v="275414"/>
    <n v="29224097"/>
    <x v="147"/>
    <n v="0.97"/>
    <n v="6.29"/>
    <n v="1.2"/>
    <n v="6"/>
  </r>
  <r>
    <x v="6"/>
    <s v="7"/>
    <x v="4"/>
    <x v="7"/>
    <x v="1"/>
    <x v="2"/>
    <x v="179"/>
    <x v="1"/>
    <x v="167"/>
    <n v="16731556"/>
    <n v="212696"/>
    <n v="16518860"/>
    <x v="148"/>
    <n v="0.97"/>
    <n v="6.29"/>
    <n v="1.2"/>
    <n v="4"/>
  </r>
  <r>
    <x v="0"/>
    <s v="7"/>
    <x v="3"/>
    <x v="5"/>
    <x v="2"/>
    <x v="3"/>
    <x v="180"/>
    <x v="2"/>
    <x v="168"/>
    <n v="12841664"/>
    <n v="63440"/>
    <n v="12778224"/>
    <x v="147"/>
    <n v="0.97"/>
    <n v="6.29"/>
    <n v="1.2"/>
    <n v="8"/>
  </r>
  <r>
    <x v="3"/>
    <s v="12"/>
    <x v="6"/>
    <x v="3"/>
    <x v="2"/>
    <x v="0"/>
    <x v="181"/>
    <x v="2"/>
    <x v="169"/>
    <n v="31539147"/>
    <n v="423145"/>
    <n v="31116002"/>
    <x v="55"/>
    <n v="0.97"/>
    <n v="6.29"/>
    <n v="1.2"/>
    <n v="3"/>
  </r>
  <r>
    <x v="8"/>
    <s v="4"/>
    <x v="8"/>
    <x v="8"/>
    <x v="0"/>
    <x v="1"/>
    <x v="182"/>
    <x v="0"/>
    <x v="170"/>
    <n v="68913140"/>
    <n v="358645"/>
    <n v="68554495"/>
    <x v="149"/>
    <n v="0.97"/>
    <n v="6.29"/>
    <n v="1.2"/>
    <n v="4"/>
  </r>
  <r>
    <x v="8"/>
    <s v="5"/>
    <x v="6"/>
    <x v="4"/>
    <x v="2"/>
    <x v="2"/>
    <x v="183"/>
    <x v="2"/>
    <x v="171"/>
    <n v="63830160"/>
    <n v="444485"/>
    <n v="63385675"/>
    <x v="150"/>
    <n v="0.97"/>
    <n v="6.29"/>
    <n v="1.2"/>
    <n v="6"/>
  </r>
  <r>
    <x v="5"/>
    <s v="5"/>
    <x v="9"/>
    <x v="9"/>
    <x v="0"/>
    <x v="3"/>
    <x v="184"/>
    <x v="1"/>
    <x v="172"/>
    <n v="19394624"/>
    <n v="320012"/>
    <n v="19074612"/>
    <x v="122"/>
    <n v="0.97"/>
    <n v="6.29"/>
    <n v="1.2"/>
    <n v="7"/>
  </r>
  <r>
    <x v="7"/>
    <s v="6"/>
    <x v="3"/>
    <x v="2"/>
    <x v="0"/>
    <x v="1"/>
    <x v="185"/>
    <x v="2"/>
    <x v="173"/>
    <n v="67199731"/>
    <n v="211323"/>
    <n v="66988408"/>
    <x v="123"/>
    <n v="0.97"/>
    <n v="6.29"/>
    <n v="1.2"/>
    <n v="4"/>
  </r>
  <r>
    <x v="3"/>
    <s v="9"/>
    <x v="0"/>
    <x v="7"/>
    <x v="1"/>
    <x v="2"/>
    <x v="186"/>
    <x v="2"/>
    <x v="174"/>
    <n v="58886112"/>
    <n v="390053"/>
    <n v="58496059"/>
    <x v="105"/>
    <n v="0.97"/>
    <n v="6.29"/>
    <n v="1.2"/>
    <n v="4"/>
  </r>
  <r>
    <x v="4"/>
    <s v="2"/>
    <x v="5"/>
    <x v="7"/>
    <x v="1"/>
    <x v="1"/>
    <x v="187"/>
    <x v="2"/>
    <x v="175"/>
    <n v="20407486"/>
    <n v="134523"/>
    <n v="20272963"/>
    <x v="151"/>
    <n v="0.97"/>
    <n v="6.29"/>
    <n v="1.2"/>
    <n v="7"/>
  </r>
  <r>
    <x v="6"/>
    <s v="5"/>
    <x v="1"/>
    <x v="3"/>
    <x v="1"/>
    <x v="2"/>
    <x v="188"/>
    <x v="2"/>
    <x v="176"/>
    <n v="29226645"/>
    <n v="219801"/>
    <n v="29006844"/>
    <x v="140"/>
    <n v="0.97"/>
    <n v="6.29"/>
    <n v="1.2"/>
    <n v="6"/>
  </r>
  <r>
    <x v="0"/>
    <s v="12"/>
    <x v="3"/>
    <x v="5"/>
    <x v="0"/>
    <x v="1"/>
    <x v="189"/>
    <x v="1"/>
    <x v="177"/>
    <n v="32078740"/>
    <n v="65734"/>
    <n v="32013006"/>
    <x v="139"/>
    <n v="0.97"/>
    <n v="6.29"/>
    <n v="1.2"/>
    <n v="8"/>
  </r>
  <r>
    <x v="1"/>
    <s v="3"/>
    <x v="4"/>
    <x v="1"/>
    <x v="2"/>
    <x v="3"/>
    <x v="190"/>
    <x v="1"/>
    <x v="178"/>
    <n v="17802892"/>
    <n v="223501"/>
    <n v="17579391"/>
    <x v="152"/>
    <n v="0.97"/>
    <n v="6.29"/>
    <n v="1.2"/>
    <n v="1"/>
  </r>
  <r>
    <x v="0"/>
    <s v="4"/>
    <x v="2"/>
    <x v="9"/>
    <x v="1"/>
    <x v="3"/>
    <x v="191"/>
    <x v="2"/>
    <x v="179"/>
    <n v="12630975"/>
    <n v="222409"/>
    <n v="12408566"/>
    <x v="0"/>
    <n v="0.97"/>
    <n v="6.29"/>
    <n v="1.2"/>
    <n v="10"/>
  </r>
  <r>
    <x v="2"/>
    <s v="10"/>
    <x v="0"/>
    <x v="3"/>
    <x v="2"/>
    <x v="0"/>
    <x v="192"/>
    <x v="2"/>
    <x v="180"/>
    <n v="43918420"/>
    <n v="483541"/>
    <n v="43434879"/>
    <x v="153"/>
    <n v="0.97"/>
    <n v="6.29"/>
    <n v="1.2"/>
    <n v="7"/>
  </r>
  <r>
    <x v="8"/>
    <s v="6"/>
    <x v="1"/>
    <x v="4"/>
    <x v="1"/>
    <x v="1"/>
    <x v="193"/>
    <x v="0"/>
    <x v="139"/>
    <n v="55727192"/>
    <n v="395744"/>
    <n v="55331448"/>
    <x v="154"/>
    <n v="0.97"/>
    <n v="6.29"/>
    <n v="1.2"/>
    <n v="7"/>
  </r>
  <r>
    <x v="6"/>
    <s v="12"/>
    <x v="8"/>
    <x v="0"/>
    <x v="1"/>
    <x v="0"/>
    <x v="194"/>
    <x v="0"/>
    <x v="46"/>
    <n v="33204204"/>
    <n v="320577"/>
    <n v="32883627"/>
    <x v="37"/>
    <n v="0.97"/>
    <n v="6.29"/>
    <n v="1.2"/>
    <n v="7"/>
  </r>
  <r>
    <x v="2"/>
    <s v="8"/>
    <x v="2"/>
    <x v="6"/>
    <x v="0"/>
    <x v="1"/>
    <x v="195"/>
    <x v="2"/>
    <x v="27"/>
    <n v="32084481"/>
    <n v="190183"/>
    <n v="31894298"/>
    <x v="38"/>
    <n v="0.97"/>
    <n v="6.29"/>
    <n v="1.2"/>
    <n v="7"/>
  </r>
  <r>
    <x v="3"/>
    <s v="1"/>
    <x v="9"/>
    <x v="1"/>
    <x v="1"/>
    <x v="2"/>
    <x v="196"/>
    <x v="0"/>
    <x v="181"/>
    <n v="35219464"/>
    <n v="153986"/>
    <n v="35065478"/>
    <x v="155"/>
    <n v="0.97"/>
    <n v="6.29"/>
    <n v="1.2"/>
    <n v="10"/>
  </r>
  <r>
    <x v="1"/>
    <s v="10"/>
    <x v="3"/>
    <x v="5"/>
    <x v="1"/>
    <x v="2"/>
    <x v="197"/>
    <x v="0"/>
    <x v="182"/>
    <n v="17101223"/>
    <n v="375897"/>
    <n v="16725326"/>
    <x v="156"/>
    <n v="0.97"/>
    <n v="6.29"/>
    <n v="1.2"/>
    <n v="10"/>
  </r>
  <r>
    <x v="7"/>
    <s v="8"/>
    <x v="1"/>
    <x v="2"/>
    <x v="0"/>
    <x v="0"/>
    <x v="198"/>
    <x v="0"/>
    <x v="64"/>
    <n v="45785286"/>
    <n v="163783"/>
    <n v="45621503"/>
    <x v="38"/>
    <n v="0.97"/>
    <n v="6.29"/>
    <n v="1.2"/>
    <n v="8"/>
  </r>
  <r>
    <x v="6"/>
    <s v="11"/>
    <x v="7"/>
    <x v="1"/>
    <x v="2"/>
    <x v="1"/>
    <x v="38"/>
    <x v="0"/>
    <x v="183"/>
    <n v="76137372"/>
    <n v="261655"/>
    <n v="75875717"/>
    <x v="22"/>
    <n v="0.97"/>
    <n v="6.29"/>
    <n v="1.2"/>
    <n v="9"/>
  </r>
  <r>
    <x v="6"/>
    <s v="7"/>
    <x v="5"/>
    <x v="8"/>
    <x v="1"/>
    <x v="0"/>
    <x v="199"/>
    <x v="0"/>
    <x v="30"/>
    <n v="81328103"/>
    <n v="333895"/>
    <n v="80994208"/>
    <x v="83"/>
    <n v="0.97"/>
    <n v="6.29"/>
    <n v="1.2"/>
    <n v="9"/>
  </r>
  <r>
    <x v="8"/>
    <s v="1"/>
    <x v="5"/>
    <x v="5"/>
    <x v="0"/>
    <x v="3"/>
    <x v="200"/>
    <x v="2"/>
    <x v="184"/>
    <n v="16215350"/>
    <n v="197525"/>
    <n v="16017825"/>
    <x v="26"/>
    <n v="0.97"/>
    <n v="6.29"/>
    <n v="1.2"/>
    <n v="2"/>
  </r>
  <r>
    <x v="9"/>
    <s v="2"/>
    <x v="0"/>
    <x v="0"/>
    <x v="1"/>
    <x v="0"/>
    <x v="201"/>
    <x v="0"/>
    <x v="185"/>
    <n v="42579375"/>
    <n v="266916"/>
    <n v="42312459"/>
    <x v="53"/>
    <n v="0.97"/>
    <n v="6.29"/>
    <n v="1.2"/>
    <n v="7"/>
  </r>
  <r>
    <x v="6"/>
    <s v="3"/>
    <x v="8"/>
    <x v="8"/>
    <x v="0"/>
    <x v="0"/>
    <x v="202"/>
    <x v="2"/>
    <x v="186"/>
    <n v="61271925"/>
    <n v="482184"/>
    <n v="60789741"/>
    <x v="22"/>
    <n v="0.97"/>
    <n v="6.29"/>
    <n v="1.2"/>
    <n v="7"/>
  </r>
  <r>
    <x v="5"/>
    <s v="1"/>
    <x v="0"/>
    <x v="1"/>
    <x v="2"/>
    <x v="2"/>
    <x v="203"/>
    <x v="0"/>
    <x v="46"/>
    <n v="38538720"/>
    <n v="211149"/>
    <n v="38327571"/>
    <x v="157"/>
    <n v="0.97"/>
    <n v="6.29"/>
    <n v="1.2"/>
    <n v="4"/>
  </r>
  <r>
    <x v="1"/>
    <s v="9"/>
    <x v="7"/>
    <x v="6"/>
    <x v="2"/>
    <x v="0"/>
    <x v="204"/>
    <x v="2"/>
    <x v="187"/>
    <n v="32396500"/>
    <n v="289654"/>
    <n v="32106846"/>
    <x v="0"/>
    <n v="0.97"/>
    <n v="6.29"/>
    <n v="1.2"/>
    <n v="9"/>
  </r>
  <r>
    <x v="1"/>
    <s v="8"/>
    <x v="4"/>
    <x v="6"/>
    <x v="0"/>
    <x v="1"/>
    <x v="205"/>
    <x v="2"/>
    <x v="188"/>
    <n v="10581272"/>
    <n v="477991"/>
    <n v="10103281"/>
    <x v="8"/>
    <n v="0.97"/>
    <n v="6.29"/>
    <n v="1.2"/>
    <n v="8"/>
  </r>
  <r>
    <x v="5"/>
    <s v="2"/>
    <x v="8"/>
    <x v="0"/>
    <x v="0"/>
    <x v="2"/>
    <x v="206"/>
    <x v="2"/>
    <x v="27"/>
    <n v="27644211"/>
    <n v="239216"/>
    <n v="27404995"/>
    <x v="158"/>
    <n v="0.97"/>
    <n v="6.29"/>
    <n v="1.2"/>
    <n v="1"/>
  </r>
  <r>
    <x v="4"/>
    <s v="9"/>
    <x v="6"/>
    <x v="7"/>
    <x v="0"/>
    <x v="0"/>
    <x v="207"/>
    <x v="2"/>
    <x v="189"/>
    <n v="38075019"/>
    <n v="360714"/>
    <n v="37714305"/>
    <x v="159"/>
    <n v="0.97"/>
    <n v="6.29"/>
    <n v="1.2"/>
    <n v="2"/>
  </r>
  <r>
    <x v="5"/>
    <s v="7"/>
    <x v="4"/>
    <x v="9"/>
    <x v="2"/>
    <x v="3"/>
    <x v="208"/>
    <x v="0"/>
    <x v="120"/>
    <n v="91109502"/>
    <n v="227169"/>
    <n v="90882333"/>
    <x v="160"/>
    <n v="0.97"/>
    <n v="6.29"/>
    <n v="1.2"/>
    <n v="2"/>
  </r>
  <r>
    <x v="5"/>
    <s v="9"/>
    <x v="8"/>
    <x v="2"/>
    <x v="1"/>
    <x v="0"/>
    <x v="209"/>
    <x v="0"/>
    <x v="190"/>
    <n v="53119046"/>
    <n v="336647"/>
    <n v="52782399"/>
    <x v="63"/>
    <n v="0.97"/>
    <n v="6.29"/>
    <n v="1.2"/>
    <n v="8"/>
  </r>
  <r>
    <x v="1"/>
    <s v="6"/>
    <x v="8"/>
    <x v="7"/>
    <x v="2"/>
    <x v="0"/>
    <x v="210"/>
    <x v="0"/>
    <x v="191"/>
    <n v="41617296"/>
    <n v="183851"/>
    <n v="41433445"/>
    <x v="161"/>
    <n v="0.97"/>
    <n v="6.29"/>
    <n v="1.2"/>
    <n v="1"/>
  </r>
  <r>
    <x v="0"/>
    <s v="6"/>
    <x v="7"/>
    <x v="6"/>
    <x v="0"/>
    <x v="0"/>
    <x v="211"/>
    <x v="0"/>
    <x v="192"/>
    <n v="91524384"/>
    <n v="398984"/>
    <n v="91125400"/>
    <x v="162"/>
    <n v="0.97"/>
    <n v="6.29"/>
    <n v="1.2"/>
    <n v="4"/>
  </r>
  <r>
    <x v="1"/>
    <s v="11"/>
    <x v="9"/>
    <x v="6"/>
    <x v="0"/>
    <x v="2"/>
    <x v="212"/>
    <x v="2"/>
    <x v="193"/>
    <n v="61789596"/>
    <n v="181827"/>
    <n v="61607769"/>
    <x v="163"/>
    <n v="0.97"/>
    <n v="6.29"/>
    <n v="1.2"/>
    <n v="10"/>
  </r>
  <r>
    <x v="9"/>
    <s v="4"/>
    <x v="7"/>
    <x v="4"/>
    <x v="2"/>
    <x v="1"/>
    <x v="213"/>
    <x v="0"/>
    <x v="74"/>
    <n v="58689176"/>
    <n v="351407"/>
    <n v="58337769"/>
    <x v="164"/>
    <n v="0.97"/>
    <n v="6.29"/>
    <n v="1.2"/>
    <n v="5"/>
  </r>
  <r>
    <x v="8"/>
    <s v="10"/>
    <x v="8"/>
    <x v="8"/>
    <x v="0"/>
    <x v="3"/>
    <x v="214"/>
    <x v="2"/>
    <x v="194"/>
    <n v="34447894"/>
    <n v="420635"/>
    <n v="34027259"/>
    <x v="165"/>
    <n v="0.97"/>
    <n v="6.29"/>
    <n v="1.2"/>
    <n v="9"/>
  </r>
  <r>
    <x v="2"/>
    <s v="10"/>
    <x v="1"/>
    <x v="1"/>
    <x v="2"/>
    <x v="0"/>
    <x v="215"/>
    <x v="0"/>
    <x v="195"/>
    <n v="84641864"/>
    <n v="367231"/>
    <n v="84274633"/>
    <x v="166"/>
    <n v="0.97"/>
    <n v="6.29"/>
    <n v="1.2"/>
    <n v="7"/>
  </r>
  <r>
    <x v="0"/>
    <s v="2"/>
    <x v="4"/>
    <x v="2"/>
    <x v="0"/>
    <x v="1"/>
    <x v="216"/>
    <x v="0"/>
    <x v="196"/>
    <n v="136271631"/>
    <n v="485497"/>
    <n v="135786134"/>
    <x v="64"/>
    <n v="0.97"/>
    <n v="6.29"/>
    <n v="1.2"/>
    <n v="8"/>
  </r>
  <r>
    <x v="7"/>
    <s v="7"/>
    <x v="7"/>
    <x v="0"/>
    <x v="1"/>
    <x v="1"/>
    <x v="217"/>
    <x v="0"/>
    <x v="197"/>
    <n v="35934636"/>
    <n v="101482"/>
    <n v="35833154"/>
    <x v="114"/>
    <n v="0.97"/>
    <n v="6.29"/>
    <n v="1.2"/>
    <n v="9"/>
  </r>
  <r>
    <x v="2"/>
    <s v="5"/>
    <x v="9"/>
    <x v="1"/>
    <x v="1"/>
    <x v="2"/>
    <x v="218"/>
    <x v="2"/>
    <x v="90"/>
    <n v="45947488"/>
    <n v="498073"/>
    <n v="45449415"/>
    <x v="167"/>
    <n v="0.97"/>
    <n v="6.29"/>
    <n v="1.2"/>
    <n v="7"/>
  </r>
  <r>
    <x v="8"/>
    <s v="11"/>
    <x v="3"/>
    <x v="4"/>
    <x v="0"/>
    <x v="3"/>
    <x v="219"/>
    <x v="1"/>
    <x v="72"/>
    <n v="32306440"/>
    <n v="172989"/>
    <n v="32133451"/>
    <x v="168"/>
    <n v="0.97"/>
    <n v="6.29"/>
    <n v="1.2"/>
    <n v="5"/>
  </r>
  <r>
    <x v="9"/>
    <s v="6"/>
    <x v="0"/>
    <x v="6"/>
    <x v="2"/>
    <x v="2"/>
    <x v="220"/>
    <x v="0"/>
    <x v="119"/>
    <n v="51027008"/>
    <n v="460616"/>
    <n v="50566392"/>
    <x v="169"/>
    <n v="0.97"/>
    <n v="6.29"/>
    <n v="1.2"/>
    <n v="5"/>
  </r>
  <r>
    <x v="9"/>
    <s v="2"/>
    <x v="8"/>
    <x v="0"/>
    <x v="1"/>
    <x v="1"/>
    <x v="221"/>
    <x v="0"/>
    <x v="198"/>
    <n v="98955780"/>
    <n v="352259"/>
    <n v="98603521"/>
    <x v="98"/>
    <n v="0.97"/>
    <n v="6.29"/>
    <n v="1.2"/>
    <n v="10"/>
  </r>
  <r>
    <x v="7"/>
    <s v="5"/>
    <x v="6"/>
    <x v="6"/>
    <x v="2"/>
    <x v="1"/>
    <x v="222"/>
    <x v="0"/>
    <x v="172"/>
    <n v="64155984"/>
    <n v="326393"/>
    <n v="63829591"/>
    <x v="52"/>
    <n v="0.97"/>
    <n v="6.29"/>
    <n v="1.2"/>
    <n v="6"/>
  </r>
  <r>
    <x v="0"/>
    <s v="10"/>
    <x v="3"/>
    <x v="2"/>
    <x v="0"/>
    <x v="1"/>
    <x v="223"/>
    <x v="2"/>
    <x v="199"/>
    <n v="77910308"/>
    <n v="294255"/>
    <n v="77616053"/>
    <x v="102"/>
    <n v="0.97"/>
    <n v="6.29"/>
    <n v="1.2"/>
    <n v="5"/>
  </r>
  <r>
    <x v="4"/>
    <s v="4"/>
    <x v="5"/>
    <x v="8"/>
    <x v="2"/>
    <x v="2"/>
    <x v="224"/>
    <x v="0"/>
    <x v="200"/>
    <n v="100344348"/>
    <n v="490041"/>
    <n v="99854307"/>
    <x v="170"/>
    <n v="0.97"/>
    <n v="6.29"/>
    <n v="1.2"/>
    <n v="9"/>
  </r>
  <r>
    <x v="5"/>
    <s v="9"/>
    <x v="2"/>
    <x v="1"/>
    <x v="1"/>
    <x v="3"/>
    <x v="225"/>
    <x v="0"/>
    <x v="201"/>
    <n v="74882990"/>
    <n v="160361"/>
    <n v="74722629"/>
    <x v="141"/>
    <n v="0.97"/>
    <n v="6.29"/>
    <n v="1.2"/>
    <n v="3"/>
  </r>
  <r>
    <x v="0"/>
    <s v="6"/>
    <x v="9"/>
    <x v="1"/>
    <x v="2"/>
    <x v="0"/>
    <x v="226"/>
    <x v="1"/>
    <x v="202"/>
    <n v="29816920"/>
    <n v="336744"/>
    <n v="29480176"/>
    <x v="17"/>
    <n v="0.97"/>
    <n v="6.29"/>
    <n v="1.2"/>
    <n v="3"/>
  </r>
  <r>
    <x v="4"/>
    <s v="2"/>
    <x v="6"/>
    <x v="7"/>
    <x v="2"/>
    <x v="2"/>
    <x v="227"/>
    <x v="0"/>
    <x v="36"/>
    <n v="60857010"/>
    <n v="349850"/>
    <n v="60507160"/>
    <x v="171"/>
    <n v="0.97"/>
    <n v="6.29"/>
    <n v="1.2"/>
    <n v="7"/>
  </r>
  <r>
    <x v="9"/>
    <s v="1"/>
    <x v="2"/>
    <x v="0"/>
    <x v="0"/>
    <x v="1"/>
    <x v="228"/>
    <x v="2"/>
    <x v="203"/>
    <n v="22132080"/>
    <n v="331366"/>
    <n v="21800714"/>
    <x v="161"/>
    <n v="0.97"/>
    <n v="6.29"/>
    <n v="1.2"/>
    <n v="7"/>
  </r>
  <r>
    <x v="1"/>
    <s v="5"/>
    <x v="9"/>
    <x v="9"/>
    <x v="0"/>
    <x v="2"/>
    <x v="229"/>
    <x v="0"/>
    <x v="2"/>
    <n v="16118384"/>
    <n v="411185"/>
    <n v="15707199"/>
    <x v="172"/>
    <n v="0.97"/>
    <n v="6.29"/>
    <n v="1.2"/>
    <n v="6"/>
  </r>
  <r>
    <x v="8"/>
    <s v="9"/>
    <x v="1"/>
    <x v="4"/>
    <x v="0"/>
    <x v="1"/>
    <x v="230"/>
    <x v="0"/>
    <x v="204"/>
    <n v="13189716"/>
    <n v="416648"/>
    <n v="12773068"/>
    <x v="161"/>
    <n v="0.97"/>
    <n v="6.29"/>
    <n v="1.2"/>
    <n v="3"/>
  </r>
  <r>
    <x v="7"/>
    <s v="6"/>
    <x v="0"/>
    <x v="9"/>
    <x v="1"/>
    <x v="0"/>
    <x v="231"/>
    <x v="0"/>
    <x v="205"/>
    <n v="39956187"/>
    <n v="91139"/>
    <n v="39865048"/>
    <x v="173"/>
    <n v="0.97"/>
    <n v="6.29"/>
    <n v="1.2"/>
    <n v="7"/>
  </r>
  <r>
    <x v="8"/>
    <s v="10"/>
    <x v="3"/>
    <x v="7"/>
    <x v="1"/>
    <x v="0"/>
    <x v="232"/>
    <x v="0"/>
    <x v="206"/>
    <n v="41588714"/>
    <n v="164919"/>
    <n v="41423795"/>
    <x v="2"/>
    <n v="0.97"/>
    <n v="6.29"/>
    <n v="1.2"/>
    <n v="5"/>
  </r>
  <r>
    <x v="3"/>
    <s v="12"/>
    <x v="4"/>
    <x v="2"/>
    <x v="0"/>
    <x v="3"/>
    <x v="233"/>
    <x v="0"/>
    <x v="207"/>
    <n v="39915654"/>
    <n v="297677"/>
    <n v="39617977"/>
    <x v="174"/>
    <n v="0.97"/>
    <n v="6.29"/>
    <n v="1.2"/>
    <n v="7"/>
  </r>
  <r>
    <x v="3"/>
    <s v="7"/>
    <x v="9"/>
    <x v="4"/>
    <x v="0"/>
    <x v="1"/>
    <x v="234"/>
    <x v="1"/>
    <x v="17"/>
    <n v="30126964"/>
    <n v="353446"/>
    <n v="29773518"/>
    <x v="175"/>
    <n v="0.97"/>
    <n v="6.29"/>
    <n v="1.2"/>
    <n v="2"/>
  </r>
  <r>
    <x v="0"/>
    <s v="5"/>
    <x v="4"/>
    <x v="8"/>
    <x v="1"/>
    <x v="3"/>
    <x v="235"/>
    <x v="1"/>
    <x v="132"/>
    <n v="21472950"/>
    <n v="275756"/>
    <n v="21197194"/>
    <x v="176"/>
    <n v="0.97"/>
    <n v="6.29"/>
    <n v="1.2"/>
    <n v="6"/>
  </r>
  <r>
    <x v="9"/>
    <s v="10"/>
    <x v="0"/>
    <x v="9"/>
    <x v="1"/>
    <x v="3"/>
    <x v="236"/>
    <x v="2"/>
    <x v="76"/>
    <n v="63948567"/>
    <n v="399982"/>
    <n v="63548585"/>
    <x v="95"/>
    <n v="0.97"/>
    <n v="6.29"/>
    <n v="1.2"/>
    <n v="8"/>
  </r>
  <r>
    <x v="9"/>
    <s v="6"/>
    <x v="8"/>
    <x v="8"/>
    <x v="1"/>
    <x v="0"/>
    <x v="237"/>
    <x v="0"/>
    <x v="208"/>
    <n v="64629400"/>
    <n v="189718"/>
    <n v="64439682"/>
    <x v="125"/>
    <n v="0.97"/>
    <n v="6.29"/>
    <n v="1.2"/>
    <n v="1"/>
  </r>
  <r>
    <x v="5"/>
    <s v="5"/>
    <x v="5"/>
    <x v="9"/>
    <x v="1"/>
    <x v="2"/>
    <x v="238"/>
    <x v="0"/>
    <x v="209"/>
    <n v="101087238"/>
    <n v="194615"/>
    <n v="100892623"/>
    <x v="177"/>
    <n v="0.97"/>
    <n v="6.29"/>
    <n v="1.2"/>
    <n v="4"/>
  </r>
  <r>
    <x v="5"/>
    <s v="11"/>
    <x v="3"/>
    <x v="8"/>
    <x v="0"/>
    <x v="2"/>
    <x v="239"/>
    <x v="1"/>
    <x v="210"/>
    <n v="37921700"/>
    <n v="275568"/>
    <n v="37646132"/>
    <x v="59"/>
    <n v="0.97"/>
    <n v="6.29"/>
    <n v="1.2"/>
    <n v="1"/>
  </r>
  <r>
    <x v="5"/>
    <s v="9"/>
    <x v="0"/>
    <x v="9"/>
    <x v="1"/>
    <x v="3"/>
    <x v="240"/>
    <x v="2"/>
    <x v="211"/>
    <n v="56135640"/>
    <n v="203857"/>
    <n v="55931783"/>
    <x v="178"/>
    <n v="0.97"/>
    <n v="6.29"/>
    <n v="1.2"/>
    <n v="1"/>
  </r>
  <r>
    <x v="1"/>
    <s v="6"/>
    <x v="0"/>
    <x v="8"/>
    <x v="0"/>
    <x v="0"/>
    <x v="241"/>
    <x v="2"/>
    <x v="212"/>
    <n v="42033402"/>
    <n v="390497"/>
    <n v="41642905"/>
    <x v="87"/>
    <n v="0.97"/>
    <n v="6.29"/>
    <n v="1.2"/>
    <n v="10"/>
  </r>
  <r>
    <x v="2"/>
    <s v="11"/>
    <x v="1"/>
    <x v="7"/>
    <x v="2"/>
    <x v="1"/>
    <x v="242"/>
    <x v="1"/>
    <x v="213"/>
    <n v="22461996"/>
    <n v="474622"/>
    <n v="21987374"/>
    <x v="179"/>
    <n v="0.97"/>
    <n v="6.29"/>
    <n v="1.2"/>
    <n v="8"/>
  </r>
  <r>
    <x v="6"/>
    <s v="8"/>
    <x v="2"/>
    <x v="5"/>
    <x v="2"/>
    <x v="2"/>
    <x v="243"/>
    <x v="2"/>
    <x v="214"/>
    <n v="29319466"/>
    <n v="401136"/>
    <n v="28918330"/>
    <x v="180"/>
    <n v="0.97"/>
    <n v="6.29"/>
    <n v="1.2"/>
    <n v="7"/>
  </r>
  <r>
    <x v="2"/>
    <s v="2"/>
    <x v="5"/>
    <x v="4"/>
    <x v="1"/>
    <x v="3"/>
    <x v="244"/>
    <x v="2"/>
    <x v="215"/>
    <n v="71848450"/>
    <n v="363572"/>
    <n v="71484878"/>
    <x v="181"/>
    <n v="0.97"/>
    <n v="6.29"/>
    <n v="1.2"/>
    <n v="10"/>
  </r>
  <r>
    <x v="8"/>
    <s v="12"/>
    <x v="3"/>
    <x v="0"/>
    <x v="2"/>
    <x v="2"/>
    <x v="245"/>
    <x v="0"/>
    <x v="216"/>
    <n v="120412900"/>
    <n v="73777"/>
    <n v="120339123"/>
    <x v="12"/>
    <n v="0.97"/>
    <n v="6.29"/>
    <n v="1.2"/>
    <n v="1"/>
  </r>
  <r>
    <x v="2"/>
    <s v="9"/>
    <x v="8"/>
    <x v="2"/>
    <x v="2"/>
    <x v="2"/>
    <x v="246"/>
    <x v="2"/>
    <x v="217"/>
    <n v="29173950"/>
    <n v="107939"/>
    <n v="29066011"/>
    <x v="182"/>
    <n v="0.97"/>
    <n v="6.29"/>
    <n v="1.2"/>
    <n v="2"/>
  </r>
  <r>
    <x v="1"/>
    <s v="5"/>
    <x v="8"/>
    <x v="3"/>
    <x v="2"/>
    <x v="1"/>
    <x v="247"/>
    <x v="0"/>
    <x v="41"/>
    <n v="50050482"/>
    <n v="496242"/>
    <n v="49554240"/>
    <x v="63"/>
    <n v="0.97"/>
    <n v="6.29"/>
    <n v="1.2"/>
    <n v="4"/>
  </r>
  <r>
    <x v="8"/>
    <s v="7"/>
    <x v="7"/>
    <x v="6"/>
    <x v="1"/>
    <x v="0"/>
    <x v="248"/>
    <x v="1"/>
    <x v="218"/>
    <n v="46232721"/>
    <n v="398594"/>
    <n v="45834127"/>
    <x v="183"/>
    <n v="0.97"/>
    <n v="6.29"/>
    <n v="1.2"/>
    <n v="1"/>
  </r>
  <r>
    <x v="2"/>
    <s v="10"/>
    <x v="0"/>
    <x v="0"/>
    <x v="1"/>
    <x v="1"/>
    <x v="249"/>
    <x v="2"/>
    <x v="219"/>
    <n v="59381420"/>
    <n v="472769"/>
    <n v="58908651"/>
    <x v="184"/>
    <n v="0.97"/>
    <n v="6.29"/>
    <n v="1.2"/>
    <n v="3"/>
  </r>
  <r>
    <x v="1"/>
    <s v="1"/>
    <x v="9"/>
    <x v="6"/>
    <x v="2"/>
    <x v="0"/>
    <x v="250"/>
    <x v="0"/>
    <x v="135"/>
    <n v="65492850"/>
    <n v="73548"/>
    <n v="65419302"/>
    <x v="145"/>
    <n v="0.97"/>
    <n v="6.29"/>
    <n v="1.2"/>
    <n v="8"/>
  </r>
  <r>
    <x v="6"/>
    <s v="10"/>
    <x v="1"/>
    <x v="4"/>
    <x v="0"/>
    <x v="2"/>
    <x v="251"/>
    <x v="0"/>
    <x v="66"/>
    <n v="74297993"/>
    <n v="480481"/>
    <n v="73817512"/>
    <x v="11"/>
    <n v="0.97"/>
    <n v="6.29"/>
    <n v="1.2"/>
    <n v="8"/>
  </r>
  <r>
    <x v="2"/>
    <s v="5"/>
    <x v="5"/>
    <x v="0"/>
    <x v="2"/>
    <x v="3"/>
    <x v="252"/>
    <x v="0"/>
    <x v="220"/>
    <n v="18402659"/>
    <n v="175549"/>
    <n v="18227110"/>
    <x v="40"/>
    <n v="0.97"/>
    <n v="6.29"/>
    <n v="1.2"/>
    <n v="8"/>
  </r>
  <r>
    <x v="1"/>
    <s v="12"/>
    <x v="8"/>
    <x v="8"/>
    <x v="1"/>
    <x v="1"/>
    <x v="253"/>
    <x v="0"/>
    <x v="221"/>
    <n v="89890920"/>
    <n v="483917"/>
    <n v="89407003"/>
    <x v="98"/>
    <n v="0.97"/>
    <n v="6.29"/>
    <n v="1.2"/>
    <n v="6"/>
  </r>
  <r>
    <x v="5"/>
    <s v="10"/>
    <x v="3"/>
    <x v="8"/>
    <x v="1"/>
    <x v="0"/>
    <x v="254"/>
    <x v="0"/>
    <x v="15"/>
    <n v="66447700"/>
    <n v="494503"/>
    <n v="65953197"/>
    <x v="158"/>
    <n v="0.97"/>
    <n v="6.29"/>
    <n v="1.2"/>
    <n v="6"/>
  </r>
  <r>
    <x v="9"/>
    <s v="2"/>
    <x v="7"/>
    <x v="3"/>
    <x v="1"/>
    <x v="2"/>
    <x v="255"/>
    <x v="0"/>
    <x v="222"/>
    <n v="34580256"/>
    <n v="187799"/>
    <n v="34392457"/>
    <x v="24"/>
    <n v="0.97"/>
    <n v="6.29"/>
    <n v="1.2"/>
    <n v="5"/>
  </r>
  <r>
    <x v="5"/>
    <s v="12"/>
    <x v="3"/>
    <x v="6"/>
    <x v="2"/>
    <x v="0"/>
    <x v="256"/>
    <x v="0"/>
    <x v="223"/>
    <n v="52009776"/>
    <n v="291532"/>
    <n v="51718244"/>
    <x v="82"/>
    <n v="0.97"/>
    <n v="6.29"/>
    <n v="1.2"/>
    <n v="9"/>
  </r>
  <r>
    <x v="9"/>
    <s v="6"/>
    <x v="1"/>
    <x v="2"/>
    <x v="0"/>
    <x v="0"/>
    <x v="257"/>
    <x v="1"/>
    <x v="224"/>
    <n v="11653070"/>
    <n v="231789"/>
    <n v="11421281"/>
    <x v="91"/>
    <n v="0.97"/>
    <n v="6.29"/>
    <n v="1.2"/>
    <n v="4"/>
  </r>
  <r>
    <x v="7"/>
    <s v="11"/>
    <x v="9"/>
    <x v="4"/>
    <x v="1"/>
    <x v="0"/>
    <x v="258"/>
    <x v="0"/>
    <x v="225"/>
    <n v="64123750"/>
    <n v="475643"/>
    <n v="63648107"/>
    <x v="185"/>
    <n v="0.97"/>
    <n v="6.29"/>
    <n v="1.2"/>
    <n v="10"/>
  </r>
  <r>
    <x v="7"/>
    <s v="1"/>
    <x v="7"/>
    <x v="8"/>
    <x v="1"/>
    <x v="2"/>
    <x v="259"/>
    <x v="2"/>
    <x v="226"/>
    <n v="84784992"/>
    <n v="197764"/>
    <n v="84587228"/>
    <x v="186"/>
    <n v="0.97"/>
    <n v="6.29"/>
    <n v="1.2"/>
    <n v="7"/>
  </r>
  <r>
    <x v="7"/>
    <s v="3"/>
    <x v="7"/>
    <x v="5"/>
    <x v="2"/>
    <x v="3"/>
    <x v="260"/>
    <x v="0"/>
    <x v="227"/>
    <n v="47775420"/>
    <n v="81625"/>
    <n v="47693795"/>
    <x v="187"/>
    <n v="0.97"/>
    <n v="6.29"/>
    <n v="1.2"/>
    <n v="1"/>
  </r>
  <r>
    <x v="6"/>
    <s v="5"/>
    <x v="2"/>
    <x v="7"/>
    <x v="0"/>
    <x v="3"/>
    <x v="261"/>
    <x v="2"/>
    <x v="178"/>
    <n v="25080160"/>
    <n v="337062"/>
    <n v="24743098"/>
    <x v="188"/>
    <n v="0.97"/>
    <n v="6.29"/>
    <n v="1.2"/>
    <n v="9"/>
  </r>
  <r>
    <x v="5"/>
    <s v="4"/>
    <x v="5"/>
    <x v="7"/>
    <x v="2"/>
    <x v="3"/>
    <x v="262"/>
    <x v="2"/>
    <x v="228"/>
    <n v="33364380"/>
    <n v="484352"/>
    <n v="32880028"/>
    <x v="8"/>
    <n v="0.97"/>
    <n v="6.29"/>
    <n v="1.2"/>
    <n v="7"/>
  </r>
  <r>
    <x v="9"/>
    <s v="3"/>
    <x v="7"/>
    <x v="9"/>
    <x v="1"/>
    <x v="0"/>
    <x v="263"/>
    <x v="1"/>
    <x v="229"/>
    <n v="44229276"/>
    <n v="426970"/>
    <n v="43802306"/>
    <x v="189"/>
    <n v="0.97"/>
    <n v="6.29"/>
    <n v="1.2"/>
    <n v="10"/>
  </r>
  <r>
    <x v="1"/>
    <s v="10"/>
    <x v="2"/>
    <x v="2"/>
    <x v="0"/>
    <x v="2"/>
    <x v="264"/>
    <x v="2"/>
    <x v="230"/>
    <n v="37072849"/>
    <n v="164881"/>
    <n v="36907968"/>
    <x v="190"/>
    <n v="0.97"/>
    <n v="6.29"/>
    <n v="1.2"/>
    <n v="9"/>
  </r>
  <r>
    <x v="8"/>
    <s v="5"/>
    <x v="2"/>
    <x v="7"/>
    <x v="0"/>
    <x v="0"/>
    <x v="265"/>
    <x v="0"/>
    <x v="231"/>
    <n v="103958206"/>
    <n v="495625"/>
    <n v="103462581"/>
    <x v="121"/>
    <n v="0.97"/>
    <n v="6.29"/>
    <n v="1.2"/>
    <n v="7"/>
  </r>
  <r>
    <x v="1"/>
    <s v="11"/>
    <x v="1"/>
    <x v="9"/>
    <x v="1"/>
    <x v="3"/>
    <x v="266"/>
    <x v="0"/>
    <x v="232"/>
    <n v="54132822"/>
    <n v="327721"/>
    <n v="53805101"/>
    <x v="114"/>
    <n v="0.97"/>
    <n v="6.29"/>
    <n v="1.2"/>
    <n v="2"/>
  </r>
  <r>
    <x v="8"/>
    <s v="8"/>
    <x v="4"/>
    <x v="6"/>
    <x v="0"/>
    <x v="3"/>
    <x v="267"/>
    <x v="1"/>
    <x v="233"/>
    <n v="30040790"/>
    <n v="397299"/>
    <n v="29643491"/>
    <x v="55"/>
    <n v="0.97"/>
    <n v="6.29"/>
    <n v="1.2"/>
    <n v="6"/>
  </r>
  <r>
    <x v="3"/>
    <s v="11"/>
    <x v="3"/>
    <x v="8"/>
    <x v="0"/>
    <x v="2"/>
    <x v="268"/>
    <x v="0"/>
    <x v="44"/>
    <n v="87238151"/>
    <n v="161776"/>
    <n v="87076375"/>
    <x v="191"/>
    <n v="0.97"/>
    <n v="6.29"/>
    <n v="1.2"/>
    <n v="10"/>
  </r>
  <r>
    <x v="1"/>
    <s v="4"/>
    <x v="9"/>
    <x v="8"/>
    <x v="2"/>
    <x v="0"/>
    <x v="269"/>
    <x v="2"/>
    <x v="234"/>
    <n v="13718384"/>
    <n v="411390"/>
    <n v="13306994"/>
    <x v="173"/>
    <n v="0.97"/>
    <n v="6.29"/>
    <n v="1.2"/>
    <n v="4"/>
  </r>
  <r>
    <x v="2"/>
    <s v="1"/>
    <x v="6"/>
    <x v="5"/>
    <x v="1"/>
    <x v="1"/>
    <x v="270"/>
    <x v="2"/>
    <x v="235"/>
    <n v="63784401"/>
    <n v="283996"/>
    <n v="63500405"/>
    <x v="171"/>
    <n v="0.97"/>
    <n v="6.29"/>
    <n v="1.2"/>
    <n v="3"/>
  </r>
  <r>
    <x v="2"/>
    <s v="11"/>
    <x v="3"/>
    <x v="0"/>
    <x v="1"/>
    <x v="1"/>
    <x v="271"/>
    <x v="2"/>
    <x v="236"/>
    <n v="28871829"/>
    <n v="307831"/>
    <n v="28563998"/>
    <x v="192"/>
    <n v="0.97"/>
    <n v="6.29"/>
    <n v="1.2"/>
    <n v="2"/>
  </r>
  <r>
    <x v="0"/>
    <s v="7"/>
    <x v="7"/>
    <x v="7"/>
    <x v="1"/>
    <x v="3"/>
    <x v="272"/>
    <x v="0"/>
    <x v="237"/>
    <n v="57724515"/>
    <n v="262803"/>
    <n v="57461712"/>
    <x v="76"/>
    <n v="0.97"/>
    <n v="6.29"/>
    <n v="1.2"/>
    <n v="6"/>
  </r>
  <r>
    <x v="5"/>
    <s v="8"/>
    <x v="9"/>
    <x v="6"/>
    <x v="1"/>
    <x v="2"/>
    <x v="273"/>
    <x v="2"/>
    <x v="179"/>
    <n v="15940435"/>
    <n v="208761"/>
    <n v="15731674"/>
    <x v="193"/>
    <n v="0.97"/>
    <n v="6.29"/>
    <n v="1.2"/>
    <n v="8"/>
  </r>
  <r>
    <x v="8"/>
    <s v="3"/>
    <x v="8"/>
    <x v="1"/>
    <x v="1"/>
    <x v="0"/>
    <x v="274"/>
    <x v="0"/>
    <x v="238"/>
    <n v="27680045"/>
    <n v="192226"/>
    <n v="27487819"/>
    <x v="172"/>
    <n v="0.97"/>
    <n v="6.29"/>
    <n v="1.2"/>
    <n v="6"/>
  </r>
  <r>
    <x v="8"/>
    <s v="6"/>
    <x v="4"/>
    <x v="7"/>
    <x v="0"/>
    <x v="0"/>
    <x v="275"/>
    <x v="0"/>
    <x v="239"/>
    <n v="32386736"/>
    <n v="407092"/>
    <n v="31979644"/>
    <x v="194"/>
    <n v="0.97"/>
    <n v="6.29"/>
    <n v="1.2"/>
    <n v="9"/>
  </r>
  <r>
    <x v="5"/>
    <s v="2"/>
    <x v="8"/>
    <x v="2"/>
    <x v="2"/>
    <x v="3"/>
    <x v="276"/>
    <x v="1"/>
    <x v="240"/>
    <n v="33367044"/>
    <n v="71341"/>
    <n v="33295703"/>
    <x v="195"/>
    <n v="0.97"/>
    <n v="6.29"/>
    <n v="1.2"/>
    <n v="5"/>
  </r>
  <r>
    <x v="6"/>
    <s v="7"/>
    <x v="8"/>
    <x v="0"/>
    <x v="1"/>
    <x v="3"/>
    <x v="277"/>
    <x v="0"/>
    <x v="241"/>
    <n v="92687178"/>
    <n v="409698"/>
    <n v="92277480"/>
    <x v="3"/>
    <n v="0.97"/>
    <n v="6.29"/>
    <n v="1.2"/>
    <n v="2"/>
  </r>
  <r>
    <x v="0"/>
    <s v="8"/>
    <x v="5"/>
    <x v="7"/>
    <x v="2"/>
    <x v="0"/>
    <x v="278"/>
    <x v="2"/>
    <x v="242"/>
    <n v="12266226"/>
    <n v="255753"/>
    <n v="12010473"/>
    <x v="196"/>
    <n v="0.97"/>
    <n v="6.29"/>
    <n v="1.2"/>
    <n v="8"/>
  </r>
  <r>
    <x v="6"/>
    <s v="6"/>
    <x v="3"/>
    <x v="6"/>
    <x v="2"/>
    <x v="0"/>
    <x v="279"/>
    <x v="2"/>
    <x v="130"/>
    <n v="53145856"/>
    <n v="419942"/>
    <n v="52725914"/>
    <x v="112"/>
    <n v="0.97"/>
    <n v="6.29"/>
    <n v="1.2"/>
    <n v="9"/>
  </r>
  <r>
    <x v="6"/>
    <s v="6"/>
    <x v="6"/>
    <x v="7"/>
    <x v="0"/>
    <x v="3"/>
    <x v="280"/>
    <x v="2"/>
    <x v="10"/>
    <n v="32817399"/>
    <n v="358474"/>
    <n v="32458925"/>
    <x v="129"/>
    <n v="0.97"/>
    <n v="6.29"/>
    <n v="1.2"/>
    <n v="10"/>
  </r>
  <r>
    <x v="6"/>
    <s v="5"/>
    <x v="1"/>
    <x v="2"/>
    <x v="1"/>
    <x v="0"/>
    <x v="281"/>
    <x v="0"/>
    <x v="243"/>
    <n v="91871063"/>
    <n v="299141"/>
    <n v="91571922"/>
    <x v="22"/>
    <n v="0.97"/>
    <n v="6.29"/>
    <n v="1.2"/>
    <n v="4"/>
  </r>
  <r>
    <x v="5"/>
    <s v="8"/>
    <x v="6"/>
    <x v="1"/>
    <x v="0"/>
    <x v="1"/>
    <x v="282"/>
    <x v="0"/>
    <x v="244"/>
    <n v="43628776"/>
    <n v="399903"/>
    <n v="43228873"/>
    <x v="197"/>
    <n v="0.97"/>
    <n v="6.29"/>
    <n v="1.2"/>
    <n v="6"/>
  </r>
  <r>
    <x v="6"/>
    <s v="1"/>
    <x v="8"/>
    <x v="4"/>
    <x v="1"/>
    <x v="3"/>
    <x v="283"/>
    <x v="0"/>
    <x v="245"/>
    <n v="18559961"/>
    <n v="249488"/>
    <n v="18310473"/>
    <x v="164"/>
    <n v="0.97"/>
    <n v="6.29"/>
    <n v="1.2"/>
    <n v="10"/>
  </r>
  <r>
    <x v="2"/>
    <s v="10"/>
    <x v="7"/>
    <x v="3"/>
    <x v="0"/>
    <x v="0"/>
    <x v="284"/>
    <x v="0"/>
    <x v="246"/>
    <n v="87776391"/>
    <n v="306139"/>
    <n v="87470252"/>
    <x v="12"/>
    <n v="0.97"/>
    <n v="6.29"/>
    <n v="1.2"/>
    <n v="8"/>
  </r>
  <r>
    <x v="7"/>
    <s v="4"/>
    <x v="4"/>
    <x v="1"/>
    <x v="2"/>
    <x v="3"/>
    <x v="285"/>
    <x v="2"/>
    <x v="247"/>
    <n v="39859840"/>
    <n v="398951"/>
    <n v="39460889"/>
    <x v="23"/>
    <n v="0.97"/>
    <n v="6.29"/>
    <n v="1.2"/>
    <n v="9"/>
  </r>
  <r>
    <x v="3"/>
    <s v="4"/>
    <x v="0"/>
    <x v="9"/>
    <x v="1"/>
    <x v="2"/>
    <x v="286"/>
    <x v="2"/>
    <x v="248"/>
    <n v="68201371"/>
    <n v="345457"/>
    <n v="67855914"/>
    <x v="198"/>
    <n v="0.97"/>
    <n v="6.29"/>
    <n v="1.2"/>
    <n v="5"/>
  </r>
  <r>
    <x v="8"/>
    <s v="3"/>
    <x v="6"/>
    <x v="7"/>
    <x v="2"/>
    <x v="3"/>
    <x v="287"/>
    <x v="0"/>
    <x v="96"/>
    <n v="8549400"/>
    <n v="359044"/>
    <n v="8190356"/>
    <x v="199"/>
    <n v="0.97"/>
    <n v="6.29"/>
    <n v="1.2"/>
    <n v="6"/>
  </r>
  <r>
    <x v="8"/>
    <s v="3"/>
    <x v="8"/>
    <x v="8"/>
    <x v="2"/>
    <x v="3"/>
    <x v="288"/>
    <x v="2"/>
    <x v="249"/>
    <n v="36186750"/>
    <n v="128840"/>
    <n v="36057910"/>
    <x v="141"/>
    <n v="0.97"/>
    <n v="6.29"/>
    <n v="1.2"/>
    <n v="4"/>
  </r>
  <r>
    <x v="3"/>
    <s v="4"/>
    <x v="4"/>
    <x v="5"/>
    <x v="0"/>
    <x v="2"/>
    <x v="289"/>
    <x v="1"/>
    <x v="250"/>
    <n v="12663729"/>
    <n v="215767"/>
    <n v="12447962"/>
    <x v="200"/>
    <n v="0.97"/>
    <n v="6.29"/>
    <n v="1.2"/>
    <n v="5"/>
  </r>
  <r>
    <x v="5"/>
    <s v="11"/>
    <x v="9"/>
    <x v="8"/>
    <x v="1"/>
    <x v="1"/>
    <x v="290"/>
    <x v="0"/>
    <x v="251"/>
    <n v="29021605"/>
    <n v="211297"/>
    <n v="28810308"/>
    <x v="201"/>
    <n v="0.97"/>
    <n v="6.29"/>
    <n v="1.2"/>
    <n v="7"/>
  </r>
  <r>
    <x v="1"/>
    <s v="1"/>
    <x v="3"/>
    <x v="1"/>
    <x v="2"/>
    <x v="0"/>
    <x v="291"/>
    <x v="0"/>
    <x v="252"/>
    <n v="108066240"/>
    <n v="398216"/>
    <n v="107668024"/>
    <x v="45"/>
    <n v="0.97"/>
    <n v="6.29"/>
    <n v="1.2"/>
    <n v="9"/>
  </r>
  <r>
    <x v="5"/>
    <s v="11"/>
    <x v="2"/>
    <x v="8"/>
    <x v="0"/>
    <x v="2"/>
    <x v="292"/>
    <x v="2"/>
    <x v="219"/>
    <n v="53486261"/>
    <n v="408511"/>
    <n v="53077750"/>
    <x v="186"/>
    <n v="0.97"/>
    <n v="6.29"/>
    <n v="1.2"/>
    <n v="10"/>
  </r>
  <r>
    <x v="8"/>
    <s v="11"/>
    <x v="5"/>
    <x v="6"/>
    <x v="1"/>
    <x v="3"/>
    <x v="293"/>
    <x v="0"/>
    <x v="253"/>
    <n v="54803199"/>
    <n v="99156"/>
    <n v="54704043"/>
    <x v="15"/>
    <n v="0.97"/>
    <n v="6.29"/>
    <n v="1.2"/>
    <n v="6"/>
  </r>
  <r>
    <x v="8"/>
    <s v="2"/>
    <x v="4"/>
    <x v="8"/>
    <x v="1"/>
    <x v="0"/>
    <x v="294"/>
    <x v="0"/>
    <x v="254"/>
    <n v="116349857"/>
    <n v="258281"/>
    <n v="116091576"/>
    <x v="202"/>
    <n v="0.97"/>
    <n v="6.29"/>
    <n v="1.2"/>
    <n v="6"/>
  </r>
  <r>
    <x v="3"/>
    <s v="9"/>
    <x v="7"/>
    <x v="0"/>
    <x v="2"/>
    <x v="2"/>
    <x v="295"/>
    <x v="0"/>
    <x v="255"/>
    <n v="47910360"/>
    <n v="137453"/>
    <n v="47772907"/>
    <x v="55"/>
    <n v="0.97"/>
    <n v="6.29"/>
    <n v="1.2"/>
    <n v="8"/>
  </r>
  <r>
    <x v="6"/>
    <s v="10"/>
    <x v="7"/>
    <x v="4"/>
    <x v="1"/>
    <x v="0"/>
    <x v="296"/>
    <x v="1"/>
    <x v="256"/>
    <n v="15584715"/>
    <n v="208901"/>
    <n v="15375814"/>
    <x v="180"/>
    <n v="0.97"/>
    <n v="6.29"/>
    <n v="1.2"/>
    <n v="4"/>
  </r>
  <r>
    <x v="5"/>
    <s v="2"/>
    <x v="4"/>
    <x v="7"/>
    <x v="2"/>
    <x v="0"/>
    <x v="297"/>
    <x v="0"/>
    <x v="28"/>
    <n v="92067206"/>
    <n v="75938"/>
    <n v="91991268"/>
    <x v="130"/>
    <n v="0.97"/>
    <n v="6.29"/>
    <n v="1.2"/>
    <n v="3"/>
  </r>
  <r>
    <x v="9"/>
    <s v="5"/>
    <x v="7"/>
    <x v="8"/>
    <x v="1"/>
    <x v="2"/>
    <x v="298"/>
    <x v="0"/>
    <x v="257"/>
    <n v="42211584"/>
    <n v="109164"/>
    <n v="42102420"/>
    <x v="203"/>
    <n v="0.97"/>
    <n v="6.29"/>
    <n v="1.2"/>
    <n v="7"/>
  </r>
  <r>
    <x v="3"/>
    <s v="9"/>
    <x v="3"/>
    <x v="2"/>
    <x v="0"/>
    <x v="0"/>
    <x v="299"/>
    <x v="2"/>
    <x v="30"/>
    <n v="43653629"/>
    <n v="497746"/>
    <n v="43155883"/>
    <x v="15"/>
    <n v="0.97"/>
    <n v="6.29"/>
    <n v="1.2"/>
    <n v="5"/>
  </r>
  <r>
    <x v="2"/>
    <s v="9"/>
    <x v="7"/>
    <x v="4"/>
    <x v="2"/>
    <x v="1"/>
    <x v="300"/>
    <x v="0"/>
    <x v="258"/>
    <n v="56822118"/>
    <n v="249271"/>
    <n v="56572847"/>
    <x v="10"/>
    <n v="0.97"/>
    <n v="6.29"/>
    <n v="1.2"/>
    <n v="2"/>
  </r>
  <r>
    <x v="8"/>
    <s v="8"/>
    <x v="6"/>
    <x v="4"/>
    <x v="2"/>
    <x v="2"/>
    <x v="301"/>
    <x v="0"/>
    <x v="259"/>
    <n v="45699554"/>
    <n v="110282"/>
    <n v="45589272"/>
    <x v="199"/>
    <n v="0.97"/>
    <n v="6.29"/>
    <n v="1.2"/>
    <n v="2"/>
  </r>
  <r>
    <x v="3"/>
    <s v="1"/>
    <x v="2"/>
    <x v="8"/>
    <x v="1"/>
    <x v="1"/>
    <x v="302"/>
    <x v="2"/>
    <x v="260"/>
    <n v="28505520"/>
    <n v="359945"/>
    <n v="28145575"/>
    <x v="53"/>
    <n v="0.97"/>
    <n v="6.29"/>
    <n v="1.2"/>
    <n v="6"/>
  </r>
  <r>
    <x v="5"/>
    <s v="1"/>
    <x v="7"/>
    <x v="4"/>
    <x v="1"/>
    <x v="3"/>
    <x v="303"/>
    <x v="0"/>
    <x v="261"/>
    <n v="8011391"/>
    <n v="452681"/>
    <n v="7558710"/>
    <x v="49"/>
    <n v="0.97"/>
    <n v="6.29"/>
    <n v="1.2"/>
    <n v="8"/>
  </r>
  <r>
    <x v="8"/>
    <s v="9"/>
    <x v="2"/>
    <x v="5"/>
    <x v="2"/>
    <x v="0"/>
    <x v="304"/>
    <x v="0"/>
    <x v="227"/>
    <n v="56093040"/>
    <n v="315470"/>
    <n v="55777570"/>
    <x v="204"/>
    <n v="0.97"/>
    <n v="6.29"/>
    <n v="1.2"/>
    <n v="1"/>
  </r>
  <r>
    <x v="1"/>
    <s v="11"/>
    <x v="8"/>
    <x v="8"/>
    <x v="1"/>
    <x v="3"/>
    <x v="305"/>
    <x v="2"/>
    <x v="163"/>
    <n v="67096228"/>
    <n v="446875"/>
    <n v="66649353"/>
    <x v="205"/>
    <n v="0.97"/>
    <n v="6.29"/>
    <n v="1.2"/>
    <n v="6"/>
  </r>
  <r>
    <x v="3"/>
    <s v="8"/>
    <x v="1"/>
    <x v="6"/>
    <x v="0"/>
    <x v="3"/>
    <x v="306"/>
    <x v="0"/>
    <x v="5"/>
    <n v="57477168"/>
    <n v="208666"/>
    <n v="57268502"/>
    <x v="206"/>
    <n v="0.97"/>
    <n v="6.29"/>
    <n v="1.2"/>
    <n v="2"/>
  </r>
  <r>
    <x v="0"/>
    <s v="10"/>
    <x v="3"/>
    <x v="1"/>
    <x v="1"/>
    <x v="0"/>
    <x v="307"/>
    <x v="0"/>
    <x v="262"/>
    <n v="41224342"/>
    <n v="165819"/>
    <n v="41058523"/>
    <x v="63"/>
    <n v="0.97"/>
    <n v="6.29"/>
    <n v="1.2"/>
    <n v="2"/>
  </r>
  <r>
    <x v="8"/>
    <s v="9"/>
    <x v="1"/>
    <x v="0"/>
    <x v="0"/>
    <x v="2"/>
    <x v="308"/>
    <x v="0"/>
    <x v="263"/>
    <n v="25927635"/>
    <n v="316907"/>
    <n v="25610728"/>
    <x v="25"/>
    <n v="0.97"/>
    <n v="6.29"/>
    <n v="1.2"/>
    <n v="7"/>
  </r>
  <r>
    <x v="5"/>
    <s v="7"/>
    <x v="8"/>
    <x v="3"/>
    <x v="0"/>
    <x v="0"/>
    <x v="309"/>
    <x v="2"/>
    <x v="264"/>
    <n v="18248350"/>
    <n v="191900"/>
    <n v="18056450"/>
    <x v="40"/>
    <n v="0.97"/>
    <n v="6.29"/>
    <n v="1.2"/>
    <n v="10"/>
  </r>
  <r>
    <x v="7"/>
    <s v="3"/>
    <x v="3"/>
    <x v="9"/>
    <x v="0"/>
    <x v="3"/>
    <x v="310"/>
    <x v="0"/>
    <x v="3"/>
    <n v="87466410"/>
    <n v="359732"/>
    <n v="87106678"/>
    <x v="128"/>
    <n v="0.97"/>
    <n v="6.29"/>
    <n v="1.2"/>
    <n v="1"/>
  </r>
  <r>
    <x v="9"/>
    <s v="3"/>
    <x v="4"/>
    <x v="4"/>
    <x v="0"/>
    <x v="3"/>
    <x v="311"/>
    <x v="0"/>
    <x v="66"/>
    <n v="88770682"/>
    <n v="323365"/>
    <n v="88447317"/>
    <x v="3"/>
    <n v="0.97"/>
    <n v="6.29"/>
    <n v="1.2"/>
    <n v="6"/>
  </r>
  <r>
    <x v="4"/>
    <s v="2"/>
    <x v="4"/>
    <x v="6"/>
    <x v="0"/>
    <x v="2"/>
    <x v="312"/>
    <x v="2"/>
    <x v="265"/>
    <n v="38751372"/>
    <n v="454427"/>
    <n v="38296945"/>
    <x v="108"/>
    <n v="0.97"/>
    <n v="6.29"/>
    <n v="1.2"/>
    <n v="7"/>
  </r>
  <r>
    <x v="6"/>
    <s v="5"/>
    <x v="2"/>
    <x v="7"/>
    <x v="1"/>
    <x v="0"/>
    <x v="313"/>
    <x v="0"/>
    <x v="266"/>
    <n v="18518544"/>
    <n v="63569"/>
    <n v="18454975"/>
    <x v="81"/>
    <n v="0.97"/>
    <n v="6.29"/>
    <n v="1.2"/>
    <n v="8"/>
  </r>
  <r>
    <x v="4"/>
    <s v="12"/>
    <x v="8"/>
    <x v="7"/>
    <x v="0"/>
    <x v="3"/>
    <x v="314"/>
    <x v="0"/>
    <x v="267"/>
    <n v="62299456"/>
    <n v="277966"/>
    <n v="62021490"/>
    <x v="207"/>
    <n v="0.97"/>
    <n v="6.29"/>
    <n v="1.2"/>
    <n v="7"/>
  </r>
  <r>
    <x v="5"/>
    <s v="12"/>
    <x v="2"/>
    <x v="9"/>
    <x v="1"/>
    <x v="1"/>
    <x v="315"/>
    <x v="2"/>
    <x v="268"/>
    <n v="62603024"/>
    <n v="87860"/>
    <n v="62515164"/>
    <x v="137"/>
    <n v="0.97"/>
    <n v="6.29"/>
    <n v="1.2"/>
    <n v="6"/>
  </r>
  <r>
    <x v="2"/>
    <s v="3"/>
    <x v="5"/>
    <x v="0"/>
    <x v="0"/>
    <x v="3"/>
    <x v="316"/>
    <x v="0"/>
    <x v="269"/>
    <n v="63532098"/>
    <n v="252630"/>
    <n v="63279468"/>
    <x v="76"/>
    <n v="0.97"/>
    <n v="6.29"/>
    <n v="1.2"/>
    <n v="9"/>
  </r>
  <r>
    <x v="2"/>
    <s v="6"/>
    <x v="7"/>
    <x v="4"/>
    <x v="2"/>
    <x v="3"/>
    <x v="317"/>
    <x v="2"/>
    <x v="126"/>
    <n v="42657450"/>
    <n v="357481"/>
    <n v="42299969"/>
    <x v="62"/>
    <n v="0.97"/>
    <n v="6.29"/>
    <n v="1.2"/>
    <n v="3"/>
  </r>
  <r>
    <x v="7"/>
    <s v="2"/>
    <x v="0"/>
    <x v="5"/>
    <x v="0"/>
    <x v="2"/>
    <x v="318"/>
    <x v="1"/>
    <x v="122"/>
    <n v="27928080"/>
    <n v="495527"/>
    <n v="27432553"/>
    <x v="175"/>
    <n v="0.97"/>
    <n v="6.29"/>
    <n v="1.2"/>
    <n v="6"/>
  </r>
  <r>
    <x v="6"/>
    <s v="12"/>
    <x v="5"/>
    <x v="9"/>
    <x v="2"/>
    <x v="1"/>
    <x v="319"/>
    <x v="2"/>
    <x v="81"/>
    <n v="38867076"/>
    <n v="194587"/>
    <n v="38672489"/>
    <x v="140"/>
    <n v="0.97"/>
    <n v="6.29"/>
    <n v="1.2"/>
    <n v="4"/>
  </r>
  <r>
    <x v="0"/>
    <s v="3"/>
    <x v="7"/>
    <x v="0"/>
    <x v="0"/>
    <x v="3"/>
    <x v="320"/>
    <x v="2"/>
    <x v="194"/>
    <n v="40351358"/>
    <n v="121695"/>
    <n v="40229663"/>
    <x v="82"/>
    <n v="0.97"/>
    <n v="6.29"/>
    <n v="1.2"/>
    <n v="2"/>
  </r>
  <r>
    <x v="7"/>
    <s v="5"/>
    <x v="3"/>
    <x v="4"/>
    <x v="0"/>
    <x v="3"/>
    <x v="321"/>
    <x v="2"/>
    <x v="230"/>
    <n v="39495669"/>
    <n v="303078"/>
    <n v="39192591"/>
    <x v="208"/>
    <n v="0.97"/>
    <n v="6.29"/>
    <n v="1.2"/>
    <n v="1"/>
  </r>
  <r>
    <x v="4"/>
    <s v="12"/>
    <x v="2"/>
    <x v="6"/>
    <x v="0"/>
    <x v="1"/>
    <x v="322"/>
    <x v="2"/>
    <x v="270"/>
    <n v="8412170"/>
    <n v="292599"/>
    <n v="8119571"/>
    <x v="8"/>
    <n v="0.97"/>
    <n v="6.29"/>
    <n v="1.2"/>
    <n v="1"/>
  </r>
  <r>
    <x v="7"/>
    <s v="11"/>
    <x v="3"/>
    <x v="1"/>
    <x v="2"/>
    <x v="0"/>
    <x v="323"/>
    <x v="0"/>
    <x v="271"/>
    <n v="61523124"/>
    <n v="418893"/>
    <n v="61104231"/>
    <x v="209"/>
    <n v="0.97"/>
    <n v="6.29"/>
    <n v="1.2"/>
    <n v="10"/>
  </r>
  <r>
    <x v="4"/>
    <s v="11"/>
    <x v="3"/>
    <x v="5"/>
    <x v="2"/>
    <x v="0"/>
    <x v="324"/>
    <x v="0"/>
    <x v="272"/>
    <n v="47376970"/>
    <n v="205976"/>
    <n v="47170994"/>
    <x v="187"/>
    <n v="0.97"/>
    <n v="6.29"/>
    <n v="1.2"/>
    <n v="3"/>
  </r>
  <r>
    <x v="8"/>
    <s v="1"/>
    <x v="7"/>
    <x v="3"/>
    <x v="0"/>
    <x v="3"/>
    <x v="325"/>
    <x v="1"/>
    <x v="273"/>
    <n v="29078121"/>
    <n v="241007"/>
    <n v="28837114"/>
    <x v="210"/>
    <n v="0.97"/>
    <n v="6.29"/>
    <n v="1.2"/>
    <n v="4"/>
  </r>
  <r>
    <x v="2"/>
    <s v="1"/>
    <x v="8"/>
    <x v="7"/>
    <x v="1"/>
    <x v="3"/>
    <x v="326"/>
    <x v="2"/>
    <x v="274"/>
    <n v="40684800"/>
    <n v="355934"/>
    <n v="40328866"/>
    <x v="174"/>
    <n v="0.97"/>
    <n v="6.29"/>
    <n v="1.2"/>
    <n v="2"/>
  </r>
  <r>
    <x v="8"/>
    <s v="10"/>
    <x v="7"/>
    <x v="2"/>
    <x v="0"/>
    <x v="0"/>
    <x v="327"/>
    <x v="0"/>
    <x v="275"/>
    <n v="77610360"/>
    <n v="380724"/>
    <n v="77229636"/>
    <x v="211"/>
    <n v="0.97"/>
    <n v="6.29"/>
    <n v="1.2"/>
    <n v="1"/>
  </r>
  <r>
    <x v="9"/>
    <s v="9"/>
    <x v="9"/>
    <x v="6"/>
    <x v="2"/>
    <x v="2"/>
    <x v="328"/>
    <x v="2"/>
    <x v="276"/>
    <n v="30935184"/>
    <n v="55636"/>
    <n v="30879548"/>
    <x v="60"/>
    <n v="0.97"/>
    <n v="6.29"/>
    <n v="1.2"/>
    <n v="4"/>
  </r>
  <r>
    <x v="6"/>
    <s v="7"/>
    <x v="4"/>
    <x v="7"/>
    <x v="0"/>
    <x v="1"/>
    <x v="329"/>
    <x v="2"/>
    <x v="277"/>
    <n v="90728100"/>
    <n v="311578"/>
    <n v="90416522"/>
    <x v="212"/>
    <n v="0.97"/>
    <n v="6.29"/>
    <n v="1.2"/>
    <n v="7"/>
  </r>
  <r>
    <x v="0"/>
    <s v="1"/>
    <x v="4"/>
    <x v="8"/>
    <x v="2"/>
    <x v="1"/>
    <x v="330"/>
    <x v="1"/>
    <x v="160"/>
    <n v="15114709"/>
    <n v="389273"/>
    <n v="14725436"/>
    <x v="8"/>
    <n v="0.97"/>
    <n v="6.29"/>
    <n v="1.2"/>
    <n v="10"/>
  </r>
  <r>
    <x v="4"/>
    <s v="12"/>
    <x v="5"/>
    <x v="2"/>
    <x v="2"/>
    <x v="2"/>
    <x v="331"/>
    <x v="0"/>
    <x v="93"/>
    <n v="60529140"/>
    <n v="446108"/>
    <n v="60083032"/>
    <x v="175"/>
    <n v="0.97"/>
    <n v="6.29"/>
    <n v="1.2"/>
    <n v="6"/>
  </r>
  <r>
    <x v="0"/>
    <s v="8"/>
    <x v="4"/>
    <x v="7"/>
    <x v="2"/>
    <x v="2"/>
    <x v="332"/>
    <x v="0"/>
    <x v="278"/>
    <n v="80380884"/>
    <n v="333816"/>
    <n v="80047068"/>
    <x v="183"/>
    <n v="0.97"/>
    <n v="6.29"/>
    <n v="1.2"/>
    <n v="6"/>
  </r>
  <r>
    <x v="4"/>
    <s v="3"/>
    <x v="7"/>
    <x v="0"/>
    <x v="0"/>
    <x v="2"/>
    <x v="333"/>
    <x v="2"/>
    <x v="279"/>
    <n v="41635650"/>
    <n v="317956"/>
    <n v="41317694"/>
    <x v="213"/>
    <n v="0.97"/>
    <n v="6.29"/>
    <n v="1.2"/>
    <n v="9"/>
  </r>
  <r>
    <x v="5"/>
    <s v="8"/>
    <x v="6"/>
    <x v="5"/>
    <x v="2"/>
    <x v="2"/>
    <x v="334"/>
    <x v="0"/>
    <x v="280"/>
    <n v="64886378"/>
    <n v="277693"/>
    <n v="64608685"/>
    <x v="58"/>
    <n v="0.97"/>
    <n v="6.29"/>
    <n v="1.2"/>
    <n v="2"/>
  </r>
  <r>
    <x v="7"/>
    <s v="5"/>
    <x v="2"/>
    <x v="7"/>
    <x v="2"/>
    <x v="2"/>
    <x v="335"/>
    <x v="2"/>
    <x v="281"/>
    <n v="38024240"/>
    <n v="50654"/>
    <n v="37973586"/>
    <x v="214"/>
    <n v="0.97"/>
    <n v="6.29"/>
    <n v="1.2"/>
    <n v="4"/>
  </r>
  <r>
    <x v="9"/>
    <s v="1"/>
    <x v="7"/>
    <x v="3"/>
    <x v="0"/>
    <x v="2"/>
    <x v="336"/>
    <x v="2"/>
    <x v="282"/>
    <n v="29534614"/>
    <n v="104633"/>
    <n v="29429981"/>
    <x v="157"/>
    <n v="0.97"/>
    <n v="6.29"/>
    <n v="1.2"/>
    <n v="5"/>
  </r>
  <r>
    <x v="2"/>
    <s v="7"/>
    <x v="7"/>
    <x v="1"/>
    <x v="2"/>
    <x v="1"/>
    <x v="337"/>
    <x v="0"/>
    <x v="283"/>
    <n v="58761304"/>
    <n v="67143"/>
    <n v="58694161"/>
    <x v="96"/>
    <n v="0.97"/>
    <n v="6.29"/>
    <n v="1.2"/>
    <n v="1"/>
  </r>
  <r>
    <x v="4"/>
    <s v="5"/>
    <x v="0"/>
    <x v="0"/>
    <x v="0"/>
    <x v="2"/>
    <x v="338"/>
    <x v="1"/>
    <x v="284"/>
    <n v="33900066"/>
    <n v="105934"/>
    <n v="33794132"/>
    <x v="215"/>
    <n v="0.97"/>
    <n v="6.29"/>
    <n v="1.2"/>
    <n v="8"/>
  </r>
  <r>
    <x v="0"/>
    <s v="6"/>
    <x v="2"/>
    <x v="6"/>
    <x v="2"/>
    <x v="0"/>
    <x v="339"/>
    <x v="1"/>
    <x v="166"/>
    <n v="16951297"/>
    <n v="379478"/>
    <n v="16571819"/>
    <x v="216"/>
    <n v="0.97"/>
    <n v="6.29"/>
    <n v="1.2"/>
    <n v="8"/>
  </r>
  <r>
    <x v="9"/>
    <s v="6"/>
    <x v="9"/>
    <x v="6"/>
    <x v="1"/>
    <x v="2"/>
    <x v="340"/>
    <x v="0"/>
    <x v="285"/>
    <n v="12758026"/>
    <n v="153463"/>
    <n v="12604563"/>
    <x v="44"/>
    <n v="0.97"/>
    <n v="6.29"/>
    <n v="1.2"/>
    <n v="6"/>
  </r>
  <r>
    <x v="1"/>
    <s v="8"/>
    <x v="4"/>
    <x v="6"/>
    <x v="1"/>
    <x v="2"/>
    <x v="341"/>
    <x v="0"/>
    <x v="286"/>
    <n v="61231649"/>
    <n v="175851"/>
    <n v="61055798"/>
    <x v="217"/>
    <n v="0.97"/>
    <n v="6.29"/>
    <n v="1.2"/>
    <n v="5"/>
  </r>
  <r>
    <x v="1"/>
    <s v="9"/>
    <x v="2"/>
    <x v="6"/>
    <x v="2"/>
    <x v="1"/>
    <x v="342"/>
    <x v="0"/>
    <x v="287"/>
    <n v="69531624"/>
    <n v="79087"/>
    <n v="69452537"/>
    <x v="218"/>
    <n v="0.97"/>
    <n v="6.29"/>
    <n v="1.2"/>
    <n v="8"/>
  </r>
  <r>
    <x v="8"/>
    <s v="2"/>
    <x v="4"/>
    <x v="1"/>
    <x v="1"/>
    <x v="1"/>
    <x v="343"/>
    <x v="0"/>
    <x v="288"/>
    <n v="27954936"/>
    <n v="192690"/>
    <n v="27762246"/>
    <x v="219"/>
    <n v="0.97"/>
    <n v="6.29"/>
    <n v="1.2"/>
    <n v="3"/>
  </r>
  <r>
    <x v="2"/>
    <s v="9"/>
    <x v="5"/>
    <x v="7"/>
    <x v="0"/>
    <x v="2"/>
    <x v="344"/>
    <x v="1"/>
    <x v="289"/>
    <n v="47655710"/>
    <n v="320590"/>
    <n v="47335120"/>
    <x v="220"/>
    <n v="0.97"/>
    <n v="6.29"/>
    <n v="1.2"/>
    <n v="3"/>
  </r>
  <r>
    <x v="5"/>
    <s v="12"/>
    <x v="2"/>
    <x v="4"/>
    <x v="1"/>
    <x v="1"/>
    <x v="345"/>
    <x v="1"/>
    <x v="290"/>
    <n v="44640080"/>
    <n v="414271"/>
    <n v="44225809"/>
    <x v="86"/>
    <n v="0.97"/>
    <n v="6.29"/>
    <n v="1.2"/>
    <n v="2"/>
  </r>
  <r>
    <x v="0"/>
    <s v="11"/>
    <x v="4"/>
    <x v="7"/>
    <x v="2"/>
    <x v="3"/>
    <x v="346"/>
    <x v="1"/>
    <x v="291"/>
    <n v="53128206"/>
    <n v="361011"/>
    <n v="52767195"/>
    <x v="221"/>
    <n v="0.97"/>
    <n v="6.29"/>
    <n v="1.2"/>
    <n v="5"/>
  </r>
  <r>
    <x v="7"/>
    <s v="10"/>
    <x v="9"/>
    <x v="8"/>
    <x v="2"/>
    <x v="1"/>
    <x v="347"/>
    <x v="0"/>
    <x v="273"/>
    <n v="68671286"/>
    <n v="494244"/>
    <n v="68177042"/>
    <x v="222"/>
    <n v="0.97"/>
    <n v="6.29"/>
    <n v="1.2"/>
    <n v="3"/>
  </r>
  <r>
    <x v="7"/>
    <s v="9"/>
    <x v="1"/>
    <x v="5"/>
    <x v="0"/>
    <x v="1"/>
    <x v="348"/>
    <x v="0"/>
    <x v="292"/>
    <n v="34252190"/>
    <n v="372245"/>
    <n v="33879945"/>
    <x v="223"/>
    <n v="0.97"/>
    <n v="6.29"/>
    <n v="1.2"/>
    <n v="3"/>
  </r>
  <r>
    <x v="0"/>
    <s v="10"/>
    <x v="3"/>
    <x v="2"/>
    <x v="2"/>
    <x v="1"/>
    <x v="349"/>
    <x v="2"/>
    <x v="293"/>
    <n v="25660925"/>
    <n v="208272"/>
    <n v="25452653"/>
    <x v="224"/>
    <n v="0.97"/>
    <n v="6.29"/>
    <n v="1.2"/>
    <n v="6"/>
  </r>
  <r>
    <x v="6"/>
    <s v="10"/>
    <x v="3"/>
    <x v="4"/>
    <x v="0"/>
    <x v="1"/>
    <x v="350"/>
    <x v="0"/>
    <x v="294"/>
    <n v="41861829"/>
    <n v="276179"/>
    <n v="41585650"/>
    <x v="225"/>
    <n v="0.97"/>
    <n v="6.29"/>
    <n v="1.2"/>
    <n v="8"/>
  </r>
  <r>
    <x v="5"/>
    <s v="7"/>
    <x v="9"/>
    <x v="4"/>
    <x v="1"/>
    <x v="0"/>
    <x v="351"/>
    <x v="0"/>
    <x v="295"/>
    <n v="118747127"/>
    <n v="400218"/>
    <n v="118346909"/>
    <x v="221"/>
    <n v="0.97"/>
    <n v="6.29"/>
    <n v="1.2"/>
    <n v="2"/>
  </r>
  <r>
    <x v="9"/>
    <s v="1"/>
    <x v="0"/>
    <x v="7"/>
    <x v="1"/>
    <x v="0"/>
    <x v="352"/>
    <x v="0"/>
    <x v="118"/>
    <n v="49798406"/>
    <n v="242537"/>
    <n v="49555869"/>
    <x v="73"/>
    <n v="0.97"/>
    <n v="6.29"/>
    <n v="1.2"/>
    <n v="4"/>
  </r>
  <r>
    <x v="4"/>
    <s v="7"/>
    <x v="1"/>
    <x v="4"/>
    <x v="0"/>
    <x v="0"/>
    <x v="353"/>
    <x v="2"/>
    <x v="93"/>
    <n v="48496770"/>
    <n v="267508"/>
    <n v="48229262"/>
    <x v="17"/>
    <n v="0.97"/>
    <n v="6.29"/>
    <n v="1.2"/>
    <n v="7"/>
  </r>
  <r>
    <x v="6"/>
    <s v="10"/>
    <x v="5"/>
    <x v="9"/>
    <x v="0"/>
    <x v="2"/>
    <x v="354"/>
    <x v="2"/>
    <x v="219"/>
    <n v="46905807"/>
    <n v="168422"/>
    <n v="46737385"/>
    <x v="226"/>
    <n v="0.97"/>
    <n v="6.29"/>
    <n v="1.2"/>
    <n v="1"/>
  </r>
  <r>
    <x v="4"/>
    <s v="5"/>
    <x v="9"/>
    <x v="9"/>
    <x v="2"/>
    <x v="2"/>
    <x v="355"/>
    <x v="1"/>
    <x v="152"/>
    <n v="23248605"/>
    <n v="400036"/>
    <n v="22848569"/>
    <x v="227"/>
    <n v="0.97"/>
    <n v="6.29"/>
    <n v="1.2"/>
    <n v="1"/>
  </r>
  <r>
    <x v="4"/>
    <s v="6"/>
    <x v="3"/>
    <x v="8"/>
    <x v="1"/>
    <x v="3"/>
    <x v="356"/>
    <x v="0"/>
    <x v="194"/>
    <n v="43381138"/>
    <n v="269631"/>
    <n v="43111507"/>
    <x v="204"/>
    <n v="0.97"/>
    <n v="6.29"/>
    <n v="1.2"/>
    <n v="10"/>
  </r>
  <r>
    <x v="6"/>
    <s v="10"/>
    <x v="3"/>
    <x v="2"/>
    <x v="0"/>
    <x v="0"/>
    <x v="357"/>
    <x v="2"/>
    <x v="296"/>
    <n v="22089585"/>
    <n v="432188"/>
    <n v="21657397"/>
    <x v="228"/>
    <n v="0.97"/>
    <n v="6.29"/>
    <n v="1.2"/>
    <n v="7"/>
  </r>
  <r>
    <x v="8"/>
    <s v="7"/>
    <x v="3"/>
    <x v="3"/>
    <x v="1"/>
    <x v="2"/>
    <x v="358"/>
    <x v="1"/>
    <x v="297"/>
    <n v="20490092"/>
    <n v="89148"/>
    <n v="20400944"/>
    <x v="229"/>
    <n v="0.97"/>
    <n v="6.29"/>
    <n v="1.2"/>
    <n v="7"/>
  </r>
  <r>
    <x v="1"/>
    <s v="5"/>
    <x v="8"/>
    <x v="1"/>
    <x v="0"/>
    <x v="1"/>
    <x v="359"/>
    <x v="0"/>
    <x v="172"/>
    <n v="51441528"/>
    <n v="395072"/>
    <n v="51046456"/>
    <x v="230"/>
    <n v="0.97"/>
    <n v="6.29"/>
    <n v="1.2"/>
    <n v="1"/>
  </r>
  <r>
    <x v="4"/>
    <s v="7"/>
    <x v="9"/>
    <x v="7"/>
    <x v="1"/>
    <x v="1"/>
    <x v="360"/>
    <x v="1"/>
    <x v="298"/>
    <n v="21633477"/>
    <n v="201770"/>
    <n v="21431707"/>
    <x v="231"/>
    <n v="0.97"/>
    <n v="6.29"/>
    <n v="1.2"/>
    <n v="1"/>
  </r>
  <r>
    <x v="6"/>
    <s v="9"/>
    <x v="7"/>
    <x v="1"/>
    <x v="2"/>
    <x v="0"/>
    <x v="361"/>
    <x v="0"/>
    <x v="299"/>
    <n v="20336938"/>
    <n v="485686"/>
    <n v="19851252"/>
    <x v="44"/>
    <n v="0.97"/>
    <n v="6.29"/>
    <n v="1.2"/>
    <n v="4"/>
  </r>
  <r>
    <x v="6"/>
    <s v="3"/>
    <x v="5"/>
    <x v="3"/>
    <x v="1"/>
    <x v="3"/>
    <x v="362"/>
    <x v="2"/>
    <x v="300"/>
    <n v="87873970"/>
    <n v="363804"/>
    <n v="87510166"/>
    <x v="232"/>
    <n v="0.97"/>
    <n v="6.29"/>
    <n v="1.2"/>
    <n v="5"/>
  </r>
  <r>
    <x v="3"/>
    <s v="8"/>
    <x v="3"/>
    <x v="7"/>
    <x v="1"/>
    <x v="3"/>
    <x v="363"/>
    <x v="0"/>
    <x v="59"/>
    <n v="39145089"/>
    <n v="497126"/>
    <n v="38647963"/>
    <x v="79"/>
    <n v="0.97"/>
    <n v="6.29"/>
    <n v="1.2"/>
    <n v="5"/>
  </r>
  <r>
    <x v="8"/>
    <s v="2"/>
    <x v="4"/>
    <x v="7"/>
    <x v="1"/>
    <x v="1"/>
    <x v="364"/>
    <x v="1"/>
    <x v="301"/>
    <n v="19563797"/>
    <n v="347594"/>
    <n v="19216203"/>
    <x v="233"/>
    <n v="0.97"/>
    <n v="6.29"/>
    <n v="1.2"/>
    <n v="4"/>
  </r>
  <r>
    <x v="2"/>
    <s v="11"/>
    <x v="9"/>
    <x v="2"/>
    <x v="1"/>
    <x v="3"/>
    <x v="365"/>
    <x v="2"/>
    <x v="302"/>
    <n v="72490572"/>
    <n v="237535"/>
    <n v="72253037"/>
    <x v="234"/>
    <n v="0.97"/>
    <n v="6.29"/>
    <n v="1.2"/>
    <n v="8"/>
  </r>
  <r>
    <x v="3"/>
    <s v="7"/>
    <x v="8"/>
    <x v="1"/>
    <x v="1"/>
    <x v="0"/>
    <x v="366"/>
    <x v="0"/>
    <x v="303"/>
    <n v="57444464"/>
    <n v="345901"/>
    <n v="57098563"/>
    <x v="235"/>
    <n v="0.97"/>
    <n v="6.29"/>
    <n v="1.2"/>
    <n v="7"/>
  </r>
  <r>
    <x v="3"/>
    <s v="2"/>
    <x v="9"/>
    <x v="9"/>
    <x v="2"/>
    <x v="1"/>
    <x v="367"/>
    <x v="1"/>
    <x v="304"/>
    <n v="27771352"/>
    <n v="128012"/>
    <n v="27643340"/>
    <x v="236"/>
    <n v="0.97"/>
    <n v="6.29"/>
    <n v="1.2"/>
    <n v="9"/>
  </r>
  <r>
    <x v="0"/>
    <s v="4"/>
    <x v="5"/>
    <x v="6"/>
    <x v="0"/>
    <x v="2"/>
    <x v="368"/>
    <x v="2"/>
    <x v="3"/>
    <n v="47698930"/>
    <n v="418894"/>
    <n v="47280036"/>
    <x v="237"/>
    <n v="0.97"/>
    <n v="6.29"/>
    <n v="1.2"/>
    <n v="7"/>
  </r>
  <r>
    <x v="1"/>
    <s v="7"/>
    <x v="8"/>
    <x v="1"/>
    <x v="1"/>
    <x v="2"/>
    <x v="369"/>
    <x v="1"/>
    <x v="305"/>
    <n v="37133972"/>
    <n v="439187"/>
    <n v="36694785"/>
    <x v="178"/>
    <n v="0.97"/>
    <n v="6.29"/>
    <n v="1.2"/>
    <n v="10"/>
  </r>
  <r>
    <x v="6"/>
    <s v="3"/>
    <x v="5"/>
    <x v="5"/>
    <x v="2"/>
    <x v="3"/>
    <x v="370"/>
    <x v="2"/>
    <x v="306"/>
    <n v="50969800"/>
    <n v="474606"/>
    <n v="50495194"/>
    <x v="36"/>
    <n v="0.97"/>
    <n v="6.29"/>
    <n v="1.2"/>
    <n v="1"/>
  </r>
  <r>
    <x v="1"/>
    <s v="2"/>
    <x v="9"/>
    <x v="5"/>
    <x v="1"/>
    <x v="1"/>
    <x v="371"/>
    <x v="0"/>
    <x v="15"/>
    <n v="69424550"/>
    <n v="106116"/>
    <n v="69318434"/>
    <x v="41"/>
    <n v="0.97"/>
    <n v="6.29"/>
    <n v="1.2"/>
    <n v="7"/>
  </r>
  <r>
    <x v="5"/>
    <s v="11"/>
    <x v="7"/>
    <x v="7"/>
    <x v="1"/>
    <x v="1"/>
    <x v="372"/>
    <x v="2"/>
    <x v="307"/>
    <n v="33262342"/>
    <n v="194233"/>
    <n v="33068109"/>
    <x v="157"/>
    <n v="0.97"/>
    <n v="6.29"/>
    <n v="1.2"/>
    <n v="1"/>
  </r>
  <r>
    <x v="0"/>
    <s v="10"/>
    <x v="5"/>
    <x v="6"/>
    <x v="0"/>
    <x v="2"/>
    <x v="373"/>
    <x v="0"/>
    <x v="308"/>
    <n v="55609324"/>
    <n v="82152"/>
    <n v="55527172"/>
    <x v="238"/>
    <n v="0.97"/>
    <n v="6.29"/>
    <n v="1.2"/>
    <n v="7"/>
  </r>
  <r>
    <x v="2"/>
    <s v="7"/>
    <x v="8"/>
    <x v="0"/>
    <x v="1"/>
    <x v="1"/>
    <x v="374"/>
    <x v="1"/>
    <x v="309"/>
    <n v="22116000"/>
    <n v="156379"/>
    <n v="21959621"/>
    <x v="239"/>
    <n v="0.97"/>
    <n v="6.29"/>
    <n v="1.2"/>
    <n v="10"/>
  </r>
  <r>
    <x v="1"/>
    <s v="1"/>
    <x v="8"/>
    <x v="3"/>
    <x v="2"/>
    <x v="1"/>
    <x v="375"/>
    <x v="2"/>
    <x v="310"/>
    <n v="41049148"/>
    <n v="276905"/>
    <n v="40772243"/>
    <x v="16"/>
    <n v="0.97"/>
    <n v="6.29"/>
    <n v="1.2"/>
    <n v="8"/>
  </r>
  <r>
    <x v="7"/>
    <s v="8"/>
    <x v="5"/>
    <x v="8"/>
    <x v="2"/>
    <x v="1"/>
    <x v="376"/>
    <x v="1"/>
    <x v="217"/>
    <n v="15970500"/>
    <n v="70836"/>
    <n v="15899664"/>
    <x v="101"/>
    <n v="0.97"/>
    <n v="6.29"/>
    <n v="1.2"/>
    <n v="9"/>
  </r>
  <r>
    <x v="4"/>
    <s v="3"/>
    <x v="6"/>
    <x v="6"/>
    <x v="0"/>
    <x v="3"/>
    <x v="377"/>
    <x v="1"/>
    <x v="311"/>
    <n v="9953353"/>
    <n v="271439"/>
    <n v="9681914"/>
    <x v="182"/>
    <n v="0.97"/>
    <n v="6.29"/>
    <n v="1.2"/>
    <n v="3"/>
  </r>
  <r>
    <x v="5"/>
    <s v="12"/>
    <x v="9"/>
    <x v="8"/>
    <x v="1"/>
    <x v="1"/>
    <x v="378"/>
    <x v="1"/>
    <x v="312"/>
    <n v="28640826"/>
    <n v="236720"/>
    <n v="28404106"/>
    <x v="217"/>
    <n v="0.97"/>
    <n v="6.29"/>
    <n v="1.2"/>
    <n v="4"/>
  </r>
  <r>
    <x v="8"/>
    <s v="12"/>
    <x v="6"/>
    <x v="1"/>
    <x v="2"/>
    <x v="0"/>
    <x v="379"/>
    <x v="0"/>
    <x v="313"/>
    <n v="128131080"/>
    <n v="207403"/>
    <n v="127923677"/>
    <x v="85"/>
    <n v="0.97"/>
    <n v="6.29"/>
    <n v="1.2"/>
    <n v="4"/>
  </r>
  <r>
    <x v="2"/>
    <s v="2"/>
    <x v="0"/>
    <x v="1"/>
    <x v="1"/>
    <x v="3"/>
    <x v="380"/>
    <x v="2"/>
    <x v="314"/>
    <n v="13873908"/>
    <n v="191835"/>
    <n v="13682073"/>
    <x v="79"/>
    <n v="0.97"/>
    <n v="6.29"/>
    <n v="1.2"/>
    <n v="9"/>
  </r>
  <r>
    <x v="5"/>
    <s v="3"/>
    <x v="9"/>
    <x v="8"/>
    <x v="1"/>
    <x v="1"/>
    <x v="381"/>
    <x v="2"/>
    <x v="245"/>
    <n v="13721050"/>
    <n v="381588"/>
    <n v="13339462"/>
    <x v="230"/>
    <n v="0.97"/>
    <n v="6.29"/>
    <n v="1.2"/>
    <n v="7"/>
  </r>
  <r>
    <x v="4"/>
    <s v="5"/>
    <x v="5"/>
    <x v="3"/>
    <x v="1"/>
    <x v="1"/>
    <x v="382"/>
    <x v="2"/>
    <x v="315"/>
    <n v="52407852"/>
    <n v="143109"/>
    <n v="52264743"/>
    <x v="226"/>
    <n v="0.97"/>
    <n v="6.29"/>
    <n v="1.2"/>
    <n v="3"/>
  </r>
  <r>
    <x v="0"/>
    <s v="11"/>
    <x v="1"/>
    <x v="6"/>
    <x v="0"/>
    <x v="0"/>
    <x v="383"/>
    <x v="1"/>
    <x v="316"/>
    <n v="38655067"/>
    <n v="200259"/>
    <n v="38454808"/>
    <x v="116"/>
    <n v="0.97"/>
    <n v="6.29"/>
    <n v="1.2"/>
    <n v="10"/>
  </r>
  <r>
    <x v="4"/>
    <s v="8"/>
    <x v="5"/>
    <x v="0"/>
    <x v="1"/>
    <x v="3"/>
    <x v="384"/>
    <x v="0"/>
    <x v="307"/>
    <n v="48785234"/>
    <n v="193029"/>
    <n v="48592205"/>
    <x v="51"/>
    <n v="0.97"/>
    <n v="6.29"/>
    <n v="1.2"/>
    <n v="5"/>
  </r>
  <r>
    <x v="3"/>
    <s v="10"/>
    <x v="6"/>
    <x v="7"/>
    <x v="2"/>
    <x v="2"/>
    <x v="385"/>
    <x v="2"/>
    <x v="317"/>
    <n v="50867505"/>
    <n v="447595"/>
    <n v="50419910"/>
    <x v="226"/>
    <n v="0.97"/>
    <n v="6.29"/>
    <n v="1.2"/>
    <n v="7"/>
  </r>
  <r>
    <x v="4"/>
    <s v="7"/>
    <x v="7"/>
    <x v="2"/>
    <x v="1"/>
    <x v="2"/>
    <x v="386"/>
    <x v="2"/>
    <x v="177"/>
    <n v="44744020"/>
    <n v="471175"/>
    <n v="44272845"/>
    <x v="71"/>
    <n v="0.97"/>
    <n v="6.29"/>
    <n v="1.2"/>
    <n v="8"/>
  </r>
  <r>
    <x v="3"/>
    <s v="7"/>
    <x v="5"/>
    <x v="1"/>
    <x v="2"/>
    <x v="3"/>
    <x v="387"/>
    <x v="1"/>
    <x v="95"/>
    <n v="31744240"/>
    <n v="132018"/>
    <n v="31612222"/>
    <x v="89"/>
    <n v="0.97"/>
    <n v="6.29"/>
    <n v="1.2"/>
    <n v="1"/>
  </r>
  <r>
    <x v="0"/>
    <s v="12"/>
    <x v="5"/>
    <x v="5"/>
    <x v="1"/>
    <x v="1"/>
    <x v="388"/>
    <x v="0"/>
    <x v="318"/>
    <n v="28202806"/>
    <n v="173076"/>
    <n v="28029730"/>
    <x v="240"/>
    <n v="0.97"/>
    <n v="6.29"/>
    <n v="1.2"/>
    <n v="2"/>
  </r>
  <r>
    <x v="9"/>
    <s v="7"/>
    <x v="7"/>
    <x v="3"/>
    <x v="2"/>
    <x v="1"/>
    <x v="389"/>
    <x v="0"/>
    <x v="319"/>
    <n v="42115371"/>
    <n v="208177"/>
    <n v="41907194"/>
    <x v="122"/>
    <n v="0.97"/>
    <n v="6.29"/>
    <n v="1.2"/>
    <n v="7"/>
  </r>
  <r>
    <x v="3"/>
    <s v="8"/>
    <x v="5"/>
    <x v="2"/>
    <x v="2"/>
    <x v="2"/>
    <x v="390"/>
    <x v="2"/>
    <x v="320"/>
    <n v="39878400"/>
    <n v="444093"/>
    <n v="39434307"/>
    <x v="194"/>
    <n v="0.97"/>
    <n v="6.29"/>
    <n v="1.2"/>
    <n v="2"/>
  </r>
  <r>
    <x v="8"/>
    <s v="1"/>
    <x v="3"/>
    <x v="0"/>
    <x v="1"/>
    <x v="2"/>
    <x v="391"/>
    <x v="0"/>
    <x v="249"/>
    <n v="70791300"/>
    <n v="229425"/>
    <n v="70561875"/>
    <x v="241"/>
    <n v="0.97"/>
    <n v="6.29"/>
    <n v="1.2"/>
    <n v="7"/>
  </r>
  <r>
    <x v="4"/>
    <s v="4"/>
    <x v="1"/>
    <x v="4"/>
    <x v="1"/>
    <x v="2"/>
    <x v="392"/>
    <x v="2"/>
    <x v="83"/>
    <n v="46639308"/>
    <n v="395932"/>
    <n v="46243376"/>
    <x v="242"/>
    <n v="0.97"/>
    <n v="6.29"/>
    <n v="1.2"/>
    <n v="9"/>
  </r>
  <r>
    <x v="4"/>
    <s v="6"/>
    <x v="4"/>
    <x v="7"/>
    <x v="2"/>
    <x v="0"/>
    <x v="393"/>
    <x v="0"/>
    <x v="321"/>
    <n v="101312960"/>
    <n v="409014"/>
    <n v="100903946"/>
    <x v="13"/>
    <n v="0.97"/>
    <n v="6.29"/>
    <n v="1.2"/>
    <n v="2"/>
  </r>
  <r>
    <x v="8"/>
    <s v="9"/>
    <x v="1"/>
    <x v="1"/>
    <x v="0"/>
    <x v="2"/>
    <x v="394"/>
    <x v="2"/>
    <x v="268"/>
    <n v="63313624"/>
    <n v="265657"/>
    <n v="63047967"/>
    <x v="211"/>
    <n v="0.97"/>
    <n v="6.29"/>
    <n v="1.2"/>
    <n v="7"/>
  </r>
  <r>
    <x v="7"/>
    <s v="2"/>
    <x v="5"/>
    <x v="7"/>
    <x v="1"/>
    <x v="0"/>
    <x v="395"/>
    <x v="0"/>
    <x v="322"/>
    <n v="23819796"/>
    <n v="395452"/>
    <n v="23424344"/>
    <x v="14"/>
    <n v="0.97"/>
    <n v="6.29"/>
    <n v="1.2"/>
    <n v="4"/>
  </r>
  <r>
    <x v="6"/>
    <s v="1"/>
    <x v="3"/>
    <x v="2"/>
    <x v="0"/>
    <x v="3"/>
    <x v="396"/>
    <x v="2"/>
    <x v="323"/>
    <n v="42539175"/>
    <n v="494783"/>
    <n v="42044392"/>
    <x v="243"/>
    <n v="0.97"/>
    <n v="6.29"/>
    <n v="1.2"/>
    <n v="2"/>
  </r>
  <r>
    <x v="9"/>
    <s v="10"/>
    <x v="9"/>
    <x v="7"/>
    <x v="1"/>
    <x v="1"/>
    <x v="397"/>
    <x v="1"/>
    <x v="324"/>
    <n v="37753544"/>
    <n v="370057"/>
    <n v="37383487"/>
    <x v="160"/>
    <n v="0.97"/>
    <n v="6.29"/>
    <n v="1.2"/>
    <n v="7"/>
  </r>
  <r>
    <x v="2"/>
    <s v="12"/>
    <x v="5"/>
    <x v="4"/>
    <x v="1"/>
    <x v="2"/>
    <x v="398"/>
    <x v="0"/>
    <x v="167"/>
    <n v="32400840"/>
    <n v="52637"/>
    <n v="32348203"/>
    <x v="244"/>
    <n v="0.97"/>
    <n v="6.29"/>
    <n v="1.2"/>
    <n v="5"/>
  </r>
  <r>
    <x v="3"/>
    <s v="2"/>
    <x v="6"/>
    <x v="2"/>
    <x v="1"/>
    <x v="1"/>
    <x v="399"/>
    <x v="0"/>
    <x v="3"/>
    <n v="83538280"/>
    <n v="354169"/>
    <n v="83184111"/>
    <x v="206"/>
    <n v="0.97"/>
    <n v="6.29"/>
    <n v="1.2"/>
    <n v="1"/>
  </r>
  <r>
    <x v="8"/>
    <s v="7"/>
    <x v="3"/>
    <x v="1"/>
    <x v="1"/>
    <x v="1"/>
    <x v="400"/>
    <x v="0"/>
    <x v="276"/>
    <n v="61810752"/>
    <n v="287989"/>
    <n v="61522763"/>
    <x v="6"/>
    <n v="0.97"/>
    <n v="6.29"/>
    <n v="1.2"/>
    <n v="5"/>
  </r>
  <r>
    <x v="0"/>
    <s v="3"/>
    <x v="7"/>
    <x v="6"/>
    <x v="0"/>
    <x v="2"/>
    <x v="401"/>
    <x v="1"/>
    <x v="325"/>
    <n v="43468250"/>
    <n v="282259"/>
    <n v="43185991"/>
    <x v="90"/>
    <n v="0.97"/>
    <n v="6.29"/>
    <n v="1.2"/>
    <n v="3"/>
  </r>
  <r>
    <x v="3"/>
    <s v="10"/>
    <x v="3"/>
    <x v="5"/>
    <x v="1"/>
    <x v="2"/>
    <x v="402"/>
    <x v="0"/>
    <x v="326"/>
    <n v="104049225"/>
    <n v="411652"/>
    <n v="103637573"/>
    <x v="86"/>
    <n v="0.97"/>
    <n v="6.29"/>
    <n v="1.2"/>
    <n v="7"/>
  </r>
  <r>
    <x v="6"/>
    <s v="2"/>
    <x v="7"/>
    <x v="2"/>
    <x v="2"/>
    <x v="3"/>
    <x v="403"/>
    <x v="0"/>
    <x v="327"/>
    <n v="80395512"/>
    <n v="132464"/>
    <n v="80263048"/>
    <x v="132"/>
    <n v="0.97"/>
    <n v="6.29"/>
    <n v="1.2"/>
    <n v="6"/>
  </r>
  <r>
    <x v="0"/>
    <s v="11"/>
    <x v="0"/>
    <x v="9"/>
    <x v="2"/>
    <x v="0"/>
    <x v="404"/>
    <x v="1"/>
    <x v="328"/>
    <n v="11661208"/>
    <n v="340886"/>
    <n v="11320322"/>
    <x v="73"/>
    <n v="0.97"/>
    <n v="6.29"/>
    <n v="1.2"/>
    <n v="8"/>
  </r>
  <r>
    <x v="5"/>
    <s v="7"/>
    <x v="4"/>
    <x v="4"/>
    <x v="0"/>
    <x v="0"/>
    <x v="405"/>
    <x v="1"/>
    <x v="250"/>
    <n v="14661972"/>
    <n v="61831"/>
    <n v="14600141"/>
    <x v="245"/>
    <n v="0.97"/>
    <n v="6.29"/>
    <n v="1.2"/>
    <n v="5"/>
  </r>
  <r>
    <x v="4"/>
    <s v="2"/>
    <x v="2"/>
    <x v="2"/>
    <x v="1"/>
    <x v="1"/>
    <x v="406"/>
    <x v="0"/>
    <x v="1"/>
    <n v="56802628"/>
    <n v="163768"/>
    <n v="56638860"/>
    <x v="227"/>
    <n v="0.97"/>
    <n v="6.29"/>
    <n v="1.2"/>
    <n v="2"/>
  </r>
  <r>
    <x v="5"/>
    <s v="3"/>
    <x v="3"/>
    <x v="2"/>
    <x v="2"/>
    <x v="2"/>
    <x v="407"/>
    <x v="0"/>
    <x v="55"/>
    <n v="62860390"/>
    <n v="296983"/>
    <n v="62563407"/>
    <x v="246"/>
    <n v="0.97"/>
    <n v="6.29"/>
    <n v="1.2"/>
    <n v="9"/>
  </r>
  <r>
    <x v="3"/>
    <s v="11"/>
    <x v="8"/>
    <x v="9"/>
    <x v="0"/>
    <x v="3"/>
    <x v="408"/>
    <x v="2"/>
    <x v="329"/>
    <n v="8594208"/>
    <n v="397236"/>
    <n v="8196972"/>
    <x v="223"/>
    <n v="0.97"/>
    <n v="6.29"/>
    <n v="1.2"/>
    <n v="8"/>
  </r>
  <r>
    <x v="6"/>
    <s v="7"/>
    <x v="6"/>
    <x v="1"/>
    <x v="1"/>
    <x v="3"/>
    <x v="409"/>
    <x v="0"/>
    <x v="330"/>
    <n v="76317382"/>
    <n v="403023"/>
    <n v="75914359"/>
    <x v="247"/>
    <n v="0.97"/>
    <n v="6.29"/>
    <n v="1.2"/>
    <n v="6"/>
  </r>
  <r>
    <x v="9"/>
    <s v="4"/>
    <x v="5"/>
    <x v="2"/>
    <x v="2"/>
    <x v="3"/>
    <x v="410"/>
    <x v="2"/>
    <x v="331"/>
    <n v="20809008"/>
    <n v="400514"/>
    <n v="20408494"/>
    <x v="72"/>
    <n v="0.97"/>
    <n v="6.29"/>
    <n v="1.2"/>
    <n v="10"/>
  </r>
  <r>
    <x v="3"/>
    <s v="1"/>
    <x v="6"/>
    <x v="5"/>
    <x v="2"/>
    <x v="3"/>
    <x v="411"/>
    <x v="0"/>
    <x v="256"/>
    <n v="35607393"/>
    <n v="438681"/>
    <n v="35168712"/>
    <x v="155"/>
    <n v="0.97"/>
    <n v="6.29"/>
    <n v="1.2"/>
    <n v="7"/>
  </r>
  <r>
    <x v="8"/>
    <s v="5"/>
    <x v="1"/>
    <x v="7"/>
    <x v="0"/>
    <x v="3"/>
    <x v="412"/>
    <x v="0"/>
    <x v="332"/>
    <n v="53748832"/>
    <n v="489978"/>
    <n v="53258854"/>
    <x v="248"/>
    <n v="0.97"/>
    <n v="6.29"/>
    <n v="1.2"/>
    <n v="9"/>
  </r>
  <r>
    <x v="1"/>
    <s v="12"/>
    <x v="2"/>
    <x v="1"/>
    <x v="1"/>
    <x v="0"/>
    <x v="413"/>
    <x v="0"/>
    <x v="333"/>
    <n v="50226288"/>
    <n v="154824"/>
    <n v="50071464"/>
    <x v="79"/>
    <n v="0.97"/>
    <n v="6.29"/>
    <n v="1.2"/>
    <n v="7"/>
  </r>
  <r>
    <x v="3"/>
    <s v="9"/>
    <x v="1"/>
    <x v="5"/>
    <x v="1"/>
    <x v="0"/>
    <x v="414"/>
    <x v="0"/>
    <x v="301"/>
    <n v="61790289"/>
    <n v="138741"/>
    <n v="61651548"/>
    <x v="158"/>
    <n v="0.97"/>
    <n v="6.29"/>
    <n v="1.2"/>
    <n v="3"/>
  </r>
  <r>
    <x v="4"/>
    <s v="8"/>
    <x v="0"/>
    <x v="1"/>
    <x v="2"/>
    <x v="0"/>
    <x v="415"/>
    <x v="1"/>
    <x v="334"/>
    <n v="7431507"/>
    <n v="68830"/>
    <n v="7362677"/>
    <x v="44"/>
    <n v="0.97"/>
    <n v="6.29"/>
    <n v="1.2"/>
    <n v="6"/>
  </r>
  <r>
    <x v="4"/>
    <s v="12"/>
    <x v="2"/>
    <x v="5"/>
    <x v="2"/>
    <x v="2"/>
    <x v="416"/>
    <x v="0"/>
    <x v="224"/>
    <n v="33325757"/>
    <n v="367188"/>
    <n v="32958569"/>
    <x v="249"/>
    <n v="0.97"/>
    <n v="6.29"/>
    <n v="1.2"/>
    <n v="7"/>
  </r>
  <r>
    <x v="3"/>
    <s v="9"/>
    <x v="2"/>
    <x v="4"/>
    <x v="2"/>
    <x v="1"/>
    <x v="417"/>
    <x v="1"/>
    <x v="335"/>
    <n v="29357775"/>
    <n v="386092"/>
    <n v="28971683"/>
    <x v="231"/>
    <n v="0.97"/>
    <n v="6.29"/>
    <n v="1.2"/>
    <n v="2"/>
  </r>
  <r>
    <x v="0"/>
    <s v="10"/>
    <x v="1"/>
    <x v="5"/>
    <x v="1"/>
    <x v="3"/>
    <x v="418"/>
    <x v="2"/>
    <x v="336"/>
    <n v="46960812"/>
    <n v="119202"/>
    <n v="46841610"/>
    <x v="250"/>
    <n v="0.97"/>
    <n v="6.29"/>
    <n v="1.2"/>
    <n v="3"/>
  </r>
  <r>
    <x v="1"/>
    <s v="9"/>
    <x v="7"/>
    <x v="8"/>
    <x v="0"/>
    <x v="2"/>
    <x v="419"/>
    <x v="1"/>
    <x v="337"/>
    <n v="26973008"/>
    <n v="349189"/>
    <n v="26623819"/>
    <x v="195"/>
    <n v="0.97"/>
    <n v="6.29"/>
    <n v="1.2"/>
    <n v="4"/>
  </r>
  <r>
    <x v="8"/>
    <s v="7"/>
    <x v="1"/>
    <x v="5"/>
    <x v="0"/>
    <x v="3"/>
    <x v="420"/>
    <x v="1"/>
    <x v="338"/>
    <n v="34668234"/>
    <n v="267394"/>
    <n v="34400840"/>
    <x v="70"/>
    <n v="0.97"/>
    <n v="6.29"/>
    <n v="1.2"/>
    <n v="10"/>
  </r>
  <r>
    <x v="3"/>
    <s v="4"/>
    <x v="6"/>
    <x v="6"/>
    <x v="1"/>
    <x v="0"/>
    <x v="421"/>
    <x v="0"/>
    <x v="168"/>
    <n v="22097416"/>
    <n v="252123"/>
    <n v="21845293"/>
    <x v="230"/>
    <n v="0.97"/>
    <n v="6.29"/>
    <n v="1.2"/>
    <n v="6"/>
  </r>
  <r>
    <x v="0"/>
    <s v="5"/>
    <x v="7"/>
    <x v="6"/>
    <x v="0"/>
    <x v="2"/>
    <x v="422"/>
    <x v="0"/>
    <x v="339"/>
    <n v="32386730"/>
    <n v="419653"/>
    <n v="31967077"/>
    <x v="43"/>
    <n v="0.97"/>
    <n v="6.29"/>
    <n v="1.2"/>
    <n v="1"/>
  </r>
  <r>
    <x v="4"/>
    <s v="1"/>
    <x v="6"/>
    <x v="3"/>
    <x v="2"/>
    <x v="0"/>
    <x v="423"/>
    <x v="0"/>
    <x v="279"/>
    <n v="42105525"/>
    <n v="207699"/>
    <n v="41897826"/>
    <x v="180"/>
    <n v="0.97"/>
    <n v="6.29"/>
    <n v="1.2"/>
    <n v="9"/>
  </r>
  <r>
    <x v="4"/>
    <s v="1"/>
    <x v="0"/>
    <x v="8"/>
    <x v="0"/>
    <x v="3"/>
    <x v="424"/>
    <x v="0"/>
    <x v="97"/>
    <n v="42507201"/>
    <n v="327342"/>
    <n v="42179859"/>
    <x v="151"/>
    <n v="0.97"/>
    <n v="6.29"/>
    <n v="1.2"/>
    <n v="5"/>
  </r>
  <r>
    <x v="6"/>
    <s v="3"/>
    <x v="5"/>
    <x v="8"/>
    <x v="0"/>
    <x v="3"/>
    <x v="425"/>
    <x v="0"/>
    <x v="340"/>
    <n v="87456036"/>
    <n v="381665"/>
    <n v="87074371"/>
    <x v="39"/>
    <n v="0.97"/>
    <n v="6.29"/>
    <n v="1.2"/>
    <n v="7"/>
  </r>
  <r>
    <x v="3"/>
    <s v="8"/>
    <x v="9"/>
    <x v="7"/>
    <x v="0"/>
    <x v="1"/>
    <x v="426"/>
    <x v="2"/>
    <x v="276"/>
    <n v="40988760"/>
    <n v="156471"/>
    <n v="40832289"/>
    <x v="251"/>
    <n v="0.97"/>
    <n v="6.29"/>
    <n v="1.2"/>
    <n v="9"/>
  </r>
  <r>
    <x v="1"/>
    <s v="2"/>
    <x v="7"/>
    <x v="8"/>
    <x v="2"/>
    <x v="3"/>
    <x v="427"/>
    <x v="0"/>
    <x v="131"/>
    <n v="89471132"/>
    <n v="341619"/>
    <n v="89129513"/>
    <x v="16"/>
    <n v="0.97"/>
    <n v="6.29"/>
    <n v="1.2"/>
    <n v="9"/>
  </r>
  <r>
    <x v="7"/>
    <s v="4"/>
    <x v="0"/>
    <x v="7"/>
    <x v="1"/>
    <x v="0"/>
    <x v="428"/>
    <x v="0"/>
    <x v="341"/>
    <n v="73706650"/>
    <n v="286824"/>
    <n v="73419826"/>
    <x v="206"/>
    <n v="0.97"/>
    <n v="6.29"/>
    <n v="1.2"/>
    <n v="1"/>
  </r>
  <r>
    <x v="1"/>
    <s v="2"/>
    <x v="8"/>
    <x v="3"/>
    <x v="2"/>
    <x v="3"/>
    <x v="429"/>
    <x v="2"/>
    <x v="342"/>
    <n v="43986735"/>
    <n v="69403"/>
    <n v="43917332"/>
    <x v="5"/>
    <n v="0.97"/>
    <n v="6.29"/>
    <n v="1.2"/>
    <n v="1"/>
  </r>
  <r>
    <x v="4"/>
    <s v="5"/>
    <x v="0"/>
    <x v="3"/>
    <x v="1"/>
    <x v="1"/>
    <x v="430"/>
    <x v="0"/>
    <x v="343"/>
    <n v="55268664"/>
    <n v="53681"/>
    <n v="55214983"/>
    <x v="102"/>
    <n v="0.97"/>
    <n v="6.29"/>
    <n v="1.2"/>
    <n v="3"/>
  </r>
  <r>
    <x v="4"/>
    <s v="9"/>
    <x v="1"/>
    <x v="4"/>
    <x v="1"/>
    <x v="1"/>
    <x v="431"/>
    <x v="0"/>
    <x v="239"/>
    <n v="30160680"/>
    <n v="403699"/>
    <n v="29756981"/>
    <x v="252"/>
    <n v="0.97"/>
    <n v="6.29"/>
    <n v="1.2"/>
    <n v="6"/>
  </r>
  <r>
    <x v="5"/>
    <s v="1"/>
    <x v="1"/>
    <x v="6"/>
    <x v="1"/>
    <x v="0"/>
    <x v="432"/>
    <x v="1"/>
    <x v="344"/>
    <n v="30811134"/>
    <n v="431028"/>
    <n v="30380106"/>
    <x v="253"/>
    <n v="0.97"/>
    <n v="6.29"/>
    <n v="1.2"/>
    <n v="2"/>
  </r>
  <r>
    <x v="4"/>
    <s v="5"/>
    <x v="9"/>
    <x v="5"/>
    <x v="0"/>
    <x v="2"/>
    <x v="433"/>
    <x v="1"/>
    <x v="99"/>
    <n v="45107504"/>
    <n v="405266"/>
    <n v="44702238"/>
    <x v="183"/>
    <n v="0.97"/>
    <n v="6.29"/>
    <n v="1.2"/>
    <n v="10"/>
  </r>
  <r>
    <x v="8"/>
    <s v="9"/>
    <x v="0"/>
    <x v="5"/>
    <x v="0"/>
    <x v="3"/>
    <x v="434"/>
    <x v="2"/>
    <x v="16"/>
    <n v="38576916"/>
    <n v="165260"/>
    <n v="38411656"/>
    <x v="239"/>
    <n v="0.97"/>
    <n v="6.29"/>
    <n v="1.2"/>
    <n v="1"/>
  </r>
  <r>
    <x v="2"/>
    <s v="1"/>
    <x v="4"/>
    <x v="9"/>
    <x v="1"/>
    <x v="1"/>
    <x v="435"/>
    <x v="0"/>
    <x v="301"/>
    <n v="52090852"/>
    <n v="223364"/>
    <n v="51867488"/>
    <x v="35"/>
    <n v="0.97"/>
    <n v="6.29"/>
    <n v="1.2"/>
    <n v="1"/>
  </r>
  <r>
    <x v="3"/>
    <s v="9"/>
    <x v="5"/>
    <x v="9"/>
    <x v="1"/>
    <x v="3"/>
    <x v="436"/>
    <x v="0"/>
    <x v="345"/>
    <n v="15742848"/>
    <n v="155386"/>
    <n v="15587462"/>
    <x v="124"/>
    <n v="0.97"/>
    <n v="6.29"/>
    <n v="1.2"/>
    <n v="5"/>
  </r>
  <r>
    <x v="1"/>
    <s v="8"/>
    <x v="1"/>
    <x v="0"/>
    <x v="0"/>
    <x v="3"/>
    <x v="437"/>
    <x v="0"/>
    <x v="346"/>
    <n v="39352800"/>
    <n v="283378"/>
    <n v="39069422"/>
    <x v="25"/>
    <n v="0.97"/>
    <n v="6.29"/>
    <n v="1.2"/>
    <n v="4"/>
  </r>
  <r>
    <x v="2"/>
    <s v="4"/>
    <x v="9"/>
    <x v="1"/>
    <x v="2"/>
    <x v="2"/>
    <x v="438"/>
    <x v="0"/>
    <x v="347"/>
    <n v="49411026"/>
    <n v="448845"/>
    <n v="48962181"/>
    <x v="252"/>
    <n v="0.97"/>
    <n v="6.29"/>
    <n v="1.2"/>
    <n v="1"/>
  </r>
  <r>
    <x v="0"/>
    <s v="12"/>
    <x v="5"/>
    <x v="4"/>
    <x v="1"/>
    <x v="1"/>
    <x v="439"/>
    <x v="0"/>
    <x v="348"/>
    <n v="80748096"/>
    <n v="143246"/>
    <n v="80604850"/>
    <x v="254"/>
    <n v="0.97"/>
    <n v="6.29"/>
    <n v="1.2"/>
    <n v="4"/>
  </r>
  <r>
    <x v="7"/>
    <s v="11"/>
    <x v="0"/>
    <x v="0"/>
    <x v="2"/>
    <x v="3"/>
    <x v="440"/>
    <x v="0"/>
    <x v="349"/>
    <n v="80785250"/>
    <n v="145864"/>
    <n v="80639386"/>
    <x v="171"/>
    <n v="0.97"/>
    <n v="6.29"/>
    <n v="1.2"/>
    <n v="3"/>
  </r>
  <r>
    <x v="8"/>
    <s v="10"/>
    <x v="0"/>
    <x v="0"/>
    <x v="0"/>
    <x v="1"/>
    <x v="441"/>
    <x v="1"/>
    <x v="350"/>
    <n v="15753828"/>
    <n v="258886"/>
    <n v="15494942"/>
    <x v="255"/>
    <n v="0.97"/>
    <n v="6.29"/>
    <n v="1.2"/>
    <n v="2"/>
  </r>
  <r>
    <x v="1"/>
    <s v="5"/>
    <x v="2"/>
    <x v="2"/>
    <x v="1"/>
    <x v="0"/>
    <x v="442"/>
    <x v="0"/>
    <x v="339"/>
    <n v="32376970"/>
    <n v="320561"/>
    <n v="32056409"/>
    <x v="73"/>
    <n v="0.97"/>
    <n v="6.29"/>
    <n v="1.2"/>
    <n v="9"/>
  </r>
  <r>
    <x v="2"/>
    <s v="5"/>
    <x v="9"/>
    <x v="2"/>
    <x v="2"/>
    <x v="0"/>
    <x v="443"/>
    <x v="2"/>
    <x v="351"/>
    <n v="39727104"/>
    <n v="431032"/>
    <n v="39296072"/>
    <x v="122"/>
    <n v="0.97"/>
    <n v="6.29"/>
    <n v="1.2"/>
    <n v="1"/>
  </r>
  <r>
    <x v="7"/>
    <s v="11"/>
    <x v="1"/>
    <x v="0"/>
    <x v="2"/>
    <x v="3"/>
    <x v="444"/>
    <x v="2"/>
    <x v="352"/>
    <n v="33611192"/>
    <n v="215837"/>
    <n v="33395355"/>
    <x v="222"/>
    <n v="0.97"/>
    <n v="6.29"/>
    <n v="1.2"/>
    <n v="7"/>
  </r>
  <r>
    <x v="5"/>
    <s v="12"/>
    <x v="4"/>
    <x v="8"/>
    <x v="2"/>
    <x v="1"/>
    <x v="445"/>
    <x v="2"/>
    <x v="315"/>
    <n v="67352264"/>
    <n v="386643"/>
    <n v="66965621"/>
    <x v="206"/>
    <n v="0.97"/>
    <n v="6.29"/>
    <n v="1.2"/>
    <n v="4"/>
  </r>
  <r>
    <x v="8"/>
    <s v="6"/>
    <x v="0"/>
    <x v="1"/>
    <x v="0"/>
    <x v="3"/>
    <x v="446"/>
    <x v="0"/>
    <x v="21"/>
    <n v="89212041"/>
    <n v="443052"/>
    <n v="88768989"/>
    <x v="153"/>
    <n v="0.97"/>
    <n v="6.29"/>
    <n v="1.2"/>
    <n v="5"/>
  </r>
  <r>
    <x v="8"/>
    <s v="7"/>
    <x v="4"/>
    <x v="4"/>
    <x v="0"/>
    <x v="1"/>
    <x v="447"/>
    <x v="2"/>
    <x v="101"/>
    <n v="53606296"/>
    <n v="295160"/>
    <n v="53311136"/>
    <x v="256"/>
    <n v="0.97"/>
    <n v="6.29"/>
    <n v="1.2"/>
    <n v="10"/>
  </r>
  <r>
    <x v="5"/>
    <s v="8"/>
    <x v="0"/>
    <x v="0"/>
    <x v="2"/>
    <x v="1"/>
    <x v="448"/>
    <x v="0"/>
    <x v="32"/>
    <n v="54099700"/>
    <n v="237646"/>
    <n v="53862054"/>
    <x v="257"/>
    <n v="0.97"/>
    <n v="6.29"/>
    <n v="1.2"/>
    <n v="5"/>
  </r>
  <r>
    <x v="3"/>
    <s v="8"/>
    <x v="1"/>
    <x v="5"/>
    <x v="2"/>
    <x v="2"/>
    <x v="449"/>
    <x v="1"/>
    <x v="353"/>
    <n v="20892726"/>
    <n v="309278"/>
    <n v="20583448"/>
    <x v="225"/>
    <n v="0.97"/>
    <n v="6.29"/>
    <n v="1.2"/>
    <n v="1"/>
  </r>
  <r>
    <x v="5"/>
    <s v="11"/>
    <x v="5"/>
    <x v="1"/>
    <x v="0"/>
    <x v="2"/>
    <x v="450"/>
    <x v="0"/>
    <x v="254"/>
    <n v="119584907"/>
    <n v="339819"/>
    <n v="119245088"/>
    <x v="189"/>
    <n v="0.97"/>
    <n v="6.29"/>
    <n v="1.2"/>
    <n v="6"/>
  </r>
  <r>
    <x v="8"/>
    <s v="2"/>
    <x v="3"/>
    <x v="2"/>
    <x v="2"/>
    <x v="2"/>
    <x v="451"/>
    <x v="0"/>
    <x v="354"/>
    <n v="67153100"/>
    <n v="306681"/>
    <n v="66846419"/>
    <x v="258"/>
    <n v="0.97"/>
    <n v="6.29"/>
    <n v="1.2"/>
    <n v="9"/>
  </r>
  <r>
    <x v="8"/>
    <s v="9"/>
    <x v="5"/>
    <x v="5"/>
    <x v="2"/>
    <x v="3"/>
    <x v="452"/>
    <x v="2"/>
    <x v="130"/>
    <n v="64092688"/>
    <n v="221635"/>
    <n v="63871053"/>
    <x v="195"/>
    <n v="0.97"/>
    <n v="6.29"/>
    <n v="1.2"/>
    <n v="2"/>
  </r>
  <r>
    <x v="2"/>
    <s v="7"/>
    <x v="0"/>
    <x v="2"/>
    <x v="0"/>
    <x v="2"/>
    <x v="453"/>
    <x v="0"/>
    <x v="257"/>
    <n v="45916848"/>
    <n v="61332"/>
    <n v="45855516"/>
    <x v="259"/>
    <n v="0.97"/>
    <n v="6.29"/>
    <n v="1.2"/>
    <n v="7"/>
  </r>
  <r>
    <x v="4"/>
    <s v="4"/>
    <x v="6"/>
    <x v="2"/>
    <x v="2"/>
    <x v="2"/>
    <x v="454"/>
    <x v="1"/>
    <x v="355"/>
    <n v="45142650"/>
    <n v="304817"/>
    <n v="44837833"/>
    <x v="89"/>
    <n v="0.97"/>
    <n v="6.29"/>
    <n v="1.2"/>
    <n v="6"/>
  </r>
  <r>
    <x v="7"/>
    <s v="4"/>
    <x v="3"/>
    <x v="1"/>
    <x v="2"/>
    <x v="0"/>
    <x v="455"/>
    <x v="1"/>
    <x v="356"/>
    <n v="49305627"/>
    <n v="331321"/>
    <n v="48974306"/>
    <x v="132"/>
    <n v="0.97"/>
    <n v="6.29"/>
    <n v="1.2"/>
    <n v="5"/>
  </r>
  <r>
    <x v="5"/>
    <s v="11"/>
    <x v="3"/>
    <x v="2"/>
    <x v="2"/>
    <x v="1"/>
    <x v="456"/>
    <x v="0"/>
    <x v="357"/>
    <n v="25581744"/>
    <n v="442704"/>
    <n v="25139040"/>
    <x v="260"/>
    <n v="0.97"/>
    <n v="6.29"/>
    <n v="1.2"/>
    <n v="4"/>
  </r>
  <r>
    <x v="7"/>
    <s v="8"/>
    <x v="4"/>
    <x v="3"/>
    <x v="0"/>
    <x v="1"/>
    <x v="457"/>
    <x v="0"/>
    <x v="66"/>
    <n v="101231746"/>
    <n v="270326"/>
    <n v="100961420"/>
    <x v="261"/>
    <n v="0.97"/>
    <n v="6.29"/>
    <n v="1.2"/>
    <n v="4"/>
  </r>
  <r>
    <x v="5"/>
    <s v="4"/>
    <x v="9"/>
    <x v="6"/>
    <x v="2"/>
    <x v="2"/>
    <x v="458"/>
    <x v="0"/>
    <x v="358"/>
    <n v="8291376"/>
    <n v="249519"/>
    <n v="8041857"/>
    <x v="43"/>
    <n v="0.97"/>
    <n v="6.29"/>
    <n v="1.2"/>
    <n v="6"/>
  </r>
  <r>
    <x v="0"/>
    <s v="6"/>
    <x v="4"/>
    <x v="3"/>
    <x v="0"/>
    <x v="1"/>
    <x v="459"/>
    <x v="0"/>
    <x v="359"/>
    <n v="42239392"/>
    <n v="311849"/>
    <n v="41927543"/>
    <x v="91"/>
    <n v="0.97"/>
    <n v="6.29"/>
    <n v="1.2"/>
    <n v="4"/>
  </r>
  <r>
    <x v="8"/>
    <s v="5"/>
    <x v="4"/>
    <x v="6"/>
    <x v="0"/>
    <x v="0"/>
    <x v="460"/>
    <x v="0"/>
    <x v="11"/>
    <n v="68347415"/>
    <n v="369248"/>
    <n v="67978167"/>
    <x v="241"/>
    <n v="0.97"/>
    <n v="6.29"/>
    <n v="1.2"/>
    <n v="5"/>
  </r>
  <r>
    <x v="4"/>
    <s v="3"/>
    <x v="6"/>
    <x v="9"/>
    <x v="1"/>
    <x v="0"/>
    <x v="461"/>
    <x v="2"/>
    <x v="251"/>
    <n v="20690465"/>
    <n v="396479"/>
    <n v="20293986"/>
    <x v="72"/>
    <n v="0.97"/>
    <n v="6.29"/>
    <n v="1.2"/>
    <n v="6"/>
  </r>
  <r>
    <x v="2"/>
    <s v="10"/>
    <x v="5"/>
    <x v="9"/>
    <x v="1"/>
    <x v="2"/>
    <x v="462"/>
    <x v="0"/>
    <x v="360"/>
    <n v="23907242"/>
    <n v="427082"/>
    <n v="23480160"/>
    <x v="26"/>
    <n v="0.97"/>
    <n v="6.29"/>
    <n v="1.2"/>
    <n v="5"/>
  </r>
  <r>
    <x v="4"/>
    <s v="11"/>
    <x v="5"/>
    <x v="2"/>
    <x v="2"/>
    <x v="0"/>
    <x v="463"/>
    <x v="2"/>
    <x v="121"/>
    <n v="40705024"/>
    <n v="130730"/>
    <n v="40574294"/>
    <x v="262"/>
    <n v="0.97"/>
    <n v="6.29"/>
    <n v="1.2"/>
    <n v="7"/>
  </r>
  <r>
    <x v="4"/>
    <s v="2"/>
    <x v="8"/>
    <x v="4"/>
    <x v="0"/>
    <x v="1"/>
    <x v="464"/>
    <x v="0"/>
    <x v="361"/>
    <n v="72951060"/>
    <n v="448167"/>
    <n v="72502893"/>
    <x v="181"/>
    <n v="0.97"/>
    <n v="6.29"/>
    <n v="1.2"/>
    <n v="9"/>
  </r>
  <r>
    <x v="4"/>
    <s v="9"/>
    <x v="0"/>
    <x v="4"/>
    <x v="1"/>
    <x v="3"/>
    <x v="465"/>
    <x v="2"/>
    <x v="362"/>
    <n v="26885206"/>
    <n v="287474"/>
    <n v="26597732"/>
    <x v="76"/>
    <n v="0.97"/>
    <n v="6.29"/>
    <n v="1.2"/>
    <n v="10"/>
  </r>
  <r>
    <x v="7"/>
    <s v="10"/>
    <x v="6"/>
    <x v="6"/>
    <x v="2"/>
    <x v="1"/>
    <x v="466"/>
    <x v="1"/>
    <x v="363"/>
    <n v="19923915"/>
    <n v="340477"/>
    <n v="19583438"/>
    <x v="109"/>
    <n v="0.97"/>
    <n v="6.29"/>
    <n v="1.2"/>
    <n v="7"/>
  </r>
  <r>
    <x v="5"/>
    <s v="9"/>
    <x v="8"/>
    <x v="5"/>
    <x v="1"/>
    <x v="3"/>
    <x v="467"/>
    <x v="0"/>
    <x v="364"/>
    <n v="90435303"/>
    <n v="333817"/>
    <n v="90101486"/>
    <x v="142"/>
    <n v="0.97"/>
    <n v="6.29"/>
    <n v="1.2"/>
    <n v="7"/>
  </r>
  <r>
    <x v="9"/>
    <s v="1"/>
    <x v="1"/>
    <x v="1"/>
    <x v="1"/>
    <x v="2"/>
    <x v="468"/>
    <x v="0"/>
    <x v="365"/>
    <n v="63673344"/>
    <n v="426565"/>
    <n v="63246779"/>
    <x v="263"/>
    <n v="0.97"/>
    <n v="6.29"/>
    <n v="1.2"/>
    <n v="4"/>
  </r>
  <r>
    <x v="0"/>
    <s v="10"/>
    <x v="0"/>
    <x v="2"/>
    <x v="0"/>
    <x v="3"/>
    <x v="469"/>
    <x v="0"/>
    <x v="57"/>
    <n v="52882335"/>
    <n v="90870"/>
    <n v="52791465"/>
    <x v="158"/>
    <n v="0.97"/>
    <n v="6.29"/>
    <n v="1.2"/>
    <n v="1"/>
  </r>
  <r>
    <x v="1"/>
    <s v="3"/>
    <x v="0"/>
    <x v="1"/>
    <x v="0"/>
    <x v="0"/>
    <x v="470"/>
    <x v="0"/>
    <x v="366"/>
    <n v="39095835"/>
    <n v="303017"/>
    <n v="38792818"/>
    <x v="46"/>
    <n v="0.97"/>
    <n v="6.29"/>
    <n v="1.2"/>
    <n v="8"/>
  </r>
  <r>
    <x v="4"/>
    <s v="8"/>
    <x v="2"/>
    <x v="3"/>
    <x v="1"/>
    <x v="1"/>
    <x v="471"/>
    <x v="2"/>
    <x v="367"/>
    <n v="54621864"/>
    <n v="177536"/>
    <n v="54444328"/>
    <x v="212"/>
    <n v="0.97"/>
    <n v="6.29"/>
    <n v="1.2"/>
    <n v="4"/>
  </r>
  <r>
    <x v="3"/>
    <s v="6"/>
    <x v="2"/>
    <x v="4"/>
    <x v="1"/>
    <x v="3"/>
    <x v="472"/>
    <x v="0"/>
    <x v="63"/>
    <n v="103535370"/>
    <n v="383245"/>
    <n v="103152125"/>
    <x v="264"/>
    <n v="0.97"/>
    <n v="6.29"/>
    <n v="1.2"/>
    <n v="1"/>
  </r>
  <r>
    <x v="7"/>
    <s v="5"/>
    <x v="7"/>
    <x v="8"/>
    <x v="0"/>
    <x v="1"/>
    <x v="473"/>
    <x v="2"/>
    <x v="194"/>
    <n v="32065804"/>
    <n v="334965"/>
    <n v="31730839"/>
    <x v="228"/>
    <n v="0.97"/>
    <n v="6.29"/>
    <n v="1.2"/>
    <n v="5"/>
  </r>
  <r>
    <x v="2"/>
    <s v="5"/>
    <x v="7"/>
    <x v="3"/>
    <x v="2"/>
    <x v="2"/>
    <x v="474"/>
    <x v="1"/>
    <x v="259"/>
    <n v="16321184"/>
    <n v="75494"/>
    <n v="16245690"/>
    <x v="81"/>
    <n v="0.97"/>
    <n v="6.29"/>
    <n v="1.2"/>
    <n v="8"/>
  </r>
  <r>
    <x v="1"/>
    <s v="6"/>
    <x v="4"/>
    <x v="3"/>
    <x v="0"/>
    <x v="2"/>
    <x v="475"/>
    <x v="1"/>
    <x v="368"/>
    <n v="12724152"/>
    <n v="149477"/>
    <n v="12574675"/>
    <x v="204"/>
    <n v="0.97"/>
    <n v="6.29"/>
    <n v="1.2"/>
    <n v="4"/>
  </r>
  <r>
    <x v="9"/>
    <s v="7"/>
    <x v="1"/>
    <x v="6"/>
    <x v="1"/>
    <x v="0"/>
    <x v="476"/>
    <x v="0"/>
    <x v="301"/>
    <n v="50424044"/>
    <n v="438227"/>
    <n v="49985817"/>
    <x v="265"/>
    <n v="0.97"/>
    <n v="6.29"/>
    <n v="1.2"/>
    <n v="8"/>
  </r>
  <r>
    <x v="3"/>
    <s v="1"/>
    <x v="3"/>
    <x v="7"/>
    <x v="2"/>
    <x v="2"/>
    <x v="477"/>
    <x v="1"/>
    <x v="369"/>
    <n v="16022776"/>
    <n v="255232"/>
    <n v="15767544"/>
    <x v="52"/>
    <n v="0.97"/>
    <n v="6.29"/>
    <n v="1.2"/>
    <n v="8"/>
  </r>
  <r>
    <x v="9"/>
    <s v="9"/>
    <x v="3"/>
    <x v="3"/>
    <x v="1"/>
    <x v="3"/>
    <x v="478"/>
    <x v="0"/>
    <x v="288"/>
    <n v="31004838"/>
    <n v="424842"/>
    <n v="30579996"/>
    <x v="266"/>
    <n v="0.97"/>
    <n v="6.29"/>
    <n v="1.2"/>
    <n v="3"/>
  </r>
  <r>
    <x v="1"/>
    <s v="3"/>
    <x v="2"/>
    <x v="2"/>
    <x v="2"/>
    <x v="2"/>
    <x v="479"/>
    <x v="2"/>
    <x v="370"/>
    <n v="68810700"/>
    <n v="423704"/>
    <n v="68386996"/>
    <x v="267"/>
    <n v="0.97"/>
    <n v="6.29"/>
    <n v="1.2"/>
    <n v="9"/>
  </r>
  <r>
    <x v="4"/>
    <s v="4"/>
    <x v="2"/>
    <x v="0"/>
    <x v="1"/>
    <x v="0"/>
    <x v="480"/>
    <x v="1"/>
    <x v="39"/>
    <n v="36122765"/>
    <n v="444051"/>
    <n v="35678714"/>
    <x v="15"/>
    <n v="0.97"/>
    <n v="6.29"/>
    <n v="1.2"/>
    <n v="3"/>
  </r>
  <r>
    <x v="3"/>
    <s v="10"/>
    <x v="2"/>
    <x v="0"/>
    <x v="2"/>
    <x v="1"/>
    <x v="481"/>
    <x v="0"/>
    <x v="212"/>
    <n v="63237596"/>
    <n v="330790"/>
    <n v="62906806"/>
    <x v="27"/>
    <n v="0.97"/>
    <n v="6.29"/>
    <n v="1.2"/>
    <n v="1"/>
  </r>
  <r>
    <x v="9"/>
    <s v="1"/>
    <x v="6"/>
    <x v="2"/>
    <x v="2"/>
    <x v="1"/>
    <x v="482"/>
    <x v="2"/>
    <x v="189"/>
    <n v="49796468"/>
    <n v="173777"/>
    <n v="49622691"/>
    <x v="79"/>
    <n v="0.97"/>
    <n v="6.29"/>
    <n v="1.2"/>
    <n v="2"/>
  </r>
  <r>
    <x v="2"/>
    <s v="11"/>
    <x v="9"/>
    <x v="7"/>
    <x v="1"/>
    <x v="2"/>
    <x v="483"/>
    <x v="2"/>
    <x v="371"/>
    <n v="63446680"/>
    <n v="127360"/>
    <n v="63319320"/>
    <x v="89"/>
    <n v="0.97"/>
    <n v="6.29"/>
    <n v="1.2"/>
    <n v="6"/>
  </r>
  <r>
    <x v="5"/>
    <s v="10"/>
    <x v="7"/>
    <x v="7"/>
    <x v="2"/>
    <x v="3"/>
    <x v="484"/>
    <x v="1"/>
    <x v="372"/>
    <n v="44756894"/>
    <n v="349479"/>
    <n v="44407415"/>
    <x v="232"/>
    <n v="0.97"/>
    <n v="6.29"/>
    <n v="1.2"/>
    <n v="10"/>
  </r>
  <r>
    <x v="8"/>
    <s v="3"/>
    <x v="6"/>
    <x v="6"/>
    <x v="0"/>
    <x v="0"/>
    <x v="485"/>
    <x v="0"/>
    <x v="373"/>
    <n v="134538408"/>
    <n v="381495"/>
    <n v="134156913"/>
    <x v="268"/>
    <n v="0.97"/>
    <n v="6.29"/>
    <n v="1.2"/>
    <n v="2"/>
  </r>
  <r>
    <x v="5"/>
    <s v="2"/>
    <x v="5"/>
    <x v="4"/>
    <x v="1"/>
    <x v="3"/>
    <x v="486"/>
    <x v="2"/>
    <x v="374"/>
    <n v="20579734"/>
    <n v="427078"/>
    <n v="20152656"/>
    <x v="248"/>
    <n v="0.97"/>
    <n v="6.29"/>
    <n v="1.2"/>
    <n v="6"/>
  </r>
  <r>
    <x v="1"/>
    <s v="2"/>
    <x v="3"/>
    <x v="1"/>
    <x v="0"/>
    <x v="0"/>
    <x v="487"/>
    <x v="1"/>
    <x v="375"/>
    <n v="30787948"/>
    <n v="183501"/>
    <n v="30604447"/>
    <x v="113"/>
    <n v="0.97"/>
    <n v="6.29"/>
    <n v="1.2"/>
    <n v="1"/>
  </r>
  <r>
    <x v="7"/>
    <s v="1"/>
    <x v="0"/>
    <x v="7"/>
    <x v="1"/>
    <x v="2"/>
    <x v="488"/>
    <x v="0"/>
    <x v="376"/>
    <n v="38437834"/>
    <n v="354094"/>
    <n v="38083740"/>
    <x v="6"/>
    <n v="0.97"/>
    <n v="6.29"/>
    <n v="1.2"/>
    <n v="1"/>
  </r>
  <r>
    <x v="8"/>
    <s v="8"/>
    <x v="7"/>
    <x v="8"/>
    <x v="2"/>
    <x v="0"/>
    <x v="489"/>
    <x v="1"/>
    <x v="377"/>
    <n v="30666293"/>
    <n v="110654"/>
    <n v="30555639"/>
    <x v="241"/>
    <n v="0.97"/>
    <n v="6.29"/>
    <n v="1.2"/>
    <n v="5"/>
  </r>
  <r>
    <x v="0"/>
    <s v="3"/>
    <x v="8"/>
    <x v="6"/>
    <x v="2"/>
    <x v="0"/>
    <x v="490"/>
    <x v="0"/>
    <x v="378"/>
    <n v="134256879"/>
    <n v="419566"/>
    <n v="133837313"/>
    <x v="269"/>
    <n v="0.97"/>
    <n v="6.29"/>
    <n v="1.2"/>
    <n v="10"/>
  </r>
  <r>
    <x v="2"/>
    <s v="3"/>
    <x v="5"/>
    <x v="9"/>
    <x v="2"/>
    <x v="2"/>
    <x v="491"/>
    <x v="0"/>
    <x v="379"/>
    <n v="75393984"/>
    <n v="422078"/>
    <n v="74971906"/>
    <x v="270"/>
    <n v="0.97"/>
    <n v="6.29"/>
    <n v="1.2"/>
    <n v="9"/>
  </r>
  <r>
    <x v="0"/>
    <s v="6"/>
    <x v="7"/>
    <x v="5"/>
    <x v="1"/>
    <x v="3"/>
    <x v="492"/>
    <x v="0"/>
    <x v="380"/>
    <n v="40513624"/>
    <n v="169975"/>
    <n v="40343649"/>
    <x v="179"/>
    <n v="0.97"/>
    <n v="6.29"/>
    <n v="1.2"/>
    <n v="8"/>
  </r>
  <r>
    <x v="3"/>
    <s v="8"/>
    <x v="6"/>
    <x v="9"/>
    <x v="0"/>
    <x v="2"/>
    <x v="493"/>
    <x v="2"/>
    <x v="381"/>
    <n v="68279642"/>
    <n v="249215"/>
    <n v="68030427"/>
    <x v="121"/>
    <n v="0.97"/>
    <n v="6.29"/>
    <n v="1.2"/>
    <n v="3"/>
  </r>
  <r>
    <x v="8"/>
    <s v="9"/>
    <x v="1"/>
    <x v="6"/>
    <x v="0"/>
    <x v="0"/>
    <x v="494"/>
    <x v="1"/>
    <x v="171"/>
    <n v="48829968"/>
    <n v="403330"/>
    <n v="48426638"/>
    <x v="65"/>
    <n v="0.97"/>
    <n v="6.29"/>
    <n v="1.2"/>
    <n v="3"/>
  </r>
  <r>
    <x v="0"/>
    <s v="9"/>
    <x v="0"/>
    <x v="3"/>
    <x v="1"/>
    <x v="2"/>
    <x v="495"/>
    <x v="0"/>
    <x v="324"/>
    <n v="85380576"/>
    <n v="416378"/>
    <n v="84964198"/>
    <x v="271"/>
    <n v="0.97"/>
    <n v="6.29"/>
    <n v="1.2"/>
    <n v="1"/>
  </r>
  <r>
    <x v="0"/>
    <s v="4"/>
    <x v="7"/>
    <x v="1"/>
    <x v="1"/>
    <x v="0"/>
    <x v="496"/>
    <x v="0"/>
    <x v="382"/>
    <n v="56305662"/>
    <n v="152326"/>
    <n v="56153336"/>
    <x v="93"/>
    <n v="0.97"/>
    <n v="6.29"/>
    <n v="1.2"/>
    <n v="3"/>
  </r>
  <r>
    <x v="9"/>
    <s v="5"/>
    <x v="9"/>
    <x v="5"/>
    <x v="0"/>
    <x v="2"/>
    <x v="497"/>
    <x v="1"/>
    <x v="383"/>
    <n v="53165460"/>
    <n v="127527"/>
    <n v="53037933"/>
    <x v="170"/>
    <n v="0.97"/>
    <n v="6.29"/>
    <n v="1.2"/>
    <n v="1"/>
  </r>
  <r>
    <x v="5"/>
    <s v="2"/>
    <x v="2"/>
    <x v="9"/>
    <x v="0"/>
    <x v="1"/>
    <x v="498"/>
    <x v="2"/>
    <x v="384"/>
    <n v="36923652"/>
    <n v="398848"/>
    <n v="36524804"/>
    <x v="176"/>
    <n v="0.97"/>
    <n v="6.29"/>
    <n v="1.2"/>
    <n v="8"/>
  </r>
  <r>
    <x v="9"/>
    <s v="11"/>
    <x v="2"/>
    <x v="5"/>
    <x v="0"/>
    <x v="1"/>
    <x v="499"/>
    <x v="0"/>
    <x v="385"/>
    <n v="82276992"/>
    <n v="474315"/>
    <n v="81802677"/>
    <x v="205"/>
    <n v="0.97"/>
    <n v="6.29"/>
    <n v="1.2"/>
    <n v="1"/>
  </r>
  <r>
    <x v="8"/>
    <s v="9"/>
    <x v="0"/>
    <x v="8"/>
    <x v="0"/>
    <x v="2"/>
    <x v="500"/>
    <x v="0"/>
    <x v="235"/>
    <n v="90355847"/>
    <n v="482601"/>
    <n v="89873246"/>
    <x v="144"/>
    <n v="0.97"/>
    <n v="6.29"/>
    <n v="1.2"/>
    <n v="5"/>
  </r>
  <r>
    <x v="8"/>
    <s v="8"/>
    <x v="6"/>
    <x v="8"/>
    <x v="1"/>
    <x v="3"/>
    <x v="501"/>
    <x v="2"/>
    <x v="336"/>
    <n v="43185152"/>
    <n v="216991"/>
    <n v="42968161"/>
    <x v="213"/>
    <n v="0.97"/>
    <n v="6.29"/>
    <n v="1.2"/>
    <n v="9"/>
  </r>
  <r>
    <x v="1"/>
    <s v="3"/>
    <x v="2"/>
    <x v="8"/>
    <x v="1"/>
    <x v="0"/>
    <x v="502"/>
    <x v="2"/>
    <x v="386"/>
    <n v="32623680"/>
    <n v="146952"/>
    <n v="32476728"/>
    <x v="145"/>
    <n v="0.97"/>
    <n v="6.29"/>
    <n v="1.2"/>
    <n v="7"/>
  </r>
  <r>
    <x v="9"/>
    <s v="11"/>
    <x v="7"/>
    <x v="6"/>
    <x v="2"/>
    <x v="1"/>
    <x v="503"/>
    <x v="2"/>
    <x v="387"/>
    <n v="9855989"/>
    <n v="372926"/>
    <n v="9483063"/>
    <x v="272"/>
    <n v="0.97"/>
    <n v="6.29"/>
    <n v="1.2"/>
    <n v="4"/>
  </r>
  <r>
    <x v="6"/>
    <s v="12"/>
    <x v="8"/>
    <x v="1"/>
    <x v="0"/>
    <x v="3"/>
    <x v="504"/>
    <x v="2"/>
    <x v="388"/>
    <n v="32972696"/>
    <n v="383260"/>
    <n v="32589436"/>
    <x v="91"/>
    <n v="0.97"/>
    <n v="6.29"/>
    <n v="1.2"/>
    <n v="9"/>
  </r>
  <r>
    <x v="5"/>
    <s v="9"/>
    <x v="3"/>
    <x v="6"/>
    <x v="2"/>
    <x v="0"/>
    <x v="505"/>
    <x v="2"/>
    <x v="389"/>
    <n v="7773926"/>
    <n v="401770"/>
    <n v="7372156"/>
    <x v="273"/>
    <n v="0.97"/>
    <n v="6.29"/>
    <n v="1.2"/>
    <n v="9"/>
  </r>
  <r>
    <x v="8"/>
    <s v="3"/>
    <x v="3"/>
    <x v="0"/>
    <x v="1"/>
    <x v="1"/>
    <x v="506"/>
    <x v="2"/>
    <x v="390"/>
    <n v="66967074"/>
    <n v="483603"/>
    <n v="66483471"/>
    <x v="274"/>
    <n v="0.97"/>
    <n v="6.29"/>
    <n v="1.2"/>
    <n v="2"/>
  </r>
  <r>
    <x v="1"/>
    <s v="9"/>
    <x v="5"/>
    <x v="3"/>
    <x v="1"/>
    <x v="1"/>
    <x v="507"/>
    <x v="0"/>
    <x v="391"/>
    <n v="48229888"/>
    <n v="196895"/>
    <n v="48032993"/>
    <x v="197"/>
    <n v="0.97"/>
    <n v="6.29"/>
    <n v="1.2"/>
    <n v="10"/>
  </r>
  <r>
    <x v="9"/>
    <s v="2"/>
    <x v="4"/>
    <x v="3"/>
    <x v="2"/>
    <x v="2"/>
    <x v="508"/>
    <x v="1"/>
    <x v="392"/>
    <n v="56264094"/>
    <n v="96015"/>
    <n v="56168079"/>
    <x v="205"/>
    <n v="0.97"/>
    <n v="6.29"/>
    <n v="1.2"/>
    <n v="10"/>
  </r>
  <r>
    <x v="5"/>
    <s v="12"/>
    <x v="1"/>
    <x v="8"/>
    <x v="0"/>
    <x v="0"/>
    <x v="509"/>
    <x v="0"/>
    <x v="393"/>
    <n v="64132596"/>
    <n v="152877"/>
    <n v="63979719"/>
    <x v="236"/>
    <n v="0.97"/>
    <n v="6.29"/>
    <n v="1.2"/>
    <n v="6"/>
  </r>
  <r>
    <x v="9"/>
    <s v="10"/>
    <x v="0"/>
    <x v="0"/>
    <x v="0"/>
    <x v="3"/>
    <x v="510"/>
    <x v="2"/>
    <x v="394"/>
    <n v="28644110"/>
    <n v="327483"/>
    <n v="28316627"/>
    <x v="275"/>
    <n v="0.97"/>
    <n v="6.29"/>
    <n v="1.2"/>
    <n v="4"/>
  </r>
  <r>
    <x v="0"/>
    <s v="9"/>
    <x v="5"/>
    <x v="7"/>
    <x v="0"/>
    <x v="3"/>
    <x v="511"/>
    <x v="0"/>
    <x v="272"/>
    <n v="41316120"/>
    <n v="184563"/>
    <n v="41131557"/>
    <x v="76"/>
    <n v="0.97"/>
    <n v="6.29"/>
    <n v="1.2"/>
    <n v="8"/>
  </r>
  <r>
    <x v="1"/>
    <s v="8"/>
    <x v="4"/>
    <x v="7"/>
    <x v="0"/>
    <x v="3"/>
    <x v="512"/>
    <x v="2"/>
    <x v="241"/>
    <n v="63944259"/>
    <n v="443922"/>
    <n v="63500337"/>
    <x v="10"/>
    <n v="0.97"/>
    <n v="6.29"/>
    <n v="1.2"/>
    <n v="7"/>
  </r>
  <r>
    <x v="5"/>
    <s v="9"/>
    <x v="6"/>
    <x v="8"/>
    <x v="2"/>
    <x v="0"/>
    <x v="513"/>
    <x v="0"/>
    <x v="107"/>
    <n v="62509134"/>
    <n v="147493"/>
    <n v="62361641"/>
    <x v="247"/>
    <n v="0.97"/>
    <n v="6.29"/>
    <n v="1.2"/>
    <n v="7"/>
  </r>
  <r>
    <x v="4"/>
    <s v="5"/>
    <x v="9"/>
    <x v="9"/>
    <x v="2"/>
    <x v="3"/>
    <x v="514"/>
    <x v="1"/>
    <x v="39"/>
    <n v="28318290"/>
    <n v="196800"/>
    <n v="28121490"/>
    <x v="214"/>
    <n v="0.97"/>
    <n v="6.29"/>
    <n v="1.2"/>
    <n v="10"/>
  </r>
  <r>
    <x v="3"/>
    <s v="11"/>
    <x v="9"/>
    <x v="6"/>
    <x v="1"/>
    <x v="3"/>
    <x v="515"/>
    <x v="2"/>
    <x v="83"/>
    <n v="34762706"/>
    <n v="450213"/>
    <n v="34312493"/>
    <x v="47"/>
    <n v="0.97"/>
    <n v="6.29"/>
    <n v="1.2"/>
    <n v="9"/>
  </r>
  <r>
    <x v="3"/>
    <s v="11"/>
    <x v="1"/>
    <x v="8"/>
    <x v="0"/>
    <x v="3"/>
    <x v="516"/>
    <x v="2"/>
    <x v="395"/>
    <n v="69254432"/>
    <n v="241480"/>
    <n v="69012952"/>
    <x v="269"/>
    <n v="0.97"/>
    <n v="6.29"/>
    <n v="1.2"/>
    <n v="5"/>
  </r>
  <r>
    <x v="5"/>
    <s v="2"/>
    <x v="2"/>
    <x v="4"/>
    <x v="0"/>
    <x v="2"/>
    <x v="517"/>
    <x v="1"/>
    <x v="396"/>
    <n v="5405498"/>
    <n v="441670"/>
    <n v="4963828"/>
    <x v="2"/>
    <n v="0.97"/>
    <n v="6.29"/>
    <n v="1.2"/>
    <n v="6"/>
  </r>
  <r>
    <x v="9"/>
    <s v="8"/>
    <x v="7"/>
    <x v="5"/>
    <x v="0"/>
    <x v="2"/>
    <x v="518"/>
    <x v="1"/>
    <x v="384"/>
    <n v="30289311"/>
    <n v="481739"/>
    <n v="29807572"/>
    <x v="276"/>
    <n v="0.97"/>
    <n v="6.29"/>
    <n v="1.2"/>
    <n v="1"/>
  </r>
  <r>
    <x v="1"/>
    <s v="12"/>
    <x v="5"/>
    <x v="3"/>
    <x v="2"/>
    <x v="0"/>
    <x v="519"/>
    <x v="2"/>
    <x v="363"/>
    <n v="33863643"/>
    <n v="171648"/>
    <n v="33691995"/>
    <x v="148"/>
    <n v="0.97"/>
    <n v="6.29"/>
    <n v="1.2"/>
    <n v="6"/>
  </r>
  <r>
    <x v="3"/>
    <s v="6"/>
    <x v="5"/>
    <x v="7"/>
    <x v="0"/>
    <x v="0"/>
    <x v="520"/>
    <x v="1"/>
    <x v="345"/>
    <n v="7256640"/>
    <n v="337307"/>
    <n v="6919333"/>
    <x v="91"/>
    <n v="0.97"/>
    <n v="6.29"/>
    <n v="1.2"/>
    <n v="2"/>
  </r>
  <r>
    <x v="1"/>
    <s v="8"/>
    <x v="0"/>
    <x v="2"/>
    <x v="2"/>
    <x v="3"/>
    <x v="521"/>
    <x v="0"/>
    <x v="397"/>
    <n v="75127104"/>
    <n v="198790"/>
    <n v="74928314"/>
    <x v="254"/>
    <n v="0.97"/>
    <n v="6.29"/>
    <n v="1.2"/>
    <n v="6"/>
  </r>
  <r>
    <x v="3"/>
    <s v="11"/>
    <x v="0"/>
    <x v="7"/>
    <x v="0"/>
    <x v="2"/>
    <x v="522"/>
    <x v="0"/>
    <x v="296"/>
    <n v="42594035"/>
    <n v="137508"/>
    <n v="42456527"/>
    <x v="219"/>
    <n v="0.97"/>
    <n v="6.29"/>
    <n v="1.2"/>
    <n v="9"/>
  </r>
  <r>
    <x v="0"/>
    <s v="5"/>
    <x v="9"/>
    <x v="3"/>
    <x v="0"/>
    <x v="1"/>
    <x v="523"/>
    <x v="1"/>
    <x v="398"/>
    <n v="10168428"/>
    <n v="264839"/>
    <n v="9903589"/>
    <x v="92"/>
    <n v="0.97"/>
    <n v="6.29"/>
    <n v="1.2"/>
    <n v="8"/>
  </r>
  <r>
    <x v="9"/>
    <s v="10"/>
    <x v="9"/>
    <x v="5"/>
    <x v="1"/>
    <x v="1"/>
    <x v="524"/>
    <x v="0"/>
    <x v="115"/>
    <n v="79938536"/>
    <n v="351763"/>
    <n v="79586773"/>
    <x v="277"/>
    <n v="0.97"/>
    <n v="6.29"/>
    <n v="1.2"/>
    <n v="9"/>
  </r>
  <r>
    <x v="0"/>
    <s v="2"/>
    <x v="8"/>
    <x v="3"/>
    <x v="0"/>
    <x v="3"/>
    <x v="525"/>
    <x v="1"/>
    <x v="399"/>
    <n v="18723044"/>
    <n v="324270"/>
    <n v="18398774"/>
    <x v="222"/>
    <n v="0.97"/>
    <n v="6.29"/>
    <n v="1.2"/>
    <n v="10"/>
  </r>
  <r>
    <x v="3"/>
    <s v="6"/>
    <x v="8"/>
    <x v="2"/>
    <x v="0"/>
    <x v="3"/>
    <x v="526"/>
    <x v="1"/>
    <x v="379"/>
    <n v="25904493"/>
    <n v="114926"/>
    <n v="25789567"/>
    <x v="143"/>
    <n v="0.97"/>
    <n v="6.29"/>
    <n v="1.2"/>
    <n v="8"/>
  </r>
  <r>
    <x v="4"/>
    <s v="5"/>
    <x v="2"/>
    <x v="8"/>
    <x v="1"/>
    <x v="2"/>
    <x v="527"/>
    <x v="2"/>
    <x v="400"/>
    <n v="58925570"/>
    <n v="90633"/>
    <n v="58834937"/>
    <x v="139"/>
    <n v="0.97"/>
    <n v="6.29"/>
    <n v="1.2"/>
    <n v="3"/>
  </r>
  <r>
    <x v="4"/>
    <s v="12"/>
    <x v="8"/>
    <x v="0"/>
    <x v="2"/>
    <x v="2"/>
    <x v="528"/>
    <x v="1"/>
    <x v="107"/>
    <n v="22768310"/>
    <n v="258726"/>
    <n v="22509584"/>
    <x v="84"/>
    <n v="0.97"/>
    <n v="6.29"/>
    <n v="1.2"/>
    <n v="8"/>
  </r>
  <r>
    <x v="0"/>
    <s v="12"/>
    <x v="7"/>
    <x v="2"/>
    <x v="2"/>
    <x v="2"/>
    <x v="529"/>
    <x v="0"/>
    <x v="401"/>
    <n v="76616586"/>
    <n v="53317"/>
    <n v="76563269"/>
    <x v="278"/>
    <n v="0.97"/>
    <n v="6.29"/>
    <n v="1.2"/>
    <n v="6"/>
  </r>
  <r>
    <x v="4"/>
    <s v="5"/>
    <x v="7"/>
    <x v="3"/>
    <x v="0"/>
    <x v="0"/>
    <x v="530"/>
    <x v="2"/>
    <x v="61"/>
    <n v="27537240"/>
    <n v="357124"/>
    <n v="27180116"/>
    <x v="277"/>
    <n v="0.97"/>
    <n v="6.29"/>
    <n v="1.2"/>
    <n v="6"/>
  </r>
  <r>
    <x v="3"/>
    <s v="1"/>
    <x v="5"/>
    <x v="3"/>
    <x v="2"/>
    <x v="0"/>
    <x v="531"/>
    <x v="2"/>
    <x v="322"/>
    <n v="14845215"/>
    <n v="356259"/>
    <n v="14488956"/>
    <x v="199"/>
    <n v="0.97"/>
    <n v="6.29"/>
    <n v="1.2"/>
    <n v="6"/>
  </r>
  <r>
    <x v="5"/>
    <s v="2"/>
    <x v="3"/>
    <x v="4"/>
    <x v="0"/>
    <x v="3"/>
    <x v="532"/>
    <x v="2"/>
    <x v="385"/>
    <n v="60327680"/>
    <n v="242718"/>
    <n v="60084962"/>
    <x v="279"/>
    <n v="0.97"/>
    <n v="6.29"/>
    <n v="1.2"/>
    <n v="3"/>
  </r>
  <r>
    <x v="0"/>
    <s v="8"/>
    <x v="7"/>
    <x v="4"/>
    <x v="1"/>
    <x v="0"/>
    <x v="533"/>
    <x v="0"/>
    <x v="402"/>
    <n v="76049715"/>
    <n v="355302"/>
    <n v="75694413"/>
    <x v="185"/>
    <n v="0.97"/>
    <n v="6.29"/>
    <n v="1.2"/>
    <n v="10"/>
  </r>
  <r>
    <x v="7"/>
    <s v="3"/>
    <x v="4"/>
    <x v="1"/>
    <x v="1"/>
    <x v="2"/>
    <x v="534"/>
    <x v="2"/>
    <x v="403"/>
    <n v="35532396"/>
    <n v="237035"/>
    <n v="35295361"/>
    <x v="200"/>
    <n v="0.97"/>
    <n v="6.29"/>
    <n v="1.2"/>
    <n v="1"/>
  </r>
  <r>
    <x v="9"/>
    <s v="10"/>
    <x v="9"/>
    <x v="4"/>
    <x v="0"/>
    <x v="2"/>
    <x v="535"/>
    <x v="2"/>
    <x v="225"/>
    <n v="37994375"/>
    <n v="490847"/>
    <n v="37503528"/>
    <x v="276"/>
    <n v="0.97"/>
    <n v="6.29"/>
    <n v="1.2"/>
    <n v="4"/>
  </r>
  <r>
    <x v="4"/>
    <s v="3"/>
    <x v="0"/>
    <x v="6"/>
    <x v="1"/>
    <x v="0"/>
    <x v="536"/>
    <x v="0"/>
    <x v="404"/>
    <n v="107933420"/>
    <n v="230388"/>
    <n v="107703032"/>
    <x v="211"/>
    <n v="0.97"/>
    <n v="6.29"/>
    <n v="1.2"/>
    <n v="10"/>
  </r>
  <r>
    <x v="4"/>
    <s v="8"/>
    <x v="8"/>
    <x v="0"/>
    <x v="1"/>
    <x v="1"/>
    <x v="537"/>
    <x v="2"/>
    <x v="63"/>
    <n v="71198517"/>
    <n v="417508"/>
    <n v="70781009"/>
    <x v="103"/>
    <n v="0.97"/>
    <n v="6.29"/>
    <n v="1.2"/>
    <n v="6"/>
  </r>
  <r>
    <x v="8"/>
    <s v="8"/>
    <x v="5"/>
    <x v="5"/>
    <x v="0"/>
    <x v="3"/>
    <x v="538"/>
    <x v="1"/>
    <x v="405"/>
    <n v="7609316"/>
    <n v="327648"/>
    <n v="7281668"/>
    <x v="280"/>
    <n v="0.97"/>
    <n v="6.29"/>
    <n v="1.2"/>
    <n v="10"/>
  </r>
  <r>
    <x v="6"/>
    <s v="2"/>
    <x v="1"/>
    <x v="2"/>
    <x v="0"/>
    <x v="1"/>
    <x v="539"/>
    <x v="2"/>
    <x v="406"/>
    <n v="53787086"/>
    <n v="249665"/>
    <n v="53537421"/>
    <x v="238"/>
    <n v="0.97"/>
    <n v="6.29"/>
    <n v="1.2"/>
    <n v="2"/>
  </r>
  <r>
    <x v="0"/>
    <s v="8"/>
    <x v="0"/>
    <x v="3"/>
    <x v="1"/>
    <x v="3"/>
    <x v="540"/>
    <x v="1"/>
    <x v="407"/>
    <n v="25858501"/>
    <n v="469876"/>
    <n v="25388625"/>
    <x v="114"/>
    <n v="0.97"/>
    <n v="6.29"/>
    <n v="1.2"/>
    <n v="7"/>
  </r>
  <r>
    <x v="2"/>
    <s v="11"/>
    <x v="4"/>
    <x v="1"/>
    <x v="2"/>
    <x v="1"/>
    <x v="541"/>
    <x v="2"/>
    <x v="408"/>
    <n v="57594753"/>
    <n v="349340"/>
    <n v="57245413"/>
    <x v="195"/>
    <n v="0.97"/>
    <n v="6.29"/>
    <n v="1.2"/>
    <n v="7"/>
  </r>
  <r>
    <x v="4"/>
    <s v="1"/>
    <x v="8"/>
    <x v="1"/>
    <x v="2"/>
    <x v="0"/>
    <x v="542"/>
    <x v="0"/>
    <x v="409"/>
    <n v="57552390"/>
    <n v="378082"/>
    <n v="57174308"/>
    <x v="278"/>
    <n v="0.97"/>
    <n v="6.29"/>
    <n v="1.2"/>
    <n v="4"/>
  </r>
  <r>
    <x v="9"/>
    <s v="6"/>
    <x v="4"/>
    <x v="5"/>
    <x v="0"/>
    <x v="3"/>
    <x v="543"/>
    <x v="0"/>
    <x v="410"/>
    <n v="62484768"/>
    <n v="451821"/>
    <n v="62032947"/>
    <x v="96"/>
    <n v="0.97"/>
    <n v="6.29"/>
    <n v="1.2"/>
    <n v="4"/>
  </r>
  <r>
    <x v="7"/>
    <s v="8"/>
    <x v="9"/>
    <x v="0"/>
    <x v="0"/>
    <x v="3"/>
    <x v="544"/>
    <x v="0"/>
    <x v="411"/>
    <n v="48669300"/>
    <n v="369532"/>
    <n v="48299768"/>
    <x v="281"/>
    <n v="0.97"/>
    <n v="6.29"/>
    <n v="1.2"/>
    <n v="1"/>
  </r>
  <r>
    <x v="4"/>
    <s v="3"/>
    <x v="9"/>
    <x v="2"/>
    <x v="2"/>
    <x v="3"/>
    <x v="545"/>
    <x v="1"/>
    <x v="78"/>
    <n v="17308110"/>
    <n v="262369"/>
    <n v="17045741"/>
    <x v="40"/>
    <n v="0.97"/>
    <n v="6.29"/>
    <n v="1.2"/>
    <n v="2"/>
  </r>
  <r>
    <x v="7"/>
    <s v="8"/>
    <x v="2"/>
    <x v="7"/>
    <x v="1"/>
    <x v="2"/>
    <x v="546"/>
    <x v="1"/>
    <x v="412"/>
    <n v="37650195"/>
    <n v="105501"/>
    <n v="37544694"/>
    <x v="31"/>
    <n v="0.97"/>
    <n v="6.29"/>
    <n v="1.2"/>
    <n v="9"/>
  </r>
  <r>
    <x v="3"/>
    <s v="12"/>
    <x v="5"/>
    <x v="4"/>
    <x v="2"/>
    <x v="2"/>
    <x v="547"/>
    <x v="0"/>
    <x v="413"/>
    <n v="68430000"/>
    <n v="234381"/>
    <n v="68195619"/>
    <x v="187"/>
    <n v="0.97"/>
    <n v="6.29"/>
    <n v="1.2"/>
    <n v="10"/>
  </r>
  <r>
    <x v="3"/>
    <s v="1"/>
    <x v="0"/>
    <x v="8"/>
    <x v="2"/>
    <x v="1"/>
    <x v="548"/>
    <x v="1"/>
    <x v="370"/>
    <n v="37744980"/>
    <n v="77043"/>
    <n v="37667937"/>
    <x v="282"/>
    <n v="0.97"/>
    <n v="6.29"/>
    <n v="1.2"/>
    <n v="8"/>
  </r>
  <r>
    <x v="6"/>
    <s v="11"/>
    <x v="6"/>
    <x v="1"/>
    <x v="2"/>
    <x v="0"/>
    <x v="549"/>
    <x v="2"/>
    <x v="414"/>
    <n v="59898330"/>
    <n v="83635"/>
    <n v="59814695"/>
    <x v="70"/>
    <n v="0.97"/>
    <n v="6.29"/>
    <n v="1.2"/>
    <n v="8"/>
  </r>
  <r>
    <x v="5"/>
    <s v="11"/>
    <x v="6"/>
    <x v="4"/>
    <x v="2"/>
    <x v="2"/>
    <x v="550"/>
    <x v="2"/>
    <x v="415"/>
    <n v="49418544"/>
    <n v="260387"/>
    <n v="49158157"/>
    <x v="283"/>
    <n v="0.97"/>
    <n v="6.29"/>
    <n v="1.2"/>
    <n v="9"/>
  </r>
  <r>
    <x v="2"/>
    <s v="9"/>
    <x v="0"/>
    <x v="4"/>
    <x v="0"/>
    <x v="3"/>
    <x v="551"/>
    <x v="0"/>
    <x v="416"/>
    <n v="36725057"/>
    <n v="130691"/>
    <n v="36594366"/>
    <x v="284"/>
    <n v="0.97"/>
    <n v="6.29"/>
    <n v="1.2"/>
    <n v="7"/>
  </r>
  <r>
    <x v="8"/>
    <s v="11"/>
    <x v="1"/>
    <x v="6"/>
    <x v="0"/>
    <x v="2"/>
    <x v="552"/>
    <x v="2"/>
    <x v="417"/>
    <n v="9470870"/>
    <n v="345276"/>
    <n v="9125594"/>
    <x v="52"/>
    <n v="0.97"/>
    <n v="6.29"/>
    <n v="1.2"/>
    <n v="9"/>
  </r>
  <r>
    <x v="6"/>
    <s v="9"/>
    <x v="5"/>
    <x v="0"/>
    <x v="1"/>
    <x v="0"/>
    <x v="553"/>
    <x v="0"/>
    <x v="418"/>
    <n v="25369284"/>
    <n v="327510"/>
    <n v="25041774"/>
    <x v="285"/>
    <n v="0.97"/>
    <n v="6.29"/>
    <n v="1.2"/>
    <n v="10"/>
  </r>
  <r>
    <x v="1"/>
    <s v="5"/>
    <x v="4"/>
    <x v="8"/>
    <x v="1"/>
    <x v="2"/>
    <x v="554"/>
    <x v="2"/>
    <x v="419"/>
    <n v="36766052"/>
    <n v="143944"/>
    <n v="36622108"/>
    <x v="107"/>
    <n v="0.97"/>
    <n v="6.29"/>
    <n v="1.2"/>
    <n v="2"/>
  </r>
  <r>
    <x v="8"/>
    <s v="10"/>
    <x v="1"/>
    <x v="7"/>
    <x v="1"/>
    <x v="3"/>
    <x v="555"/>
    <x v="2"/>
    <x v="420"/>
    <n v="20323324"/>
    <n v="253179"/>
    <n v="20070145"/>
    <x v="222"/>
    <n v="0.97"/>
    <n v="6.29"/>
    <n v="1.2"/>
    <n v="6"/>
  </r>
  <r>
    <x v="0"/>
    <s v="4"/>
    <x v="3"/>
    <x v="3"/>
    <x v="1"/>
    <x v="1"/>
    <x v="556"/>
    <x v="0"/>
    <x v="421"/>
    <n v="70819603"/>
    <n v="427411"/>
    <n v="70392192"/>
    <x v="141"/>
    <n v="0.97"/>
    <n v="6.29"/>
    <n v="1.2"/>
    <n v="3"/>
  </r>
  <r>
    <x v="9"/>
    <s v="11"/>
    <x v="0"/>
    <x v="6"/>
    <x v="2"/>
    <x v="3"/>
    <x v="557"/>
    <x v="0"/>
    <x v="208"/>
    <n v="64017250"/>
    <n v="89236"/>
    <n v="63928014"/>
    <x v="228"/>
    <n v="0.97"/>
    <n v="6.29"/>
    <n v="1.2"/>
    <n v="6"/>
  </r>
  <r>
    <x v="1"/>
    <s v="6"/>
    <x v="4"/>
    <x v="4"/>
    <x v="0"/>
    <x v="0"/>
    <x v="558"/>
    <x v="1"/>
    <x v="121"/>
    <n v="22897202"/>
    <n v="316294"/>
    <n v="22580908"/>
    <x v="92"/>
    <n v="0.97"/>
    <n v="6.29"/>
    <n v="1.2"/>
    <n v="3"/>
  </r>
  <r>
    <x v="1"/>
    <s v="12"/>
    <x v="6"/>
    <x v="4"/>
    <x v="0"/>
    <x v="1"/>
    <x v="559"/>
    <x v="2"/>
    <x v="422"/>
    <n v="65440550"/>
    <n v="423513"/>
    <n v="65017037"/>
    <x v="153"/>
    <n v="0.97"/>
    <n v="6.29"/>
    <n v="1.2"/>
    <n v="8"/>
  </r>
  <r>
    <x v="6"/>
    <s v="7"/>
    <x v="7"/>
    <x v="9"/>
    <x v="1"/>
    <x v="2"/>
    <x v="560"/>
    <x v="2"/>
    <x v="3"/>
    <n v="50222540"/>
    <n v="331567"/>
    <n v="49890973"/>
    <x v="207"/>
    <n v="0.97"/>
    <n v="6.29"/>
    <n v="1.2"/>
    <n v="4"/>
  </r>
  <r>
    <x v="5"/>
    <s v="5"/>
    <x v="2"/>
    <x v="8"/>
    <x v="1"/>
    <x v="2"/>
    <x v="561"/>
    <x v="0"/>
    <x v="36"/>
    <n v="82073985"/>
    <n v="54137"/>
    <n v="82019848"/>
    <x v="218"/>
    <n v="0.97"/>
    <n v="6.29"/>
    <n v="1.2"/>
    <n v="10"/>
  </r>
  <r>
    <x v="6"/>
    <s v="11"/>
    <x v="6"/>
    <x v="8"/>
    <x v="2"/>
    <x v="2"/>
    <x v="562"/>
    <x v="1"/>
    <x v="194"/>
    <n v="24815470"/>
    <n v="79992"/>
    <n v="24735478"/>
    <x v="109"/>
    <n v="0.97"/>
    <n v="6.29"/>
    <n v="1.2"/>
    <n v="6"/>
  </r>
  <r>
    <x v="0"/>
    <s v="10"/>
    <x v="5"/>
    <x v="9"/>
    <x v="2"/>
    <x v="1"/>
    <x v="563"/>
    <x v="0"/>
    <x v="40"/>
    <n v="40746260"/>
    <n v="422684"/>
    <n v="40323576"/>
    <x v="286"/>
    <n v="0.97"/>
    <n v="6.29"/>
    <n v="1.2"/>
    <n v="9"/>
  </r>
  <r>
    <x v="4"/>
    <s v="9"/>
    <x v="9"/>
    <x v="8"/>
    <x v="1"/>
    <x v="3"/>
    <x v="564"/>
    <x v="0"/>
    <x v="77"/>
    <n v="58658985"/>
    <n v="165140"/>
    <n v="58493845"/>
    <x v="159"/>
    <n v="0.97"/>
    <n v="6.29"/>
    <n v="1.2"/>
    <n v="2"/>
  </r>
  <r>
    <x v="4"/>
    <s v="3"/>
    <x v="7"/>
    <x v="4"/>
    <x v="0"/>
    <x v="1"/>
    <x v="565"/>
    <x v="0"/>
    <x v="423"/>
    <n v="64878426"/>
    <n v="225993"/>
    <n v="64652433"/>
    <x v="253"/>
    <n v="0.97"/>
    <n v="6.29"/>
    <n v="1.2"/>
    <n v="2"/>
  </r>
  <r>
    <x v="5"/>
    <s v="7"/>
    <x v="2"/>
    <x v="1"/>
    <x v="0"/>
    <x v="1"/>
    <x v="566"/>
    <x v="2"/>
    <x v="424"/>
    <n v="38595186"/>
    <n v="171225"/>
    <n v="38423961"/>
    <x v="287"/>
    <n v="0.97"/>
    <n v="6.29"/>
    <n v="1.2"/>
    <n v="7"/>
  </r>
  <r>
    <x v="0"/>
    <s v="10"/>
    <x v="2"/>
    <x v="2"/>
    <x v="0"/>
    <x v="0"/>
    <x v="567"/>
    <x v="0"/>
    <x v="297"/>
    <n v="49919498"/>
    <n v="379061"/>
    <n v="49540437"/>
    <x v="91"/>
    <n v="0.97"/>
    <n v="6.29"/>
    <n v="1.2"/>
    <n v="2"/>
  </r>
  <r>
    <x v="5"/>
    <s v="10"/>
    <x v="3"/>
    <x v="4"/>
    <x v="1"/>
    <x v="1"/>
    <x v="568"/>
    <x v="0"/>
    <x v="374"/>
    <n v="40101432"/>
    <n v="385834"/>
    <n v="39715598"/>
    <x v="216"/>
    <n v="0.97"/>
    <n v="6.29"/>
    <n v="1.2"/>
    <n v="2"/>
  </r>
  <r>
    <x v="7"/>
    <s v="11"/>
    <x v="3"/>
    <x v="6"/>
    <x v="0"/>
    <x v="2"/>
    <x v="569"/>
    <x v="2"/>
    <x v="318"/>
    <n v="18885026"/>
    <n v="346379"/>
    <n v="18538647"/>
    <x v="60"/>
    <n v="0.97"/>
    <n v="6.29"/>
    <n v="1.2"/>
    <n v="4"/>
  </r>
  <r>
    <x v="4"/>
    <s v="5"/>
    <x v="8"/>
    <x v="0"/>
    <x v="2"/>
    <x v="3"/>
    <x v="570"/>
    <x v="0"/>
    <x v="365"/>
    <n v="70710528"/>
    <n v="260047"/>
    <n v="70450481"/>
    <x v="267"/>
    <n v="0.97"/>
    <n v="6.29"/>
    <n v="1.2"/>
    <n v="9"/>
  </r>
  <r>
    <x v="1"/>
    <s v="7"/>
    <x v="6"/>
    <x v="9"/>
    <x v="2"/>
    <x v="3"/>
    <x v="449"/>
    <x v="1"/>
    <x v="425"/>
    <n v="6636084"/>
    <n v="69122"/>
    <n v="6566962"/>
    <x v="69"/>
    <n v="0.97"/>
    <n v="6.29"/>
    <n v="1.2"/>
    <n v="8"/>
  </r>
  <r>
    <x v="2"/>
    <s v="2"/>
    <x v="6"/>
    <x v="7"/>
    <x v="1"/>
    <x v="3"/>
    <x v="571"/>
    <x v="0"/>
    <x v="426"/>
    <n v="42743563"/>
    <n v="336100"/>
    <n v="42407463"/>
    <x v="288"/>
    <n v="0.97"/>
    <n v="6.29"/>
    <n v="1.2"/>
    <n v="2"/>
  </r>
  <r>
    <x v="9"/>
    <s v="4"/>
    <x v="6"/>
    <x v="3"/>
    <x v="2"/>
    <x v="2"/>
    <x v="572"/>
    <x v="2"/>
    <x v="427"/>
    <n v="15607899"/>
    <n v="113879"/>
    <n v="15494020"/>
    <x v="265"/>
    <n v="0.97"/>
    <n v="6.29"/>
    <n v="1.2"/>
    <n v="8"/>
  </r>
  <r>
    <x v="0"/>
    <s v="2"/>
    <x v="8"/>
    <x v="7"/>
    <x v="1"/>
    <x v="2"/>
    <x v="573"/>
    <x v="0"/>
    <x v="428"/>
    <n v="42331386"/>
    <n v="108560"/>
    <n v="42222826"/>
    <x v="289"/>
    <n v="0.97"/>
    <n v="6.29"/>
    <n v="1.2"/>
    <n v="4"/>
  </r>
  <r>
    <x v="8"/>
    <s v="12"/>
    <x v="1"/>
    <x v="4"/>
    <x v="0"/>
    <x v="2"/>
    <x v="574"/>
    <x v="0"/>
    <x v="429"/>
    <n v="46266745"/>
    <n v="422454"/>
    <n v="45844291"/>
    <x v="251"/>
    <n v="0.97"/>
    <n v="6.29"/>
    <n v="1.2"/>
    <n v="2"/>
  </r>
  <r>
    <x v="5"/>
    <s v="7"/>
    <x v="2"/>
    <x v="6"/>
    <x v="0"/>
    <x v="2"/>
    <x v="575"/>
    <x v="2"/>
    <x v="122"/>
    <n v="50189648"/>
    <n v="249757"/>
    <n v="49939891"/>
    <x v="290"/>
    <n v="0.97"/>
    <n v="6.29"/>
    <n v="1.2"/>
    <n v="10"/>
  </r>
  <r>
    <x v="9"/>
    <s v="2"/>
    <x v="7"/>
    <x v="4"/>
    <x v="0"/>
    <x v="2"/>
    <x v="576"/>
    <x v="0"/>
    <x v="163"/>
    <n v="102900870"/>
    <n v="467876"/>
    <n v="102432994"/>
    <x v="291"/>
    <n v="0.97"/>
    <n v="6.29"/>
    <n v="1.2"/>
    <n v="7"/>
  </r>
  <r>
    <x v="8"/>
    <s v="11"/>
    <x v="5"/>
    <x v="0"/>
    <x v="2"/>
    <x v="1"/>
    <x v="577"/>
    <x v="0"/>
    <x v="412"/>
    <n v="81647907"/>
    <n v="287268"/>
    <n v="81360639"/>
    <x v="292"/>
    <n v="0.97"/>
    <n v="6.29"/>
    <n v="1.2"/>
    <n v="6"/>
  </r>
  <r>
    <x v="9"/>
    <s v="1"/>
    <x v="2"/>
    <x v="1"/>
    <x v="1"/>
    <x v="2"/>
    <x v="578"/>
    <x v="1"/>
    <x v="237"/>
    <n v="29757390"/>
    <n v="313312"/>
    <n v="29444078"/>
    <x v="166"/>
    <n v="0.97"/>
    <n v="6.29"/>
    <n v="1.2"/>
    <n v="10"/>
  </r>
  <r>
    <x v="2"/>
    <s v="9"/>
    <x v="3"/>
    <x v="3"/>
    <x v="0"/>
    <x v="2"/>
    <x v="579"/>
    <x v="0"/>
    <x v="430"/>
    <n v="9930060"/>
    <n v="357268"/>
    <n v="9572792"/>
    <x v="229"/>
    <n v="0.97"/>
    <n v="6.29"/>
    <n v="1.2"/>
    <n v="5"/>
  </r>
  <r>
    <x v="8"/>
    <s v="1"/>
    <x v="4"/>
    <x v="0"/>
    <x v="1"/>
    <x v="2"/>
    <x v="580"/>
    <x v="1"/>
    <x v="431"/>
    <n v="20280732"/>
    <n v="216969"/>
    <n v="20063763"/>
    <x v="188"/>
    <n v="0.97"/>
    <n v="6.29"/>
    <n v="1.2"/>
    <n v="1"/>
  </r>
  <r>
    <x v="6"/>
    <s v="8"/>
    <x v="9"/>
    <x v="9"/>
    <x v="0"/>
    <x v="2"/>
    <x v="581"/>
    <x v="2"/>
    <x v="179"/>
    <n v="14326130"/>
    <n v="196104"/>
    <n v="14130026"/>
    <x v="243"/>
    <n v="0.97"/>
    <n v="6.29"/>
    <n v="1.2"/>
    <n v="2"/>
  </r>
  <r>
    <x v="3"/>
    <s v="2"/>
    <x v="8"/>
    <x v="9"/>
    <x v="2"/>
    <x v="3"/>
    <x v="582"/>
    <x v="2"/>
    <x v="432"/>
    <n v="62434130"/>
    <n v="364941"/>
    <n v="62069189"/>
    <x v="70"/>
    <n v="0.97"/>
    <n v="6.29"/>
    <n v="1.2"/>
    <n v="8"/>
  </r>
  <r>
    <x v="6"/>
    <s v="12"/>
    <x v="0"/>
    <x v="4"/>
    <x v="2"/>
    <x v="2"/>
    <x v="583"/>
    <x v="1"/>
    <x v="421"/>
    <n v="25590002"/>
    <n v="347438"/>
    <n v="25242564"/>
    <x v="279"/>
    <n v="0.97"/>
    <n v="6.29"/>
    <n v="1.2"/>
    <n v="1"/>
  </r>
  <r>
    <x v="4"/>
    <s v="8"/>
    <x v="4"/>
    <x v="6"/>
    <x v="1"/>
    <x v="1"/>
    <x v="584"/>
    <x v="2"/>
    <x v="433"/>
    <n v="42529322"/>
    <n v="487043"/>
    <n v="42042279"/>
    <x v="29"/>
    <n v="0.97"/>
    <n v="6.29"/>
    <n v="1.2"/>
    <n v="3"/>
  </r>
  <r>
    <x v="3"/>
    <s v="3"/>
    <x v="5"/>
    <x v="0"/>
    <x v="2"/>
    <x v="1"/>
    <x v="585"/>
    <x v="2"/>
    <x v="47"/>
    <n v="17498475"/>
    <n v="315660"/>
    <n v="17182815"/>
    <x v="69"/>
    <n v="0.97"/>
    <n v="6.29"/>
    <n v="1.2"/>
    <n v="2"/>
  </r>
  <r>
    <x v="6"/>
    <s v="6"/>
    <x v="6"/>
    <x v="5"/>
    <x v="2"/>
    <x v="1"/>
    <x v="586"/>
    <x v="0"/>
    <x v="97"/>
    <n v="39388085"/>
    <n v="200823"/>
    <n v="39187262"/>
    <x v="109"/>
    <n v="0.97"/>
    <n v="6.29"/>
    <n v="1.2"/>
    <n v="5"/>
  </r>
  <r>
    <x v="3"/>
    <s v="3"/>
    <x v="3"/>
    <x v="6"/>
    <x v="1"/>
    <x v="0"/>
    <x v="587"/>
    <x v="0"/>
    <x v="238"/>
    <n v="23306485"/>
    <n v="80373"/>
    <n v="23226112"/>
    <x v="293"/>
    <n v="0.97"/>
    <n v="6.29"/>
    <n v="1.2"/>
    <n v="4"/>
  </r>
  <r>
    <x v="3"/>
    <s v="7"/>
    <x v="3"/>
    <x v="1"/>
    <x v="0"/>
    <x v="3"/>
    <x v="588"/>
    <x v="0"/>
    <x v="269"/>
    <n v="64379826"/>
    <n v="172026"/>
    <n v="64207800"/>
    <x v="61"/>
    <n v="0.97"/>
    <n v="6.29"/>
    <n v="1.2"/>
    <n v="7"/>
  </r>
  <r>
    <x v="1"/>
    <s v="10"/>
    <x v="3"/>
    <x v="9"/>
    <x v="2"/>
    <x v="2"/>
    <x v="589"/>
    <x v="2"/>
    <x v="434"/>
    <n v="35318720"/>
    <n v="80270"/>
    <n v="35238450"/>
    <x v="77"/>
    <n v="0.97"/>
    <n v="6.29"/>
    <n v="1.2"/>
    <n v="5"/>
  </r>
  <r>
    <x v="5"/>
    <s v="9"/>
    <x v="6"/>
    <x v="4"/>
    <x v="1"/>
    <x v="0"/>
    <x v="590"/>
    <x v="1"/>
    <x v="435"/>
    <n v="12333132"/>
    <n v="453602"/>
    <n v="11879530"/>
    <x v="249"/>
    <n v="0.97"/>
    <n v="6.29"/>
    <n v="1.2"/>
    <n v="8"/>
  </r>
  <r>
    <x v="5"/>
    <s v="2"/>
    <x v="0"/>
    <x v="8"/>
    <x v="2"/>
    <x v="2"/>
    <x v="591"/>
    <x v="2"/>
    <x v="436"/>
    <n v="30480234"/>
    <n v="282931"/>
    <n v="30197303"/>
    <x v="235"/>
    <n v="0.97"/>
    <n v="6.29"/>
    <n v="1.2"/>
    <n v="4"/>
  </r>
  <r>
    <x v="1"/>
    <s v="12"/>
    <x v="8"/>
    <x v="9"/>
    <x v="2"/>
    <x v="0"/>
    <x v="592"/>
    <x v="0"/>
    <x v="437"/>
    <n v="126414595"/>
    <n v="245889"/>
    <n v="126168706"/>
    <x v="83"/>
    <n v="0.97"/>
    <n v="6.29"/>
    <n v="1.2"/>
    <n v="6"/>
  </r>
  <r>
    <x v="9"/>
    <s v="12"/>
    <x v="4"/>
    <x v="3"/>
    <x v="2"/>
    <x v="0"/>
    <x v="593"/>
    <x v="0"/>
    <x v="132"/>
    <n v="57620010"/>
    <n v="115184"/>
    <n v="57504826"/>
    <x v="218"/>
    <n v="0.97"/>
    <n v="6.29"/>
    <n v="1.2"/>
    <n v="4"/>
  </r>
  <r>
    <x v="7"/>
    <s v="5"/>
    <x v="6"/>
    <x v="2"/>
    <x v="2"/>
    <x v="1"/>
    <x v="594"/>
    <x v="2"/>
    <x v="438"/>
    <n v="46411742"/>
    <n v="260765"/>
    <n v="46150977"/>
    <x v="294"/>
    <n v="0.97"/>
    <n v="6.29"/>
    <n v="1.2"/>
    <n v="2"/>
  </r>
  <r>
    <x v="9"/>
    <s v="6"/>
    <x v="5"/>
    <x v="8"/>
    <x v="1"/>
    <x v="1"/>
    <x v="595"/>
    <x v="0"/>
    <x v="414"/>
    <n v="87627530"/>
    <n v="87879"/>
    <n v="87539651"/>
    <x v="261"/>
    <n v="0.97"/>
    <n v="6.29"/>
    <n v="1.2"/>
    <n v="1"/>
  </r>
  <r>
    <x v="8"/>
    <s v="4"/>
    <x v="8"/>
    <x v="4"/>
    <x v="1"/>
    <x v="0"/>
    <x v="596"/>
    <x v="2"/>
    <x v="379"/>
    <n v="39587721"/>
    <n v="361741"/>
    <n v="39225980"/>
    <x v="71"/>
    <n v="0.97"/>
    <n v="6.29"/>
    <n v="1.2"/>
    <n v="1"/>
  </r>
  <r>
    <x v="8"/>
    <s v="4"/>
    <x v="5"/>
    <x v="5"/>
    <x v="1"/>
    <x v="1"/>
    <x v="597"/>
    <x v="0"/>
    <x v="136"/>
    <n v="43621728"/>
    <n v="482348"/>
    <n v="43139380"/>
    <x v="63"/>
    <n v="0.97"/>
    <n v="6.29"/>
    <n v="1.2"/>
    <n v="8"/>
  </r>
  <r>
    <x v="3"/>
    <s v="4"/>
    <x v="8"/>
    <x v="8"/>
    <x v="2"/>
    <x v="0"/>
    <x v="598"/>
    <x v="0"/>
    <x v="439"/>
    <n v="98723376"/>
    <n v="53626"/>
    <n v="98669750"/>
    <x v="270"/>
    <n v="0.97"/>
    <n v="6.29"/>
    <n v="1.2"/>
    <n v="4"/>
  </r>
  <r>
    <x v="6"/>
    <s v="2"/>
    <x v="0"/>
    <x v="3"/>
    <x v="2"/>
    <x v="3"/>
    <x v="599"/>
    <x v="0"/>
    <x v="440"/>
    <n v="68896612"/>
    <n v="135936"/>
    <n v="68760676"/>
    <x v="45"/>
    <n v="0.97"/>
    <n v="6.29"/>
    <n v="1.2"/>
    <n v="5"/>
  </r>
  <r>
    <x v="6"/>
    <s v="4"/>
    <x v="9"/>
    <x v="6"/>
    <x v="2"/>
    <x v="1"/>
    <x v="600"/>
    <x v="1"/>
    <x v="17"/>
    <n v="22838172"/>
    <n v="284873"/>
    <n v="22553299"/>
    <x v="277"/>
    <n v="0.97"/>
    <n v="6.29"/>
    <n v="1.2"/>
    <n v="8"/>
  </r>
  <r>
    <x v="5"/>
    <s v="11"/>
    <x v="5"/>
    <x v="5"/>
    <x v="1"/>
    <x v="1"/>
    <x v="601"/>
    <x v="2"/>
    <x v="433"/>
    <n v="49359101"/>
    <n v="131515"/>
    <n v="49227586"/>
    <x v="261"/>
    <n v="0.97"/>
    <n v="6.29"/>
    <n v="1.2"/>
    <n v="7"/>
  </r>
  <r>
    <x v="0"/>
    <s v="1"/>
    <x v="6"/>
    <x v="9"/>
    <x v="2"/>
    <x v="1"/>
    <x v="602"/>
    <x v="0"/>
    <x v="441"/>
    <n v="44974540"/>
    <n v="258137"/>
    <n v="44716403"/>
    <x v="295"/>
    <n v="0.97"/>
    <n v="6.29"/>
    <n v="1.2"/>
    <n v="8"/>
  </r>
  <r>
    <x v="9"/>
    <s v="12"/>
    <x v="8"/>
    <x v="5"/>
    <x v="0"/>
    <x v="3"/>
    <x v="603"/>
    <x v="2"/>
    <x v="176"/>
    <n v="28437661"/>
    <n v="105390"/>
    <n v="28332271"/>
    <x v="296"/>
    <n v="0.97"/>
    <n v="6.29"/>
    <n v="1.2"/>
    <n v="8"/>
  </r>
  <r>
    <x v="4"/>
    <s v="6"/>
    <x v="3"/>
    <x v="0"/>
    <x v="2"/>
    <x v="0"/>
    <x v="604"/>
    <x v="0"/>
    <x v="158"/>
    <n v="54646738"/>
    <n v="459861"/>
    <n v="54186877"/>
    <x v="127"/>
    <n v="0.97"/>
    <n v="6.29"/>
    <n v="1.2"/>
    <n v="6"/>
  </r>
  <r>
    <x v="2"/>
    <s v="1"/>
    <x v="2"/>
    <x v="3"/>
    <x v="0"/>
    <x v="2"/>
    <x v="605"/>
    <x v="2"/>
    <x v="294"/>
    <n v="28659168"/>
    <n v="273032"/>
    <n v="28386136"/>
    <x v="152"/>
    <n v="0.97"/>
    <n v="6.29"/>
    <n v="1.2"/>
    <n v="10"/>
  </r>
  <r>
    <x v="6"/>
    <s v="10"/>
    <x v="3"/>
    <x v="8"/>
    <x v="2"/>
    <x v="1"/>
    <x v="606"/>
    <x v="0"/>
    <x v="251"/>
    <n v="37443270"/>
    <n v="104144"/>
    <n v="37339126"/>
    <x v="54"/>
    <n v="0.97"/>
    <n v="6.29"/>
    <n v="1.2"/>
    <n v="2"/>
  </r>
  <r>
    <x v="2"/>
    <s v="6"/>
    <x v="1"/>
    <x v="0"/>
    <x v="1"/>
    <x v="0"/>
    <x v="607"/>
    <x v="2"/>
    <x v="374"/>
    <n v="29713110"/>
    <n v="194454"/>
    <n v="29518656"/>
    <x v="14"/>
    <n v="0.97"/>
    <n v="6.29"/>
    <n v="1.2"/>
    <n v="6"/>
  </r>
  <r>
    <x v="3"/>
    <s v="1"/>
    <x v="9"/>
    <x v="5"/>
    <x v="2"/>
    <x v="3"/>
    <x v="608"/>
    <x v="0"/>
    <x v="442"/>
    <n v="27354250"/>
    <n v="54025"/>
    <n v="27300225"/>
    <x v="297"/>
    <n v="0.97"/>
    <n v="6.29"/>
    <n v="1.2"/>
    <n v="1"/>
  </r>
  <r>
    <x v="2"/>
    <s v="6"/>
    <x v="9"/>
    <x v="0"/>
    <x v="0"/>
    <x v="2"/>
    <x v="609"/>
    <x v="0"/>
    <x v="214"/>
    <n v="43198573"/>
    <n v="486442"/>
    <n v="42712131"/>
    <x v="44"/>
    <n v="0.97"/>
    <n v="6.29"/>
    <n v="1.2"/>
    <n v="1"/>
  </r>
  <r>
    <x v="4"/>
    <s v="10"/>
    <x v="3"/>
    <x v="7"/>
    <x v="0"/>
    <x v="1"/>
    <x v="610"/>
    <x v="2"/>
    <x v="443"/>
    <n v="63961720"/>
    <n v="391524"/>
    <n v="63570196"/>
    <x v="71"/>
    <n v="0.97"/>
    <n v="6.29"/>
    <n v="1.2"/>
    <n v="3"/>
  </r>
  <r>
    <x v="1"/>
    <s v="8"/>
    <x v="4"/>
    <x v="3"/>
    <x v="2"/>
    <x v="3"/>
    <x v="611"/>
    <x v="2"/>
    <x v="444"/>
    <n v="22254048"/>
    <n v="304043"/>
    <n v="21950005"/>
    <x v="219"/>
    <n v="0.97"/>
    <n v="6.29"/>
    <n v="1.2"/>
    <n v="3"/>
  </r>
  <r>
    <x v="4"/>
    <s v="11"/>
    <x v="0"/>
    <x v="1"/>
    <x v="0"/>
    <x v="3"/>
    <x v="612"/>
    <x v="0"/>
    <x v="415"/>
    <n v="71796060"/>
    <n v="168910"/>
    <n v="71627150"/>
    <x v="171"/>
    <n v="0.97"/>
    <n v="6.29"/>
    <n v="1.2"/>
    <n v="5"/>
  </r>
  <r>
    <x v="2"/>
    <s v="2"/>
    <x v="5"/>
    <x v="6"/>
    <x v="0"/>
    <x v="2"/>
    <x v="613"/>
    <x v="2"/>
    <x v="254"/>
    <n v="53163682"/>
    <n v="146055"/>
    <n v="53017627"/>
    <x v="183"/>
    <n v="0.97"/>
    <n v="6.29"/>
    <n v="1.2"/>
    <n v="1"/>
  </r>
  <r>
    <x v="4"/>
    <s v="2"/>
    <x v="6"/>
    <x v="5"/>
    <x v="1"/>
    <x v="0"/>
    <x v="614"/>
    <x v="1"/>
    <x v="445"/>
    <n v="14662230"/>
    <n v="438333"/>
    <n v="14223897"/>
    <x v="252"/>
    <n v="0.97"/>
    <n v="6.29"/>
    <n v="1.2"/>
    <n v="10"/>
  </r>
  <r>
    <x v="7"/>
    <s v="12"/>
    <x v="9"/>
    <x v="3"/>
    <x v="2"/>
    <x v="1"/>
    <x v="615"/>
    <x v="2"/>
    <x v="338"/>
    <n v="50314588"/>
    <n v="255782"/>
    <n v="50058806"/>
    <x v="160"/>
    <n v="0.97"/>
    <n v="6.29"/>
    <n v="1.2"/>
    <n v="6"/>
  </r>
  <r>
    <x v="3"/>
    <s v="4"/>
    <x v="3"/>
    <x v="1"/>
    <x v="2"/>
    <x v="1"/>
    <x v="616"/>
    <x v="2"/>
    <x v="446"/>
    <n v="61801771"/>
    <n v="446659"/>
    <n v="61355112"/>
    <x v="298"/>
    <n v="0.97"/>
    <n v="6.29"/>
    <n v="1.2"/>
    <n v="7"/>
  </r>
  <r>
    <x v="9"/>
    <s v="11"/>
    <x v="3"/>
    <x v="1"/>
    <x v="2"/>
    <x v="0"/>
    <x v="617"/>
    <x v="1"/>
    <x v="419"/>
    <n v="33105412"/>
    <n v="333539"/>
    <n v="32771873"/>
    <x v="101"/>
    <n v="0.97"/>
    <n v="6.29"/>
    <n v="1.2"/>
    <n v="10"/>
  </r>
  <r>
    <x v="1"/>
    <s v="3"/>
    <x v="0"/>
    <x v="4"/>
    <x v="0"/>
    <x v="0"/>
    <x v="618"/>
    <x v="2"/>
    <x v="447"/>
    <n v="31275801"/>
    <n v="322869"/>
    <n v="30952932"/>
    <x v="161"/>
    <n v="0.97"/>
    <n v="6.29"/>
    <n v="1.2"/>
    <n v="3"/>
  </r>
  <r>
    <x v="6"/>
    <s v="4"/>
    <x v="0"/>
    <x v="0"/>
    <x v="2"/>
    <x v="0"/>
    <x v="619"/>
    <x v="1"/>
    <x v="448"/>
    <n v="27901874"/>
    <n v="83461"/>
    <n v="27818413"/>
    <x v="60"/>
    <n v="0.97"/>
    <n v="6.29"/>
    <n v="1.2"/>
    <n v="4"/>
  </r>
  <r>
    <x v="8"/>
    <s v="12"/>
    <x v="7"/>
    <x v="1"/>
    <x v="2"/>
    <x v="2"/>
    <x v="620"/>
    <x v="0"/>
    <x v="86"/>
    <n v="89468946"/>
    <n v="308072"/>
    <n v="89160874"/>
    <x v="202"/>
    <n v="0.97"/>
    <n v="6.29"/>
    <n v="1.2"/>
    <n v="10"/>
  </r>
  <r>
    <x v="9"/>
    <s v="7"/>
    <x v="7"/>
    <x v="7"/>
    <x v="1"/>
    <x v="2"/>
    <x v="621"/>
    <x v="2"/>
    <x v="427"/>
    <n v="23238345"/>
    <n v="91115"/>
    <n v="23147230"/>
    <x v="295"/>
    <n v="0.97"/>
    <n v="6.29"/>
    <n v="1.2"/>
    <n v="10"/>
  </r>
  <r>
    <x v="8"/>
    <s v="11"/>
    <x v="4"/>
    <x v="3"/>
    <x v="1"/>
    <x v="1"/>
    <x v="622"/>
    <x v="2"/>
    <x v="449"/>
    <n v="68744046"/>
    <n v="160084"/>
    <n v="68583962"/>
    <x v="22"/>
    <n v="0.97"/>
    <n v="6.29"/>
    <n v="1.2"/>
    <n v="10"/>
  </r>
  <r>
    <x v="3"/>
    <s v="1"/>
    <x v="4"/>
    <x v="2"/>
    <x v="1"/>
    <x v="2"/>
    <x v="623"/>
    <x v="1"/>
    <x v="450"/>
    <n v="23071936"/>
    <n v="395876"/>
    <n v="22676060"/>
    <x v="111"/>
    <n v="0.97"/>
    <n v="6.29"/>
    <n v="1.2"/>
    <n v="10"/>
  </r>
  <r>
    <x v="1"/>
    <s v="6"/>
    <x v="1"/>
    <x v="2"/>
    <x v="0"/>
    <x v="3"/>
    <x v="624"/>
    <x v="0"/>
    <x v="451"/>
    <n v="30264168"/>
    <n v="391701"/>
    <n v="29872467"/>
    <x v="44"/>
    <n v="0.97"/>
    <n v="6.29"/>
    <n v="1.2"/>
    <n v="10"/>
  </r>
  <r>
    <x v="5"/>
    <s v="3"/>
    <x v="4"/>
    <x v="5"/>
    <x v="2"/>
    <x v="1"/>
    <x v="625"/>
    <x v="2"/>
    <x v="428"/>
    <n v="24416766"/>
    <n v="383404"/>
    <n v="24033362"/>
    <x v="233"/>
    <n v="0.97"/>
    <n v="6.29"/>
    <n v="1.2"/>
    <n v="3"/>
  </r>
  <r>
    <x v="6"/>
    <s v="11"/>
    <x v="8"/>
    <x v="9"/>
    <x v="1"/>
    <x v="2"/>
    <x v="626"/>
    <x v="2"/>
    <x v="452"/>
    <n v="64432320"/>
    <n v="209762"/>
    <n v="64222558"/>
    <x v="299"/>
    <n v="0.97"/>
    <n v="6.29"/>
    <n v="1.2"/>
    <n v="1"/>
  </r>
  <r>
    <x v="7"/>
    <s v="10"/>
    <x v="0"/>
    <x v="0"/>
    <x v="1"/>
    <x v="0"/>
    <x v="627"/>
    <x v="0"/>
    <x v="453"/>
    <n v="72198439"/>
    <n v="313551"/>
    <n v="71884888"/>
    <x v="33"/>
    <n v="0.97"/>
    <n v="6.29"/>
    <n v="1.2"/>
    <n v="8"/>
  </r>
  <r>
    <x v="5"/>
    <s v="7"/>
    <x v="6"/>
    <x v="9"/>
    <x v="1"/>
    <x v="3"/>
    <x v="628"/>
    <x v="0"/>
    <x v="454"/>
    <n v="8773196"/>
    <n v="123568"/>
    <n v="8649628"/>
    <x v="147"/>
    <n v="0.97"/>
    <n v="6.29"/>
    <n v="1.2"/>
    <n v="10"/>
  </r>
  <r>
    <x v="3"/>
    <s v="10"/>
    <x v="8"/>
    <x v="1"/>
    <x v="2"/>
    <x v="0"/>
    <x v="629"/>
    <x v="2"/>
    <x v="455"/>
    <n v="53090640"/>
    <n v="108560"/>
    <n v="52982080"/>
    <x v="181"/>
    <n v="0.97"/>
    <n v="6.29"/>
    <n v="1.2"/>
    <n v="10"/>
  </r>
  <r>
    <x v="9"/>
    <s v="2"/>
    <x v="5"/>
    <x v="3"/>
    <x v="2"/>
    <x v="1"/>
    <x v="630"/>
    <x v="1"/>
    <x v="456"/>
    <n v="36961275"/>
    <n v="490556"/>
    <n v="36470719"/>
    <x v="101"/>
    <n v="0.97"/>
    <n v="6.29"/>
    <n v="1.2"/>
    <n v="2"/>
  </r>
  <r>
    <x v="7"/>
    <s v="2"/>
    <x v="3"/>
    <x v="5"/>
    <x v="2"/>
    <x v="0"/>
    <x v="631"/>
    <x v="0"/>
    <x v="457"/>
    <n v="108533760"/>
    <n v="198866"/>
    <n v="108334894"/>
    <x v="153"/>
    <n v="0.97"/>
    <n v="6.29"/>
    <n v="1.2"/>
    <n v="1"/>
  </r>
  <r>
    <x v="4"/>
    <s v="4"/>
    <x v="4"/>
    <x v="8"/>
    <x v="0"/>
    <x v="2"/>
    <x v="632"/>
    <x v="2"/>
    <x v="170"/>
    <n v="41064590"/>
    <n v="200953"/>
    <n v="40863637"/>
    <x v="294"/>
    <n v="0.97"/>
    <n v="6.29"/>
    <n v="1.2"/>
    <n v="8"/>
  </r>
  <r>
    <x v="2"/>
    <s v="1"/>
    <x v="3"/>
    <x v="1"/>
    <x v="0"/>
    <x v="2"/>
    <x v="633"/>
    <x v="2"/>
    <x v="310"/>
    <n v="52073575"/>
    <n v="267364"/>
    <n v="51806211"/>
    <x v="300"/>
    <n v="0.97"/>
    <n v="6.29"/>
    <n v="1.2"/>
    <n v="7"/>
  </r>
  <r>
    <x v="7"/>
    <s v="3"/>
    <x v="9"/>
    <x v="0"/>
    <x v="1"/>
    <x v="1"/>
    <x v="634"/>
    <x v="2"/>
    <x v="458"/>
    <n v="29501758"/>
    <n v="286770"/>
    <n v="29214988"/>
    <x v="35"/>
    <n v="0.97"/>
    <n v="6.29"/>
    <n v="1.2"/>
    <n v="7"/>
  </r>
  <r>
    <x v="3"/>
    <s v="9"/>
    <x v="1"/>
    <x v="2"/>
    <x v="2"/>
    <x v="0"/>
    <x v="635"/>
    <x v="0"/>
    <x v="459"/>
    <n v="58764342"/>
    <n v="276024"/>
    <n v="58488318"/>
    <x v="175"/>
    <n v="0.97"/>
    <n v="6.29"/>
    <n v="1.2"/>
    <n v="4"/>
  </r>
  <r>
    <x v="0"/>
    <s v="7"/>
    <x v="9"/>
    <x v="4"/>
    <x v="1"/>
    <x v="1"/>
    <x v="636"/>
    <x v="0"/>
    <x v="421"/>
    <n v="52986342"/>
    <n v="230775"/>
    <n v="52755567"/>
    <x v="75"/>
    <n v="0.97"/>
    <n v="6.29"/>
    <n v="1.2"/>
    <n v="9"/>
  </r>
  <r>
    <x v="2"/>
    <s v="7"/>
    <x v="1"/>
    <x v="3"/>
    <x v="2"/>
    <x v="0"/>
    <x v="637"/>
    <x v="0"/>
    <x v="460"/>
    <n v="45837580"/>
    <n v="487570"/>
    <n v="45350010"/>
    <x v="301"/>
    <n v="0.97"/>
    <n v="6.29"/>
    <n v="1.2"/>
    <n v="6"/>
  </r>
  <r>
    <x v="8"/>
    <s v="11"/>
    <x v="7"/>
    <x v="6"/>
    <x v="2"/>
    <x v="3"/>
    <x v="638"/>
    <x v="1"/>
    <x v="62"/>
    <n v="29388093"/>
    <n v="141288"/>
    <n v="29246805"/>
    <x v="145"/>
    <n v="0.97"/>
    <n v="6.29"/>
    <n v="1.2"/>
    <n v="2"/>
  </r>
  <r>
    <x v="6"/>
    <s v="4"/>
    <x v="3"/>
    <x v="9"/>
    <x v="2"/>
    <x v="2"/>
    <x v="639"/>
    <x v="2"/>
    <x v="461"/>
    <n v="44359537"/>
    <n v="431164"/>
    <n v="43928373"/>
    <x v="105"/>
    <n v="0.97"/>
    <n v="6.29"/>
    <n v="1.2"/>
    <n v="1"/>
  </r>
  <r>
    <x v="8"/>
    <s v="2"/>
    <x v="1"/>
    <x v="5"/>
    <x v="0"/>
    <x v="1"/>
    <x v="640"/>
    <x v="0"/>
    <x v="271"/>
    <n v="54602119"/>
    <n v="411445"/>
    <n v="54190674"/>
    <x v="107"/>
    <n v="0.97"/>
    <n v="6.29"/>
    <n v="1.2"/>
    <n v="1"/>
  </r>
  <r>
    <x v="7"/>
    <s v="4"/>
    <x v="2"/>
    <x v="9"/>
    <x v="0"/>
    <x v="3"/>
    <x v="641"/>
    <x v="2"/>
    <x v="462"/>
    <n v="29377344"/>
    <n v="299836"/>
    <n v="29077508"/>
    <x v="124"/>
    <n v="0.97"/>
    <n v="6.29"/>
    <n v="1.2"/>
    <n v="9"/>
  </r>
  <r>
    <x v="8"/>
    <s v="6"/>
    <x v="8"/>
    <x v="3"/>
    <x v="2"/>
    <x v="3"/>
    <x v="642"/>
    <x v="2"/>
    <x v="463"/>
    <n v="62664976"/>
    <n v="64390"/>
    <n v="62600586"/>
    <x v="118"/>
    <n v="0.97"/>
    <n v="6.29"/>
    <n v="1.2"/>
    <n v="4"/>
  </r>
  <r>
    <x v="3"/>
    <s v="11"/>
    <x v="1"/>
    <x v="9"/>
    <x v="1"/>
    <x v="1"/>
    <x v="643"/>
    <x v="2"/>
    <x v="464"/>
    <n v="42613285"/>
    <n v="268547"/>
    <n v="42344738"/>
    <x v="136"/>
    <n v="0.97"/>
    <n v="6.29"/>
    <n v="1.2"/>
    <n v="5"/>
  </r>
  <r>
    <x v="4"/>
    <s v="11"/>
    <x v="1"/>
    <x v="3"/>
    <x v="2"/>
    <x v="1"/>
    <x v="644"/>
    <x v="0"/>
    <x v="3"/>
    <n v="71320270"/>
    <n v="77307"/>
    <n v="71242963"/>
    <x v="278"/>
    <n v="0.97"/>
    <n v="6.29"/>
    <n v="1.2"/>
    <n v="3"/>
  </r>
  <r>
    <x v="9"/>
    <s v="3"/>
    <x v="8"/>
    <x v="9"/>
    <x v="2"/>
    <x v="3"/>
    <x v="645"/>
    <x v="2"/>
    <x v="208"/>
    <n v="34076350"/>
    <n v="277436"/>
    <n v="33798914"/>
    <x v="44"/>
    <n v="0.97"/>
    <n v="6.29"/>
    <n v="1.2"/>
    <n v="4"/>
  </r>
  <r>
    <x v="6"/>
    <s v="1"/>
    <x v="3"/>
    <x v="7"/>
    <x v="1"/>
    <x v="0"/>
    <x v="646"/>
    <x v="2"/>
    <x v="465"/>
    <n v="50910688"/>
    <n v="275121"/>
    <n v="50635567"/>
    <x v="302"/>
    <n v="0.97"/>
    <n v="6.29"/>
    <n v="1.2"/>
    <n v="8"/>
  </r>
  <r>
    <x v="8"/>
    <s v="12"/>
    <x v="3"/>
    <x v="8"/>
    <x v="2"/>
    <x v="3"/>
    <x v="647"/>
    <x v="2"/>
    <x v="466"/>
    <n v="62813079"/>
    <n v="301063"/>
    <n v="62512016"/>
    <x v="303"/>
    <n v="0.97"/>
    <n v="6.29"/>
    <n v="1.2"/>
    <n v="4"/>
  </r>
  <r>
    <x v="8"/>
    <s v="8"/>
    <x v="8"/>
    <x v="1"/>
    <x v="1"/>
    <x v="1"/>
    <x v="648"/>
    <x v="2"/>
    <x v="381"/>
    <n v="71593385"/>
    <n v="74502"/>
    <n v="71518883"/>
    <x v="256"/>
    <n v="0.97"/>
    <n v="6.29"/>
    <n v="1.2"/>
    <n v="9"/>
  </r>
  <r>
    <x v="7"/>
    <s v="12"/>
    <x v="9"/>
    <x v="1"/>
    <x v="0"/>
    <x v="3"/>
    <x v="649"/>
    <x v="2"/>
    <x v="317"/>
    <n v="68153566"/>
    <n v="72486"/>
    <n v="68081080"/>
    <x v="65"/>
    <n v="0.97"/>
    <n v="6.29"/>
    <n v="1.2"/>
    <n v="9"/>
  </r>
  <r>
    <x v="9"/>
    <s v="5"/>
    <x v="2"/>
    <x v="0"/>
    <x v="0"/>
    <x v="0"/>
    <x v="650"/>
    <x v="1"/>
    <x v="133"/>
    <n v="40149444"/>
    <n v="423957"/>
    <n v="39725487"/>
    <x v="304"/>
    <n v="0.97"/>
    <n v="6.29"/>
    <n v="1.2"/>
    <n v="6"/>
  </r>
  <r>
    <x v="5"/>
    <s v="5"/>
    <x v="6"/>
    <x v="6"/>
    <x v="1"/>
    <x v="2"/>
    <x v="651"/>
    <x v="2"/>
    <x v="290"/>
    <n v="56305904"/>
    <n v="219330"/>
    <n v="56086574"/>
    <x v="305"/>
    <n v="0.97"/>
    <n v="6.29"/>
    <n v="1.2"/>
    <n v="2"/>
  </r>
  <r>
    <x v="8"/>
    <s v="11"/>
    <x v="5"/>
    <x v="6"/>
    <x v="0"/>
    <x v="2"/>
    <x v="652"/>
    <x v="1"/>
    <x v="456"/>
    <n v="32377125"/>
    <n v="238788"/>
    <n v="32138337"/>
    <x v="261"/>
    <n v="0.97"/>
    <n v="6.29"/>
    <n v="1.2"/>
    <n v="10"/>
  </r>
  <r>
    <x v="3"/>
    <s v="4"/>
    <x v="2"/>
    <x v="0"/>
    <x v="0"/>
    <x v="3"/>
    <x v="653"/>
    <x v="2"/>
    <x v="330"/>
    <n v="55275768"/>
    <n v="278300"/>
    <n v="54997468"/>
    <x v="88"/>
    <n v="0.97"/>
    <n v="6.29"/>
    <n v="1.2"/>
    <n v="7"/>
  </r>
  <r>
    <x v="0"/>
    <s v="6"/>
    <x v="3"/>
    <x v="4"/>
    <x v="1"/>
    <x v="0"/>
    <x v="654"/>
    <x v="2"/>
    <x v="467"/>
    <n v="38211778"/>
    <n v="153920"/>
    <n v="38057858"/>
    <x v="306"/>
    <n v="0.97"/>
    <n v="6.29"/>
    <n v="1.2"/>
    <n v="9"/>
  </r>
  <r>
    <x v="6"/>
    <s v="3"/>
    <x v="6"/>
    <x v="1"/>
    <x v="0"/>
    <x v="2"/>
    <x v="655"/>
    <x v="0"/>
    <x v="107"/>
    <n v="74006182"/>
    <n v="262566"/>
    <n v="73743616"/>
    <x v="0"/>
    <n v="0.97"/>
    <n v="6.29"/>
    <n v="1.2"/>
    <n v="6"/>
  </r>
  <r>
    <x v="8"/>
    <s v="9"/>
    <x v="7"/>
    <x v="4"/>
    <x v="2"/>
    <x v="3"/>
    <x v="656"/>
    <x v="0"/>
    <x v="468"/>
    <n v="42723998"/>
    <n v="394912"/>
    <n v="42329086"/>
    <x v="104"/>
    <n v="0.97"/>
    <n v="6.29"/>
    <n v="1.2"/>
    <n v="3"/>
  </r>
  <r>
    <x v="3"/>
    <s v="5"/>
    <x v="4"/>
    <x v="3"/>
    <x v="2"/>
    <x v="3"/>
    <x v="657"/>
    <x v="1"/>
    <x v="469"/>
    <n v="36687655"/>
    <n v="453964"/>
    <n v="36233691"/>
    <x v="125"/>
    <n v="0.97"/>
    <n v="6.29"/>
    <n v="1.2"/>
    <n v="7"/>
  </r>
  <r>
    <x v="3"/>
    <s v="3"/>
    <x v="1"/>
    <x v="3"/>
    <x v="1"/>
    <x v="0"/>
    <x v="658"/>
    <x v="2"/>
    <x v="470"/>
    <n v="70203510"/>
    <n v="112785"/>
    <n v="70090725"/>
    <x v="305"/>
    <n v="0.97"/>
    <n v="6.29"/>
    <n v="1.2"/>
    <n v="5"/>
  </r>
  <r>
    <x v="6"/>
    <s v="11"/>
    <x v="8"/>
    <x v="2"/>
    <x v="0"/>
    <x v="1"/>
    <x v="659"/>
    <x v="1"/>
    <x v="471"/>
    <n v="48424660"/>
    <n v="126050"/>
    <n v="48298610"/>
    <x v="150"/>
    <n v="0.97"/>
    <n v="6.29"/>
    <n v="1.2"/>
    <n v="1"/>
  </r>
  <r>
    <x v="5"/>
    <s v="1"/>
    <x v="8"/>
    <x v="9"/>
    <x v="2"/>
    <x v="3"/>
    <x v="660"/>
    <x v="2"/>
    <x v="412"/>
    <n v="38678640"/>
    <n v="72738"/>
    <n v="38605902"/>
    <x v="226"/>
    <n v="0.97"/>
    <n v="6.29"/>
    <n v="1.2"/>
    <n v="3"/>
  </r>
  <r>
    <x v="3"/>
    <s v="10"/>
    <x v="1"/>
    <x v="6"/>
    <x v="2"/>
    <x v="1"/>
    <x v="661"/>
    <x v="1"/>
    <x v="472"/>
    <n v="41489515"/>
    <n v="124231"/>
    <n v="41365284"/>
    <x v="307"/>
    <n v="0.97"/>
    <n v="6.29"/>
    <n v="1.2"/>
    <n v="5"/>
  </r>
  <r>
    <x v="0"/>
    <s v="12"/>
    <x v="4"/>
    <x v="2"/>
    <x v="0"/>
    <x v="1"/>
    <x v="662"/>
    <x v="0"/>
    <x v="473"/>
    <n v="75101416"/>
    <n v="123606"/>
    <n v="74977810"/>
    <x v="262"/>
    <n v="0.97"/>
    <n v="6.29"/>
    <n v="1.2"/>
    <n v="7"/>
  </r>
  <r>
    <x v="3"/>
    <s v="6"/>
    <x v="5"/>
    <x v="8"/>
    <x v="0"/>
    <x v="2"/>
    <x v="663"/>
    <x v="0"/>
    <x v="134"/>
    <n v="17619588"/>
    <n v="353806"/>
    <n v="17265782"/>
    <x v="266"/>
    <n v="0.97"/>
    <n v="6.29"/>
    <n v="1.2"/>
    <n v="3"/>
  </r>
  <r>
    <x v="3"/>
    <s v="2"/>
    <x v="4"/>
    <x v="0"/>
    <x v="2"/>
    <x v="1"/>
    <x v="664"/>
    <x v="2"/>
    <x v="474"/>
    <n v="60609172"/>
    <n v="430457"/>
    <n v="60178715"/>
    <x v="202"/>
    <n v="0.97"/>
    <n v="6.29"/>
    <n v="1.2"/>
    <n v="6"/>
  </r>
  <r>
    <x v="3"/>
    <s v="3"/>
    <x v="6"/>
    <x v="0"/>
    <x v="2"/>
    <x v="0"/>
    <x v="665"/>
    <x v="1"/>
    <x v="475"/>
    <n v="11215476"/>
    <n v="277369"/>
    <n v="10938107"/>
    <x v="173"/>
    <n v="0.97"/>
    <n v="6.29"/>
    <n v="1.2"/>
    <n v="5"/>
  </r>
  <r>
    <x v="4"/>
    <s v="1"/>
    <x v="4"/>
    <x v="3"/>
    <x v="1"/>
    <x v="2"/>
    <x v="666"/>
    <x v="2"/>
    <x v="398"/>
    <n v="16856244"/>
    <n v="327267"/>
    <n v="16528977"/>
    <x v="308"/>
    <n v="0.97"/>
    <n v="6.29"/>
    <n v="1.2"/>
    <n v="1"/>
  </r>
  <r>
    <x v="4"/>
    <s v="9"/>
    <x v="6"/>
    <x v="1"/>
    <x v="1"/>
    <x v="2"/>
    <x v="667"/>
    <x v="1"/>
    <x v="293"/>
    <n v="20401725"/>
    <n v="206688"/>
    <n v="20195037"/>
    <x v="309"/>
    <n v="0.97"/>
    <n v="6.29"/>
    <n v="1.2"/>
    <n v="10"/>
  </r>
  <r>
    <x v="5"/>
    <s v="8"/>
    <x v="4"/>
    <x v="4"/>
    <x v="2"/>
    <x v="2"/>
    <x v="668"/>
    <x v="1"/>
    <x v="476"/>
    <n v="46381431"/>
    <n v="323326"/>
    <n v="46058105"/>
    <x v="307"/>
    <n v="0.97"/>
    <n v="6.29"/>
    <n v="1.2"/>
    <n v="6"/>
  </r>
  <r>
    <x v="8"/>
    <s v="12"/>
    <x v="5"/>
    <x v="6"/>
    <x v="1"/>
    <x v="3"/>
    <x v="669"/>
    <x v="2"/>
    <x v="477"/>
    <n v="38548345"/>
    <n v="402513"/>
    <n v="38145832"/>
    <x v="310"/>
    <n v="0.97"/>
    <n v="6.29"/>
    <n v="1.2"/>
    <n v="8"/>
  </r>
  <r>
    <x v="3"/>
    <s v="2"/>
    <x v="5"/>
    <x v="2"/>
    <x v="2"/>
    <x v="3"/>
    <x v="670"/>
    <x v="1"/>
    <x v="174"/>
    <n v="32832720"/>
    <n v="212403"/>
    <n v="32620317"/>
    <x v="209"/>
    <n v="0.97"/>
    <n v="6.29"/>
    <n v="1.2"/>
    <n v="1"/>
  </r>
  <r>
    <x v="9"/>
    <s v="12"/>
    <x v="3"/>
    <x v="4"/>
    <x v="2"/>
    <x v="1"/>
    <x v="671"/>
    <x v="0"/>
    <x v="478"/>
    <n v="93687381"/>
    <n v="227170"/>
    <n v="93460211"/>
    <x v="85"/>
    <n v="0.97"/>
    <n v="6.29"/>
    <n v="1.2"/>
    <n v="2"/>
  </r>
  <r>
    <x v="8"/>
    <s v="11"/>
    <x v="1"/>
    <x v="2"/>
    <x v="1"/>
    <x v="2"/>
    <x v="672"/>
    <x v="0"/>
    <x v="479"/>
    <n v="26357408"/>
    <n v="76128"/>
    <n v="26281280"/>
    <x v="80"/>
    <n v="0.97"/>
    <n v="6.29"/>
    <n v="1.2"/>
    <n v="4"/>
  </r>
  <r>
    <x v="5"/>
    <s v="8"/>
    <x v="5"/>
    <x v="9"/>
    <x v="1"/>
    <x v="2"/>
    <x v="673"/>
    <x v="2"/>
    <x v="480"/>
    <n v="55146638"/>
    <n v="81556"/>
    <n v="55065082"/>
    <x v="16"/>
    <n v="0.97"/>
    <n v="6.29"/>
    <n v="1.2"/>
    <n v="2"/>
  </r>
  <r>
    <x v="1"/>
    <s v="12"/>
    <x v="6"/>
    <x v="8"/>
    <x v="0"/>
    <x v="0"/>
    <x v="674"/>
    <x v="2"/>
    <x v="481"/>
    <n v="29023750"/>
    <n v="308470"/>
    <n v="28715280"/>
    <x v="158"/>
    <n v="0.97"/>
    <n v="6.29"/>
    <n v="1.2"/>
    <n v="9"/>
  </r>
  <r>
    <x v="8"/>
    <s v="9"/>
    <x v="5"/>
    <x v="8"/>
    <x v="0"/>
    <x v="1"/>
    <x v="675"/>
    <x v="1"/>
    <x v="414"/>
    <n v="37153870"/>
    <n v="202948"/>
    <n v="36950922"/>
    <x v="120"/>
    <n v="0.97"/>
    <n v="6.29"/>
    <n v="1.2"/>
    <n v="10"/>
  </r>
  <r>
    <x v="8"/>
    <s v="1"/>
    <x v="3"/>
    <x v="4"/>
    <x v="0"/>
    <x v="0"/>
    <x v="676"/>
    <x v="0"/>
    <x v="308"/>
    <n v="55288254"/>
    <n v="190021"/>
    <n v="55098233"/>
    <x v="123"/>
    <n v="0.97"/>
    <n v="6.29"/>
    <n v="1.2"/>
    <n v="8"/>
  </r>
  <r>
    <x v="2"/>
    <s v="5"/>
    <x v="8"/>
    <x v="4"/>
    <x v="2"/>
    <x v="1"/>
    <x v="677"/>
    <x v="0"/>
    <x v="482"/>
    <n v="57131784"/>
    <n v="101962"/>
    <n v="57029822"/>
    <x v="311"/>
    <n v="0.97"/>
    <n v="6.29"/>
    <n v="1.2"/>
    <n v="8"/>
  </r>
  <r>
    <x v="7"/>
    <s v="8"/>
    <x v="6"/>
    <x v="4"/>
    <x v="1"/>
    <x v="1"/>
    <x v="678"/>
    <x v="2"/>
    <x v="483"/>
    <n v="51736000"/>
    <n v="140054"/>
    <n v="51595946"/>
    <x v="145"/>
    <n v="0.97"/>
    <n v="6.29"/>
    <n v="1.2"/>
    <n v="4"/>
  </r>
  <r>
    <x v="2"/>
    <s v="11"/>
    <x v="3"/>
    <x v="2"/>
    <x v="2"/>
    <x v="3"/>
    <x v="679"/>
    <x v="0"/>
    <x v="52"/>
    <n v="57112048"/>
    <n v="252278"/>
    <n v="56859770"/>
    <x v="312"/>
    <n v="0.97"/>
    <n v="6.29"/>
    <n v="1.2"/>
    <n v="5"/>
  </r>
  <r>
    <x v="0"/>
    <s v="2"/>
    <x v="9"/>
    <x v="9"/>
    <x v="1"/>
    <x v="3"/>
    <x v="680"/>
    <x v="2"/>
    <x v="484"/>
    <n v="13990847"/>
    <n v="74099"/>
    <n v="13916748"/>
    <x v="73"/>
    <n v="0.97"/>
    <n v="6.29"/>
    <n v="1.2"/>
    <n v="4"/>
  </r>
  <r>
    <x v="4"/>
    <s v="4"/>
    <x v="9"/>
    <x v="7"/>
    <x v="2"/>
    <x v="0"/>
    <x v="681"/>
    <x v="0"/>
    <x v="485"/>
    <n v="26134272"/>
    <n v="285943"/>
    <n v="25848329"/>
    <x v="81"/>
    <n v="0.97"/>
    <n v="6.29"/>
    <n v="1.2"/>
    <n v="9"/>
  </r>
  <r>
    <x v="4"/>
    <s v="7"/>
    <x v="7"/>
    <x v="4"/>
    <x v="0"/>
    <x v="1"/>
    <x v="682"/>
    <x v="0"/>
    <x v="486"/>
    <n v="70732466"/>
    <n v="455932"/>
    <n v="70276534"/>
    <x v="177"/>
    <n v="0.97"/>
    <n v="6.29"/>
    <n v="1.2"/>
    <n v="2"/>
  </r>
  <r>
    <x v="7"/>
    <s v="3"/>
    <x v="4"/>
    <x v="1"/>
    <x v="0"/>
    <x v="2"/>
    <x v="683"/>
    <x v="0"/>
    <x v="487"/>
    <n v="31091360"/>
    <n v="233683"/>
    <n v="30857677"/>
    <x v="73"/>
    <n v="0.97"/>
    <n v="6.29"/>
    <n v="1.2"/>
    <n v="8"/>
  </r>
  <r>
    <x v="6"/>
    <s v="12"/>
    <x v="1"/>
    <x v="6"/>
    <x v="0"/>
    <x v="3"/>
    <x v="684"/>
    <x v="0"/>
    <x v="488"/>
    <n v="52708435"/>
    <n v="219957"/>
    <n v="52488478"/>
    <x v="60"/>
    <n v="0.97"/>
    <n v="6.29"/>
    <n v="1.2"/>
    <n v="2"/>
  </r>
  <r>
    <x v="6"/>
    <s v="5"/>
    <x v="0"/>
    <x v="6"/>
    <x v="2"/>
    <x v="2"/>
    <x v="685"/>
    <x v="2"/>
    <x v="489"/>
    <n v="59104768"/>
    <n v="365288"/>
    <n v="58739480"/>
    <x v="21"/>
    <n v="0.97"/>
    <n v="6.29"/>
    <n v="1.2"/>
    <n v="1"/>
  </r>
  <r>
    <x v="5"/>
    <s v="8"/>
    <x v="2"/>
    <x v="2"/>
    <x v="1"/>
    <x v="0"/>
    <x v="686"/>
    <x v="0"/>
    <x v="59"/>
    <n v="46199205"/>
    <n v="246292"/>
    <n v="45952913"/>
    <x v="141"/>
    <n v="0.97"/>
    <n v="6.29"/>
    <n v="1.2"/>
    <n v="10"/>
  </r>
  <r>
    <x v="7"/>
    <s v="12"/>
    <x v="3"/>
    <x v="4"/>
    <x v="1"/>
    <x v="3"/>
    <x v="220"/>
    <x v="0"/>
    <x v="107"/>
    <n v="57602176"/>
    <n v="57837"/>
    <n v="57544339"/>
    <x v="185"/>
    <n v="0.97"/>
    <n v="6.29"/>
    <n v="1.2"/>
    <n v="3"/>
  </r>
  <r>
    <x v="8"/>
    <s v="10"/>
    <x v="8"/>
    <x v="3"/>
    <x v="0"/>
    <x v="3"/>
    <x v="687"/>
    <x v="2"/>
    <x v="490"/>
    <n v="20701175"/>
    <n v="230427"/>
    <n v="20470748"/>
    <x v="127"/>
    <n v="0.97"/>
    <n v="6.29"/>
    <n v="1.2"/>
    <n v="9"/>
  </r>
  <r>
    <x v="6"/>
    <s v="3"/>
    <x v="2"/>
    <x v="0"/>
    <x v="0"/>
    <x v="1"/>
    <x v="688"/>
    <x v="2"/>
    <x v="346"/>
    <n v="26620400"/>
    <n v="228371"/>
    <n v="26392029"/>
    <x v="111"/>
    <n v="0.97"/>
    <n v="6.29"/>
    <n v="1.2"/>
    <n v="3"/>
  </r>
  <r>
    <x v="3"/>
    <s v="4"/>
    <x v="8"/>
    <x v="7"/>
    <x v="0"/>
    <x v="0"/>
    <x v="689"/>
    <x v="0"/>
    <x v="140"/>
    <n v="70438093"/>
    <n v="462375"/>
    <n v="69975718"/>
    <x v="313"/>
    <n v="0.97"/>
    <n v="6.29"/>
    <n v="1.2"/>
    <n v="9"/>
  </r>
  <r>
    <x v="9"/>
    <s v="9"/>
    <x v="2"/>
    <x v="1"/>
    <x v="0"/>
    <x v="1"/>
    <x v="690"/>
    <x v="0"/>
    <x v="157"/>
    <n v="41630028"/>
    <n v="437356"/>
    <n v="41192672"/>
    <x v="179"/>
    <n v="0.97"/>
    <n v="6.29"/>
    <n v="1.2"/>
    <n v="7"/>
  </r>
  <r>
    <x v="8"/>
    <s v="7"/>
    <x v="3"/>
    <x v="9"/>
    <x v="1"/>
    <x v="3"/>
    <x v="691"/>
    <x v="1"/>
    <x v="491"/>
    <n v="38432457"/>
    <n v="428824"/>
    <n v="38003633"/>
    <x v="143"/>
    <n v="0.97"/>
    <n v="6.29"/>
    <n v="1.2"/>
    <n v="10"/>
  </r>
  <r>
    <x v="0"/>
    <s v="1"/>
    <x v="0"/>
    <x v="3"/>
    <x v="2"/>
    <x v="0"/>
    <x v="692"/>
    <x v="2"/>
    <x v="255"/>
    <n v="39520290"/>
    <n v="298003"/>
    <n v="39222287"/>
    <x v="124"/>
    <n v="0.97"/>
    <n v="6.29"/>
    <n v="1.2"/>
    <n v="1"/>
  </r>
  <r>
    <x v="3"/>
    <s v="12"/>
    <x v="2"/>
    <x v="8"/>
    <x v="2"/>
    <x v="3"/>
    <x v="693"/>
    <x v="2"/>
    <x v="42"/>
    <n v="30327297"/>
    <n v="418946"/>
    <n v="29908351"/>
    <x v="46"/>
    <n v="0.97"/>
    <n v="6.29"/>
    <n v="1.2"/>
    <n v="10"/>
  </r>
  <r>
    <x v="3"/>
    <s v="4"/>
    <x v="3"/>
    <x v="3"/>
    <x v="2"/>
    <x v="0"/>
    <x v="694"/>
    <x v="1"/>
    <x v="104"/>
    <n v="45137768"/>
    <n v="152413"/>
    <n v="44985355"/>
    <x v="314"/>
    <n v="0.97"/>
    <n v="6.29"/>
    <n v="1.2"/>
    <n v="5"/>
  </r>
  <r>
    <x v="7"/>
    <s v="4"/>
    <x v="5"/>
    <x v="2"/>
    <x v="2"/>
    <x v="3"/>
    <x v="695"/>
    <x v="2"/>
    <x v="315"/>
    <n v="57675450"/>
    <n v="101012"/>
    <n v="57574438"/>
    <x v="315"/>
    <n v="0.97"/>
    <n v="6.29"/>
    <n v="1.2"/>
    <n v="9"/>
  </r>
  <r>
    <x v="5"/>
    <s v="9"/>
    <x v="0"/>
    <x v="7"/>
    <x v="0"/>
    <x v="2"/>
    <x v="696"/>
    <x v="2"/>
    <x v="110"/>
    <n v="24915888"/>
    <n v="180193"/>
    <n v="24735695"/>
    <x v="252"/>
    <n v="0.97"/>
    <n v="6.29"/>
    <n v="1.2"/>
    <n v="3"/>
  </r>
  <r>
    <x v="0"/>
    <s v="6"/>
    <x v="6"/>
    <x v="5"/>
    <x v="0"/>
    <x v="2"/>
    <x v="697"/>
    <x v="1"/>
    <x v="156"/>
    <n v="10141920"/>
    <n v="268168"/>
    <n v="9873752"/>
    <x v="169"/>
    <n v="0.97"/>
    <n v="6.29"/>
    <n v="1.2"/>
    <n v="9"/>
  </r>
  <r>
    <x v="6"/>
    <s v="9"/>
    <x v="8"/>
    <x v="5"/>
    <x v="0"/>
    <x v="1"/>
    <x v="698"/>
    <x v="1"/>
    <x v="492"/>
    <n v="13863854"/>
    <n v="198178"/>
    <n v="13665676"/>
    <x v="273"/>
    <n v="0.97"/>
    <n v="6.29"/>
    <n v="1.2"/>
    <n v="5"/>
  </r>
  <r>
    <x v="7"/>
    <s v="12"/>
    <x v="9"/>
    <x v="4"/>
    <x v="2"/>
    <x v="2"/>
    <x v="699"/>
    <x v="0"/>
    <x v="321"/>
    <n v="96261200"/>
    <n v="108123"/>
    <n v="96153077"/>
    <x v="316"/>
    <n v="0.97"/>
    <n v="6.29"/>
    <n v="1.2"/>
    <n v="9"/>
  </r>
  <r>
    <x v="6"/>
    <s v="6"/>
    <x v="4"/>
    <x v="4"/>
    <x v="0"/>
    <x v="3"/>
    <x v="700"/>
    <x v="0"/>
    <x v="493"/>
    <n v="9539388"/>
    <n v="161825"/>
    <n v="9377563"/>
    <x v="8"/>
    <n v="0.97"/>
    <n v="6.29"/>
    <n v="1.2"/>
    <n v="10"/>
  </r>
  <r>
    <x v="7"/>
    <s v="6"/>
    <x v="9"/>
    <x v="2"/>
    <x v="0"/>
    <x v="3"/>
    <x v="701"/>
    <x v="2"/>
    <x v="494"/>
    <n v="59187004"/>
    <n v="58720"/>
    <n v="59128284"/>
    <x v="212"/>
    <n v="0.97"/>
    <n v="6.29"/>
    <n v="1.2"/>
    <n v="6"/>
  </r>
  <r>
    <x v="7"/>
    <s v="5"/>
    <x v="0"/>
    <x v="9"/>
    <x v="1"/>
    <x v="2"/>
    <x v="702"/>
    <x v="2"/>
    <x v="495"/>
    <n v="38071752"/>
    <n v="218733"/>
    <n v="37853019"/>
    <x v="208"/>
    <n v="0.97"/>
    <n v="6.29"/>
    <n v="1.2"/>
    <n v="9"/>
  </r>
  <r>
    <x v="7"/>
    <s v="5"/>
    <x v="6"/>
    <x v="4"/>
    <x v="1"/>
    <x v="1"/>
    <x v="703"/>
    <x v="2"/>
    <x v="168"/>
    <n v="14598342"/>
    <n v="296103"/>
    <n v="14302239"/>
    <x v="49"/>
    <n v="0.97"/>
    <n v="6.29"/>
    <n v="1.2"/>
    <n v="7"/>
  </r>
  <r>
    <x v="5"/>
    <s v="2"/>
    <x v="8"/>
    <x v="0"/>
    <x v="0"/>
    <x v="2"/>
    <x v="704"/>
    <x v="1"/>
    <x v="496"/>
    <n v="12984400"/>
    <n v="274970"/>
    <n v="12709430"/>
    <x v="122"/>
    <n v="0.97"/>
    <n v="6.29"/>
    <n v="1.2"/>
    <n v="7"/>
  </r>
  <r>
    <x v="7"/>
    <s v="8"/>
    <x v="6"/>
    <x v="7"/>
    <x v="1"/>
    <x v="0"/>
    <x v="705"/>
    <x v="1"/>
    <x v="145"/>
    <n v="41536020"/>
    <n v="274866"/>
    <n v="41261154"/>
    <x v="86"/>
    <n v="0.97"/>
    <n v="6.29"/>
    <n v="1.2"/>
    <n v="8"/>
  </r>
  <r>
    <x v="1"/>
    <s v="8"/>
    <x v="2"/>
    <x v="2"/>
    <x v="1"/>
    <x v="0"/>
    <x v="706"/>
    <x v="2"/>
    <x v="403"/>
    <n v="48778368"/>
    <n v="464336"/>
    <n v="48314032"/>
    <x v="203"/>
    <n v="0.97"/>
    <n v="6.29"/>
    <n v="1.2"/>
    <n v="7"/>
  </r>
  <r>
    <x v="9"/>
    <s v="11"/>
    <x v="8"/>
    <x v="6"/>
    <x v="0"/>
    <x v="0"/>
    <x v="707"/>
    <x v="2"/>
    <x v="246"/>
    <n v="65240879"/>
    <n v="200862"/>
    <n v="65040017"/>
    <x v="119"/>
    <n v="0.97"/>
    <n v="6.29"/>
    <n v="1.2"/>
    <n v="9"/>
  </r>
  <r>
    <x v="6"/>
    <s v="1"/>
    <x v="2"/>
    <x v="8"/>
    <x v="0"/>
    <x v="2"/>
    <x v="708"/>
    <x v="2"/>
    <x v="124"/>
    <n v="47358521"/>
    <n v="108655"/>
    <n v="47249866"/>
    <x v="36"/>
    <n v="0.97"/>
    <n v="6.29"/>
    <n v="1.2"/>
    <n v="9"/>
  </r>
  <r>
    <x v="8"/>
    <s v="8"/>
    <x v="3"/>
    <x v="2"/>
    <x v="0"/>
    <x v="2"/>
    <x v="709"/>
    <x v="1"/>
    <x v="366"/>
    <n v="16923111"/>
    <n v="240715"/>
    <n v="16682396"/>
    <x v="240"/>
    <n v="0.97"/>
    <n v="6.29"/>
    <n v="1.2"/>
    <n v="6"/>
  </r>
  <r>
    <x v="2"/>
    <s v="5"/>
    <x v="0"/>
    <x v="2"/>
    <x v="0"/>
    <x v="2"/>
    <x v="710"/>
    <x v="1"/>
    <x v="497"/>
    <n v="25175007"/>
    <n v="143448"/>
    <n v="25031559"/>
    <x v="89"/>
    <n v="0.97"/>
    <n v="6.29"/>
    <n v="1.2"/>
    <n v="7"/>
  </r>
  <r>
    <x v="0"/>
    <s v="2"/>
    <x v="3"/>
    <x v="5"/>
    <x v="2"/>
    <x v="0"/>
    <x v="711"/>
    <x v="0"/>
    <x v="498"/>
    <n v="98866336"/>
    <n v="228446"/>
    <n v="98637890"/>
    <x v="317"/>
    <n v="0.97"/>
    <n v="6.29"/>
    <n v="1.2"/>
    <n v="2"/>
  </r>
  <r>
    <x v="4"/>
    <s v="2"/>
    <x v="7"/>
    <x v="1"/>
    <x v="2"/>
    <x v="1"/>
    <x v="712"/>
    <x v="1"/>
    <x v="499"/>
    <n v="4866741"/>
    <n v="223979"/>
    <n v="4642762"/>
    <x v="28"/>
    <n v="0.97"/>
    <n v="6.29"/>
    <n v="1.2"/>
    <n v="9"/>
  </r>
  <r>
    <x v="5"/>
    <s v="6"/>
    <x v="6"/>
    <x v="9"/>
    <x v="0"/>
    <x v="3"/>
    <x v="713"/>
    <x v="0"/>
    <x v="40"/>
    <n v="41726660"/>
    <n v="231143"/>
    <n v="41495517"/>
    <x v="18"/>
    <n v="0.97"/>
    <n v="6.29"/>
    <n v="1.2"/>
    <n v="1"/>
  </r>
  <r>
    <x v="8"/>
    <s v="11"/>
    <x v="2"/>
    <x v="1"/>
    <x v="1"/>
    <x v="2"/>
    <x v="714"/>
    <x v="0"/>
    <x v="190"/>
    <n v="50058594"/>
    <n v="170507"/>
    <n v="49888087"/>
    <x v="151"/>
    <n v="0.97"/>
    <n v="6.29"/>
    <n v="1.2"/>
    <n v="1"/>
  </r>
  <r>
    <x v="3"/>
    <s v="9"/>
    <x v="5"/>
    <x v="0"/>
    <x v="0"/>
    <x v="1"/>
    <x v="715"/>
    <x v="1"/>
    <x v="500"/>
    <n v="52581952"/>
    <n v="346956"/>
    <n v="52234996"/>
    <x v="70"/>
    <n v="0.97"/>
    <n v="6.29"/>
    <n v="1.2"/>
    <n v="3"/>
  </r>
  <r>
    <x v="1"/>
    <s v="1"/>
    <x v="3"/>
    <x v="6"/>
    <x v="0"/>
    <x v="3"/>
    <x v="716"/>
    <x v="0"/>
    <x v="450"/>
    <n v="52968832"/>
    <n v="361714"/>
    <n v="52607118"/>
    <x v="296"/>
    <n v="0.97"/>
    <n v="6.29"/>
    <n v="1.2"/>
    <n v="6"/>
  </r>
  <r>
    <x v="4"/>
    <s v="12"/>
    <x v="7"/>
    <x v="5"/>
    <x v="1"/>
    <x v="3"/>
    <x v="717"/>
    <x v="1"/>
    <x v="501"/>
    <n v="6023988"/>
    <n v="363045"/>
    <n v="5660943"/>
    <x v="91"/>
    <n v="0.97"/>
    <n v="6.29"/>
    <n v="1.2"/>
    <n v="5"/>
  </r>
  <r>
    <x v="2"/>
    <s v="6"/>
    <x v="1"/>
    <x v="6"/>
    <x v="2"/>
    <x v="3"/>
    <x v="718"/>
    <x v="0"/>
    <x v="176"/>
    <n v="59896354"/>
    <n v="110186"/>
    <n v="59786168"/>
    <x v="10"/>
    <n v="0.97"/>
    <n v="6.29"/>
    <n v="1.2"/>
    <n v="2"/>
  </r>
  <r>
    <x v="8"/>
    <s v="9"/>
    <x v="9"/>
    <x v="0"/>
    <x v="0"/>
    <x v="1"/>
    <x v="719"/>
    <x v="2"/>
    <x v="502"/>
    <n v="65423216"/>
    <n v="172066"/>
    <n v="65251150"/>
    <x v="261"/>
    <n v="0.97"/>
    <n v="6.29"/>
    <n v="1.2"/>
    <n v="9"/>
  </r>
  <r>
    <x v="4"/>
    <s v="8"/>
    <x v="8"/>
    <x v="1"/>
    <x v="0"/>
    <x v="1"/>
    <x v="720"/>
    <x v="0"/>
    <x v="344"/>
    <n v="72174282"/>
    <n v="440508"/>
    <n v="71733774"/>
    <x v="1"/>
    <n v="0.97"/>
    <n v="6.29"/>
    <n v="1.2"/>
    <n v="10"/>
  </r>
  <r>
    <x v="8"/>
    <s v="11"/>
    <x v="7"/>
    <x v="2"/>
    <x v="2"/>
    <x v="0"/>
    <x v="721"/>
    <x v="0"/>
    <x v="503"/>
    <n v="20014904"/>
    <n v="231323"/>
    <n v="19783581"/>
    <x v="192"/>
    <n v="0.97"/>
    <n v="6.29"/>
    <n v="1.2"/>
    <n v="4"/>
  </r>
  <r>
    <x v="1"/>
    <s v="6"/>
    <x v="0"/>
    <x v="4"/>
    <x v="2"/>
    <x v="1"/>
    <x v="722"/>
    <x v="2"/>
    <x v="504"/>
    <n v="57284124"/>
    <n v="246243"/>
    <n v="57037881"/>
    <x v="198"/>
    <n v="0.97"/>
    <n v="6.29"/>
    <n v="1.2"/>
    <n v="4"/>
  </r>
  <r>
    <x v="2"/>
    <s v="3"/>
    <x v="3"/>
    <x v="4"/>
    <x v="1"/>
    <x v="1"/>
    <x v="723"/>
    <x v="0"/>
    <x v="353"/>
    <n v="64165113"/>
    <n v="86160"/>
    <n v="64078953"/>
    <x v="93"/>
    <n v="0.97"/>
    <n v="6.29"/>
    <n v="1.2"/>
    <n v="5"/>
  </r>
  <r>
    <x v="3"/>
    <s v="8"/>
    <x v="0"/>
    <x v="3"/>
    <x v="2"/>
    <x v="1"/>
    <x v="724"/>
    <x v="0"/>
    <x v="505"/>
    <n v="15230455"/>
    <n v="69156"/>
    <n v="15161299"/>
    <x v="99"/>
    <n v="0.97"/>
    <n v="6.29"/>
    <n v="1.2"/>
    <n v="8"/>
  </r>
  <r>
    <x v="7"/>
    <s v="9"/>
    <x v="9"/>
    <x v="8"/>
    <x v="2"/>
    <x v="3"/>
    <x v="725"/>
    <x v="1"/>
    <x v="230"/>
    <n v="20000961"/>
    <n v="126208"/>
    <n v="19874753"/>
    <x v="32"/>
    <n v="0.97"/>
    <n v="6.29"/>
    <n v="1.2"/>
    <n v="10"/>
  </r>
  <r>
    <x v="6"/>
    <s v="1"/>
    <x v="5"/>
    <x v="9"/>
    <x v="2"/>
    <x v="2"/>
    <x v="726"/>
    <x v="2"/>
    <x v="174"/>
    <n v="57128040"/>
    <n v="199001"/>
    <n v="56929039"/>
    <x v="241"/>
    <n v="0.97"/>
    <n v="6.29"/>
    <n v="1.2"/>
    <n v="4"/>
  </r>
  <r>
    <x v="3"/>
    <s v="12"/>
    <x v="6"/>
    <x v="0"/>
    <x v="1"/>
    <x v="0"/>
    <x v="727"/>
    <x v="2"/>
    <x v="506"/>
    <n v="77771589"/>
    <n v="281226"/>
    <n v="77490363"/>
    <x v="118"/>
    <n v="0.97"/>
    <n v="6.29"/>
    <n v="1.2"/>
    <n v="5"/>
  </r>
  <r>
    <x v="7"/>
    <s v="9"/>
    <x v="6"/>
    <x v="8"/>
    <x v="2"/>
    <x v="2"/>
    <x v="728"/>
    <x v="2"/>
    <x v="507"/>
    <n v="53227512"/>
    <n v="497421"/>
    <n v="52730091"/>
    <x v="61"/>
    <n v="0.97"/>
    <n v="6.29"/>
    <n v="1.2"/>
    <n v="4"/>
  </r>
  <r>
    <x v="5"/>
    <s v="6"/>
    <x v="0"/>
    <x v="9"/>
    <x v="2"/>
    <x v="2"/>
    <x v="729"/>
    <x v="0"/>
    <x v="508"/>
    <n v="99762891"/>
    <n v="291766"/>
    <n v="99471125"/>
    <x v="318"/>
    <n v="0.97"/>
    <n v="6.29"/>
    <n v="1.2"/>
    <n v="6"/>
  </r>
  <r>
    <x v="9"/>
    <s v="6"/>
    <x v="2"/>
    <x v="8"/>
    <x v="1"/>
    <x v="1"/>
    <x v="730"/>
    <x v="0"/>
    <x v="509"/>
    <n v="23660035"/>
    <n v="245413"/>
    <n v="23414622"/>
    <x v="127"/>
    <n v="0.97"/>
    <n v="6.29"/>
    <n v="1.2"/>
    <n v="3"/>
  </r>
  <r>
    <x v="0"/>
    <s v="12"/>
    <x v="5"/>
    <x v="1"/>
    <x v="2"/>
    <x v="0"/>
    <x v="731"/>
    <x v="0"/>
    <x v="429"/>
    <n v="63299145"/>
    <n v="407521"/>
    <n v="62891624"/>
    <x v="93"/>
    <n v="0.97"/>
    <n v="6.29"/>
    <n v="1.2"/>
    <n v="8"/>
  </r>
  <r>
    <x v="0"/>
    <s v="4"/>
    <x v="6"/>
    <x v="9"/>
    <x v="2"/>
    <x v="2"/>
    <x v="732"/>
    <x v="2"/>
    <x v="17"/>
    <n v="46582452"/>
    <n v="355007"/>
    <n v="46227445"/>
    <x v="267"/>
    <n v="0.97"/>
    <n v="6.29"/>
    <n v="1.2"/>
    <n v="6"/>
  </r>
  <r>
    <x v="6"/>
    <s v="1"/>
    <x v="5"/>
    <x v="1"/>
    <x v="1"/>
    <x v="2"/>
    <x v="733"/>
    <x v="2"/>
    <x v="510"/>
    <n v="55341048"/>
    <n v="262909"/>
    <n v="55078139"/>
    <x v="212"/>
    <n v="0.97"/>
    <n v="6.29"/>
    <n v="1.2"/>
    <n v="10"/>
  </r>
  <r>
    <x v="2"/>
    <s v="10"/>
    <x v="7"/>
    <x v="2"/>
    <x v="0"/>
    <x v="0"/>
    <x v="734"/>
    <x v="2"/>
    <x v="511"/>
    <n v="44419785"/>
    <n v="115439"/>
    <n v="44304346"/>
    <x v="281"/>
    <n v="0.97"/>
    <n v="6.29"/>
    <n v="1.2"/>
    <n v="5"/>
  </r>
  <r>
    <x v="1"/>
    <s v="8"/>
    <x v="5"/>
    <x v="5"/>
    <x v="1"/>
    <x v="1"/>
    <x v="735"/>
    <x v="0"/>
    <x v="11"/>
    <n v="89960233"/>
    <n v="188266"/>
    <n v="89771967"/>
    <x v="231"/>
    <n v="0.97"/>
    <n v="6.29"/>
    <n v="1.2"/>
    <n v="2"/>
  </r>
  <r>
    <x v="2"/>
    <s v="2"/>
    <x v="4"/>
    <x v="1"/>
    <x v="2"/>
    <x v="2"/>
    <x v="736"/>
    <x v="2"/>
    <x v="138"/>
    <n v="28305425"/>
    <n v="252459"/>
    <n v="28052966"/>
    <x v="319"/>
    <n v="0.97"/>
    <n v="6.29"/>
    <n v="1.2"/>
    <n v="10"/>
  </r>
  <r>
    <x v="1"/>
    <s v="12"/>
    <x v="9"/>
    <x v="4"/>
    <x v="2"/>
    <x v="3"/>
    <x v="737"/>
    <x v="0"/>
    <x v="367"/>
    <n v="89460074"/>
    <n v="171361"/>
    <n v="89288713"/>
    <x v="85"/>
    <n v="0.97"/>
    <n v="6.29"/>
    <n v="1.2"/>
    <n v="10"/>
  </r>
  <r>
    <x v="2"/>
    <s v="1"/>
    <x v="6"/>
    <x v="8"/>
    <x v="2"/>
    <x v="2"/>
    <x v="738"/>
    <x v="0"/>
    <x v="512"/>
    <n v="109213852"/>
    <n v="262986"/>
    <n v="108950866"/>
    <x v="268"/>
    <n v="0.97"/>
    <n v="6.29"/>
    <n v="1.2"/>
    <n v="7"/>
  </r>
  <r>
    <x v="9"/>
    <s v="2"/>
    <x v="5"/>
    <x v="3"/>
    <x v="1"/>
    <x v="3"/>
    <x v="739"/>
    <x v="0"/>
    <x v="513"/>
    <n v="71086656"/>
    <n v="247286"/>
    <n v="70839370"/>
    <x v="320"/>
    <n v="0.97"/>
    <n v="6.29"/>
    <n v="1.2"/>
    <n v="2"/>
  </r>
  <r>
    <x v="5"/>
    <s v="1"/>
    <x v="0"/>
    <x v="7"/>
    <x v="2"/>
    <x v="1"/>
    <x v="740"/>
    <x v="0"/>
    <x v="178"/>
    <n v="44737558"/>
    <n v="408320"/>
    <n v="44329238"/>
    <x v="73"/>
    <n v="0.97"/>
    <n v="6.29"/>
    <n v="1.2"/>
    <n v="1"/>
  </r>
  <r>
    <x v="5"/>
    <s v="1"/>
    <x v="1"/>
    <x v="9"/>
    <x v="2"/>
    <x v="2"/>
    <x v="741"/>
    <x v="2"/>
    <x v="271"/>
    <n v="37115455"/>
    <n v="79777"/>
    <n v="37035678"/>
    <x v="265"/>
    <n v="0.97"/>
    <n v="6.29"/>
    <n v="1.2"/>
    <n v="7"/>
  </r>
  <r>
    <x v="7"/>
    <s v="9"/>
    <x v="4"/>
    <x v="0"/>
    <x v="1"/>
    <x v="0"/>
    <x v="742"/>
    <x v="1"/>
    <x v="335"/>
    <n v="32910375"/>
    <n v="306427"/>
    <n v="32603948"/>
    <x v="253"/>
    <n v="0.97"/>
    <n v="6.29"/>
    <n v="1.2"/>
    <n v="5"/>
  </r>
  <r>
    <x v="4"/>
    <s v="1"/>
    <x v="4"/>
    <x v="3"/>
    <x v="0"/>
    <x v="0"/>
    <x v="743"/>
    <x v="0"/>
    <x v="514"/>
    <n v="62667982"/>
    <n v="207255"/>
    <n v="62460727"/>
    <x v="185"/>
    <n v="0.97"/>
    <n v="6.29"/>
    <n v="1.2"/>
    <n v="1"/>
  </r>
  <r>
    <x v="5"/>
    <s v="4"/>
    <x v="2"/>
    <x v="4"/>
    <x v="0"/>
    <x v="2"/>
    <x v="744"/>
    <x v="2"/>
    <x v="279"/>
    <n v="38782275"/>
    <n v="470661"/>
    <n v="38311614"/>
    <x v="117"/>
    <n v="0.97"/>
    <n v="6.29"/>
    <n v="1.2"/>
    <n v="4"/>
  </r>
  <r>
    <x v="5"/>
    <s v="10"/>
    <x v="5"/>
    <x v="1"/>
    <x v="2"/>
    <x v="1"/>
    <x v="745"/>
    <x v="0"/>
    <x v="468"/>
    <n v="47175268"/>
    <n v="248110"/>
    <n v="46927158"/>
    <x v="141"/>
    <n v="0.97"/>
    <n v="6.29"/>
    <n v="1.2"/>
    <n v="4"/>
  </r>
  <r>
    <x v="3"/>
    <s v="6"/>
    <x v="2"/>
    <x v="5"/>
    <x v="1"/>
    <x v="1"/>
    <x v="746"/>
    <x v="0"/>
    <x v="491"/>
    <n v="97063113"/>
    <n v="399345"/>
    <n v="96663768"/>
    <x v="163"/>
    <n v="0.97"/>
    <n v="6.29"/>
    <n v="1.2"/>
    <n v="10"/>
  </r>
  <r>
    <x v="3"/>
    <s v="7"/>
    <x v="2"/>
    <x v="2"/>
    <x v="2"/>
    <x v="0"/>
    <x v="747"/>
    <x v="2"/>
    <x v="105"/>
    <n v="12450623"/>
    <n v="459414"/>
    <n v="11991209"/>
    <x v="2"/>
    <n v="0.97"/>
    <n v="6.29"/>
    <n v="1.2"/>
    <n v="7"/>
  </r>
  <r>
    <x v="7"/>
    <s v="2"/>
    <x v="1"/>
    <x v="7"/>
    <x v="1"/>
    <x v="2"/>
    <x v="748"/>
    <x v="0"/>
    <x v="39"/>
    <n v="93347800"/>
    <n v="464627"/>
    <n v="92883173"/>
    <x v="45"/>
    <n v="0.97"/>
    <n v="6.29"/>
    <n v="1.2"/>
    <n v="9"/>
  </r>
  <r>
    <x v="4"/>
    <s v="6"/>
    <x v="7"/>
    <x v="6"/>
    <x v="1"/>
    <x v="1"/>
    <x v="749"/>
    <x v="0"/>
    <x v="159"/>
    <n v="74013943"/>
    <n v="231649"/>
    <n v="73782294"/>
    <x v="318"/>
    <n v="0.97"/>
    <n v="6.29"/>
    <n v="1.2"/>
    <n v="2"/>
  </r>
  <r>
    <x v="6"/>
    <s v="7"/>
    <x v="5"/>
    <x v="3"/>
    <x v="0"/>
    <x v="0"/>
    <x v="750"/>
    <x v="0"/>
    <x v="515"/>
    <n v="71954064"/>
    <n v="328011"/>
    <n v="71626053"/>
    <x v="281"/>
    <n v="0.97"/>
    <n v="6.29"/>
    <n v="1.2"/>
    <n v="1"/>
  </r>
  <r>
    <x v="3"/>
    <s v="10"/>
    <x v="3"/>
    <x v="5"/>
    <x v="0"/>
    <x v="3"/>
    <x v="751"/>
    <x v="0"/>
    <x v="516"/>
    <n v="86657608"/>
    <n v="112501"/>
    <n v="86545107"/>
    <x v="131"/>
    <n v="0.97"/>
    <n v="6.29"/>
    <n v="1.2"/>
    <n v="2"/>
  </r>
  <r>
    <x v="6"/>
    <s v="10"/>
    <x v="6"/>
    <x v="6"/>
    <x v="1"/>
    <x v="2"/>
    <x v="752"/>
    <x v="0"/>
    <x v="166"/>
    <n v="38216845"/>
    <n v="195338"/>
    <n v="38021507"/>
    <x v="40"/>
    <n v="0.97"/>
    <n v="6.29"/>
    <n v="1.2"/>
    <n v="7"/>
  </r>
  <r>
    <x v="8"/>
    <s v="2"/>
    <x v="2"/>
    <x v="7"/>
    <x v="2"/>
    <x v="3"/>
    <x v="753"/>
    <x v="2"/>
    <x v="492"/>
    <n v="23679676"/>
    <n v="351566"/>
    <n v="23328110"/>
    <x v="289"/>
    <n v="0.97"/>
    <n v="6.29"/>
    <n v="1.2"/>
    <n v="10"/>
  </r>
  <r>
    <x v="3"/>
    <s v="2"/>
    <x v="9"/>
    <x v="0"/>
    <x v="0"/>
    <x v="3"/>
    <x v="754"/>
    <x v="0"/>
    <x v="139"/>
    <n v="57443672"/>
    <n v="216280"/>
    <n v="57227392"/>
    <x v="256"/>
    <n v="0.97"/>
    <n v="6.29"/>
    <n v="1.2"/>
    <n v="6"/>
  </r>
  <r>
    <x v="9"/>
    <s v="10"/>
    <x v="8"/>
    <x v="0"/>
    <x v="2"/>
    <x v="1"/>
    <x v="755"/>
    <x v="2"/>
    <x v="477"/>
    <n v="48180262"/>
    <n v="171544"/>
    <n v="48008718"/>
    <x v="94"/>
    <n v="0.97"/>
    <n v="6.29"/>
    <n v="1.2"/>
    <n v="4"/>
  </r>
  <r>
    <x v="4"/>
    <s v="7"/>
    <x v="9"/>
    <x v="8"/>
    <x v="0"/>
    <x v="1"/>
    <x v="756"/>
    <x v="2"/>
    <x v="113"/>
    <n v="52760260"/>
    <n v="474429"/>
    <n v="52285831"/>
    <x v="141"/>
    <n v="0.97"/>
    <n v="6.29"/>
    <n v="1.2"/>
    <n v="1"/>
  </r>
  <r>
    <x v="7"/>
    <s v="12"/>
    <x v="1"/>
    <x v="7"/>
    <x v="0"/>
    <x v="1"/>
    <x v="757"/>
    <x v="0"/>
    <x v="517"/>
    <n v="85196835"/>
    <n v="188439"/>
    <n v="85008396"/>
    <x v="162"/>
    <n v="0.97"/>
    <n v="6.29"/>
    <n v="1.2"/>
    <n v="1"/>
  </r>
  <r>
    <x v="8"/>
    <s v="1"/>
    <x v="1"/>
    <x v="7"/>
    <x v="2"/>
    <x v="2"/>
    <x v="758"/>
    <x v="2"/>
    <x v="518"/>
    <n v="55491492"/>
    <n v="305230"/>
    <n v="55186262"/>
    <x v="321"/>
    <n v="0.97"/>
    <n v="6.29"/>
    <n v="1.2"/>
    <n v="5"/>
  </r>
  <r>
    <x v="4"/>
    <s v="8"/>
    <x v="0"/>
    <x v="6"/>
    <x v="0"/>
    <x v="3"/>
    <x v="759"/>
    <x v="2"/>
    <x v="262"/>
    <n v="29715882"/>
    <n v="85362"/>
    <n v="29630520"/>
    <x v="239"/>
    <n v="0.97"/>
    <n v="6.29"/>
    <n v="1.2"/>
    <n v="1"/>
  </r>
  <r>
    <x v="9"/>
    <s v="11"/>
    <x v="7"/>
    <x v="5"/>
    <x v="0"/>
    <x v="2"/>
    <x v="760"/>
    <x v="0"/>
    <x v="519"/>
    <n v="64872840"/>
    <n v="300449"/>
    <n v="64572391"/>
    <x v="227"/>
    <n v="0.97"/>
    <n v="6.29"/>
    <n v="1.2"/>
    <n v="7"/>
  </r>
  <r>
    <x v="4"/>
    <s v="3"/>
    <x v="6"/>
    <x v="9"/>
    <x v="2"/>
    <x v="1"/>
    <x v="761"/>
    <x v="0"/>
    <x v="520"/>
    <n v="127895378"/>
    <n v="363732"/>
    <n v="127531646"/>
    <x v="205"/>
    <n v="0.97"/>
    <n v="6.29"/>
    <n v="1.2"/>
    <n v="1"/>
  </r>
  <r>
    <x v="9"/>
    <s v="11"/>
    <x v="2"/>
    <x v="6"/>
    <x v="0"/>
    <x v="3"/>
    <x v="762"/>
    <x v="2"/>
    <x v="169"/>
    <n v="32080643"/>
    <n v="219357"/>
    <n v="31861286"/>
    <x v="184"/>
    <n v="0.97"/>
    <n v="6.29"/>
    <n v="1.2"/>
    <n v="1"/>
  </r>
  <r>
    <x v="9"/>
    <s v="6"/>
    <x v="9"/>
    <x v="2"/>
    <x v="0"/>
    <x v="2"/>
    <x v="763"/>
    <x v="2"/>
    <x v="485"/>
    <n v="16143360"/>
    <n v="176683"/>
    <n v="15966677"/>
    <x v="322"/>
    <n v="0.97"/>
    <n v="6.29"/>
    <n v="1.2"/>
    <n v="2"/>
  </r>
  <r>
    <x v="6"/>
    <s v="9"/>
    <x v="8"/>
    <x v="0"/>
    <x v="0"/>
    <x v="2"/>
    <x v="764"/>
    <x v="0"/>
    <x v="458"/>
    <n v="35387482"/>
    <n v="306157"/>
    <n v="35081325"/>
    <x v="76"/>
    <n v="0.97"/>
    <n v="6.29"/>
    <n v="1.2"/>
    <n v="10"/>
  </r>
  <r>
    <x v="2"/>
    <s v="6"/>
    <x v="1"/>
    <x v="0"/>
    <x v="2"/>
    <x v="0"/>
    <x v="765"/>
    <x v="0"/>
    <x v="521"/>
    <n v="19814240"/>
    <n v="255827"/>
    <n v="19558413"/>
    <x v="323"/>
    <n v="0.97"/>
    <n v="6.29"/>
    <n v="1.2"/>
    <n v="3"/>
  </r>
  <r>
    <x v="8"/>
    <s v="9"/>
    <x v="1"/>
    <x v="8"/>
    <x v="1"/>
    <x v="2"/>
    <x v="40"/>
    <x v="0"/>
    <x v="522"/>
    <n v="81073206"/>
    <n v="252918"/>
    <n v="80820288"/>
    <x v="130"/>
    <n v="0.97"/>
    <n v="6.29"/>
    <n v="1.2"/>
    <n v="1"/>
  </r>
  <r>
    <x v="4"/>
    <s v="7"/>
    <x v="7"/>
    <x v="2"/>
    <x v="2"/>
    <x v="1"/>
    <x v="766"/>
    <x v="1"/>
    <x v="173"/>
    <n v="39724360"/>
    <n v="348451"/>
    <n v="39375909"/>
    <x v="324"/>
    <n v="0.97"/>
    <n v="6.29"/>
    <n v="1.2"/>
    <n v="9"/>
  </r>
  <r>
    <x v="1"/>
    <s v="9"/>
    <x v="8"/>
    <x v="0"/>
    <x v="1"/>
    <x v="2"/>
    <x v="767"/>
    <x v="1"/>
    <x v="523"/>
    <n v="47192964"/>
    <n v="392424"/>
    <n v="46800540"/>
    <x v="12"/>
    <n v="0.97"/>
    <n v="6.29"/>
    <n v="1.2"/>
    <n v="10"/>
  </r>
  <r>
    <x v="8"/>
    <s v="2"/>
    <x v="8"/>
    <x v="6"/>
    <x v="0"/>
    <x v="3"/>
    <x v="768"/>
    <x v="0"/>
    <x v="212"/>
    <n v="55249910"/>
    <n v="463083"/>
    <n v="54786827"/>
    <x v="311"/>
    <n v="0.97"/>
    <n v="6.29"/>
    <n v="1.2"/>
    <n v="8"/>
  </r>
  <r>
    <x v="2"/>
    <s v="12"/>
    <x v="7"/>
    <x v="2"/>
    <x v="1"/>
    <x v="2"/>
    <x v="769"/>
    <x v="2"/>
    <x v="95"/>
    <n v="54582000"/>
    <n v="368667"/>
    <n v="54213333"/>
    <x v="101"/>
    <n v="0.97"/>
    <n v="6.29"/>
    <n v="1.2"/>
    <n v="5"/>
  </r>
  <r>
    <x v="8"/>
    <s v="8"/>
    <x v="1"/>
    <x v="6"/>
    <x v="2"/>
    <x v="0"/>
    <x v="770"/>
    <x v="0"/>
    <x v="57"/>
    <n v="43551090"/>
    <n v="449594"/>
    <n v="43101496"/>
    <x v="10"/>
    <n v="0.97"/>
    <n v="6.29"/>
    <n v="1.2"/>
    <n v="2"/>
  </r>
  <r>
    <x v="5"/>
    <s v="8"/>
    <x v="6"/>
    <x v="9"/>
    <x v="2"/>
    <x v="3"/>
    <x v="771"/>
    <x v="2"/>
    <x v="524"/>
    <n v="66875199"/>
    <n v="265757"/>
    <n v="66609442"/>
    <x v="153"/>
    <n v="0.97"/>
    <n v="6.29"/>
    <n v="1.2"/>
    <n v="5"/>
  </r>
  <r>
    <x v="1"/>
    <s v="2"/>
    <x v="5"/>
    <x v="9"/>
    <x v="0"/>
    <x v="3"/>
    <x v="772"/>
    <x v="1"/>
    <x v="525"/>
    <n v="38226328"/>
    <n v="157669"/>
    <n v="38068659"/>
    <x v="19"/>
    <n v="0.97"/>
    <n v="6.29"/>
    <n v="1.2"/>
    <n v="6"/>
  </r>
  <r>
    <x v="2"/>
    <s v="12"/>
    <x v="5"/>
    <x v="0"/>
    <x v="1"/>
    <x v="0"/>
    <x v="773"/>
    <x v="2"/>
    <x v="211"/>
    <n v="62839128"/>
    <n v="258030"/>
    <n v="62581098"/>
    <x v="142"/>
    <n v="0.97"/>
    <n v="6.29"/>
    <n v="1.2"/>
    <n v="1"/>
  </r>
  <r>
    <x v="6"/>
    <s v="4"/>
    <x v="7"/>
    <x v="0"/>
    <x v="0"/>
    <x v="1"/>
    <x v="774"/>
    <x v="0"/>
    <x v="526"/>
    <n v="57295280"/>
    <n v="208998"/>
    <n v="57086282"/>
    <x v="228"/>
    <n v="0.97"/>
    <n v="6.29"/>
    <n v="1.2"/>
    <n v="4"/>
  </r>
  <r>
    <x v="4"/>
    <s v="11"/>
    <x v="8"/>
    <x v="5"/>
    <x v="0"/>
    <x v="3"/>
    <x v="775"/>
    <x v="0"/>
    <x v="126"/>
    <n v="76629798"/>
    <n v="153215"/>
    <n v="76476583"/>
    <x v="325"/>
    <n v="0.97"/>
    <n v="6.29"/>
    <n v="1.2"/>
    <n v="9"/>
  </r>
  <r>
    <x v="0"/>
    <s v="7"/>
    <x v="2"/>
    <x v="9"/>
    <x v="2"/>
    <x v="1"/>
    <x v="776"/>
    <x v="0"/>
    <x v="292"/>
    <n v="34235370"/>
    <n v="148707"/>
    <n v="34086663"/>
    <x v="326"/>
    <n v="0.97"/>
    <n v="6.29"/>
    <n v="1.2"/>
    <n v="2"/>
  </r>
  <r>
    <x v="2"/>
    <s v="11"/>
    <x v="7"/>
    <x v="3"/>
    <x v="1"/>
    <x v="3"/>
    <x v="777"/>
    <x v="2"/>
    <x v="178"/>
    <n v="26958887"/>
    <n v="456396"/>
    <n v="26502491"/>
    <x v="108"/>
    <n v="0.97"/>
    <n v="6.29"/>
    <n v="1.2"/>
    <n v="5"/>
  </r>
  <r>
    <x v="7"/>
    <s v="4"/>
    <x v="6"/>
    <x v="3"/>
    <x v="1"/>
    <x v="3"/>
    <x v="778"/>
    <x v="1"/>
    <x v="527"/>
    <n v="21599095"/>
    <n v="142837"/>
    <n v="21456258"/>
    <x v="327"/>
    <n v="0.97"/>
    <n v="6.29"/>
    <n v="1.2"/>
    <n v="1"/>
  </r>
  <r>
    <x v="4"/>
    <s v="4"/>
    <x v="7"/>
    <x v="8"/>
    <x v="1"/>
    <x v="1"/>
    <x v="779"/>
    <x v="2"/>
    <x v="291"/>
    <n v="69080460"/>
    <n v="430214"/>
    <n v="68650246"/>
    <x v="102"/>
    <n v="0.97"/>
    <n v="6.29"/>
    <n v="1.2"/>
    <n v="4"/>
  </r>
  <r>
    <x v="2"/>
    <s v="6"/>
    <x v="4"/>
    <x v="9"/>
    <x v="1"/>
    <x v="3"/>
    <x v="780"/>
    <x v="0"/>
    <x v="528"/>
    <n v="28416972"/>
    <n v="480147"/>
    <n v="27936825"/>
    <x v="2"/>
    <n v="0.97"/>
    <n v="6.29"/>
    <n v="1.2"/>
    <n v="4"/>
  </r>
  <r>
    <x v="5"/>
    <s v="10"/>
    <x v="9"/>
    <x v="6"/>
    <x v="0"/>
    <x v="1"/>
    <x v="781"/>
    <x v="2"/>
    <x v="364"/>
    <n v="61943742"/>
    <n v="467230"/>
    <n v="61476512"/>
    <x v="316"/>
    <n v="0.97"/>
    <n v="6.29"/>
    <n v="1.2"/>
    <n v="6"/>
  </r>
  <r>
    <x v="0"/>
    <s v="6"/>
    <x v="8"/>
    <x v="6"/>
    <x v="0"/>
    <x v="0"/>
    <x v="782"/>
    <x v="2"/>
    <x v="460"/>
    <n v="24678390"/>
    <n v="295847"/>
    <n v="24382543"/>
    <x v="44"/>
    <n v="0.97"/>
    <n v="6.29"/>
    <n v="1.2"/>
    <n v="10"/>
  </r>
  <r>
    <x v="5"/>
    <s v="10"/>
    <x v="0"/>
    <x v="4"/>
    <x v="2"/>
    <x v="1"/>
    <x v="783"/>
    <x v="0"/>
    <x v="158"/>
    <n v="60836880"/>
    <n v="277544"/>
    <n v="60559336"/>
    <x v="288"/>
    <n v="0.97"/>
    <n v="6.29"/>
    <n v="1.2"/>
    <n v="9"/>
  </r>
  <r>
    <x v="0"/>
    <s v="3"/>
    <x v="0"/>
    <x v="2"/>
    <x v="0"/>
    <x v="0"/>
    <x v="784"/>
    <x v="2"/>
    <x v="529"/>
    <n v="52657250"/>
    <n v="392016"/>
    <n v="52265234"/>
    <x v="328"/>
    <n v="0.97"/>
    <n v="6.29"/>
    <n v="1.2"/>
    <n v="3"/>
  </r>
  <r>
    <x v="7"/>
    <s v="9"/>
    <x v="8"/>
    <x v="1"/>
    <x v="0"/>
    <x v="3"/>
    <x v="785"/>
    <x v="2"/>
    <x v="130"/>
    <n v="51796688"/>
    <n v="399880"/>
    <n v="51396808"/>
    <x v="217"/>
    <n v="0.97"/>
    <n v="6.29"/>
    <n v="1.2"/>
    <n v="9"/>
  </r>
  <r>
    <x v="4"/>
    <s v="12"/>
    <x v="6"/>
    <x v="3"/>
    <x v="2"/>
    <x v="1"/>
    <x v="786"/>
    <x v="2"/>
    <x v="110"/>
    <n v="25284804"/>
    <n v="317614"/>
    <n v="24967190"/>
    <x v="188"/>
    <n v="0.97"/>
    <n v="6.29"/>
    <n v="1.2"/>
    <n v="6"/>
  </r>
  <r>
    <x v="6"/>
    <s v="10"/>
    <x v="4"/>
    <x v="0"/>
    <x v="2"/>
    <x v="3"/>
    <x v="787"/>
    <x v="2"/>
    <x v="28"/>
    <n v="41680600"/>
    <n v="277467"/>
    <n v="41403133"/>
    <x v="247"/>
    <n v="0.97"/>
    <n v="6.29"/>
    <n v="1.2"/>
    <n v="7"/>
  </r>
  <r>
    <x v="5"/>
    <s v="11"/>
    <x v="4"/>
    <x v="8"/>
    <x v="2"/>
    <x v="1"/>
    <x v="788"/>
    <x v="0"/>
    <x v="530"/>
    <n v="51182760"/>
    <n v="196025"/>
    <n v="50986735"/>
    <x v="154"/>
    <n v="0.97"/>
    <n v="6.29"/>
    <n v="1.2"/>
    <n v="10"/>
  </r>
  <r>
    <x v="5"/>
    <s v="2"/>
    <x v="1"/>
    <x v="1"/>
    <x v="0"/>
    <x v="0"/>
    <x v="789"/>
    <x v="0"/>
    <x v="531"/>
    <n v="77097168"/>
    <n v="285652"/>
    <n v="76811516"/>
    <x v="329"/>
    <n v="0.97"/>
    <n v="6.29"/>
    <n v="1.2"/>
    <n v="2"/>
  </r>
  <r>
    <x v="9"/>
    <s v="6"/>
    <x v="9"/>
    <x v="7"/>
    <x v="0"/>
    <x v="0"/>
    <x v="790"/>
    <x v="2"/>
    <x v="367"/>
    <n v="61286225"/>
    <n v="481723"/>
    <n v="60804502"/>
    <x v="276"/>
    <n v="0.97"/>
    <n v="6.29"/>
    <n v="1.2"/>
    <n v="10"/>
  </r>
  <r>
    <x v="0"/>
    <s v="12"/>
    <x v="5"/>
    <x v="8"/>
    <x v="2"/>
    <x v="1"/>
    <x v="791"/>
    <x v="2"/>
    <x v="242"/>
    <n v="12367932"/>
    <n v="405113"/>
    <n v="11962819"/>
    <x v="330"/>
    <n v="0.97"/>
    <n v="6.29"/>
    <n v="1.2"/>
    <n v="6"/>
  </r>
  <r>
    <x v="3"/>
    <s v="7"/>
    <x v="3"/>
    <x v="7"/>
    <x v="2"/>
    <x v="0"/>
    <x v="792"/>
    <x v="1"/>
    <x v="399"/>
    <n v="21727136"/>
    <n v="141493"/>
    <n v="21585643"/>
    <x v="109"/>
    <n v="0.97"/>
    <n v="6.29"/>
    <n v="1.2"/>
    <n v="6"/>
  </r>
  <r>
    <x v="4"/>
    <s v="12"/>
    <x v="6"/>
    <x v="9"/>
    <x v="2"/>
    <x v="3"/>
    <x v="793"/>
    <x v="2"/>
    <x v="49"/>
    <n v="24543512"/>
    <n v="318667"/>
    <n v="24224845"/>
    <x v="126"/>
    <n v="0.97"/>
    <n v="6.29"/>
    <n v="1.2"/>
    <n v="2"/>
  </r>
  <r>
    <x v="0"/>
    <s v="9"/>
    <x v="3"/>
    <x v="7"/>
    <x v="0"/>
    <x v="3"/>
    <x v="794"/>
    <x v="0"/>
    <x v="348"/>
    <n v="80014376"/>
    <n v="267995"/>
    <n v="79746381"/>
    <x v="121"/>
    <n v="0.97"/>
    <n v="6.29"/>
    <n v="1.2"/>
    <n v="2"/>
  </r>
  <r>
    <x v="9"/>
    <s v="3"/>
    <x v="3"/>
    <x v="7"/>
    <x v="0"/>
    <x v="2"/>
    <x v="795"/>
    <x v="0"/>
    <x v="272"/>
    <n v="46964170"/>
    <n v="238262"/>
    <n v="46725908"/>
    <x v="312"/>
    <n v="0.97"/>
    <n v="6.29"/>
    <n v="1.2"/>
    <n v="2"/>
  </r>
  <r>
    <x v="8"/>
    <s v="10"/>
    <x v="8"/>
    <x v="5"/>
    <x v="1"/>
    <x v="0"/>
    <x v="796"/>
    <x v="2"/>
    <x v="143"/>
    <n v="57421266"/>
    <n v="490977"/>
    <n v="56930289"/>
    <x v="271"/>
    <n v="0.97"/>
    <n v="6.29"/>
    <n v="1.2"/>
    <n v="10"/>
  </r>
  <r>
    <x v="0"/>
    <s v="3"/>
    <x v="0"/>
    <x v="5"/>
    <x v="0"/>
    <x v="3"/>
    <x v="797"/>
    <x v="1"/>
    <x v="347"/>
    <n v="16443140"/>
    <n v="343313"/>
    <n v="16099827"/>
    <x v="15"/>
    <n v="0.97"/>
    <n v="6.29"/>
    <n v="1.2"/>
    <n v="1"/>
  </r>
  <r>
    <x v="6"/>
    <s v="7"/>
    <x v="0"/>
    <x v="5"/>
    <x v="0"/>
    <x v="1"/>
    <x v="798"/>
    <x v="1"/>
    <x v="449"/>
    <n v="44003386"/>
    <n v="95641"/>
    <n v="43907745"/>
    <x v="212"/>
    <n v="0.97"/>
    <n v="6.29"/>
    <n v="1.2"/>
    <n v="5"/>
  </r>
  <r>
    <x v="4"/>
    <s v="4"/>
    <x v="5"/>
    <x v="9"/>
    <x v="0"/>
    <x v="0"/>
    <x v="799"/>
    <x v="0"/>
    <x v="532"/>
    <n v="45930924"/>
    <n v="204062"/>
    <n v="45726862"/>
    <x v="322"/>
    <n v="0.97"/>
    <n v="6.29"/>
    <n v="1.2"/>
    <n v="8"/>
  </r>
  <r>
    <x v="9"/>
    <s v="8"/>
    <x v="8"/>
    <x v="1"/>
    <x v="2"/>
    <x v="3"/>
    <x v="800"/>
    <x v="2"/>
    <x v="533"/>
    <n v="45639090"/>
    <n v="79661"/>
    <n v="45559429"/>
    <x v="288"/>
    <n v="0.97"/>
    <n v="6.29"/>
    <n v="1.2"/>
    <n v="2"/>
  </r>
  <r>
    <x v="8"/>
    <s v="7"/>
    <x v="3"/>
    <x v="8"/>
    <x v="0"/>
    <x v="0"/>
    <x v="801"/>
    <x v="1"/>
    <x v="137"/>
    <n v="28875990"/>
    <n v="194491"/>
    <n v="28681499"/>
    <x v="210"/>
    <n v="0.97"/>
    <n v="6.29"/>
    <n v="1.2"/>
    <n v="5"/>
  </r>
  <r>
    <x v="1"/>
    <s v="5"/>
    <x v="2"/>
    <x v="8"/>
    <x v="2"/>
    <x v="1"/>
    <x v="802"/>
    <x v="0"/>
    <x v="247"/>
    <n v="74149760"/>
    <n v="326601"/>
    <n v="73823159"/>
    <x v="247"/>
    <n v="0.97"/>
    <n v="6.29"/>
    <n v="1.2"/>
    <n v="8"/>
  </r>
  <r>
    <x v="9"/>
    <s v="7"/>
    <x v="0"/>
    <x v="0"/>
    <x v="1"/>
    <x v="3"/>
    <x v="803"/>
    <x v="1"/>
    <x v="247"/>
    <n v="30305280"/>
    <n v="379744"/>
    <n v="29925536"/>
    <x v="16"/>
    <n v="0.97"/>
    <n v="6.29"/>
    <n v="1.2"/>
    <n v="10"/>
  </r>
  <r>
    <x v="1"/>
    <s v="3"/>
    <x v="6"/>
    <x v="5"/>
    <x v="1"/>
    <x v="2"/>
    <x v="804"/>
    <x v="0"/>
    <x v="534"/>
    <n v="18981088"/>
    <n v="153619"/>
    <n v="18827469"/>
    <x v="280"/>
    <n v="0.97"/>
    <n v="6.29"/>
    <n v="1.2"/>
    <n v="5"/>
  </r>
  <r>
    <x v="4"/>
    <s v="12"/>
    <x v="6"/>
    <x v="9"/>
    <x v="2"/>
    <x v="2"/>
    <x v="805"/>
    <x v="2"/>
    <x v="421"/>
    <n v="42957256"/>
    <n v="388246"/>
    <n v="42569010"/>
    <x v="140"/>
    <n v="0.97"/>
    <n v="6.29"/>
    <n v="1.2"/>
    <n v="2"/>
  </r>
  <r>
    <x v="5"/>
    <s v="2"/>
    <x v="1"/>
    <x v="0"/>
    <x v="2"/>
    <x v="0"/>
    <x v="806"/>
    <x v="0"/>
    <x v="419"/>
    <n v="64331072"/>
    <n v="83085"/>
    <n v="64247987"/>
    <x v="20"/>
    <n v="0.97"/>
    <n v="6.29"/>
    <n v="1.2"/>
    <n v="3"/>
  </r>
  <r>
    <x v="9"/>
    <s v="6"/>
    <x v="7"/>
    <x v="2"/>
    <x v="2"/>
    <x v="1"/>
    <x v="807"/>
    <x v="1"/>
    <x v="46"/>
    <n v="18596952"/>
    <n v="147064"/>
    <n v="18449888"/>
    <x v="308"/>
    <n v="0.97"/>
    <n v="6.29"/>
    <n v="1.2"/>
    <n v="6"/>
  </r>
  <r>
    <x v="7"/>
    <s v="2"/>
    <x v="2"/>
    <x v="0"/>
    <x v="0"/>
    <x v="3"/>
    <x v="808"/>
    <x v="2"/>
    <x v="535"/>
    <n v="29916276"/>
    <n v="231726"/>
    <n v="29684550"/>
    <x v="331"/>
    <n v="0.97"/>
    <n v="6.29"/>
    <n v="1.2"/>
    <n v="5"/>
  </r>
  <r>
    <x v="1"/>
    <s v="3"/>
    <x v="0"/>
    <x v="1"/>
    <x v="1"/>
    <x v="1"/>
    <x v="809"/>
    <x v="1"/>
    <x v="63"/>
    <n v="37099461"/>
    <n v="449346"/>
    <n v="36650115"/>
    <x v="332"/>
    <n v="0.97"/>
    <n v="6.29"/>
    <n v="1.2"/>
    <n v="4"/>
  </r>
  <r>
    <x v="6"/>
    <s v="6"/>
    <x v="4"/>
    <x v="3"/>
    <x v="2"/>
    <x v="3"/>
    <x v="810"/>
    <x v="2"/>
    <x v="88"/>
    <n v="58397612"/>
    <n v="155723"/>
    <n v="58241889"/>
    <x v="83"/>
    <n v="0.97"/>
    <n v="6.29"/>
    <n v="1.2"/>
    <n v="4"/>
  </r>
  <r>
    <x v="7"/>
    <s v="5"/>
    <x v="0"/>
    <x v="7"/>
    <x v="0"/>
    <x v="0"/>
    <x v="811"/>
    <x v="0"/>
    <x v="536"/>
    <n v="40049490"/>
    <n v="183114"/>
    <n v="39866376"/>
    <x v="235"/>
    <n v="0.97"/>
    <n v="6.29"/>
    <n v="1.2"/>
    <n v="5"/>
  </r>
  <r>
    <x v="2"/>
    <s v="8"/>
    <x v="1"/>
    <x v="5"/>
    <x v="1"/>
    <x v="3"/>
    <x v="812"/>
    <x v="2"/>
    <x v="537"/>
    <n v="22641675"/>
    <n v="382278"/>
    <n v="22259397"/>
    <x v="208"/>
    <n v="0.97"/>
    <n v="6.29"/>
    <n v="1.2"/>
    <n v="2"/>
  </r>
  <r>
    <x v="2"/>
    <s v="9"/>
    <x v="6"/>
    <x v="3"/>
    <x v="0"/>
    <x v="1"/>
    <x v="813"/>
    <x v="1"/>
    <x v="503"/>
    <n v="10916412"/>
    <n v="355126"/>
    <n v="10561286"/>
    <x v="293"/>
    <n v="0.97"/>
    <n v="6.29"/>
    <n v="1.2"/>
    <n v="9"/>
  </r>
  <r>
    <x v="8"/>
    <s v="11"/>
    <x v="3"/>
    <x v="0"/>
    <x v="1"/>
    <x v="1"/>
    <x v="814"/>
    <x v="2"/>
    <x v="58"/>
    <n v="45192384"/>
    <n v="377329"/>
    <n v="44815055"/>
    <x v="67"/>
    <n v="0.97"/>
    <n v="6.29"/>
    <n v="1.2"/>
    <n v="2"/>
  </r>
  <r>
    <x v="5"/>
    <s v="3"/>
    <x v="4"/>
    <x v="9"/>
    <x v="0"/>
    <x v="0"/>
    <x v="815"/>
    <x v="0"/>
    <x v="538"/>
    <n v="78907059"/>
    <n v="83477"/>
    <n v="78823582"/>
    <x v="242"/>
    <n v="0.97"/>
    <n v="6.29"/>
    <n v="1.2"/>
    <n v="10"/>
  </r>
  <r>
    <x v="4"/>
    <s v="12"/>
    <x v="8"/>
    <x v="7"/>
    <x v="1"/>
    <x v="1"/>
    <x v="816"/>
    <x v="2"/>
    <x v="539"/>
    <n v="74207055"/>
    <n v="164161"/>
    <n v="74042894"/>
    <x v="153"/>
    <n v="0.97"/>
    <n v="6.29"/>
    <n v="1.2"/>
    <n v="2"/>
  </r>
  <r>
    <x v="9"/>
    <s v="10"/>
    <x v="9"/>
    <x v="8"/>
    <x v="1"/>
    <x v="3"/>
    <x v="817"/>
    <x v="2"/>
    <x v="468"/>
    <n v="28775400"/>
    <n v="364853"/>
    <n v="28410547"/>
    <x v="333"/>
    <n v="0.97"/>
    <n v="6.29"/>
    <n v="1.2"/>
    <n v="10"/>
  </r>
  <r>
    <x v="3"/>
    <s v="3"/>
    <x v="3"/>
    <x v="6"/>
    <x v="0"/>
    <x v="0"/>
    <x v="818"/>
    <x v="0"/>
    <x v="306"/>
    <n v="113048880"/>
    <n v="209788"/>
    <n v="112839092"/>
    <x v="334"/>
    <n v="0.97"/>
    <n v="6.29"/>
    <n v="1.2"/>
    <n v="9"/>
  </r>
  <r>
    <x v="6"/>
    <s v="3"/>
    <x v="9"/>
    <x v="7"/>
    <x v="2"/>
    <x v="3"/>
    <x v="819"/>
    <x v="0"/>
    <x v="540"/>
    <n v="119784025"/>
    <n v="390281"/>
    <n v="119393744"/>
    <x v="119"/>
    <n v="0.97"/>
    <n v="6.29"/>
    <n v="1.2"/>
    <n v="3"/>
  </r>
  <r>
    <x v="1"/>
    <s v="6"/>
    <x v="2"/>
    <x v="1"/>
    <x v="1"/>
    <x v="1"/>
    <x v="820"/>
    <x v="1"/>
    <x v="49"/>
    <n v="19168044"/>
    <n v="348162"/>
    <n v="18819882"/>
    <x v="46"/>
    <n v="0.97"/>
    <n v="6.29"/>
    <n v="1.2"/>
    <n v="10"/>
  </r>
  <r>
    <x v="4"/>
    <s v="1"/>
    <x v="7"/>
    <x v="1"/>
    <x v="2"/>
    <x v="0"/>
    <x v="821"/>
    <x v="2"/>
    <x v="541"/>
    <n v="88503360"/>
    <n v="189133"/>
    <n v="88314227"/>
    <x v="21"/>
    <n v="0.97"/>
    <n v="6.29"/>
    <n v="1.2"/>
    <n v="7"/>
  </r>
  <r>
    <x v="7"/>
    <s v="7"/>
    <x v="4"/>
    <x v="0"/>
    <x v="0"/>
    <x v="3"/>
    <x v="822"/>
    <x v="1"/>
    <x v="421"/>
    <n v="27768120"/>
    <n v="189681"/>
    <n v="27578439"/>
    <x v="87"/>
    <n v="0.97"/>
    <n v="6.29"/>
    <n v="1.2"/>
    <n v="4"/>
  </r>
  <r>
    <x v="2"/>
    <s v="12"/>
    <x v="5"/>
    <x v="2"/>
    <x v="2"/>
    <x v="1"/>
    <x v="823"/>
    <x v="0"/>
    <x v="542"/>
    <n v="69362980"/>
    <n v="347515"/>
    <n v="69015465"/>
    <x v="250"/>
    <n v="0.97"/>
    <n v="6.29"/>
    <n v="1.2"/>
    <n v="6"/>
  </r>
  <r>
    <x v="6"/>
    <s v="1"/>
    <x v="4"/>
    <x v="1"/>
    <x v="2"/>
    <x v="1"/>
    <x v="824"/>
    <x v="0"/>
    <x v="543"/>
    <n v="87796764"/>
    <n v="291422"/>
    <n v="87505342"/>
    <x v="335"/>
    <n v="0.97"/>
    <n v="6.29"/>
    <n v="1.2"/>
    <n v="4"/>
  </r>
  <r>
    <x v="3"/>
    <s v="5"/>
    <x v="0"/>
    <x v="1"/>
    <x v="2"/>
    <x v="2"/>
    <x v="825"/>
    <x v="2"/>
    <x v="544"/>
    <n v="69833545"/>
    <n v="395165"/>
    <n v="69438380"/>
    <x v="189"/>
    <n v="0.97"/>
    <n v="6.29"/>
    <n v="1.2"/>
    <n v="10"/>
  </r>
  <r>
    <x v="9"/>
    <s v="10"/>
    <x v="6"/>
    <x v="9"/>
    <x v="2"/>
    <x v="1"/>
    <x v="826"/>
    <x v="0"/>
    <x v="498"/>
    <n v="86828320"/>
    <n v="464021"/>
    <n v="86364299"/>
    <x v="283"/>
    <n v="0.97"/>
    <n v="6.29"/>
    <n v="1.2"/>
    <n v="7"/>
  </r>
  <r>
    <x v="8"/>
    <s v="8"/>
    <x v="0"/>
    <x v="0"/>
    <x v="2"/>
    <x v="3"/>
    <x v="827"/>
    <x v="2"/>
    <x v="545"/>
    <n v="19844930"/>
    <n v="320001"/>
    <n v="19524929"/>
    <x v="129"/>
    <n v="0.97"/>
    <n v="6.29"/>
    <n v="1.2"/>
    <n v="1"/>
  </r>
  <r>
    <x v="3"/>
    <s v="4"/>
    <x v="0"/>
    <x v="7"/>
    <x v="1"/>
    <x v="0"/>
    <x v="828"/>
    <x v="0"/>
    <x v="546"/>
    <n v="6456310"/>
    <n v="192692"/>
    <n v="6263618"/>
    <x v="24"/>
    <n v="0.97"/>
    <n v="6.29"/>
    <n v="1.2"/>
    <n v="3"/>
  </r>
  <r>
    <x v="6"/>
    <s v="5"/>
    <x v="2"/>
    <x v="2"/>
    <x v="1"/>
    <x v="2"/>
    <x v="829"/>
    <x v="0"/>
    <x v="183"/>
    <n v="77054934"/>
    <n v="58177"/>
    <n v="76996757"/>
    <x v="336"/>
    <n v="0.97"/>
    <n v="6.29"/>
    <n v="1.2"/>
    <n v="3"/>
  </r>
  <r>
    <x v="3"/>
    <s v="4"/>
    <x v="3"/>
    <x v="3"/>
    <x v="1"/>
    <x v="1"/>
    <x v="830"/>
    <x v="1"/>
    <x v="547"/>
    <n v="28837920"/>
    <n v="473327"/>
    <n v="28364593"/>
    <x v="316"/>
    <n v="0.97"/>
    <n v="6.29"/>
    <n v="1.2"/>
    <n v="1"/>
  </r>
  <r>
    <x v="6"/>
    <s v="12"/>
    <x v="5"/>
    <x v="6"/>
    <x v="0"/>
    <x v="1"/>
    <x v="831"/>
    <x v="0"/>
    <x v="46"/>
    <n v="44310816"/>
    <n v="301842"/>
    <n v="44008974"/>
    <x v="2"/>
    <n v="0.97"/>
    <n v="6.29"/>
    <n v="1.2"/>
    <n v="6"/>
  </r>
  <r>
    <x v="6"/>
    <s v="12"/>
    <x v="5"/>
    <x v="5"/>
    <x v="2"/>
    <x v="1"/>
    <x v="832"/>
    <x v="0"/>
    <x v="548"/>
    <n v="25212292"/>
    <n v="400722"/>
    <n v="24811570"/>
    <x v="219"/>
    <n v="0.97"/>
    <n v="6.29"/>
    <n v="1.2"/>
    <n v="9"/>
  </r>
  <r>
    <x v="0"/>
    <s v="4"/>
    <x v="0"/>
    <x v="8"/>
    <x v="1"/>
    <x v="3"/>
    <x v="833"/>
    <x v="0"/>
    <x v="549"/>
    <n v="57132070"/>
    <n v="139941"/>
    <n v="56992129"/>
    <x v="61"/>
    <n v="0.97"/>
    <n v="6.29"/>
    <n v="1.2"/>
    <n v="8"/>
  </r>
  <r>
    <x v="1"/>
    <s v="12"/>
    <x v="9"/>
    <x v="1"/>
    <x v="0"/>
    <x v="2"/>
    <x v="834"/>
    <x v="1"/>
    <x v="308"/>
    <n v="26830198"/>
    <n v="308121"/>
    <n v="26522077"/>
    <x v="282"/>
    <n v="0.97"/>
    <n v="6.29"/>
    <n v="1.2"/>
    <n v="7"/>
  </r>
  <r>
    <x v="2"/>
    <s v="8"/>
    <x v="2"/>
    <x v="0"/>
    <x v="1"/>
    <x v="3"/>
    <x v="835"/>
    <x v="0"/>
    <x v="550"/>
    <n v="9438960"/>
    <n v="61826"/>
    <n v="9377134"/>
    <x v="49"/>
    <n v="0.97"/>
    <n v="6.29"/>
    <n v="1.2"/>
    <n v="10"/>
  </r>
  <r>
    <x v="0"/>
    <s v="2"/>
    <x v="0"/>
    <x v="5"/>
    <x v="1"/>
    <x v="2"/>
    <x v="836"/>
    <x v="0"/>
    <x v="551"/>
    <n v="33755378"/>
    <n v="194962"/>
    <n v="33560416"/>
    <x v="184"/>
    <n v="0.97"/>
    <n v="6.29"/>
    <n v="1.2"/>
    <n v="8"/>
  </r>
  <r>
    <x v="9"/>
    <s v="1"/>
    <x v="7"/>
    <x v="8"/>
    <x v="2"/>
    <x v="0"/>
    <x v="837"/>
    <x v="1"/>
    <x v="16"/>
    <n v="24658956"/>
    <n v="394572"/>
    <n v="24264384"/>
    <x v="337"/>
    <n v="0.97"/>
    <n v="6.29"/>
    <n v="1.2"/>
    <n v="6"/>
  </r>
  <r>
    <x v="0"/>
    <s v="3"/>
    <x v="6"/>
    <x v="8"/>
    <x v="0"/>
    <x v="3"/>
    <x v="838"/>
    <x v="2"/>
    <x v="400"/>
    <n v="70018410"/>
    <n v="176044"/>
    <n v="69842366"/>
    <x v="207"/>
    <n v="0.97"/>
    <n v="6.29"/>
    <n v="1.2"/>
    <n v="9"/>
  </r>
  <r>
    <x v="5"/>
    <s v="9"/>
    <x v="3"/>
    <x v="3"/>
    <x v="2"/>
    <x v="3"/>
    <x v="839"/>
    <x v="0"/>
    <x v="195"/>
    <n v="67420404"/>
    <n v="239103"/>
    <n v="67181301"/>
    <x v="191"/>
    <n v="0.97"/>
    <n v="6.29"/>
    <n v="1.2"/>
    <n v="3"/>
  </r>
  <r>
    <x v="5"/>
    <s v="4"/>
    <x v="8"/>
    <x v="3"/>
    <x v="2"/>
    <x v="0"/>
    <x v="840"/>
    <x v="0"/>
    <x v="489"/>
    <n v="107385744"/>
    <n v="387164"/>
    <n v="106998580"/>
    <x v="183"/>
    <n v="0.97"/>
    <n v="6.29"/>
    <n v="1.2"/>
    <n v="10"/>
  </r>
  <r>
    <x v="2"/>
    <s v="10"/>
    <x v="7"/>
    <x v="3"/>
    <x v="1"/>
    <x v="2"/>
    <x v="841"/>
    <x v="2"/>
    <x v="552"/>
    <n v="18807048"/>
    <n v="55495"/>
    <n v="18751553"/>
    <x v="284"/>
    <n v="0.97"/>
    <n v="6.29"/>
    <n v="1.2"/>
    <n v="10"/>
  </r>
  <r>
    <x v="3"/>
    <s v="5"/>
    <x v="9"/>
    <x v="4"/>
    <x v="2"/>
    <x v="1"/>
    <x v="842"/>
    <x v="2"/>
    <x v="317"/>
    <n v="71424562"/>
    <n v="78481"/>
    <n v="71346081"/>
    <x v="150"/>
    <n v="0.97"/>
    <n v="6.29"/>
    <n v="1.2"/>
    <n v="9"/>
  </r>
  <r>
    <x v="1"/>
    <s v="2"/>
    <x v="4"/>
    <x v="4"/>
    <x v="0"/>
    <x v="0"/>
    <x v="843"/>
    <x v="0"/>
    <x v="553"/>
    <n v="85708539"/>
    <n v="192339"/>
    <n v="85516200"/>
    <x v="154"/>
    <n v="0.97"/>
    <n v="6.29"/>
    <n v="1.2"/>
    <n v="4"/>
  </r>
  <r>
    <x v="2"/>
    <s v="4"/>
    <x v="4"/>
    <x v="8"/>
    <x v="2"/>
    <x v="1"/>
    <x v="844"/>
    <x v="2"/>
    <x v="333"/>
    <n v="43891064"/>
    <n v="430041"/>
    <n v="43461023"/>
    <x v="53"/>
    <n v="0.97"/>
    <n v="6.29"/>
    <n v="1.2"/>
    <n v="7"/>
  </r>
  <r>
    <x v="6"/>
    <s v="2"/>
    <x v="7"/>
    <x v="3"/>
    <x v="2"/>
    <x v="1"/>
    <x v="845"/>
    <x v="1"/>
    <x v="33"/>
    <n v="17114833"/>
    <n v="286774"/>
    <n v="16828059"/>
    <x v="227"/>
    <n v="0.97"/>
    <n v="6.29"/>
    <n v="1.2"/>
    <n v="9"/>
  </r>
  <r>
    <x v="7"/>
    <s v="2"/>
    <x v="0"/>
    <x v="9"/>
    <x v="2"/>
    <x v="0"/>
    <x v="846"/>
    <x v="2"/>
    <x v="554"/>
    <n v="25033800"/>
    <n v="187815"/>
    <n v="24845985"/>
    <x v="14"/>
    <n v="0.97"/>
    <n v="6.29"/>
    <n v="1.2"/>
    <n v="2"/>
  </r>
  <r>
    <x v="1"/>
    <s v="4"/>
    <x v="8"/>
    <x v="1"/>
    <x v="1"/>
    <x v="2"/>
    <x v="847"/>
    <x v="1"/>
    <x v="372"/>
    <n v="42735550"/>
    <n v="498016"/>
    <n v="42237534"/>
    <x v="317"/>
    <n v="0.97"/>
    <n v="6.29"/>
    <n v="1.2"/>
    <n v="2"/>
  </r>
  <r>
    <x v="1"/>
    <s v="6"/>
    <x v="1"/>
    <x v="5"/>
    <x v="0"/>
    <x v="1"/>
    <x v="848"/>
    <x v="0"/>
    <x v="555"/>
    <n v="69246510"/>
    <n v="153475"/>
    <n v="69093035"/>
    <x v="98"/>
    <n v="0.97"/>
    <n v="6.29"/>
    <n v="1.2"/>
    <n v="9"/>
  </r>
  <r>
    <x v="6"/>
    <s v="7"/>
    <x v="1"/>
    <x v="5"/>
    <x v="1"/>
    <x v="0"/>
    <x v="849"/>
    <x v="0"/>
    <x v="376"/>
    <n v="47256224"/>
    <n v="229845"/>
    <n v="47026379"/>
    <x v="63"/>
    <n v="0.97"/>
    <n v="6.29"/>
    <n v="1.2"/>
    <n v="3"/>
  </r>
  <r>
    <x v="6"/>
    <s v="10"/>
    <x v="9"/>
    <x v="4"/>
    <x v="1"/>
    <x v="3"/>
    <x v="850"/>
    <x v="0"/>
    <x v="556"/>
    <n v="16854720"/>
    <n v="369186"/>
    <n v="16485534"/>
    <x v="260"/>
    <n v="0.97"/>
    <n v="6.29"/>
    <n v="1.2"/>
    <n v="9"/>
  </r>
  <r>
    <x v="8"/>
    <s v="3"/>
    <x v="0"/>
    <x v="8"/>
    <x v="1"/>
    <x v="3"/>
    <x v="331"/>
    <x v="0"/>
    <x v="448"/>
    <n v="61201686"/>
    <n v="99476"/>
    <n v="61102210"/>
    <x v="97"/>
    <n v="0.97"/>
    <n v="6.29"/>
    <n v="1.2"/>
    <n v="5"/>
  </r>
  <r>
    <x v="2"/>
    <s v="3"/>
    <x v="5"/>
    <x v="0"/>
    <x v="1"/>
    <x v="3"/>
    <x v="851"/>
    <x v="0"/>
    <x v="557"/>
    <n v="30827330"/>
    <n v="273177"/>
    <n v="30554153"/>
    <x v="208"/>
    <n v="0.97"/>
    <n v="6.29"/>
    <n v="1.2"/>
    <n v="6"/>
  </r>
  <r>
    <x v="6"/>
    <s v="10"/>
    <x v="5"/>
    <x v="7"/>
    <x v="1"/>
    <x v="0"/>
    <x v="852"/>
    <x v="0"/>
    <x v="85"/>
    <n v="45999766"/>
    <n v="340696"/>
    <n v="45659070"/>
    <x v="262"/>
    <n v="0.97"/>
    <n v="6.29"/>
    <n v="1.2"/>
    <n v="2"/>
  </r>
  <r>
    <x v="5"/>
    <s v="6"/>
    <x v="3"/>
    <x v="7"/>
    <x v="0"/>
    <x v="3"/>
    <x v="853"/>
    <x v="2"/>
    <x v="88"/>
    <n v="65724230"/>
    <n v="246314"/>
    <n v="65477916"/>
    <x v="17"/>
    <n v="0.97"/>
    <n v="6.29"/>
    <n v="1.2"/>
    <n v="8"/>
  </r>
  <r>
    <x v="9"/>
    <s v="12"/>
    <x v="8"/>
    <x v="4"/>
    <x v="2"/>
    <x v="1"/>
    <x v="854"/>
    <x v="2"/>
    <x v="558"/>
    <n v="63666810"/>
    <n v="488988"/>
    <n v="63177822"/>
    <x v="29"/>
    <n v="0.97"/>
    <n v="6.29"/>
    <n v="1.2"/>
    <n v="9"/>
  </r>
  <r>
    <x v="7"/>
    <s v="3"/>
    <x v="8"/>
    <x v="0"/>
    <x v="1"/>
    <x v="3"/>
    <x v="855"/>
    <x v="1"/>
    <x v="559"/>
    <n v="36894352"/>
    <n v="486946"/>
    <n v="36407406"/>
    <x v="168"/>
    <n v="0.97"/>
    <n v="6.29"/>
    <n v="1.2"/>
    <n v="2"/>
  </r>
  <r>
    <x v="2"/>
    <s v="2"/>
    <x v="4"/>
    <x v="4"/>
    <x v="1"/>
    <x v="3"/>
    <x v="856"/>
    <x v="2"/>
    <x v="560"/>
    <n v="16605540"/>
    <n v="210020"/>
    <n v="16395520"/>
    <x v="91"/>
    <n v="0.97"/>
    <n v="6.29"/>
    <n v="1.2"/>
    <n v="6"/>
  </r>
  <r>
    <x v="4"/>
    <s v="8"/>
    <x v="2"/>
    <x v="7"/>
    <x v="0"/>
    <x v="1"/>
    <x v="857"/>
    <x v="0"/>
    <x v="97"/>
    <n v="38230368"/>
    <n v="257383"/>
    <n v="37972985"/>
    <x v="296"/>
    <n v="0.97"/>
    <n v="6.29"/>
    <n v="1.2"/>
    <n v="6"/>
  </r>
  <r>
    <x v="5"/>
    <s v="5"/>
    <x v="9"/>
    <x v="0"/>
    <x v="0"/>
    <x v="3"/>
    <x v="858"/>
    <x v="0"/>
    <x v="391"/>
    <n v="42561536"/>
    <n v="119093"/>
    <n v="42442443"/>
    <x v="37"/>
    <n v="0.97"/>
    <n v="6.29"/>
    <n v="1.2"/>
    <n v="8"/>
  </r>
  <r>
    <x v="3"/>
    <s v="1"/>
    <x v="1"/>
    <x v="3"/>
    <x v="2"/>
    <x v="1"/>
    <x v="859"/>
    <x v="2"/>
    <x v="135"/>
    <n v="37694180"/>
    <n v="119123"/>
    <n v="37575057"/>
    <x v="115"/>
    <n v="0.97"/>
    <n v="6.29"/>
    <n v="1.2"/>
    <n v="10"/>
  </r>
  <r>
    <x v="6"/>
    <s v="3"/>
    <x v="9"/>
    <x v="8"/>
    <x v="0"/>
    <x v="3"/>
    <x v="860"/>
    <x v="0"/>
    <x v="243"/>
    <n v="95183815"/>
    <n v="66535"/>
    <n v="95117280"/>
    <x v="123"/>
    <n v="0.97"/>
    <n v="6.29"/>
    <n v="1.2"/>
    <n v="5"/>
  </r>
  <r>
    <x v="4"/>
    <s v="10"/>
    <x v="5"/>
    <x v="5"/>
    <x v="2"/>
    <x v="1"/>
    <x v="861"/>
    <x v="0"/>
    <x v="561"/>
    <n v="107728176"/>
    <n v="378634"/>
    <n v="107349542"/>
    <x v="89"/>
    <n v="0.97"/>
    <n v="6.29"/>
    <n v="1.2"/>
    <n v="9"/>
  </r>
  <r>
    <x v="6"/>
    <s v="8"/>
    <x v="5"/>
    <x v="9"/>
    <x v="1"/>
    <x v="3"/>
    <x v="862"/>
    <x v="2"/>
    <x v="562"/>
    <n v="26445208"/>
    <n v="96562"/>
    <n v="26348646"/>
    <x v="338"/>
    <n v="0.97"/>
    <n v="6.29"/>
    <n v="1.2"/>
    <n v="1"/>
  </r>
  <r>
    <x v="1"/>
    <s v="4"/>
    <x v="7"/>
    <x v="2"/>
    <x v="1"/>
    <x v="1"/>
    <x v="863"/>
    <x v="1"/>
    <x v="228"/>
    <n v="16033080"/>
    <n v="431186"/>
    <n v="15601894"/>
    <x v="124"/>
    <n v="0.97"/>
    <n v="6.29"/>
    <n v="1.2"/>
    <n v="9"/>
  </r>
  <r>
    <x v="5"/>
    <s v="7"/>
    <x v="3"/>
    <x v="8"/>
    <x v="2"/>
    <x v="0"/>
    <x v="864"/>
    <x v="2"/>
    <x v="63"/>
    <n v="66948498"/>
    <n v="306323"/>
    <n v="66642175"/>
    <x v="11"/>
    <n v="0.97"/>
    <n v="6.29"/>
    <n v="1.2"/>
    <n v="10"/>
  </r>
  <r>
    <x v="1"/>
    <s v="10"/>
    <x v="8"/>
    <x v="3"/>
    <x v="0"/>
    <x v="1"/>
    <x v="865"/>
    <x v="2"/>
    <x v="367"/>
    <n v="61637301"/>
    <n v="401224"/>
    <n v="61236077"/>
    <x v="128"/>
    <n v="0.97"/>
    <n v="6.29"/>
    <n v="1.2"/>
    <n v="7"/>
  </r>
  <r>
    <x v="8"/>
    <s v="12"/>
    <x v="6"/>
    <x v="7"/>
    <x v="2"/>
    <x v="3"/>
    <x v="866"/>
    <x v="1"/>
    <x v="207"/>
    <n v="14430807"/>
    <n v="308916"/>
    <n v="14121891"/>
    <x v="222"/>
    <n v="0.97"/>
    <n v="6.29"/>
    <n v="1.2"/>
    <n v="4"/>
  </r>
  <r>
    <x v="1"/>
    <s v="2"/>
    <x v="9"/>
    <x v="3"/>
    <x v="0"/>
    <x v="3"/>
    <x v="867"/>
    <x v="0"/>
    <x v="436"/>
    <n v="53438811"/>
    <n v="239607"/>
    <n v="53199204"/>
    <x v="30"/>
    <n v="0.97"/>
    <n v="6.29"/>
    <n v="1.2"/>
    <n v="3"/>
  </r>
  <r>
    <x v="8"/>
    <s v="7"/>
    <x v="5"/>
    <x v="4"/>
    <x v="1"/>
    <x v="2"/>
    <x v="868"/>
    <x v="0"/>
    <x v="308"/>
    <n v="71254370"/>
    <n v="280063"/>
    <n v="70974307"/>
    <x v="207"/>
    <n v="0.97"/>
    <n v="6.29"/>
    <n v="1.2"/>
    <n v="10"/>
  </r>
  <r>
    <x v="8"/>
    <s v="5"/>
    <x v="2"/>
    <x v="0"/>
    <x v="0"/>
    <x v="1"/>
    <x v="869"/>
    <x v="2"/>
    <x v="145"/>
    <n v="53824160"/>
    <n v="91269"/>
    <n v="53732891"/>
    <x v="136"/>
    <n v="0.97"/>
    <n v="6.29"/>
    <n v="1.2"/>
    <n v="6"/>
  </r>
  <r>
    <x v="4"/>
    <s v="5"/>
    <x v="4"/>
    <x v="5"/>
    <x v="2"/>
    <x v="0"/>
    <x v="870"/>
    <x v="1"/>
    <x v="563"/>
    <n v="32220200"/>
    <n v="130674"/>
    <n v="32089526"/>
    <x v="256"/>
    <n v="0.97"/>
    <n v="6.29"/>
    <n v="1.2"/>
    <n v="1"/>
  </r>
  <r>
    <x v="6"/>
    <s v="6"/>
    <x v="1"/>
    <x v="1"/>
    <x v="2"/>
    <x v="1"/>
    <x v="871"/>
    <x v="1"/>
    <x v="132"/>
    <n v="24015890"/>
    <n v="354606"/>
    <n v="23661284"/>
    <x v="161"/>
    <n v="0.97"/>
    <n v="6.29"/>
    <n v="1.2"/>
    <n v="3"/>
  </r>
  <r>
    <x v="3"/>
    <s v="9"/>
    <x v="3"/>
    <x v="4"/>
    <x v="1"/>
    <x v="1"/>
    <x v="872"/>
    <x v="1"/>
    <x v="115"/>
    <n v="29213516"/>
    <n v="446343"/>
    <n v="28767173"/>
    <x v="201"/>
    <n v="0.97"/>
    <n v="6.29"/>
    <n v="1.2"/>
    <n v="2"/>
  </r>
  <r>
    <x v="1"/>
    <s v="6"/>
    <x v="2"/>
    <x v="8"/>
    <x v="0"/>
    <x v="0"/>
    <x v="873"/>
    <x v="1"/>
    <x v="271"/>
    <n v="26186290"/>
    <n v="335291"/>
    <n v="25850999"/>
    <x v="68"/>
    <n v="0.97"/>
    <n v="6.29"/>
    <n v="1.2"/>
    <n v="9"/>
  </r>
  <r>
    <x v="5"/>
    <s v="12"/>
    <x v="3"/>
    <x v="4"/>
    <x v="0"/>
    <x v="1"/>
    <x v="874"/>
    <x v="1"/>
    <x v="173"/>
    <n v="47645057"/>
    <n v="488744"/>
    <n v="47156313"/>
    <x v="21"/>
    <n v="0.97"/>
    <n v="6.29"/>
    <n v="1.2"/>
    <n v="3"/>
  </r>
  <r>
    <x v="8"/>
    <s v="8"/>
    <x v="7"/>
    <x v="8"/>
    <x v="0"/>
    <x v="0"/>
    <x v="875"/>
    <x v="2"/>
    <x v="161"/>
    <n v="19817100"/>
    <n v="127095"/>
    <n v="19690005"/>
    <x v="151"/>
    <n v="0.97"/>
    <n v="6.29"/>
    <n v="1.2"/>
    <n v="2"/>
  </r>
  <r>
    <x v="6"/>
    <s v="7"/>
    <x v="6"/>
    <x v="1"/>
    <x v="1"/>
    <x v="0"/>
    <x v="876"/>
    <x v="2"/>
    <x v="394"/>
    <n v="29421280"/>
    <n v="294172"/>
    <n v="29127108"/>
    <x v="27"/>
    <n v="0.97"/>
    <n v="6.29"/>
    <n v="1.2"/>
    <n v="4"/>
  </r>
  <r>
    <x v="7"/>
    <s v="9"/>
    <x v="5"/>
    <x v="6"/>
    <x v="0"/>
    <x v="1"/>
    <x v="877"/>
    <x v="0"/>
    <x v="564"/>
    <n v="85580264"/>
    <n v="250003"/>
    <n v="85330261"/>
    <x v="191"/>
    <n v="0.97"/>
    <n v="6.29"/>
    <n v="1.2"/>
    <n v="2"/>
  </r>
  <r>
    <x v="2"/>
    <s v="4"/>
    <x v="4"/>
    <x v="5"/>
    <x v="2"/>
    <x v="1"/>
    <x v="878"/>
    <x v="1"/>
    <x v="565"/>
    <n v="32019009"/>
    <n v="140925"/>
    <n v="31878084"/>
    <x v="167"/>
    <n v="0.97"/>
    <n v="6.29"/>
    <n v="1.2"/>
    <n v="1"/>
  </r>
  <r>
    <x v="4"/>
    <s v="2"/>
    <x v="2"/>
    <x v="9"/>
    <x v="0"/>
    <x v="3"/>
    <x v="879"/>
    <x v="0"/>
    <x v="566"/>
    <n v="108529978"/>
    <n v="116381"/>
    <n v="108413597"/>
    <x v="57"/>
    <n v="0.97"/>
    <n v="6.29"/>
    <n v="1.2"/>
    <n v="6"/>
  </r>
  <r>
    <x v="3"/>
    <s v="7"/>
    <x v="3"/>
    <x v="9"/>
    <x v="1"/>
    <x v="3"/>
    <x v="880"/>
    <x v="0"/>
    <x v="124"/>
    <n v="79675624"/>
    <n v="149468"/>
    <n v="79526156"/>
    <x v="339"/>
    <n v="0.97"/>
    <n v="6.29"/>
    <n v="1.2"/>
    <n v="10"/>
  </r>
  <r>
    <x v="0"/>
    <s v="6"/>
    <x v="8"/>
    <x v="2"/>
    <x v="0"/>
    <x v="2"/>
    <x v="881"/>
    <x v="0"/>
    <x v="567"/>
    <n v="13089592"/>
    <n v="292330"/>
    <n v="12797262"/>
    <x v="133"/>
    <n v="0.97"/>
    <n v="6.29"/>
    <n v="1.2"/>
    <n v="8"/>
  </r>
  <r>
    <x v="4"/>
    <s v="1"/>
    <x v="7"/>
    <x v="3"/>
    <x v="0"/>
    <x v="2"/>
    <x v="882"/>
    <x v="0"/>
    <x v="568"/>
    <n v="75681427"/>
    <n v="375893"/>
    <n v="75305534"/>
    <x v="278"/>
    <n v="0.97"/>
    <n v="6.29"/>
    <n v="1.2"/>
    <n v="10"/>
  </r>
  <r>
    <x v="7"/>
    <s v="11"/>
    <x v="8"/>
    <x v="6"/>
    <x v="2"/>
    <x v="1"/>
    <x v="883"/>
    <x v="2"/>
    <x v="569"/>
    <n v="33586200"/>
    <n v="481888"/>
    <n v="33104312"/>
    <x v="227"/>
    <n v="0.97"/>
    <n v="6.29"/>
    <n v="1.2"/>
    <n v="10"/>
  </r>
  <r>
    <x v="2"/>
    <s v="9"/>
    <x v="4"/>
    <x v="9"/>
    <x v="0"/>
    <x v="0"/>
    <x v="884"/>
    <x v="0"/>
    <x v="240"/>
    <n v="57705858"/>
    <n v="63731"/>
    <n v="57642127"/>
    <x v="316"/>
    <n v="0.97"/>
    <n v="6.29"/>
    <n v="1.2"/>
    <n v="2"/>
  </r>
  <r>
    <x v="7"/>
    <s v="9"/>
    <x v="2"/>
    <x v="4"/>
    <x v="2"/>
    <x v="2"/>
    <x v="885"/>
    <x v="0"/>
    <x v="400"/>
    <n v="86462255"/>
    <n v="436791"/>
    <n v="86025464"/>
    <x v="116"/>
    <n v="0.97"/>
    <n v="6.29"/>
    <n v="1.2"/>
    <n v="9"/>
  </r>
  <r>
    <x v="1"/>
    <s v="12"/>
    <x v="7"/>
    <x v="3"/>
    <x v="2"/>
    <x v="1"/>
    <x v="886"/>
    <x v="0"/>
    <x v="310"/>
    <n v="77581538"/>
    <n v="497728"/>
    <n v="77083810"/>
    <x v="144"/>
    <n v="0.97"/>
    <n v="6.29"/>
    <n v="1.2"/>
    <n v="3"/>
  </r>
  <r>
    <x v="8"/>
    <s v="2"/>
    <x v="2"/>
    <x v="6"/>
    <x v="1"/>
    <x v="2"/>
    <x v="887"/>
    <x v="2"/>
    <x v="128"/>
    <n v="39491400"/>
    <n v="101024"/>
    <n v="39390376"/>
    <x v="37"/>
    <n v="0.97"/>
    <n v="6.29"/>
    <n v="1.2"/>
    <n v="8"/>
  </r>
  <r>
    <x v="3"/>
    <s v="3"/>
    <x v="5"/>
    <x v="0"/>
    <x v="2"/>
    <x v="0"/>
    <x v="888"/>
    <x v="2"/>
    <x v="570"/>
    <n v="50266128"/>
    <n v="166712"/>
    <n v="50099416"/>
    <x v="226"/>
    <n v="0.97"/>
    <n v="6.29"/>
    <n v="1.2"/>
    <n v="8"/>
  </r>
  <r>
    <x v="9"/>
    <s v="5"/>
    <x v="0"/>
    <x v="0"/>
    <x v="2"/>
    <x v="1"/>
    <x v="889"/>
    <x v="1"/>
    <x v="152"/>
    <n v="19707630"/>
    <n v="151121"/>
    <n v="19556509"/>
    <x v="340"/>
    <n v="0.97"/>
    <n v="6.29"/>
    <n v="1.2"/>
    <n v="3"/>
  </r>
  <r>
    <x v="8"/>
    <s v="5"/>
    <x v="7"/>
    <x v="3"/>
    <x v="1"/>
    <x v="0"/>
    <x v="890"/>
    <x v="0"/>
    <x v="158"/>
    <n v="47819453"/>
    <n v="315976"/>
    <n v="47503477"/>
    <x v="26"/>
    <n v="0.97"/>
    <n v="6.29"/>
    <n v="1.2"/>
    <n v="3"/>
  </r>
  <r>
    <x v="9"/>
    <s v="1"/>
    <x v="8"/>
    <x v="8"/>
    <x v="2"/>
    <x v="1"/>
    <x v="891"/>
    <x v="0"/>
    <x v="571"/>
    <n v="105016500"/>
    <n v="82332"/>
    <n v="104934168"/>
    <x v="341"/>
    <n v="0.97"/>
    <n v="6.29"/>
    <n v="1.2"/>
    <n v="6"/>
  </r>
  <r>
    <x v="2"/>
    <s v="8"/>
    <x v="4"/>
    <x v="8"/>
    <x v="1"/>
    <x v="2"/>
    <x v="892"/>
    <x v="0"/>
    <x v="572"/>
    <n v="68834897"/>
    <n v="62467"/>
    <n v="68772430"/>
    <x v="220"/>
    <n v="0.97"/>
    <n v="6.29"/>
    <n v="1.2"/>
    <n v="1"/>
  </r>
  <r>
    <x v="6"/>
    <s v="12"/>
    <x v="6"/>
    <x v="4"/>
    <x v="0"/>
    <x v="3"/>
    <x v="893"/>
    <x v="0"/>
    <x v="573"/>
    <n v="53109280"/>
    <n v="91025"/>
    <n v="53018255"/>
    <x v="103"/>
    <n v="0.97"/>
    <n v="6.29"/>
    <n v="1.2"/>
    <n v="4"/>
  </r>
  <r>
    <x v="0"/>
    <s v="8"/>
    <x v="5"/>
    <x v="6"/>
    <x v="1"/>
    <x v="2"/>
    <x v="894"/>
    <x v="0"/>
    <x v="351"/>
    <n v="51542076"/>
    <n v="194179"/>
    <n v="51347897"/>
    <x v="177"/>
    <n v="0.97"/>
    <n v="6.29"/>
    <n v="1.2"/>
    <n v="1"/>
  </r>
  <r>
    <x v="5"/>
    <s v="4"/>
    <x v="0"/>
    <x v="6"/>
    <x v="2"/>
    <x v="2"/>
    <x v="895"/>
    <x v="1"/>
    <x v="574"/>
    <n v="32644744"/>
    <n v="127994"/>
    <n v="32516750"/>
    <x v="342"/>
    <n v="0.97"/>
    <n v="6.29"/>
    <n v="1.2"/>
    <n v="3"/>
  </r>
  <r>
    <x v="8"/>
    <s v="7"/>
    <x v="6"/>
    <x v="3"/>
    <x v="1"/>
    <x v="3"/>
    <x v="896"/>
    <x v="0"/>
    <x v="534"/>
    <n v="24056256"/>
    <n v="144202"/>
    <n v="23912054"/>
    <x v="204"/>
    <n v="0.97"/>
    <n v="6.29"/>
    <n v="1.2"/>
    <n v="9"/>
  </r>
  <r>
    <x v="3"/>
    <s v="11"/>
    <x v="1"/>
    <x v="7"/>
    <x v="2"/>
    <x v="3"/>
    <x v="897"/>
    <x v="0"/>
    <x v="575"/>
    <n v="19094202"/>
    <n v="93481"/>
    <n v="19000721"/>
    <x v="0"/>
    <n v="0.97"/>
    <n v="6.29"/>
    <n v="1.2"/>
    <n v="5"/>
  </r>
  <r>
    <x v="7"/>
    <s v="10"/>
    <x v="5"/>
    <x v="0"/>
    <x v="0"/>
    <x v="1"/>
    <x v="898"/>
    <x v="2"/>
    <x v="374"/>
    <n v="25236960"/>
    <n v="445797"/>
    <n v="24791163"/>
    <x v="323"/>
    <n v="0.97"/>
    <n v="6.29"/>
    <n v="1.2"/>
    <n v="5"/>
  </r>
  <r>
    <x v="3"/>
    <s v="3"/>
    <x v="4"/>
    <x v="6"/>
    <x v="1"/>
    <x v="1"/>
    <x v="899"/>
    <x v="0"/>
    <x v="576"/>
    <n v="36470980"/>
    <n v="125118"/>
    <n v="36345862"/>
    <x v="208"/>
    <n v="0.97"/>
    <n v="6.29"/>
    <n v="1.2"/>
    <n v="4"/>
  </r>
  <r>
    <x v="2"/>
    <s v="6"/>
    <x v="3"/>
    <x v="3"/>
    <x v="0"/>
    <x v="0"/>
    <x v="900"/>
    <x v="0"/>
    <x v="384"/>
    <n v="61412625"/>
    <n v="436154"/>
    <n v="60976471"/>
    <x v="313"/>
    <n v="0.97"/>
    <n v="6.29"/>
    <n v="1.2"/>
    <n v="3"/>
  </r>
  <r>
    <x v="9"/>
    <s v="10"/>
    <x v="7"/>
    <x v="1"/>
    <x v="2"/>
    <x v="0"/>
    <x v="901"/>
    <x v="2"/>
    <x v="577"/>
    <n v="13806716"/>
    <n v="494854"/>
    <n v="13311862"/>
    <x v="44"/>
    <n v="0.97"/>
    <n v="6.29"/>
    <n v="1.2"/>
    <n v="5"/>
  </r>
  <r>
    <x v="7"/>
    <s v="10"/>
    <x v="2"/>
    <x v="2"/>
    <x v="2"/>
    <x v="2"/>
    <x v="902"/>
    <x v="1"/>
    <x v="444"/>
    <n v="15145632"/>
    <n v="173714"/>
    <n v="14971918"/>
    <x v="79"/>
    <n v="0.97"/>
    <n v="6.29"/>
    <n v="1.2"/>
    <n v="4"/>
  </r>
  <r>
    <x v="5"/>
    <s v="12"/>
    <x v="4"/>
    <x v="1"/>
    <x v="0"/>
    <x v="3"/>
    <x v="903"/>
    <x v="0"/>
    <x v="576"/>
    <n v="44074940"/>
    <n v="451634"/>
    <n v="43623306"/>
    <x v="200"/>
    <n v="0.97"/>
    <n v="6.29"/>
    <n v="1.2"/>
    <n v="8"/>
  </r>
  <r>
    <x v="5"/>
    <s v="9"/>
    <x v="7"/>
    <x v="5"/>
    <x v="1"/>
    <x v="0"/>
    <x v="904"/>
    <x v="0"/>
    <x v="95"/>
    <n v="103191440"/>
    <n v="274699"/>
    <n v="102916741"/>
    <x v="343"/>
    <n v="0.97"/>
    <n v="6.29"/>
    <n v="1.2"/>
    <n v="4"/>
  </r>
  <r>
    <x v="8"/>
    <s v="1"/>
    <x v="6"/>
    <x v="4"/>
    <x v="1"/>
    <x v="2"/>
    <x v="905"/>
    <x v="2"/>
    <x v="40"/>
    <n v="25523460"/>
    <n v="210185"/>
    <n v="25313275"/>
    <x v="252"/>
    <n v="0.97"/>
    <n v="6.29"/>
    <n v="1.2"/>
    <n v="8"/>
  </r>
  <r>
    <x v="2"/>
    <s v="5"/>
    <x v="2"/>
    <x v="6"/>
    <x v="2"/>
    <x v="3"/>
    <x v="906"/>
    <x v="2"/>
    <x v="350"/>
    <n v="18778188"/>
    <n v="134363"/>
    <n v="18643825"/>
    <x v="67"/>
    <n v="0.97"/>
    <n v="6.29"/>
    <n v="1.2"/>
    <n v="6"/>
  </r>
  <r>
    <x v="6"/>
    <s v="4"/>
    <x v="9"/>
    <x v="5"/>
    <x v="0"/>
    <x v="1"/>
    <x v="907"/>
    <x v="2"/>
    <x v="69"/>
    <n v="40489360"/>
    <n v="435751"/>
    <n v="40053609"/>
    <x v="95"/>
    <n v="0.97"/>
    <n v="6.29"/>
    <n v="1.2"/>
    <n v="5"/>
  </r>
  <r>
    <x v="2"/>
    <s v="8"/>
    <x v="8"/>
    <x v="9"/>
    <x v="0"/>
    <x v="2"/>
    <x v="908"/>
    <x v="1"/>
    <x v="578"/>
    <n v="31619462"/>
    <n v="375188"/>
    <n v="31244274"/>
    <x v="209"/>
    <n v="0.97"/>
    <n v="6.29"/>
    <n v="1.2"/>
    <n v="4"/>
  </r>
  <r>
    <x v="9"/>
    <s v="11"/>
    <x v="1"/>
    <x v="5"/>
    <x v="1"/>
    <x v="1"/>
    <x v="909"/>
    <x v="0"/>
    <x v="579"/>
    <n v="119165280"/>
    <n v="261027"/>
    <n v="118904253"/>
    <x v="215"/>
    <n v="0.97"/>
    <n v="6.29"/>
    <n v="1.2"/>
    <n v="4"/>
  </r>
  <r>
    <x v="3"/>
    <s v="12"/>
    <x v="5"/>
    <x v="3"/>
    <x v="1"/>
    <x v="0"/>
    <x v="910"/>
    <x v="2"/>
    <x v="491"/>
    <n v="46997685"/>
    <n v="323958"/>
    <n v="46673727"/>
    <x v="311"/>
    <n v="0.97"/>
    <n v="6.29"/>
    <n v="1.2"/>
    <n v="4"/>
  </r>
  <r>
    <x v="5"/>
    <s v="1"/>
    <x v="4"/>
    <x v="6"/>
    <x v="1"/>
    <x v="0"/>
    <x v="911"/>
    <x v="2"/>
    <x v="580"/>
    <n v="54153792"/>
    <n v="411484"/>
    <n v="53742308"/>
    <x v="344"/>
    <n v="0.97"/>
    <n v="6.29"/>
    <n v="1.2"/>
    <n v="9"/>
  </r>
  <r>
    <x v="3"/>
    <s v="9"/>
    <x v="1"/>
    <x v="2"/>
    <x v="0"/>
    <x v="3"/>
    <x v="912"/>
    <x v="2"/>
    <x v="581"/>
    <n v="37341114"/>
    <n v="322168"/>
    <n v="37018946"/>
    <x v="107"/>
    <n v="0.97"/>
    <n v="6.29"/>
    <n v="1.2"/>
    <n v="4"/>
  </r>
  <r>
    <x v="3"/>
    <s v="6"/>
    <x v="3"/>
    <x v="3"/>
    <x v="1"/>
    <x v="2"/>
    <x v="913"/>
    <x v="0"/>
    <x v="582"/>
    <n v="87064579"/>
    <n v="244360"/>
    <n v="86820219"/>
    <x v="276"/>
    <n v="0.97"/>
    <n v="6.29"/>
    <n v="1.2"/>
    <n v="9"/>
  </r>
  <r>
    <x v="3"/>
    <s v="4"/>
    <x v="7"/>
    <x v="3"/>
    <x v="1"/>
    <x v="1"/>
    <x v="914"/>
    <x v="2"/>
    <x v="583"/>
    <n v="40967565"/>
    <n v="421380"/>
    <n v="40546185"/>
    <x v="174"/>
    <n v="0.97"/>
    <n v="6.29"/>
    <n v="1.2"/>
    <n v="10"/>
  </r>
  <r>
    <x v="5"/>
    <s v="12"/>
    <x v="7"/>
    <x v="4"/>
    <x v="2"/>
    <x v="3"/>
    <x v="915"/>
    <x v="1"/>
    <x v="584"/>
    <n v="13513280"/>
    <n v="107836"/>
    <n v="13405444"/>
    <x v="108"/>
    <n v="0.97"/>
    <n v="6.29"/>
    <n v="1.2"/>
    <n v="6"/>
  </r>
  <r>
    <x v="4"/>
    <s v="9"/>
    <x v="4"/>
    <x v="4"/>
    <x v="1"/>
    <x v="0"/>
    <x v="916"/>
    <x v="2"/>
    <x v="585"/>
    <n v="62352783"/>
    <n v="319579"/>
    <n v="62033204"/>
    <x v="118"/>
    <n v="0.97"/>
    <n v="6.29"/>
    <n v="1.2"/>
    <n v="10"/>
  </r>
  <r>
    <x v="1"/>
    <s v="11"/>
    <x v="0"/>
    <x v="0"/>
    <x v="1"/>
    <x v="0"/>
    <x v="917"/>
    <x v="2"/>
    <x v="586"/>
    <n v="45525008"/>
    <n v="305095"/>
    <n v="45219913"/>
    <x v="170"/>
    <n v="0.97"/>
    <n v="6.29"/>
    <n v="1.2"/>
    <n v="7"/>
  </r>
  <r>
    <x v="9"/>
    <s v="5"/>
    <x v="0"/>
    <x v="0"/>
    <x v="0"/>
    <x v="2"/>
    <x v="918"/>
    <x v="2"/>
    <x v="587"/>
    <n v="33913296"/>
    <n v="382745"/>
    <n v="33530551"/>
    <x v="345"/>
    <n v="0.97"/>
    <n v="6.29"/>
    <n v="1.2"/>
    <n v="10"/>
  </r>
  <r>
    <x v="4"/>
    <s v="5"/>
    <x v="9"/>
    <x v="8"/>
    <x v="0"/>
    <x v="1"/>
    <x v="919"/>
    <x v="0"/>
    <x v="205"/>
    <n v="36317604"/>
    <n v="311176"/>
    <n v="36006428"/>
    <x v="58"/>
    <n v="0.97"/>
    <n v="6.29"/>
    <n v="1.2"/>
    <n v="3"/>
  </r>
  <r>
    <x v="9"/>
    <s v="12"/>
    <x v="8"/>
    <x v="7"/>
    <x v="2"/>
    <x v="2"/>
    <x v="920"/>
    <x v="2"/>
    <x v="588"/>
    <n v="19487230"/>
    <n v="433015"/>
    <n v="19054215"/>
    <x v="346"/>
    <n v="0.97"/>
    <n v="6.29"/>
    <n v="1.2"/>
    <n v="8"/>
  </r>
  <r>
    <x v="7"/>
    <s v="5"/>
    <x v="2"/>
    <x v="6"/>
    <x v="1"/>
    <x v="1"/>
    <x v="921"/>
    <x v="0"/>
    <x v="589"/>
    <n v="40080521"/>
    <n v="299717"/>
    <n v="39780804"/>
    <x v="295"/>
    <n v="0.97"/>
    <n v="6.29"/>
    <n v="1.2"/>
    <n v="3"/>
  </r>
  <r>
    <x v="2"/>
    <s v="1"/>
    <x v="3"/>
    <x v="6"/>
    <x v="2"/>
    <x v="1"/>
    <x v="922"/>
    <x v="0"/>
    <x v="590"/>
    <n v="55935453"/>
    <n v="184479"/>
    <n v="55750974"/>
    <x v="214"/>
    <n v="0.97"/>
    <n v="6.29"/>
    <n v="1.2"/>
    <n v="1"/>
  </r>
  <r>
    <x v="2"/>
    <s v="1"/>
    <x v="1"/>
    <x v="5"/>
    <x v="0"/>
    <x v="2"/>
    <x v="923"/>
    <x v="2"/>
    <x v="591"/>
    <n v="47913185"/>
    <n v="411087"/>
    <n v="47502098"/>
    <x v="347"/>
    <n v="0.97"/>
    <n v="6.29"/>
    <n v="1.2"/>
    <n v="10"/>
  </r>
  <r>
    <x v="0"/>
    <s v="8"/>
    <x v="0"/>
    <x v="6"/>
    <x v="2"/>
    <x v="3"/>
    <x v="924"/>
    <x v="0"/>
    <x v="450"/>
    <n v="58854368"/>
    <n v="82940"/>
    <n v="58771428"/>
    <x v="285"/>
    <n v="0.97"/>
    <n v="6.29"/>
    <n v="1.2"/>
    <n v="5"/>
  </r>
  <r>
    <x v="2"/>
    <s v="12"/>
    <x v="9"/>
    <x v="6"/>
    <x v="0"/>
    <x v="2"/>
    <x v="925"/>
    <x v="0"/>
    <x v="217"/>
    <n v="45855000"/>
    <n v="55666"/>
    <n v="45799334"/>
    <x v="348"/>
    <n v="0.97"/>
    <n v="6.29"/>
    <n v="1.2"/>
    <n v="2"/>
  </r>
  <r>
    <x v="5"/>
    <s v="8"/>
    <x v="9"/>
    <x v="7"/>
    <x v="2"/>
    <x v="2"/>
    <x v="926"/>
    <x v="0"/>
    <x v="592"/>
    <n v="84763324"/>
    <n v="349266"/>
    <n v="84414058"/>
    <x v="333"/>
    <n v="0.97"/>
    <n v="6.29"/>
    <n v="1.2"/>
    <n v="10"/>
  </r>
  <r>
    <x v="6"/>
    <s v="12"/>
    <x v="4"/>
    <x v="9"/>
    <x v="2"/>
    <x v="0"/>
    <x v="927"/>
    <x v="0"/>
    <x v="11"/>
    <n v="83051475"/>
    <n v="430791"/>
    <n v="82620684"/>
    <x v="68"/>
    <n v="0.97"/>
    <n v="6.29"/>
    <n v="1.2"/>
    <n v="6"/>
  </r>
  <r>
    <x v="8"/>
    <s v="6"/>
    <x v="3"/>
    <x v="0"/>
    <x v="1"/>
    <x v="0"/>
    <x v="928"/>
    <x v="0"/>
    <x v="4"/>
    <n v="131226808"/>
    <n v="206164"/>
    <n v="131020644"/>
    <x v="343"/>
    <n v="0.97"/>
    <n v="6.29"/>
    <n v="1.2"/>
    <n v="10"/>
  </r>
  <r>
    <x v="0"/>
    <s v="12"/>
    <x v="6"/>
    <x v="0"/>
    <x v="2"/>
    <x v="2"/>
    <x v="929"/>
    <x v="0"/>
    <x v="424"/>
    <n v="86968872"/>
    <n v="441897"/>
    <n v="86526975"/>
    <x v="261"/>
    <n v="0.97"/>
    <n v="6.29"/>
    <n v="1.2"/>
    <n v="9"/>
  </r>
  <r>
    <x v="8"/>
    <s v="11"/>
    <x v="2"/>
    <x v="2"/>
    <x v="1"/>
    <x v="2"/>
    <x v="930"/>
    <x v="2"/>
    <x v="569"/>
    <n v="40751400"/>
    <n v="435546"/>
    <n v="40315854"/>
    <x v="15"/>
    <n v="0.97"/>
    <n v="6.29"/>
    <n v="1.2"/>
    <n v="1"/>
  </r>
  <r>
    <x v="9"/>
    <s v="4"/>
    <x v="8"/>
    <x v="6"/>
    <x v="1"/>
    <x v="0"/>
    <x v="931"/>
    <x v="0"/>
    <x v="593"/>
    <n v="52182936"/>
    <n v="256717"/>
    <n v="51926219"/>
    <x v="349"/>
    <n v="0.97"/>
    <n v="6.29"/>
    <n v="1.2"/>
    <n v="4"/>
  </r>
  <r>
    <x v="8"/>
    <s v="2"/>
    <x v="5"/>
    <x v="7"/>
    <x v="1"/>
    <x v="1"/>
    <x v="932"/>
    <x v="0"/>
    <x v="594"/>
    <n v="30659468"/>
    <n v="413334"/>
    <n v="30246134"/>
    <x v="182"/>
    <n v="0.97"/>
    <n v="6.29"/>
    <n v="1.2"/>
    <n v="1"/>
  </r>
  <r>
    <x v="8"/>
    <s v="2"/>
    <x v="4"/>
    <x v="0"/>
    <x v="1"/>
    <x v="2"/>
    <x v="933"/>
    <x v="1"/>
    <x v="595"/>
    <n v="34536635"/>
    <n v="412612"/>
    <n v="34124023"/>
    <x v="350"/>
    <n v="0.97"/>
    <n v="6.29"/>
    <n v="1.2"/>
    <n v="1"/>
  </r>
  <r>
    <x v="0"/>
    <s v="9"/>
    <x v="2"/>
    <x v="7"/>
    <x v="2"/>
    <x v="3"/>
    <x v="934"/>
    <x v="2"/>
    <x v="382"/>
    <n v="48012510"/>
    <n v="441351"/>
    <n v="47571159"/>
    <x v="65"/>
    <n v="0.97"/>
    <n v="6.29"/>
    <n v="1.2"/>
    <n v="8"/>
  </r>
  <r>
    <x v="7"/>
    <s v="5"/>
    <x v="5"/>
    <x v="1"/>
    <x v="0"/>
    <x v="3"/>
    <x v="935"/>
    <x v="0"/>
    <x v="596"/>
    <n v="34501824"/>
    <n v="76505"/>
    <n v="34425319"/>
    <x v="49"/>
    <n v="0.97"/>
    <n v="6.29"/>
    <n v="1.2"/>
    <n v="2"/>
  </r>
  <r>
    <x v="3"/>
    <s v="4"/>
    <x v="5"/>
    <x v="9"/>
    <x v="0"/>
    <x v="3"/>
    <x v="936"/>
    <x v="2"/>
    <x v="351"/>
    <n v="43454064"/>
    <n v="86713"/>
    <n v="43367351"/>
    <x v="225"/>
    <n v="0.97"/>
    <n v="6.29"/>
    <n v="1.2"/>
    <n v="1"/>
  </r>
  <r>
    <x v="2"/>
    <s v="10"/>
    <x v="3"/>
    <x v="6"/>
    <x v="0"/>
    <x v="2"/>
    <x v="937"/>
    <x v="0"/>
    <x v="0"/>
    <n v="36912996"/>
    <n v="497603"/>
    <n v="36415393"/>
    <x v="323"/>
    <n v="0.97"/>
    <n v="6.29"/>
    <n v="1.2"/>
    <n v="8"/>
  </r>
  <r>
    <x v="2"/>
    <s v="1"/>
    <x v="3"/>
    <x v="2"/>
    <x v="2"/>
    <x v="1"/>
    <x v="938"/>
    <x v="1"/>
    <x v="336"/>
    <n v="26463648"/>
    <n v="355313"/>
    <n v="26108335"/>
    <x v="213"/>
    <n v="0.97"/>
    <n v="6.29"/>
    <n v="1.2"/>
    <n v="4"/>
  </r>
  <r>
    <x v="5"/>
    <s v="7"/>
    <x v="1"/>
    <x v="5"/>
    <x v="1"/>
    <x v="1"/>
    <x v="939"/>
    <x v="0"/>
    <x v="597"/>
    <n v="12940800"/>
    <n v="254354"/>
    <n v="12686446"/>
    <x v="32"/>
    <n v="0.97"/>
    <n v="6.29"/>
    <n v="1.2"/>
    <n v="3"/>
  </r>
  <r>
    <x v="0"/>
    <s v="3"/>
    <x v="9"/>
    <x v="0"/>
    <x v="0"/>
    <x v="0"/>
    <x v="940"/>
    <x v="2"/>
    <x v="42"/>
    <n v="30395937"/>
    <n v="127511"/>
    <n v="30268426"/>
    <x v="340"/>
    <n v="0.97"/>
    <n v="6.29"/>
    <n v="1.2"/>
    <n v="4"/>
  </r>
  <r>
    <x v="5"/>
    <s v="6"/>
    <x v="2"/>
    <x v="1"/>
    <x v="2"/>
    <x v="2"/>
    <x v="941"/>
    <x v="2"/>
    <x v="58"/>
    <n v="39124224"/>
    <n v="494958"/>
    <n v="38629266"/>
    <x v="104"/>
    <n v="0.97"/>
    <n v="6.29"/>
    <n v="1.2"/>
    <n v="5"/>
  </r>
  <r>
    <x v="6"/>
    <s v="5"/>
    <x v="4"/>
    <x v="7"/>
    <x v="1"/>
    <x v="1"/>
    <x v="942"/>
    <x v="0"/>
    <x v="174"/>
    <n v="81439728"/>
    <n v="352666"/>
    <n v="81087062"/>
    <x v="76"/>
    <n v="0.97"/>
    <n v="6.29"/>
    <n v="1.2"/>
    <n v="1"/>
  </r>
  <r>
    <x v="6"/>
    <s v="5"/>
    <x v="7"/>
    <x v="4"/>
    <x v="0"/>
    <x v="2"/>
    <x v="943"/>
    <x v="2"/>
    <x v="598"/>
    <n v="48230091"/>
    <n v="262204"/>
    <n v="47967887"/>
    <x v="45"/>
    <n v="0.97"/>
    <n v="6.29"/>
    <n v="1.2"/>
    <n v="1"/>
  </r>
  <r>
    <x v="5"/>
    <s v="11"/>
    <x v="4"/>
    <x v="3"/>
    <x v="1"/>
    <x v="0"/>
    <x v="944"/>
    <x v="0"/>
    <x v="599"/>
    <n v="92275575"/>
    <n v="300694"/>
    <n v="91974881"/>
    <x v="344"/>
    <n v="0.97"/>
    <n v="6.29"/>
    <n v="1.2"/>
    <n v="3"/>
  </r>
  <r>
    <x v="0"/>
    <s v="5"/>
    <x v="1"/>
    <x v="6"/>
    <x v="0"/>
    <x v="0"/>
    <x v="945"/>
    <x v="0"/>
    <x v="600"/>
    <n v="43762173"/>
    <n v="299836"/>
    <n v="43462337"/>
    <x v="288"/>
    <n v="0.97"/>
    <n v="6.29"/>
    <n v="1.2"/>
    <n v="6"/>
  </r>
  <r>
    <x v="5"/>
    <s v="1"/>
    <x v="8"/>
    <x v="6"/>
    <x v="0"/>
    <x v="0"/>
    <x v="946"/>
    <x v="0"/>
    <x v="530"/>
    <n v="54172850"/>
    <n v="284561"/>
    <n v="53888289"/>
    <x v="251"/>
    <n v="0.97"/>
    <n v="6.29"/>
    <n v="1.2"/>
    <n v="1"/>
  </r>
  <r>
    <x v="2"/>
    <s v="1"/>
    <x v="9"/>
    <x v="1"/>
    <x v="0"/>
    <x v="3"/>
    <x v="947"/>
    <x v="2"/>
    <x v="464"/>
    <n v="32102138"/>
    <n v="411541"/>
    <n v="31690597"/>
    <x v="73"/>
    <n v="0.97"/>
    <n v="6.29"/>
    <n v="1.2"/>
    <n v="2"/>
  </r>
  <r>
    <x v="4"/>
    <s v="3"/>
    <x v="7"/>
    <x v="7"/>
    <x v="1"/>
    <x v="2"/>
    <x v="948"/>
    <x v="2"/>
    <x v="601"/>
    <n v="40889341"/>
    <n v="53880"/>
    <n v="40835461"/>
    <x v="41"/>
    <n v="0.97"/>
    <n v="6.29"/>
    <n v="1.2"/>
    <n v="7"/>
  </r>
  <r>
    <x v="1"/>
    <s v="12"/>
    <x v="0"/>
    <x v="8"/>
    <x v="2"/>
    <x v="0"/>
    <x v="949"/>
    <x v="0"/>
    <x v="602"/>
    <n v="110207232"/>
    <n v="486670"/>
    <n v="109720562"/>
    <x v="303"/>
    <n v="0.97"/>
    <n v="6.29"/>
    <n v="1.2"/>
    <n v="1"/>
  </r>
  <r>
    <x v="8"/>
    <s v="10"/>
    <x v="8"/>
    <x v="6"/>
    <x v="1"/>
    <x v="2"/>
    <x v="950"/>
    <x v="0"/>
    <x v="270"/>
    <n v="14560520"/>
    <n v="498927"/>
    <n v="14061593"/>
    <x v="229"/>
    <n v="0.97"/>
    <n v="6.29"/>
    <n v="1.2"/>
    <n v="7"/>
  </r>
  <r>
    <x v="1"/>
    <s v="4"/>
    <x v="3"/>
    <x v="8"/>
    <x v="0"/>
    <x v="3"/>
    <x v="951"/>
    <x v="0"/>
    <x v="84"/>
    <n v="51091482"/>
    <n v="93539"/>
    <n v="50997943"/>
    <x v="296"/>
    <n v="0.97"/>
    <n v="6.29"/>
    <n v="1.2"/>
    <n v="4"/>
  </r>
  <r>
    <x v="0"/>
    <s v="5"/>
    <x v="5"/>
    <x v="4"/>
    <x v="1"/>
    <x v="3"/>
    <x v="952"/>
    <x v="2"/>
    <x v="500"/>
    <n v="82381184"/>
    <n v="290056"/>
    <n v="82091128"/>
    <x v="118"/>
    <n v="0.97"/>
    <n v="6.29"/>
    <n v="1.2"/>
    <n v="10"/>
  </r>
  <r>
    <x v="1"/>
    <s v="2"/>
    <x v="0"/>
    <x v="1"/>
    <x v="2"/>
    <x v="0"/>
    <x v="953"/>
    <x v="0"/>
    <x v="203"/>
    <n v="42449760"/>
    <n v="269057"/>
    <n v="42180703"/>
    <x v="208"/>
    <n v="0.97"/>
    <n v="6.29"/>
    <n v="1.2"/>
    <n v="6"/>
  </r>
  <r>
    <x v="6"/>
    <s v="8"/>
    <x v="4"/>
    <x v="7"/>
    <x v="1"/>
    <x v="0"/>
    <x v="954"/>
    <x v="2"/>
    <x v="603"/>
    <n v="45783800"/>
    <n v="64799"/>
    <n v="45719001"/>
    <x v="104"/>
    <n v="0.97"/>
    <n v="6.29"/>
    <n v="1.2"/>
    <n v="8"/>
  </r>
  <r>
    <x v="9"/>
    <s v="11"/>
    <x v="4"/>
    <x v="7"/>
    <x v="2"/>
    <x v="1"/>
    <x v="955"/>
    <x v="2"/>
    <x v="294"/>
    <n v="37717274"/>
    <n v="154843"/>
    <n v="37562431"/>
    <x v="228"/>
    <n v="0.97"/>
    <n v="6.29"/>
    <n v="1.2"/>
    <n v="9"/>
  </r>
  <r>
    <x v="8"/>
    <s v="11"/>
    <x v="3"/>
    <x v="9"/>
    <x v="2"/>
    <x v="2"/>
    <x v="956"/>
    <x v="0"/>
    <x v="604"/>
    <n v="104120172"/>
    <n v="493942"/>
    <n v="103626230"/>
    <x v="211"/>
    <n v="0.97"/>
    <n v="6.29"/>
    <n v="1.2"/>
    <n v="6"/>
  </r>
  <r>
    <x v="3"/>
    <s v="2"/>
    <x v="1"/>
    <x v="3"/>
    <x v="1"/>
    <x v="0"/>
    <x v="957"/>
    <x v="0"/>
    <x v="336"/>
    <n v="83111580"/>
    <n v="98784"/>
    <n v="83012796"/>
    <x v="175"/>
    <n v="0.97"/>
    <n v="6.29"/>
    <n v="1.2"/>
    <n v="9"/>
  </r>
  <r>
    <x v="0"/>
    <s v="9"/>
    <x v="2"/>
    <x v="0"/>
    <x v="0"/>
    <x v="1"/>
    <x v="958"/>
    <x v="0"/>
    <x v="605"/>
    <n v="81940390"/>
    <n v="163034"/>
    <n v="81777356"/>
    <x v="282"/>
    <n v="0.97"/>
    <n v="6.29"/>
    <n v="1.2"/>
    <n v="4"/>
  </r>
  <r>
    <x v="8"/>
    <s v="2"/>
    <x v="0"/>
    <x v="0"/>
    <x v="2"/>
    <x v="2"/>
    <x v="959"/>
    <x v="1"/>
    <x v="4"/>
    <n v="55506496"/>
    <n v="486549"/>
    <n v="55019947"/>
    <x v="221"/>
    <n v="0.97"/>
    <n v="6.29"/>
    <n v="1.2"/>
    <n v="6"/>
  </r>
  <r>
    <x v="1"/>
    <s v="9"/>
    <x v="0"/>
    <x v="5"/>
    <x v="1"/>
    <x v="0"/>
    <x v="960"/>
    <x v="2"/>
    <x v="606"/>
    <n v="18744291"/>
    <n v="484044"/>
    <n v="18260247"/>
    <x v="66"/>
    <n v="0.97"/>
    <n v="6.29"/>
    <n v="1.2"/>
    <n v="8"/>
  </r>
  <r>
    <x v="6"/>
    <s v="7"/>
    <x v="6"/>
    <x v="2"/>
    <x v="2"/>
    <x v="1"/>
    <x v="961"/>
    <x v="1"/>
    <x v="93"/>
    <n v="22146390"/>
    <n v="250598"/>
    <n v="21895792"/>
    <x v="351"/>
    <n v="0.97"/>
    <n v="6.29"/>
    <n v="1.2"/>
    <n v="9"/>
  </r>
  <r>
    <x v="7"/>
    <s v="8"/>
    <x v="8"/>
    <x v="1"/>
    <x v="0"/>
    <x v="1"/>
    <x v="962"/>
    <x v="1"/>
    <x v="409"/>
    <n v="28540098"/>
    <n v="104362"/>
    <n v="28435736"/>
    <x v="29"/>
    <n v="0.97"/>
    <n v="6.29"/>
    <n v="1.2"/>
    <n v="3"/>
  </r>
  <r>
    <x v="4"/>
    <s v="11"/>
    <x v="9"/>
    <x v="4"/>
    <x v="1"/>
    <x v="2"/>
    <x v="963"/>
    <x v="1"/>
    <x v="607"/>
    <n v="2795361"/>
    <n v="103997"/>
    <n v="2691364"/>
    <x v="156"/>
    <n v="0.97"/>
    <n v="6.29"/>
    <n v="1.2"/>
    <n v="2"/>
  </r>
  <r>
    <x v="3"/>
    <s v="2"/>
    <x v="8"/>
    <x v="7"/>
    <x v="1"/>
    <x v="1"/>
    <x v="964"/>
    <x v="2"/>
    <x v="531"/>
    <n v="40836768"/>
    <n v="231413"/>
    <n v="40605355"/>
    <x v="311"/>
    <n v="0.97"/>
    <n v="6.29"/>
    <n v="1.2"/>
    <n v="6"/>
  </r>
  <r>
    <x v="4"/>
    <s v="7"/>
    <x v="2"/>
    <x v="3"/>
    <x v="1"/>
    <x v="2"/>
    <x v="67"/>
    <x v="2"/>
    <x v="139"/>
    <n v="43726732"/>
    <n v="462289"/>
    <n v="43264443"/>
    <x v="352"/>
    <n v="0.97"/>
    <n v="6.29"/>
    <n v="1.2"/>
    <n v="4"/>
  </r>
  <r>
    <x v="8"/>
    <s v="12"/>
    <x v="4"/>
    <x v="8"/>
    <x v="0"/>
    <x v="2"/>
    <x v="965"/>
    <x v="2"/>
    <x v="608"/>
    <n v="16992000"/>
    <n v="414543"/>
    <n v="16577457"/>
    <x v="155"/>
    <n v="0.97"/>
    <n v="6.29"/>
    <n v="1.2"/>
    <n v="1"/>
  </r>
  <r>
    <x v="6"/>
    <s v="6"/>
    <x v="4"/>
    <x v="1"/>
    <x v="2"/>
    <x v="2"/>
    <x v="966"/>
    <x v="0"/>
    <x v="609"/>
    <n v="55627640"/>
    <n v="326693"/>
    <n v="55300947"/>
    <x v="204"/>
    <n v="0.97"/>
    <n v="6.29"/>
    <n v="1.2"/>
    <n v="8"/>
  </r>
  <r>
    <x v="6"/>
    <s v="4"/>
    <x v="4"/>
    <x v="5"/>
    <x v="1"/>
    <x v="3"/>
    <x v="967"/>
    <x v="1"/>
    <x v="610"/>
    <n v="4420704"/>
    <n v="369064"/>
    <n v="4051640"/>
    <x v="219"/>
    <n v="0.97"/>
    <n v="6.29"/>
    <n v="1.2"/>
    <n v="9"/>
  </r>
  <r>
    <x v="1"/>
    <s v="7"/>
    <x v="6"/>
    <x v="1"/>
    <x v="2"/>
    <x v="1"/>
    <x v="968"/>
    <x v="1"/>
    <x v="354"/>
    <n v="20576950"/>
    <n v="266398"/>
    <n v="20310552"/>
    <x v="168"/>
    <n v="0.97"/>
    <n v="6.29"/>
    <n v="1.2"/>
    <n v="9"/>
  </r>
  <r>
    <x v="2"/>
    <s v="4"/>
    <x v="4"/>
    <x v="5"/>
    <x v="2"/>
    <x v="2"/>
    <x v="969"/>
    <x v="0"/>
    <x v="559"/>
    <n v="101547072"/>
    <n v="310464"/>
    <n v="101236608"/>
    <x v="105"/>
    <n v="0.97"/>
    <n v="6.29"/>
    <n v="1.2"/>
    <n v="2"/>
  </r>
  <r>
    <x v="1"/>
    <s v="2"/>
    <x v="2"/>
    <x v="7"/>
    <x v="0"/>
    <x v="0"/>
    <x v="970"/>
    <x v="2"/>
    <x v="611"/>
    <n v="38236818"/>
    <n v="463532"/>
    <n v="37773286"/>
    <x v="75"/>
    <n v="0.97"/>
    <n v="6.29"/>
    <n v="1.2"/>
    <n v="9"/>
  </r>
  <r>
    <x v="2"/>
    <s v="10"/>
    <x v="3"/>
    <x v="2"/>
    <x v="1"/>
    <x v="3"/>
    <x v="971"/>
    <x v="0"/>
    <x v="612"/>
    <n v="92944684"/>
    <n v="207255"/>
    <n v="92737429"/>
    <x v="221"/>
    <n v="0.97"/>
    <n v="6.29"/>
    <n v="1.2"/>
    <n v="7"/>
  </r>
  <r>
    <x v="2"/>
    <s v="12"/>
    <x v="9"/>
    <x v="5"/>
    <x v="2"/>
    <x v="3"/>
    <x v="972"/>
    <x v="2"/>
    <x v="189"/>
    <n v="50211880"/>
    <n v="406004"/>
    <n v="49805876"/>
    <x v="148"/>
    <n v="0.97"/>
    <n v="6.29"/>
    <n v="1.2"/>
    <n v="5"/>
  </r>
  <r>
    <x v="3"/>
    <s v="7"/>
    <x v="2"/>
    <x v="7"/>
    <x v="1"/>
    <x v="1"/>
    <x v="973"/>
    <x v="0"/>
    <x v="613"/>
    <n v="65462144"/>
    <n v="74624"/>
    <n v="65387520"/>
    <x v="335"/>
    <n v="0.97"/>
    <n v="6.29"/>
    <n v="1.2"/>
    <n v="7"/>
  </r>
  <r>
    <x v="1"/>
    <s v="8"/>
    <x v="9"/>
    <x v="7"/>
    <x v="1"/>
    <x v="2"/>
    <x v="974"/>
    <x v="2"/>
    <x v="614"/>
    <n v="24488984"/>
    <n v="243587"/>
    <n v="24245397"/>
    <x v="7"/>
    <n v="0.97"/>
    <n v="6.29"/>
    <n v="1.2"/>
    <n v="9"/>
  </r>
  <r>
    <x v="7"/>
    <s v="2"/>
    <x v="2"/>
    <x v="2"/>
    <x v="0"/>
    <x v="1"/>
    <x v="975"/>
    <x v="2"/>
    <x v="183"/>
    <n v="38324400"/>
    <n v="284784"/>
    <n v="38039616"/>
    <x v="353"/>
    <n v="0.97"/>
    <n v="6.29"/>
    <n v="1.2"/>
    <n v="8"/>
  </r>
  <r>
    <x v="5"/>
    <s v="5"/>
    <x v="4"/>
    <x v="0"/>
    <x v="1"/>
    <x v="3"/>
    <x v="976"/>
    <x v="2"/>
    <x v="459"/>
    <n v="36339030"/>
    <n v="96705"/>
    <n v="36242325"/>
    <x v="312"/>
    <n v="0.97"/>
    <n v="6.29"/>
    <n v="1.2"/>
    <n v="6"/>
  </r>
  <r>
    <x v="5"/>
    <s v="1"/>
    <x v="3"/>
    <x v="1"/>
    <x v="1"/>
    <x v="2"/>
    <x v="977"/>
    <x v="0"/>
    <x v="615"/>
    <n v="64358392"/>
    <n v="139326"/>
    <n v="64219066"/>
    <x v="83"/>
    <n v="0.97"/>
    <n v="6.29"/>
    <n v="1.2"/>
    <n v="4"/>
  </r>
  <r>
    <x v="1"/>
    <s v="7"/>
    <x v="0"/>
    <x v="6"/>
    <x v="2"/>
    <x v="0"/>
    <x v="978"/>
    <x v="2"/>
    <x v="95"/>
    <n v="48474800"/>
    <n v="469972"/>
    <n v="48004828"/>
    <x v="118"/>
    <n v="0.97"/>
    <n v="6.29"/>
    <n v="1.2"/>
    <n v="1"/>
  </r>
  <r>
    <x v="1"/>
    <s v="8"/>
    <x v="8"/>
    <x v="6"/>
    <x v="0"/>
    <x v="2"/>
    <x v="979"/>
    <x v="0"/>
    <x v="163"/>
    <n v="72604498"/>
    <n v="372534"/>
    <n v="72231964"/>
    <x v="334"/>
    <n v="0.97"/>
    <n v="6.29"/>
    <n v="1.2"/>
    <n v="6"/>
  </r>
  <r>
    <x v="4"/>
    <s v="6"/>
    <x v="5"/>
    <x v="8"/>
    <x v="1"/>
    <x v="3"/>
    <x v="980"/>
    <x v="0"/>
    <x v="455"/>
    <n v="79053840"/>
    <n v="118369"/>
    <n v="78935471"/>
    <x v="287"/>
    <n v="0.97"/>
    <n v="6.29"/>
    <n v="1.2"/>
    <n v="3"/>
  </r>
  <r>
    <x v="3"/>
    <s v="5"/>
    <x v="3"/>
    <x v="8"/>
    <x v="2"/>
    <x v="0"/>
    <x v="981"/>
    <x v="0"/>
    <x v="349"/>
    <n v="108534790"/>
    <n v="251893"/>
    <n v="108282897"/>
    <x v="150"/>
    <n v="0.97"/>
    <n v="6.29"/>
    <n v="1.2"/>
    <n v="6"/>
  </r>
  <r>
    <x v="1"/>
    <s v="6"/>
    <x v="0"/>
    <x v="6"/>
    <x v="0"/>
    <x v="2"/>
    <x v="982"/>
    <x v="2"/>
    <x v="616"/>
    <n v="54289554"/>
    <n v="321733"/>
    <n v="53967821"/>
    <x v="57"/>
    <n v="0.97"/>
    <n v="6.29"/>
    <n v="1.2"/>
    <n v="6"/>
  </r>
  <r>
    <x v="4"/>
    <s v="2"/>
    <x v="1"/>
    <x v="4"/>
    <x v="0"/>
    <x v="0"/>
    <x v="983"/>
    <x v="0"/>
    <x v="592"/>
    <n v="74880947"/>
    <n v="163012"/>
    <n v="74717935"/>
    <x v="334"/>
    <n v="0.97"/>
    <n v="6.29"/>
    <n v="1.2"/>
    <n v="4"/>
  </r>
  <r>
    <x v="2"/>
    <s v="1"/>
    <x v="2"/>
    <x v="6"/>
    <x v="2"/>
    <x v="0"/>
    <x v="984"/>
    <x v="2"/>
    <x v="605"/>
    <n v="48975800"/>
    <n v="457332"/>
    <n v="48518468"/>
    <x v="214"/>
    <n v="0.97"/>
    <n v="6.29"/>
    <n v="1.2"/>
    <n v="2"/>
  </r>
  <r>
    <x v="6"/>
    <s v="7"/>
    <x v="1"/>
    <x v="8"/>
    <x v="2"/>
    <x v="3"/>
    <x v="985"/>
    <x v="0"/>
    <x v="580"/>
    <n v="94397212"/>
    <n v="385325"/>
    <n v="94011887"/>
    <x v="100"/>
    <n v="0.97"/>
    <n v="6.29"/>
    <n v="1.2"/>
    <n v="9"/>
  </r>
  <r>
    <x v="6"/>
    <s v="7"/>
    <x v="0"/>
    <x v="3"/>
    <x v="2"/>
    <x v="0"/>
    <x v="986"/>
    <x v="1"/>
    <x v="617"/>
    <n v="31843368"/>
    <n v="225858"/>
    <n v="31617510"/>
    <x v="19"/>
    <n v="0.97"/>
    <n v="6.29"/>
    <n v="1.2"/>
    <n v="2"/>
  </r>
  <r>
    <x v="2"/>
    <s v="10"/>
    <x v="3"/>
    <x v="8"/>
    <x v="2"/>
    <x v="1"/>
    <x v="987"/>
    <x v="1"/>
    <x v="618"/>
    <n v="34721352"/>
    <n v="275758"/>
    <n v="34445594"/>
    <x v="4"/>
    <n v="0.97"/>
    <n v="6.29"/>
    <n v="1.2"/>
    <n v="3"/>
  </r>
  <r>
    <x v="0"/>
    <s v="11"/>
    <x v="2"/>
    <x v="4"/>
    <x v="2"/>
    <x v="3"/>
    <x v="988"/>
    <x v="2"/>
    <x v="419"/>
    <n v="33998528"/>
    <n v="173711"/>
    <n v="33824817"/>
    <x v="354"/>
    <n v="0.97"/>
    <n v="6.29"/>
    <n v="1.2"/>
    <n v="10"/>
  </r>
  <r>
    <x v="4"/>
    <s v="10"/>
    <x v="5"/>
    <x v="1"/>
    <x v="1"/>
    <x v="1"/>
    <x v="989"/>
    <x v="2"/>
    <x v="519"/>
    <n v="36943410"/>
    <n v="126425"/>
    <n v="36816985"/>
    <x v="310"/>
    <n v="0.97"/>
    <n v="6.29"/>
    <n v="1.2"/>
    <n v="1"/>
  </r>
  <r>
    <x v="4"/>
    <s v="2"/>
    <x v="4"/>
    <x v="6"/>
    <x v="1"/>
    <x v="0"/>
    <x v="990"/>
    <x v="0"/>
    <x v="352"/>
    <n v="51713623"/>
    <n v="473502"/>
    <n v="51240121"/>
    <x v="25"/>
    <n v="0.97"/>
    <n v="6.29"/>
    <n v="1.2"/>
    <n v="7"/>
  </r>
  <r>
    <x v="2"/>
    <s v="2"/>
    <x v="2"/>
    <x v="2"/>
    <x v="0"/>
    <x v="1"/>
    <x v="991"/>
    <x v="0"/>
    <x v="619"/>
    <n v="61816906"/>
    <n v="65994"/>
    <n v="61750912"/>
    <x v="48"/>
    <n v="0.97"/>
    <n v="6.29"/>
    <n v="1.2"/>
    <n v="1"/>
  </r>
  <r>
    <x v="7"/>
    <s v="1"/>
    <x v="2"/>
    <x v="3"/>
    <x v="1"/>
    <x v="2"/>
    <x v="992"/>
    <x v="1"/>
    <x v="176"/>
    <n v="23342991"/>
    <n v="161915"/>
    <n v="23181076"/>
    <x v="311"/>
    <n v="0.97"/>
    <n v="6.29"/>
    <n v="1.2"/>
    <n v="9"/>
  </r>
  <r>
    <x v="9"/>
    <s v="10"/>
    <x v="3"/>
    <x v="7"/>
    <x v="1"/>
    <x v="0"/>
    <x v="993"/>
    <x v="0"/>
    <x v="620"/>
    <n v="96141573"/>
    <n v="435105"/>
    <n v="95706468"/>
    <x v="253"/>
    <n v="0.97"/>
    <n v="6.29"/>
    <n v="1.2"/>
    <n v="1"/>
  </r>
  <r>
    <x v="10"/>
    <m/>
    <x v="10"/>
    <x v="10"/>
    <x v="3"/>
    <x v="4"/>
    <x v="994"/>
    <x v="3"/>
    <x v="621"/>
    <m/>
    <m/>
    <m/>
    <x v="35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7809F4-524D-4949-BF23-064D6EE21AA3}"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5" rowHeaderCaption="Top Countries Revenue And Unites Sold">
  <location ref="A3:C15" firstHeaderRow="0" firstDataRow="1" firstDataCol="1"/>
  <pivotFields count="17">
    <pivotField showAll="0">
      <items count="12">
        <item x="8"/>
        <item x="7"/>
        <item x="5"/>
        <item x="1"/>
        <item x="3"/>
        <item x="6"/>
        <item x="0"/>
        <item x="2"/>
        <item x="9"/>
        <item x="4"/>
        <item x="10"/>
        <item t="default"/>
      </items>
    </pivotField>
    <pivotField showAll="0"/>
    <pivotField axis="axisRow" showAll="0" sortType="descending">
      <items count="12">
        <item x="0"/>
        <item x="2"/>
        <item x="6"/>
        <item x="3"/>
        <item x="8"/>
        <item x="7"/>
        <item x="4"/>
        <item x="9"/>
        <item x="5"/>
        <item x="1"/>
        <item x="10"/>
        <item t="default"/>
      </items>
      <autoSortScope>
        <pivotArea dataOnly="0" outline="0" fieldPosition="0">
          <references count="1">
            <reference field="4294967294" count="1" selected="0">
              <x v="1"/>
            </reference>
          </references>
        </pivotArea>
      </autoSortScope>
    </pivotField>
    <pivotField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pivotField showAll="0"/>
    <pivotField dataField="1" showAll="0"/>
    <pivotField dataField="1" showAll="0"/>
    <pivotField showAll="0"/>
    <pivotField showAll="0"/>
    <pivotField showAll="0">
      <items count="357">
        <item x="192"/>
        <item x="8"/>
        <item x="43"/>
        <item x="326"/>
        <item x="156"/>
        <item x="24"/>
        <item x="244"/>
        <item x="229"/>
        <item x="78"/>
        <item x="46"/>
        <item x="219"/>
        <item x="99"/>
        <item x="138"/>
        <item x="323"/>
        <item x="2"/>
        <item x="308"/>
        <item x="280"/>
        <item x="331"/>
        <item x="240"/>
        <item x="49"/>
        <item x="199"/>
        <item x="161"/>
        <item x="151"/>
        <item x="91"/>
        <item x="273"/>
        <item x="173"/>
        <item x="44"/>
        <item x="248"/>
        <item x="124"/>
        <item x="223"/>
        <item x="293"/>
        <item x="172"/>
        <item x="196"/>
        <item x="133"/>
        <item x="28"/>
        <item x="40"/>
        <item x="272"/>
        <item x="147"/>
        <item x="66"/>
        <item x="266"/>
        <item x="245"/>
        <item x="52"/>
        <item x="25"/>
        <item x="32"/>
        <item x="82"/>
        <item x="285"/>
        <item x="69"/>
        <item x="243"/>
        <item x="26"/>
        <item x="260"/>
        <item x="193"/>
        <item x="330"/>
        <item x="122"/>
        <item x="174"/>
        <item x="327"/>
        <item x="230"/>
        <item x="297"/>
        <item x="35"/>
        <item x="164"/>
        <item x="53"/>
        <item x="155"/>
        <item x="180"/>
        <item x="73"/>
        <item x="286"/>
        <item x="259"/>
        <item x="92"/>
        <item x="140"/>
        <item x="224"/>
        <item x="182"/>
        <item x="80"/>
        <item x="322"/>
        <item x="349"/>
        <item x="188"/>
        <item x="129"/>
        <item x="157"/>
        <item x="197"/>
        <item x="67"/>
        <item x="81"/>
        <item x="340"/>
        <item x="0"/>
        <item x="289"/>
        <item x="108"/>
        <item x="54"/>
        <item x="14"/>
        <item x="126"/>
        <item x="127"/>
        <item x="351"/>
        <item x="47"/>
        <item x="6"/>
        <item x="60"/>
        <item x="204"/>
        <item x="208"/>
        <item x="51"/>
        <item x="63"/>
        <item x="265"/>
        <item x="169"/>
        <item x="222"/>
        <item x="200"/>
        <item x="201"/>
        <item x="255"/>
        <item x="56"/>
        <item x="194"/>
        <item x="79"/>
        <item x="179"/>
        <item x="167"/>
        <item x="114"/>
        <item x="348"/>
        <item x="235"/>
        <item x="296"/>
        <item x="338"/>
        <item x="58"/>
        <item x="38"/>
        <item x="72"/>
        <item x="309"/>
        <item x="23"/>
        <item x="152"/>
        <item x="252"/>
        <item x="249"/>
        <item x="190"/>
        <item x="277"/>
        <item x="284"/>
        <item x="148"/>
        <item x="346"/>
        <item x="227"/>
        <item x="295"/>
        <item x="216"/>
        <item x="251"/>
        <item x="353"/>
        <item x="233"/>
        <item x="96"/>
        <item x="228"/>
        <item x="34"/>
        <item x="18"/>
        <item x="104"/>
        <item x="159"/>
        <item x="288"/>
        <item x="301"/>
        <item x="154"/>
        <item x="31"/>
        <item x="106"/>
        <item x="7"/>
        <item x="237"/>
        <item x="312"/>
        <item x="62"/>
        <item x="300"/>
        <item x="185"/>
        <item x="258"/>
        <item x="5"/>
        <item x="55"/>
        <item x="313"/>
        <item x="107"/>
        <item x="275"/>
        <item x="310"/>
        <item x="10"/>
        <item x="236"/>
        <item x="225"/>
        <item x="239"/>
        <item x="298"/>
        <item x="111"/>
        <item x="319"/>
        <item x="187"/>
        <item x="84"/>
        <item x="184"/>
        <item x="39"/>
        <item x="203"/>
        <item x="15"/>
        <item x="37"/>
        <item x="292"/>
        <item x="231"/>
        <item x="109"/>
        <item x="27"/>
        <item x="76"/>
        <item x="20"/>
        <item x="274"/>
        <item x="68"/>
        <item x="294"/>
        <item x="59"/>
        <item x="345"/>
        <item x="302"/>
        <item x="242"/>
        <item x="262"/>
        <item x="115"/>
        <item x="117"/>
        <item x="333"/>
        <item x="48"/>
        <item x="158"/>
        <item x="281"/>
        <item x="352"/>
        <item x="176"/>
        <item x="101"/>
        <item x="165"/>
        <item x="71"/>
        <item x="213"/>
        <item x="163"/>
        <item x="290"/>
        <item x="311"/>
        <item x="145"/>
        <item x="141"/>
        <item x="112"/>
        <item x="87"/>
        <item x="332"/>
        <item x="143"/>
        <item x="146"/>
        <item x="335"/>
        <item x="50"/>
        <item x="30"/>
        <item x="1"/>
        <item x="29"/>
        <item x="316"/>
        <item x="337"/>
        <item x="214"/>
        <item x="77"/>
        <item x="16"/>
        <item x="136"/>
        <item x="291"/>
        <item x="246"/>
        <item x="103"/>
        <item x="90"/>
        <item x="168"/>
        <item x="210"/>
        <item x="282"/>
        <item x="238"/>
        <item x="175"/>
        <item x="209"/>
        <item x="328"/>
        <item x="253"/>
        <item x="218"/>
        <item x="120"/>
        <item x="125"/>
        <item x="166"/>
        <item x="250"/>
        <item x="94"/>
        <item x="89"/>
        <item x="256"/>
        <item x="97"/>
        <item x="75"/>
        <item x="98"/>
        <item x="41"/>
        <item x="93"/>
        <item x="287"/>
        <item x="325"/>
        <item x="113"/>
        <item x="74"/>
        <item x="177"/>
        <item x="279"/>
        <item x="217"/>
        <item x="95"/>
        <item x="336"/>
        <item x="207"/>
        <item x="347"/>
        <item x="271"/>
        <item x="121"/>
        <item x="329"/>
        <item x="267"/>
        <item x="276"/>
        <item x="19"/>
        <item x="65"/>
        <item x="278"/>
        <item x="150"/>
        <item x="128"/>
        <item x="195"/>
        <item x="342"/>
        <item x="191"/>
        <item x="247"/>
        <item x="354"/>
        <item x="61"/>
        <item x="130"/>
        <item x="160"/>
        <item x="306"/>
        <item x="350"/>
        <item x="183"/>
        <item x="263"/>
        <item x="181"/>
        <item x="206"/>
        <item x="17"/>
        <item x="123"/>
        <item x="321"/>
        <item x="304"/>
        <item x="142"/>
        <item x="344"/>
        <item x="198"/>
        <item x="320"/>
        <item x="3"/>
        <item x="102"/>
        <item x="257"/>
        <item x="241"/>
        <item x="22"/>
        <item x="11"/>
        <item x="299"/>
        <item x="317"/>
        <item x="110"/>
        <item x="324"/>
        <item x="116"/>
        <item x="305"/>
        <item x="105"/>
        <item x="261"/>
        <item x="12"/>
        <item x="83"/>
        <item x="135"/>
        <item x="144"/>
        <item x="270"/>
        <item x="153"/>
        <item x="170"/>
        <item x="318"/>
        <item x="171"/>
        <item x="303"/>
        <item x="178"/>
        <item x="137"/>
        <item x="221"/>
        <item x="57"/>
        <item x="119"/>
        <item x="134"/>
        <item x="314"/>
        <item x="334"/>
        <item x="88"/>
        <item x="21"/>
        <item x="341"/>
        <item x="36"/>
        <item x="9"/>
        <item x="33"/>
        <item x="254"/>
        <item x="211"/>
        <item x="264"/>
        <item x="220"/>
        <item x="202"/>
        <item x="186"/>
        <item x="4"/>
        <item x="212"/>
        <item x="149"/>
        <item x="226"/>
        <item x="343"/>
        <item x="131"/>
        <item x="339"/>
        <item x="269"/>
        <item x="162"/>
        <item x="283"/>
        <item x="118"/>
        <item x="45"/>
        <item x="139"/>
        <item x="132"/>
        <item x="13"/>
        <item x="100"/>
        <item x="315"/>
        <item x="307"/>
        <item x="268"/>
        <item x="232"/>
        <item x="42"/>
        <item x="189"/>
        <item x="205"/>
        <item x="64"/>
        <item x="70"/>
        <item x="85"/>
        <item x="215"/>
        <item x="86"/>
        <item x="234"/>
        <item x="355"/>
        <item t="default"/>
      </items>
    </pivotField>
    <pivotField showAll="0"/>
    <pivotField showAll="0"/>
    <pivotField showAll="0"/>
    <pivotField showAll="0"/>
  </pivotFields>
  <rowFields count="1">
    <field x="2"/>
  </rowFields>
  <rowItems count="12">
    <i>
      <x v="3"/>
    </i>
    <i>
      <x v="8"/>
    </i>
    <i>
      <x v="4"/>
    </i>
    <i>
      <x v="6"/>
    </i>
    <i>
      <x v="1"/>
    </i>
    <i>
      <x/>
    </i>
    <i>
      <x v="5"/>
    </i>
    <i>
      <x v="9"/>
    </i>
    <i>
      <x v="7"/>
    </i>
    <i>
      <x v="2"/>
    </i>
    <i>
      <x v="10"/>
    </i>
    <i t="grand">
      <x/>
    </i>
  </rowItems>
  <colFields count="1">
    <field x="-2"/>
  </colFields>
  <colItems count="2">
    <i>
      <x/>
    </i>
    <i i="1">
      <x v="1"/>
    </i>
  </colItems>
  <dataFields count="2">
    <dataField name="Sum of units_sold" fld="8" baseField="0" baseItem="0"/>
    <dataField name="Sum of Revenue" fld="9" baseField="0" baseItem="0"/>
  </dataFields>
  <formats count="10">
    <format dxfId="35">
      <pivotArea collapsedLevelsAreSubtotals="1" fieldPosition="0">
        <references count="1">
          <reference field="2" count="1">
            <x v="2"/>
          </reference>
        </references>
      </pivotArea>
    </format>
    <format dxfId="34">
      <pivotArea outline="0" fieldPosition="0">
        <references count="1">
          <reference field="4294967294" count="1">
            <x v="1"/>
          </reference>
        </references>
      </pivotArea>
    </format>
    <format dxfId="33">
      <pivotArea type="all" dataOnly="0" outline="0" fieldPosition="0"/>
    </format>
    <format dxfId="32">
      <pivotArea outline="0" collapsedLevelsAreSubtotals="1"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 dxfId="28">
      <pivotArea collapsedLevelsAreSubtotals="1" fieldPosition="0">
        <references count="1">
          <reference field="2" count="0"/>
        </references>
      </pivotArea>
    </format>
    <format dxfId="27">
      <pivotArea dataOnly="0" labelOnly="1" fieldPosition="0">
        <references count="1">
          <reference field="2" count="0"/>
        </references>
      </pivotArea>
    </format>
    <format dxfId="26">
      <pivotArea dataOnly="0" labelOnly="1" outline="0" fieldPosition="0">
        <references count="1">
          <reference field="4294967294" count="2">
            <x v="0"/>
            <x v="1"/>
          </reference>
        </references>
      </pivotArea>
    </format>
  </formats>
  <chartFormats count="3">
    <chartFormat chart="40" format="4" series="1">
      <pivotArea type="data" outline="0" fieldPosition="0">
        <references count="1">
          <reference field="4294967294" count="1" selected="0">
            <x v="1"/>
          </reference>
        </references>
      </pivotArea>
    </chartFormat>
    <chartFormat chart="40" format="5" series="1">
      <pivotArea type="data" outline="0" fieldPosition="0">
        <references count="1">
          <reference field="4294967294" count="1" selected="0">
            <x v="0"/>
          </reference>
        </references>
      </pivotArea>
    </chartFormat>
    <chartFormat chart="40" format="6">
      <pivotArea type="data" outline="0" fieldPosition="0">
        <references count="2">
          <reference field="4294967294" count="1" selected="0">
            <x v="1"/>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0D15FA-45FB-4BED-93F0-2D0AFE9488CB}" name="PivotTable1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5" rowHeaderCaption="Marketing relation to Revenue">
  <location ref="D100:E112" firstHeaderRow="1" firstDataRow="1" firstDataCol="1"/>
  <pivotFields count="17">
    <pivotField showAll="0">
      <items count="12">
        <item x="8"/>
        <item x="7"/>
        <item x="5"/>
        <item x="1"/>
        <item x="3"/>
        <item x="6"/>
        <item x="0"/>
        <item x="2"/>
        <item x="9"/>
        <item x="4"/>
        <item x="10"/>
        <item t="default"/>
      </items>
    </pivotField>
    <pivotField showAll="0"/>
    <pivotField axis="axisRow" showAll="0">
      <items count="12">
        <item x="0"/>
        <item x="2"/>
        <item x="6"/>
        <item x="3"/>
        <item x="8"/>
        <item x="7"/>
        <item x="4"/>
        <item x="9"/>
        <item x="5"/>
        <item x="1"/>
        <item x="10"/>
        <item t="default"/>
      </items>
    </pivotField>
    <pivotField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items count="996">
        <item x="797"/>
        <item x="487"/>
        <item x="961"/>
        <item x="514"/>
        <item x="697"/>
        <item x="717"/>
        <item x="111"/>
        <item x="600"/>
        <item x="376"/>
        <item x="933"/>
        <item x="134"/>
        <item x="466"/>
        <item x="155"/>
        <item x="525"/>
        <item x="968"/>
        <item x="517"/>
        <item x="538"/>
        <item x="415"/>
        <item x="226"/>
        <item x="93"/>
        <item x="895"/>
        <item x="387"/>
        <item x="289"/>
        <item x="526"/>
        <item x="184"/>
        <item x="778"/>
        <item x="374"/>
        <item x="420"/>
        <item x="449"/>
        <item x="48"/>
        <item x="545"/>
        <item x="120"/>
        <item x="938"/>
        <item x="558"/>
        <item x="528"/>
        <item x="55"/>
        <item x="18"/>
        <item x="397"/>
        <item x="590"/>
        <item x="520"/>
        <item x="725"/>
        <item x="364"/>
        <item x="417"/>
        <item x="360"/>
        <item x="801"/>
        <item x="338"/>
        <item x="523"/>
        <item x="855"/>
        <item x="383"/>
        <item x="863"/>
        <item x="847"/>
        <item x="477"/>
        <item x="915"/>
        <item x="377"/>
        <item x="652"/>
        <item x="190"/>
        <item x="809"/>
        <item x="902"/>
        <item x="540"/>
        <item x="866"/>
        <item x="772"/>
        <item x="712"/>
        <item x="432"/>
        <item x="76"/>
        <item x="369"/>
        <item x="908"/>
        <item x="42"/>
        <item x="710"/>
        <item x="583"/>
        <item x="484"/>
        <item x="144"/>
        <item x="161"/>
        <item x="820"/>
        <item x="235"/>
        <item x="834"/>
        <item x="709"/>
        <item x="548"/>
        <item x="2"/>
        <item x="650"/>
        <item x="189"/>
        <item x="419"/>
        <item x="345"/>
        <item x="872"/>
        <item x="117"/>
        <item x="378"/>
        <item x="474"/>
        <item x="675"/>
        <item x="766"/>
        <item x="174"/>
        <item x="455"/>
        <item x="580"/>
        <item x="668"/>
        <item x="792"/>
        <item x="257"/>
        <item x="162"/>
        <item x="405"/>
        <item x="9"/>
        <item x="330"/>
        <item x="837"/>
        <item x="79"/>
        <item x="8"/>
        <item x="163"/>
        <item x="296"/>
        <item x="441"/>
        <item x="140"/>
        <item x="152"/>
        <item x="3"/>
        <item x="889"/>
        <item x="742"/>
        <item x="489"/>
        <item x="518"/>
        <item x="177"/>
        <item x="962"/>
        <item x="170"/>
        <item x="667"/>
        <item x="475"/>
        <item x="822"/>
        <item x="179"/>
        <item x="242"/>
        <item x="619"/>
        <item x="358"/>
        <item x="123"/>
        <item x="130"/>
        <item x="845"/>
        <item x="239"/>
        <item x="119"/>
        <item x="670"/>
        <item x="318"/>
        <item x="813"/>
        <item x="630"/>
        <item x="798"/>
        <item x="66"/>
        <item x="987"/>
        <item x="691"/>
        <item x="694"/>
        <item x="267"/>
        <item x="480"/>
        <item x="164"/>
        <item x="325"/>
        <item x="638"/>
        <item x="367"/>
        <item x="125"/>
        <item x="871"/>
        <item x="705"/>
        <item x="704"/>
        <item x="992"/>
        <item x="562"/>
        <item x="967"/>
        <item x="248"/>
        <item x="102"/>
        <item x="661"/>
        <item x="870"/>
        <item x="623"/>
        <item x="698"/>
        <item x="113"/>
        <item x="137"/>
        <item x="614"/>
        <item x="494"/>
        <item x="234"/>
        <item x="807"/>
        <item x="404"/>
        <item x="129"/>
        <item x="33"/>
        <item x="803"/>
        <item x="963"/>
        <item x="47"/>
        <item x="433"/>
        <item x="219"/>
        <item x="878"/>
        <item x="497"/>
        <item x="959"/>
        <item x="114"/>
        <item x="715"/>
        <item x="26"/>
        <item x="578"/>
        <item x="659"/>
        <item x="508"/>
        <item x="339"/>
        <item x="767"/>
        <item x="346"/>
        <item x="873"/>
        <item x="986"/>
        <item x="454"/>
        <item x="874"/>
        <item x="263"/>
        <item x="92"/>
        <item x="830"/>
        <item x="91"/>
        <item x="276"/>
        <item x="617"/>
        <item x="546"/>
        <item x="665"/>
        <item x="657"/>
        <item x="401"/>
        <item x="94"/>
        <item x="344"/>
        <item x="355"/>
        <item x="534"/>
        <item x="589"/>
        <item x="632"/>
        <item x="906"/>
        <item x="572"/>
        <item x="96"/>
        <item x="639"/>
        <item x="887"/>
        <item x="486"/>
        <item x="917"/>
        <item x="964"/>
        <item x="664"/>
        <item x="988"/>
        <item x="660"/>
        <item x="64"/>
        <item x="875"/>
        <item x="139"/>
        <item x="651"/>
        <item x="191"/>
        <item x="793"/>
        <item x="591"/>
        <item x="733"/>
        <item x="7"/>
        <item x="613"/>
        <item x="498"/>
        <item x="370"/>
        <item x="121"/>
        <item x="385"/>
        <item x="515"/>
        <item x="505"/>
        <item x="20"/>
        <item x="911"/>
        <item x="566"/>
        <item x="77"/>
        <item x="510"/>
        <item x="108"/>
        <item x="181"/>
        <item x="615"/>
        <item x="206"/>
        <item x="12"/>
        <item x="965"/>
        <item x="87"/>
        <item x="787"/>
        <item x="762"/>
        <item x="288"/>
        <item x="192"/>
        <item x="876"/>
        <item x="349"/>
        <item x="669"/>
        <item x="916"/>
        <item x="923"/>
        <item x="901"/>
        <item x="569"/>
        <item x="910"/>
        <item x="207"/>
        <item x="539"/>
        <item x="810"/>
        <item x="976"/>
        <item x="261"/>
        <item x="605"/>
        <item x="859"/>
        <item x="554"/>
        <item x="888"/>
        <item x="978"/>
        <item x="596"/>
        <item x="240"/>
        <item x="603"/>
        <item x="552"/>
        <item x="52"/>
        <item x="83"/>
        <item x="541"/>
        <item x="335"/>
        <item x="357"/>
        <item x="883"/>
        <item x="654"/>
        <item x="328"/>
        <item x="582"/>
        <item x="90"/>
        <item x="60"/>
        <item x="382"/>
        <item x="380"/>
        <item x="299"/>
        <item x="386"/>
        <item x="317"/>
        <item x="375"/>
        <item x="188"/>
        <item x="115"/>
        <item x="429"/>
        <item x="611"/>
        <item x="516"/>
        <item x="947"/>
        <item x="584"/>
        <item x="759"/>
        <item x="354"/>
        <item x="800"/>
        <item x="22"/>
        <item x="461"/>
        <item x="920"/>
        <item x="408"/>
        <item x="581"/>
        <item x="696"/>
        <item x="975"/>
        <item x="647"/>
        <item x="869"/>
        <item x="701"/>
        <item x="943"/>
        <item x="777"/>
        <item x="473"/>
        <item x="447"/>
        <item x="786"/>
        <item x="782"/>
        <item x="146"/>
        <item x="166"/>
        <item x="501"/>
        <item x="817"/>
        <item x="187"/>
        <item x="100"/>
        <item x="758"/>
        <item x="841"/>
        <item x="519"/>
        <item x="309"/>
        <item x="646"/>
        <item x="23"/>
        <item x="535"/>
        <item x="278"/>
        <item x="785"/>
        <item x="176"/>
        <item x="183"/>
        <item x="271"/>
        <item x="685"/>
        <item x="195"/>
        <item x="228"/>
        <item x="856"/>
        <item x="791"/>
        <item x="912"/>
        <item x="853"/>
        <item x="954"/>
        <item x="550"/>
        <item x="695"/>
        <item x="645"/>
        <item x="769"/>
        <item x="72"/>
        <item x="773"/>
        <item x="136"/>
        <item x="898"/>
        <item x="95"/>
        <item x="285"/>
        <item x="653"/>
        <item x="81"/>
        <item x="443"/>
        <item x="279"/>
        <item x="503"/>
        <item x="202"/>
        <item x="471"/>
        <item x="527"/>
        <item x="763"/>
        <item x="286"/>
        <item x="666"/>
        <item x="708"/>
        <item x="680"/>
        <item x="559"/>
        <item x="106"/>
        <item x="336"/>
        <item x="214"/>
        <item x="779"/>
        <item x="35"/>
        <item x="145"/>
        <item x="365"/>
        <item x="707"/>
        <item x="156"/>
        <item x="65"/>
        <item x="109"/>
        <item x="625"/>
        <item x="531"/>
        <item x="390"/>
        <item x="641"/>
        <item x="747"/>
        <item x="678"/>
        <item x="322"/>
        <item x="204"/>
        <item x="989"/>
        <item x="246"/>
        <item x="418"/>
        <item x="918"/>
        <item x="463"/>
        <item x="273"/>
        <item x="71"/>
        <item x="410"/>
        <item x="368"/>
        <item x="626"/>
        <item x="56"/>
        <item x="434"/>
        <item x="970"/>
        <item x="465"/>
        <item x="49"/>
        <item x="827"/>
        <item x="292"/>
        <item x="141"/>
        <item x="658"/>
        <item x="549"/>
        <item x="907"/>
        <item x="688"/>
        <item x="736"/>
        <item x="372"/>
        <item x="107"/>
        <item x="674"/>
        <item x="601"/>
        <item x="805"/>
        <item x="905"/>
        <item x="302"/>
        <item x="532"/>
        <item x="948"/>
        <item x="504"/>
        <item x="755"/>
        <item x="796"/>
        <item x="816"/>
        <item x="930"/>
        <item x="941"/>
        <item x="502"/>
        <item x="84"/>
        <item x="270"/>
        <item x="618"/>
        <item x="808"/>
        <item x="936"/>
        <item x="59"/>
        <item x="180"/>
        <item x="722"/>
        <item x="560"/>
        <item x="706"/>
        <item x="984"/>
        <item x="151"/>
        <item x="622"/>
        <item x="702"/>
        <item x="185"/>
        <item x="741"/>
        <item x="381"/>
        <item x="781"/>
        <item x="649"/>
        <item x="392"/>
        <item x="610"/>
        <item x="264"/>
        <item x="88"/>
        <item x="862"/>
        <item x="483"/>
        <item x="864"/>
        <item x="790"/>
        <item x="693"/>
        <item x="940"/>
        <item x="223"/>
        <item x="825"/>
        <item x="865"/>
        <item x="89"/>
        <item x="236"/>
        <item x="82"/>
        <item x="63"/>
        <item x="482"/>
        <item x="149"/>
        <item x="727"/>
        <item x="555"/>
        <item x="269"/>
        <item x="673"/>
        <item x="243"/>
        <item x="972"/>
        <item x="719"/>
        <item x="732"/>
        <item x="445"/>
        <item x="955"/>
        <item x="633"/>
        <item x="842"/>
        <item x="607"/>
        <item x="319"/>
        <item x="249"/>
        <item x="67"/>
        <item x="280"/>
        <item x="493"/>
        <item x="629"/>
        <item x="974"/>
        <item x="744"/>
        <item x="479"/>
        <item x="154"/>
        <item x="426"/>
        <item x="30"/>
        <item x="734"/>
        <item x="320"/>
        <item x="205"/>
        <item x="321"/>
        <item x="812"/>
        <item x="982"/>
        <item x="537"/>
        <item x="315"/>
        <item x="838"/>
        <item x="914"/>
        <item x="396"/>
        <item x="621"/>
        <item x="687"/>
        <item x="73"/>
        <item x="844"/>
        <item x="452"/>
        <item x="305"/>
        <item x="171"/>
        <item x="952"/>
        <item x="394"/>
        <item x="19"/>
        <item x="846"/>
        <item x="57"/>
        <item x="784"/>
        <item x="771"/>
        <item x="99"/>
        <item x="643"/>
        <item x="726"/>
        <item x="259"/>
        <item x="200"/>
        <item x="756"/>
        <item x="353"/>
        <item x="642"/>
        <item x="648"/>
        <item x="960"/>
        <item x="362"/>
        <item x="41"/>
        <item x="616"/>
        <item x="506"/>
        <item x="218"/>
        <item x="444"/>
        <item x="244"/>
        <item x="585"/>
        <item x="312"/>
        <item x="728"/>
        <item x="105"/>
        <item x="15"/>
        <item x="13"/>
        <item x="703"/>
        <item x="241"/>
        <item x="326"/>
        <item x="634"/>
        <item x="692"/>
        <item x="158"/>
        <item x="814"/>
        <item x="854"/>
        <item x="821"/>
        <item x="329"/>
        <item x="594"/>
        <item x="212"/>
        <item x="530"/>
        <item x="186"/>
        <item x="512"/>
        <item x="333"/>
        <item x="575"/>
        <item x="262"/>
        <item x="753"/>
        <item x="934"/>
        <item x="24"/>
        <item x="356"/>
        <item x="899"/>
        <item x="423"/>
        <item x="307"/>
        <item x="690"/>
        <item x="488"/>
        <item x="521"/>
        <item x="350"/>
        <item x="112"/>
        <item x="340"/>
        <item x="327"/>
        <item x="116"/>
        <item x="721"/>
        <item x="774"/>
        <item x="894"/>
        <item x="37"/>
        <item x="468"/>
        <item x="230"/>
        <item x="388"/>
        <item x="78"/>
        <item x="290"/>
        <item x="979"/>
        <item x="436"/>
        <item x="403"/>
        <item x="0"/>
        <item x="1"/>
        <item x="4"/>
        <item x="460"/>
        <item x="636"/>
        <item x="971"/>
        <item x="628"/>
        <item x="682"/>
        <item x="448"/>
        <item x="858"/>
        <item x="80"/>
        <item x="676"/>
        <item x="892"/>
        <item x="306"/>
        <item x="574"/>
        <item x="133"/>
        <item x="749"/>
        <item x="194"/>
        <item x="398"/>
        <item x="45"/>
        <item x="373"/>
        <item x="495"/>
        <item x="196"/>
        <item x="679"/>
        <item x="836"/>
        <item x="182"/>
        <item x="823"/>
        <item x="159"/>
        <item x="464"/>
        <item x="314"/>
        <item x="839"/>
        <item x="804"/>
        <item x="857"/>
        <item x="178"/>
        <item x="428"/>
        <item x="266"/>
        <item x="124"/>
        <item x="624"/>
        <item x="287"/>
        <item x="884"/>
        <item x="599"/>
        <item x="284"/>
        <item x="409"/>
        <item x="939"/>
        <item x="227"/>
        <item x="900"/>
        <item x="363"/>
        <item x="542"/>
        <item x="413"/>
        <item x="921"/>
        <item x="430"/>
        <item x="672"/>
        <item x="663"/>
        <item x="850"/>
        <item x="956"/>
        <item x="627"/>
        <item x="739"/>
        <item x="268"/>
        <item x="210"/>
        <item x="586"/>
        <item x="341"/>
        <item x="281"/>
        <item x="11"/>
        <item x="251"/>
        <item x="143"/>
        <item x="587"/>
        <item x="21"/>
        <item x="770"/>
        <item x="252"/>
        <item x="919"/>
        <item x="260"/>
        <item x="635"/>
        <item x="656"/>
        <item x="440"/>
        <item x="579"/>
        <item x="32"/>
        <item x="944"/>
        <item x="553"/>
        <item x="612"/>
        <item x="570"/>
        <item x="334"/>
        <item x="867"/>
        <item x="291"/>
        <item x="103"/>
        <item x="794"/>
        <item x="860"/>
        <item x="34"/>
        <item x="890"/>
        <item x="211"/>
        <item x="833"/>
        <item x="985"/>
        <item x="983"/>
        <item x="547"/>
        <item x="439"/>
        <item x="343"/>
        <item x="25"/>
        <item x="951"/>
        <item x="175"/>
        <item x="689"/>
        <item x="852"/>
        <item x="254"/>
        <item x="743"/>
        <item x="332"/>
        <item x="104"/>
        <item x="499"/>
        <item x="247"/>
        <item x="931"/>
        <item x="977"/>
        <item x="828"/>
        <item x="885"/>
        <item x="10"/>
        <item x="220"/>
        <item x="75"/>
        <item x="62"/>
        <item x="720"/>
        <item x="973"/>
        <item x="193"/>
        <item x="496"/>
        <item x="826"/>
        <item x="470"/>
        <item x="272"/>
        <item x="764"/>
        <item x="462"/>
        <item x="507"/>
        <item x="283"/>
        <item x="424"/>
        <item x="848"/>
        <item x="492"/>
        <item x="893"/>
        <item x="295"/>
        <item x="39"/>
        <item x="85"/>
        <item x="544"/>
        <item x="250"/>
        <item x="53"/>
        <item x="371"/>
        <item x="789"/>
        <item x="877"/>
        <item x="359"/>
        <item x="402"/>
        <item x="331"/>
        <item x="511"/>
        <item x="881"/>
        <item x="16"/>
        <item x="806"/>
        <item x="431"/>
        <item x="754"/>
        <item x="500"/>
        <item x="411"/>
        <item x="922"/>
        <item x="132"/>
        <item x="208"/>
        <item x="595"/>
        <item x="101"/>
        <item x="903"/>
        <item x="564"/>
        <item x="231"/>
        <item x="671"/>
        <item x="203"/>
        <item x="476"/>
        <item x="644"/>
        <item x="298"/>
        <item x="384"/>
        <item x="745"/>
        <item x="740"/>
        <item x="29"/>
        <item x="683"/>
        <item x="799"/>
        <item x="427"/>
        <item x="724"/>
        <item x="437"/>
        <item x="966"/>
        <item x="849"/>
        <item x="361"/>
        <item x="949"/>
        <item x="568"/>
        <item x="197"/>
        <item x="27"/>
        <item x="126"/>
        <item x="571"/>
        <item x="788"/>
        <item x="147"/>
        <item x="662"/>
        <item x="98"/>
        <item x="282"/>
        <item x="509"/>
        <item x="927"/>
        <item x="565"/>
        <item x="172"/>
        <item x="513"/>
        <item x="255"/>
        <item x="991"/>
        <item x="730"/>
        <item x="435"/>
        <item x="750"/>
        <item x="51"/>
        <item x="598"/>
        <item x="478"/>
        <item x="459"/>
        <item x="308"/>
        <item x="467"/>
        <item x="775"/>
        <item x="925"/>
        <item x="135"/>
        <item x="686"/>
        <item x="681"/>
        <item x="406"/>
        <item x="738"/>
        <item x="640"/>
        <item x="300"/>
        <item x="258"/>
        <item x="173"/>
        <item x="897"/>
        <item x="935"/>
        <item x="811"/>
        <item x="768"/>
        <item x="737"/>
        <item x="395"/>
        <item x="926"/>
        <item x="533"/>
        <item x="275"/>
        <item x="700"/>
        <item x="604"/>
        <item x="304"/>
        <item x="543"/>
        <item x="882"/>
        <item x="316"/>
        <item x="274"/>
        <item x="311"/>
        <item x="391"/>
        <item x="969"/>
        <item x="127"/>
        <item x="491"/>
        <item x="751"/>
        <item x="946"/>
        <item x="199"/>
        <item x="313"/>
        <item x="438"/>
        <item x="31"/>
        <item x="909"/>
        <item x="606"/>
        <item x="536"/>
        <item x="588"/>
        <item x="342"/>
        <item x="832"/>
        <item x="631"/>
        <item x="229"/>
        <item x="347"/>
        <item x="609"/>
        <item x="442"/>
        <item x="422"/>
        <item x="44"/>
        <item x="453"/>
        <item x="215"/>
        <item x="880"/>
        <item x="131"/>
        <item x="711"/>
        <item x="366"/>
        <item x="716"/>
        <item x="469"/>
        <item x="567"/>
        <item x="597"/>
        <item x="729"/>
        <item x="153"/>
        <item x="253"/>
        <item x="221"/>
        <item x="765"/>
        <item x="563"/>
        <item x="97"/>
        <item x="896"/>
        <item x="425"/>
        <item x="577"/>
        <item x="868"/>
        <item x="522"/>
        <item x="886"/>
        <item x="993"/>
        <item x="485"/>
        <item x="54"/>
        <item x="150"/>
        <item x="757"/>
        <item x="945"/>
        <item x="593"/>
        <item x="407"/>
        <item x="233"/>
        <item x="735"/>
        <item x="620"/>
        <item x="472"/>
        <item x="157"/>
        <item x="412"/>
        <item x="795"/>
        <item x="122"/>
        <item x="138"/>
        <item x="61"/>
        <item x="608"/>
        <item x="942"/>
        <item x="602"/>
        <item x="980"/>
        <item x="713"/>
        <item x="167"/>
        <item x="913"/>
        <item x="752"/>
        <item x="216"/>
        <item x="324"/>
        <item x="265"/>
        <item x="213"/>
        <item x="637"/>
        <item x="556"/>
        <item x="160"/>
        <item x="699"/>
        <item x="17"/>
        <item x="573"/>
        <item x="824"/>
        <item x="851"/>
        <item x="70"/>
        <item x="677"/>
        <item x="169"/>
        <item x="840"/>
        <item x="819"/>
        <item x="36"/>
        <item x="524"/>
        <item x="831"/>
        <item x="238"/>
        <item x="400"/>
        <item x="723"/>
        <item x="950"/>
        <item x="714"/>
        <item x="224"/>
        <item x="58"/>
        <item x="165"/>
        <item x="529"/>
        <item x="225"/>
        <item x="168"/>
        <item x="746"/>
        <item x="217"/>
        <item x="761"/>
        <item x="294"/>
        <item x="928"/>
        <item x="86"/>
        <item x="201"/>
        <item x="760"/>
        <item x="815"/>
        <item x="937"/>
        <item x="46"/>
        <item x="684"/>
        <item x="142"/>
        <item x="932"/>
        <item x="399"/>
        <item x="731"/>
        <item x="69"/>
        <item x="6"/>
        <item x="843"/>
        <item x="957"/>
        <item x="301"/>
        <item x="277"/>
        <item x="68"/>
        <item x="458"/>
        <item x="818"/>
        <item x="958"/>
        <item x="323"/>
        <item x="783"/>
        <item x="490"/>
        <item x="118"/>
        <item x="232"/>
        <item x="802"/>
        <item x="293"/>
        <item x="748"/>
        <item x="576"/>
        <item x="148"/>
        <item x="557"/>
        <item x="561"/>
        <item x="38"/>
        <item x="450"/>
        <item x="780"/>
        <item x="198"/>
        <item x="351"/>
        <item x="891"/>
        <item x="393"/>
        <item x="451"/>
        <item x="879"/>
        <item x="718"/>
        <item x="904"/>
        <item x="245"/>
        <item x="237"/>
        <item x="481"/>
        <item x="74"/>
        <item x="297"/>
        <item x="829"/>
        <item x="128"/>
        <item x="929"/>
        <item x="953"/>
        <item x="256"/>
        <item x="835"/>
        <item x="776"/>
        <item x="551"/>
        <item x="348"/>
        <item x="861"/>
        <item x="43"/>
        <item x="421"/>
        <item x="337"/>
        <item x="592"/>
        <item x="352"/>
        <item x="110"/>
        <item x="456"/>
        <item x="5"/>
        <item x="416"/>
        <item x="924"/>
        <item x="446"/>
        <item x="379"/>
        <item x="50"/>
        <item x="655"/>
        <item x="14"/>
        <item x="209"/>
        <item x="981"/>
        <item x="389"/>
        <item x="990"/>
        <item x="414"/>
        <item x="457"/>
        <item x="303"/>
        <item x="40"/>
        <item x="222"/>
        <item x="28"/>
        <item x="310"/>
        <item x="994"/>
        <item t="default"/>
      </items>
    </pivotField>
    <pivotField showAll="0">
      <items count="5">
        <item x="0"/>
        <item x="1"/>
        <item x="2"/>
        <item x="3"/>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Revenue After Marketing"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490D67-F330-499C-B09C-FDCB850953BD}" name="PivotTable10"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5" rowHeaderCaption="Marketing relation to Revenue">
  <location ref="D87:E92" firstHeaderRow="1" firstDataRow="1" firstDataCol="1"/>
  <pivotFields count="17">
    <pivotField showAll="0">
      <items count="12">
        <item x="8"/>
        <item x="7"/>
        <item x="5"/>
        <item x="1"/>
        <item x="3"/>
        <item x="6"/>
        <item x="0"/>
        <item x="2"/>
        <item x="9"/>
        <item x="4"/>
        <item x="10"/>
        <item t="default"/>
      </items>
    </pivotField>
    <pivotField showAll="0"/>
    <pivotField showAll="0">
      <items count="12">
        <item x="0"/>
        <item x="2"/>
        <item x="6"/>
        <item x="3"/>
        <item x="8"/>
        <item x="7"/>
        <item x="4"/>
        <item x="9"/>
        <item x="5"/>
        <item x="1"/>
        <item x="10"/>
        <item t="default"/>
      </items>
    </pivotField>
    <pivotField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items count="996">
        <item x="797"/>
        <item x="487"/>
        <item x="961"/>
        <item x="514"/>
        <item x="697"/>
        <item x="717"/>
        <item x="111"/>
        <item x="600"/>
        <item x="376"/>
        <item x="933"/>
        <item x="134"/>
        <item x="466"/>
        <item x="155"/>
        <item x="525"/>
        <item x="968"/>
        <item x="517"/>
        <item x="538"/>
        <item x="415"/>
        <item x="226"/>
        <item x="93"/>
        <item x="895"/>
        <item x="387"/>
        <item x="289"/>
        <item x="526"/>
        <item x="184"/>
        <item x="778"/>
        <item x="374"/>
        <item x="420"/>
        <item x="449"/>
        <item x="48"/>
        <item x="545"/>
        <item x="120"/>
        <item x="938"/>
        <item x="558"/>
        <item x="528"/>
        <item x="55"/>
        <item x="18"/>
        <item x="397"/>
        <item x="590"/>
        <item x="520"/>
        <item x="725"/>
        <item x="364"/>
        <item x="417"/>
        <item x="360"/>
        <item x="801"/>
        <item x="338"/>
        <item x="523"/>
        <item x="855"/>
        <item x="383"/>
        <item x="863"/>
        <item x="847"/>
        <item x="477"/>
        <item x="915"/>
        <item x="377"/>
        <item x="652"/>
        <item x="190"/>
        <item x="809"/>
        <item x="902"/>
        <item x="540"/>
        <item x="866"/>
        <item x="772"/>
        <item x="712"/>
        <item x="432"/>
        <item x="76"/>
        <item x="369"/>
        <item x="908"/>
        <item x="42"/>
        <item x="710"/>
        <item x="583"/>
        <item x="484"/>
        <item x="144"/>
        <item x="161"/>
        <item x="820"/>
        <item x="235"/>
        <item x="834"/>
        <item x="709"/>
        <item x="548"/>
        <item x="2"/>
        <item x="650"/>
        <item x="189"/>
        <item x="419"/>
        <item x="345"/>
        <item x="872"/>
        <item x="117"/>
        <item x="378"/>
        <item x="474"/>
        <item x="675"/>
        <item x="766"/>
        <item x="174"/>
        <item x="455"/>
        <item x="580"/>
        <item x="668"/>
        <item x="792"/>
        <item x="257"/>
        <item x="162"/>
        <item x="405"/>
        <item x="9"/>
        <item x="330"/>
        <item x="837"/>
        <item x="79"/>
        <item x="8"/>
        <item x="163"/>
        <item x="296"/>
        <item x="441"/>
        <item x="140"/>
        <item x="152"/>
        <item x="3"/>
        <item x="889"/>
        <item x="742"/>
        <item x="489"/>
        <item x="518"/>
        <item x="177"/>
        <item x="962"/>
        <item x="170"/>
        <item x="667"/>
        <item x="475"/>
        <item x="822"/>
        <item x="179"/>
        <item x="242"/>
        <item x="619"/>
        <item x="358"/>
        <item x="123"/>
        <item x="130"/>
        <item x="845"/>
        <item x="239"/>
        <item x="119"/>
        <item x="670"/>
        <item x="318"/>
        <item x="813"/>
        <item x="630"/>
        <item x="798"/>
        <item x="66"/>
        <item x="987"/>
        <item x="691"/>
        <item x="694"/>
        <item x="267"/>
        <item x="480"/>
        <item x="164"/>
        <item x="325"/>
        <item x="638"/>
        <item x="367"/>
        <item x="125"/>
        <item x="871"/>
        <item x="705"/>
        <item x="704"/>
        <item x="992"/>
        <item x="562"/>
        <item x="967"/>
        <item x="248"/>
        <item x="102"/>
        <item x="661"/>
        <item x="870"/>
        <item x="623"/>
        <item x="698"/>
        <item x="113"/>
        <item x="137"/>
        <item x="614"/>
        <item x="494"/>
        <item x="234"/>
        <item x="807"/>
        <item x="404"/>
        <item x="129"/>
        <item x="33"/>
        <item x="803"/>
        <item x="963"/>
        <item x="47"/>
        <item x="433"/>
        <item x="219"/>
        <item x="878"/>
        <item x="497"/>
        <item x="959"/>
        <item x="114"/>
        <item x="715"/>
        <item x="26"/>
        <item x="578"/>
        <item x="659"/>
        <item x="508"/>
        <item x="339"/>
        <item x="767"/>
        <item x="346"/>
        <item x="873"/>
        <item x="986"/>
        <item x="454"/>
        <item x="874"/>
        <item x="263"/>
        <item x="92"/>
        <item x="830"/>
        <item x="91"/>
        <item x="276"/>
        <item x="617"/>
        <item x="546"/>
        <item x="665"/>
        <item x="657"/>
        <item x="401"/>
        <item x="94"/>
        <item x="344"/>
        <item x="355"/>
        <item x="534"/>
        <item x="589"/>
        <item x="632"/>
        <item x="906"/>
        <item x="572"/>
        <item x="96"/>
        <item x="639"/>
        <item x="887"/>
        <item x="486"/>
        <item x="917"/>
        <item x="964"/>
        <item x="664"/>
        <item x="988"/>
        <item x="660"/>
        <item x="64"/>
        <item x="875"/>
        <item x="139"/>
        <item x="651"/>
        <item x="191"/>
        <item x="793"/>
        <item x="591"/>
        <item x="733"/>
        <item x="7"/>
        <item x="613"/>
        <item x="498"/>
        <item x="370"/>
        <item x="121"/>
        <item x="385"/>
        <item x="515"/>
        <item x="505"/>
        <item x="20"/>
        <item x="911"/>
        <item x="566"/>
        <item x="77"/>
        <item x="510"/>
        <item x="108"/>
        <item x="181"/>
        <item x="615"/>
        <item x="206"/>
        <item x="12"/>
        <item x="965"/>
        <item x="87"/>
        <item x="787"/>
        <item x="762"/>
        <item x="288"/>
        <item x="192"/>
        <item x="876"/>
        <item x="349"/>
        <item x="669"/>
        <item x="916"/>
        <item x="923"/>
        <item x="901"/>
        <item x="569"/>
        <item x="910"/>
        <item x="207"/>
        <item x="539"/>
        <item x="810"/>
        <item x="976"/>
        <item x="261"/>
        <item x="605"/>
        <item x="859"/>
        <item x="554"/>
        <item x="888"/>
        <item x="978"/>
        <item x="596"/>
        <item x="240"/>
        <item x="603"/>
        <item x="552"/>
        <item x="52"/>
        <item x="83"/>
        <item x="541"/>
        <item x="335"/>
        <item x="357"/>
        <item x="883"/>
        <item x="654"/>
        <item x="328"/>
        <item x="582"/>
        <item x="90"/>
        <item x="60"/>
        <item x="382"/>
        <item x="380"/>
        <item x="299"/>
        <item x="386"/>
        <item x="317"/>
        <item x="375"/>
        <item x="188"/>
        <item x="115"/>
        <item x="429"/>
        <item x="611"/>
        <item x="516"/>
        <item x="947"/>
        <item x="584"/>
        <item x="759"/>
        <item x="354"/>
        <item x="800"/>
        <item x="22"/>
        <item x="461"/>
        <item x="920"/>
        <item x="408"/>
        <item x="581"/>
        <item x="696"/>
        <item x="975"/>
        <item x="647"/>
        <item x="869"/>
        <item x="701"/>
        <item x="943"/>
        <item x="777"/>
        <item x="473"/>
        <item x="447"/>
        <item x="786"/>
        <item x="782"/>
        <item x="146"/>
        <item x="166"/>
        <item x="501"/>
        <item x="817"/>
        <item x="187"/>
        <item x="100"/>
        <item x="758"/>
        <item x="841"/>
        <item x="519"/>
        <item x="309"/>
        <item x="646"/>
        <item x="23"/>
        <item x="535"/>
        <item x="278"/>
        <item x="785"/>
        <item x="176"/>
        <item x="183"/>
        <item x="271"/>
        <item x="685"/>
        <item x="195"/>
        <item x="228"/>
        <item x="856"/>
        <item x="791"/>
        <item x="912"/>
        <item x="853"/>
        <item x="954"/>
        <item x="550"/>
        <item x="695"/>
        <item x="645"/>
        <item x="769"/>
        <item x="72"/>
        <item x="773"/>
        <item x="136"/>
        <item x="898"/>
        <item x="95"/>
        <item x="285"/>
        <item x="653"/>
        <item x="81"/>
        <item x="443"/>
        <item x="279"/>
        <item x="503"/>
        <item x="202"/>
        <item x="471"/>
        <item x="527"/>
        <item x="763"/>
        <item x="286"/>
        <item x="666"/>
        <item x="708"/>
        <item x="680"/>
        <item x="559"/>
        <item x="106"/>
        <item x="336"/>
        <item x="214"/>
        <item x="779"/>
        <item x="35"/>
        <item x="145"/>
        <item x="365"/>
        <item x="707"/>
        <item x="156"/>
        <item x="65"/>
        <item x="109"/>
        <item x="625"/>
        <item x="531"/>
        <item x="390"/>
        <item x="641"/>
        <item x="747"/>
        <item x="678"/>
        <item x="322"/>
        <item x="204"/>
        <item x="989"/>
        <item x="246"/>
        <item x="418"/>
        <item x="918"/>
        <item x="463"/>
        <item x="273"/>
        <item x="71"/>
        <item x="410"/>
        <item x="368"/>
        <item x="626"/>
        <item x="56"/>
        <item x="434"/>
        <item x="970"/>
        <item x="465"/>
        <item x="49"/>
        <item x="827"/>
        <item x="292"/>
        <item x="141"/>
        <item x="658"/>
        <item x="549"/>
        <item x="907"/>
        <item x="688"/>
        <item x="736"/>
        <item x="372"/>
        <item x="107"/>
        <item x="674"/>
        <item x="601"/>
        <item x="805"/>
        <item x="905"/>
        <item x="302"/>
        <item x="532"/>
        <item x="948"/>
        <item x="504"/>
        <item x="755"/>
        <item x="796"/>
        <item x="816"/>
        <item x="930"/>
        <item x="941"/>
        <item x="502"/>
        <item x="84"/>
        <item x="270"/>
        <item x="618"/>
        <item x="808"/>
        <item x="936"/>
        <item x="59"/>
        <item x="180"/>
        <item x="722"/>
        <item x="560"/>
        <item x="706"/>
        <item x="984"/>
        <item x="151"/>
        <item x="622"/>
        <item x="702"/>
        <item x="185"/>
        <item x="741"/>
        <item x="381"/>
        <item x="781"/>
        <item x="649"/>
        <item x="392"/>
        <item x="610"/>
        <item x="264"/>
        <item x="88"/>
        <item x="862"/>
        <item x="483"/>
        <item x="864"/>
        <item x="790"/>
        <item x="693"/>
        <item x="940"/>
        <item x="223"/>
        <item x="825"/>
        <item x="865"/>
        <item x="89"/>
        <item x="236"/>
        <item x="82"/>
        <item x="63"/>
        <item x="482"/>
        <item x="149"/>
        <item x="727"/>
        <item x="555"/>
        <item x="269"/>
        <item x="673"/>
        <item x="243"/>
        <item x="972"/>
        <item x="719"/>
        <item x="732"/>
        <item x="445"/>
        <item x="955"/>
        <item x="633"/>
        <item x="842"/>
        <item x="607"/>
        <item x="319"/>
        <item x="249"/>
        <item x="67"/>
        <item x="280"/>
        <item x="493"/>
        <item x="629"/>
        <item x="974"/>
        <item x="744"/>
        <item x="479"/>
        <item x="154"/>
        <item x="426"/>
        <item x="30"/>
        <item x="734"/>
        <item x="320"/>
        <item x="205"/>
        <item x="321"/>
        <item x="812"/>
        <item x="982"/>
        <item x="537"/>
        <item x="315"/>
        <item x="838"/>
        <item x="914"/>
        <item x="396"/>
        <item x="621"/>
        <item x="687"/>
        <item x="73"/>
        <item x="844"/>
        <item x="452"/>
        <item x="305"/>
        <item x="171"/>
        <item x="952"/>
        <item x="394"/>
        <item x="19"/>
        <item x="846"/>
        <item x="57"/>
        <item x="784"/>
        <item x="771"/>
        <item x="99"/>
        <item x="643"/>
        <item x="726"/>
        <item x="259"/>
        <item x="200"/>
        <item x="756"/>
        <item x="353"/>
        <item x="642"/>
        <item x="648"/>
        <item x="960"/>
        <item x="362"/>
        <item x="41"/>
        <item x="616"/>
        <item x="506"/>
        <item x="218"/>
        <item x="444"/>
        <item x="244"/>
        <item x="585"/>
        <item x="312"/>
        <item x="728"/>
        <item x="105"/>
        <item x="15"/>
        <item x="13"/>
        <item x="703"/>
        <item x="241"/>
        <item x="326"/>
        <item x="634"/>
        <item x="692"/>
        <item x="158"/>
        <item x="814"/>
        <item x="854"/>
        <item x="821"/>
        <item x="329"/>
        <item x="594"/>
        <item x="212"/>
        <item x="530"/>
        <item x="186"/>
        <item x="512"/>
        <item x="333"/>
        <item x="575"/>
        <item x="262"/>
        <item x="753"/>
        <item x="934"/>
        <item x="24"/>
        <item x="356"/>
        <item x="899"/>
        <item x="423"/>
        <item x="307"/>
        <item x="690"/>
        <item x="488"/>
        <item x="521"/>
        <item x="350"/>
        <item x="112"/>
        <item x="340"/>
        <item x="327"/>
        <item x="116"/>
        <item x="721"/>
        <item x="774"/>
        <item x="894"/>
        <item x="37"/>
        <item x="468"/>
        <item x="230"/>
        <item x="388"/>
        <item x="78"/>
        <item x="290"/>
        <item x="979"/>
        <item x="436"/>
        <item x="403"/>
        <item x="0"/>
        <item x="1"/>
        <item x="4"/>
        <item x="460"/>
        <item x="636"/>
        <item x="971"/>
        <item x="628"/>
        <item x="682"/>
        <item x="448"/>
        <item x="858"/>
        <item x="80"/>
        <item x="676"/>
        <item x="892"/>
        <item x="306"/>
        <item x="574"/>
        <item x="133"/>
        <item x="749"/>
        <item x="194"/>
        <item x="398"/>
        <item x="45"/>
        <item x="373"/>
        <item x="495"/>
        <item x="196"/>
        <item x="679"/>
        <item x="836"/>
        <item x="182"/>
        <item x="823"/>
        <item x="159"/>
        <item x="464"/>
        <item x="314"/>
        <item x="839"/>
        <item x="804"/>
        <item x="857"/>
        <item x="178"/>
        <item x="428"/>
        <item x="266"/>
        <item x="124"/>
        <item x="624"/>
        <item x="287"/>
        <item x="884"/>
        <item x="599"/>
        <item x="284"/>
        <item x="409"/>
        <item x="939"/>
        <item x="227"/>
        <item x="900"/>
        <item x="363"/>
        <item x="542"/>
        <item x="413"/>
        <item x="921"/>
        <item x="430"/>
        <item x="672"/>
        <item x="663"/>
        <item x="850"/>
        <item x="956"/>
        <item x="627"/>
        <item x="739"/>
        <item x="268"/>
        <item x="210"/>
        <item x="586"/>
        <item x="341"/>
        <item x="281"/>
        <item x="11"/>
        <item x="251"/>
        <item x="143"/>
        <item x="587"/>
        <item x="21"/>
        <item x="770"/>
        <item x="252"/>
        <item x="919"/>
        <item x="260"/>
        <item x="635"/>
        <item x="656"/>
        <item x="440"/>
        <item x="579"/>
        <item x="32"/>
        <item x="944"/>
        <item x="553"/>
        <item x="612"/>
        <item x="570"/>
        <item x="334"/>
        <item x="867"/>
        <item x="291"/>
        <item x="103"/>
        <item x="794"/>
        <item x="860"/>
        <item x="34"/>
        <item x="890"/>
        <item x="211"/>
        <item x="833"/>
        <item x="985"/>
        <item x="983"/>
        <item x="547"/>
        <item x="439"/>
        <item x="343"/>
        <item x="25"/>
        <item x="951"/>
        <item x="175"/>
        <item x="689"/>
        <item x="852"/>
        <item x="254"/>
        <item x="743"/>
        <item x="332"/>
        <item x="104"/>
        <item x="499"/>
        <item x="247"/>
        <item x="931"/>
        <item x="977"/>
        <item x="828"/>
        <item x="885"/>
        <item x="10"/>
        <item x="220"/>
        <item x="75"/>
        <item x="62"/>
        <item x="720"/>
        <item x="973"/>
        <item x="193"/>
        <item x="496"/>
        <item x="826"/>
        <item x="470"/>
        <item x="272"/>
        <item x="764"/>
        <item x="462"/>
        <item x="507"/>
        <item x="283"/>
        <item x="424"/>
        <item x="848"/>
        <item x="492"/>
        <item x="893"/>
        <item x="295"/>
        <item x="39"/>
        <item x="85"/>
        <item x="544"/>
        <item x="250"/>
        <item x="53"/>
        <item x="371"/>
        <item x="789"/>
        <item x="877"/>
        <item x="359"/>
        <item x="402"/>
        <item x="331"/>
        <item x="511"/>
        <item x="881"/>
        <item x="16"/>
        <item x="806"/>
        <item x="431"/>
        <item x="754"/>
        <item x="500"/>
        <item x="411"/>
        <item x="922"/>
        <item x="132"/>
        <item x="208"/>
        <item x="595"/>
        <item x="101"/>
        <item x="903"/>
        <item x="564"/>
        <item x="231"/>
        <item x="671"/>
        <item x="203"/>
        <item x="476"/>
        <item x="644"/>
        <item x="298"/>
        <item x="384"/>
        <item x="745"/>
        <item x="740"/>
        <item x="29"/>
        <item x="683"/>
        <item x="799"/>
        <item x="427"/>
        <item x="724"/>
        <item x="437"/>
        <item x="966"/>
        <item x="849"/>
        <item x="361"/>
        <item x="949"/>
        <item x="568"/>
        <item x="197"/>
        <item x="27"/>
        <item x="126"/>
        <item x="571"/>
        <item x="788"/>
        <item x="147"/>
        <item x="662"/>
        <item x="98"/>
        <item x="282"/>
        <item x="509"/>
        <item x="927"/>
        <item x="565"/>
        <item x="172"/>
        <item x="513"/>
        <item x="255"/>
        <item x="991"/>
        <item x="730"/>
        <item x="435"/>
        <item x="750"/>
        <item x="51"/>
        <item x="598"/>
        <item x="478"/>
        <item x="459"/>
        <item x="308"/>
        <item x="467"/>
        <item x="775"/>
        <item x="925"/>
        <item x="135"/>
        <item x="686"/>
        <item x="681"/>
        <item x="406"/>
        <item x="738"/>
        <item x="640"/>
        <item x="300"/>
        <item x="258"/>
        <item x="173"/>
        <item x="897"/>
        <item x="935"/>
        <item x="811"/>
        <item x="768"/>
        <item x="737"/>
        <item x="395"/>
        <item x="926"/>
        <item x="533"/>
        <item x="275"/>
        <item x="700"/>
        <item x="604"/>
        <item x="304"/>
        <item x="543"/>
        <item x="882"/>
        <item x="316"/>
        <item x="274"/>
        <item x="311"/>
        <item x="391"/>
        <item x="969"/>
        <item x="127"/>
        <item x="491"/>
        <item x="751"/>
        <item x="946"/>
        <item x="199"/>
        <item x="313"/>
        <item x="438"/>
        <item x="31"/>
        <item x="909"/>
        <item x="606"/>
        <item x="536"/>
        <item x="588"/>
        <item x="342"/>
        <item x="832"/>
        <item x="631"/>
        <item x="229"/>
        <item x="347"/>
        <item x="609"/>
        <item x="442"/>
        <item x="422"/>
        <item x="44"/>
        <item x="453"/>
        <item x="215"/>
        <item x="880"/>
        <item x="131"/>
        <item x="711"/>
        <item x="366"/>
        <item x="716"/>
        <item x="469"/>
        <item x="567"/>
        <item x="597"/>
        <item x="729"/>
        <item x="153"/>
        <item x="253"/>
        <item x="221"/>
        <item x="765"/>
        <item x="563"/>
        <item x="97"/>
        <item x="896"/>
        <item x="425"/>
        <item x="577"/>
        <item x="868"/>
        <item x="522"/>
        <item x="886"/>
        <item x="993"/>
        <item x="485"/>
        <item x="54"/>
        <item x="150"/>
        <item x="757"/>
        <item x="945"/>
        <item x="593"/>
        <item x="407"/>
        <item x="233"/>
        <item x="735"/>
        <item x="620"/>
        <item x="472"/>
        <item x="157"/>
        <item x="412"/>
        <item x="795"/>
        <item x="122"/>
        <item x="138"/>
        <item x="61"/>
        <item x="608"/>
        <item x="942"/>
        <item x="602"/>
        <item x="980"/>
        <item x="713"/>
        <item x="167"/>
        <item x="913"/>
        <item x="752"/>
        <item x="216"/>
        <item x="324"/>
        <item x="265"/>
        <item x="213"/>
        <item x="637"/>
        <item x="556"/>
        <item x="160"/>
        <item x="699"/>
        <item x="17"/>
        <item x="573"/>
        <item x="824"/>
        <item x="851"/>
        <item x="70"/>
        <item x="677"/>
        <item x="169"/>
        <item x="840"/>
        <item x="819"/>
        <item x="36"/>
        <item x="524"/>
        <item x="831"/>
        <item x="238"/>
        <item x="400"/>
        <item x="723"/>
        <item x="950"/>
        <item x="714"/>
        <item x="224"/>
        <item x="58"/>
        <item x="165"/>
        <item x="529"/>
        <item x="225"/>
        <item x="168"/>
        <item x="746"/>
        <item x="217"/>
        <item x="761"/>
        <item x="294"/>
        <item x="928"/>
        <item x="86"/>
        <item x="201"/>
        <item x="760"/>
        <item x="815"/>
        <item x="937"/>
        <item x="46"/>
        <item x="684"/>
        <item x="142"/>
        <item x="932"/>
        <item x="399"/>
        <item x="731"/>
        <item x="69"/>
        <item x="6"/>
        <item x="843"/>
        <item x="957"/>
        <item x="301"/>
        <item x="277"/>
        <item x="68"/>
        <item x="458"/>
        <item x="818"/>
        <item x="958"/>
        <item x="323"/>
        <item x="783"/>
        <item x="490"/>
        <item x="118"/>
        <item x="232"/>
        <item x="802"/>
        <item x="293"/>
        <item x="748"/>
        <item x="576"/>
        <item x="148"/>
        <item x="557"/>
        <item x="561"/>
        <item x="38"/>
        <item x="450"/>
        <item x="780"/>
        <item x="198"/>
        <item x="351"/>
        <item x="891"/>
        <item x="393"/>
        <item x="451"/>
        <item x="879"/>
        <item x="718"/>
        <item x="904"/>
        <item x="245"/>
        <item x="237"/>
        <item x="481"/>
        <item x="74"/>
        <item x="297"/>
        <item x="829"/>
        <item x="128"/>
        <item x="929"/>
        <item x="953"/>
        <item x="256"/>
        <item x="835"/>
        <item x="776"/>
        <item x="551"/>
        <item x="348"/>
        <item x="861"/>
        <item x="43"/>
        <item x="421"/>
        <item x="337"/>
        <item x="592"/>
        <item x="352"/>
        <item x="110"/>
        <item x="456"/>
        <item x="5"/>
        <item x="416"/>
        <item x="924"/>
        <item x="446"/>
        <item x="379"/>
        <item x="50"/>
        <item x="655"/>
        <item x="14"/>
        <item x="209"/>
        <item x="981"/>
        <item x="389"/>
        <item x="990"/>
        <item x="414"/>
        <item x="457"/>
        <item x="303"/>
        <item x="40"/>
        <item x="222"/>
        <item x="28"/>
        <item x="310"/>
        <item x="994"/>
        <item t="default"/>
      </items>
    </pivotField>
    <pivotField axis="axisRow" showAll="0">
      <items count="5">
        <item x="0"/>
        <item x="1"/>
        <item x="2"/>
        <item x="3"/>
        <item t="default"/>
      </items>
    </pivotField>
    <pivotField dataField="1"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units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5A8BF2-7F2C-462F-8CF3-5A8CFB6FB0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Per Segment">
  <location ref="A58:B63" firstHeaderRow="1" firstDataRow="1" firstDataCol="1"/>
  <pivotFields count="17">
    <pivotField showAll="0">
      <items count="12">
        <item x="8"/>
        <item x="7"/>
        <item x="5"/>
        <item x="1"/>
        <item x="3"/>
        <item x="6"/>
        <item x="0"/>
        <item x="2"/>
        <item x="9"/>
        <item x="4"/>
        <item x="10"/>
        <item t="default"/>
      </items>
    </pivotField>
    <pivotField showAll="0"/>
    <pivotField showAll="0">
      <items count="12">
        <item x="0"/>
        <item x="2"/>
        <item x="6"/>
        <item x="3"/>
        <item x="8"/>
        <item x="7"/>
        <item x="4"/>
        <item x="9"/>
        <item x="5"/>
        <item x="1"/>
        <item x="10"/>
        <item t="default"/>
      </items>
    </pivotField>
    <pivotField showAll="0">
      <items count="12">
        <item x="6"/>
        <item x="2"/>
        <item x="7"/>
        <item x="1"/>
        <item x="3"/>
        <item x="9"/>
        <item x="0"/>
        <item x="8"/>
        <item x="4"/>
        <item x="5"/>
        <item x="10"/>
        <item t="default"/>
      </items>
    </pivotField>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items count="6">
        <item x="3"/>
        <item x="1"/>
        <item x="2"/>
        <item x="0"/>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5">
    <i>
      <x/>
    </i>
    <i>
      <x v="2"/>
    </i>
    <i>
      <x v="1"/>
    </i>
    <i>
      <x v="3"/>
    </i>
    <i t="grand">
      <x/>
    </i>
  </rowItems>
  <colItems count="1">
    <i/>
  </colItems>
  <dataFields count="1">
    <dataField name="Sum of units_sold" fld="8" baseField="0" baseItem="0"/>
  </dataFields>
  <chartFormats count="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4" count="1" selected="0">
            <x v="0"/>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0A1A8B-2A83-46AA-8480-73597657DF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Per Segment">
  <location ref="A86:C103" firstHeaderRow="1" firstDataRow="1" firstDataCol="0"/>
  <pivotFields count="17">
    <pivotField showAll="0">
      <items count="12">
        <item x="8"/>
        <item x="7"/>
        <item x="5"/>
        <item x="1"/>
        <item x="3"/>
        <item x="6"/>
        <item x="0"/>
        <item x="2"/>
        <item x="9"/>
        <item x="4"/>
        <item x="10"/>
        <item t="default"/>
      </items>
    </pivotField>
    <pivotField showAll="0"/>
    <pivotField showAll="0">
      <items count="12">
        <item x="0"/>
        <item x="2"/>
        <item x="6"/>
        <item x="3"/>
        <item x="8"/>
        <item x="7"/>
        <item x="4"/>
        <item x="9"/>
        <item x="5"/>
        <item x="1"/>
        <item x="10"/>
        <item t="default"/>
      </items>
    </pivotField>
    <pivotField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items count="996">
        <item x="797"/>
        <item x="487"/>
        <item x="961"/>
        <item x="514"/>
        <item x="697"/>
        <item x="717"/>
        <item x="111"/>
        <item x="600"/>
        <item x="376"/>
        <item x="933"/>
        <item x="134"/>
        <item x="466"/>
        <item x="155"/>
        <item x="525"/>
        <item x="968"/>
        <item x="517"/>
        <item x="538"/>
        <item x="415"/>
        <item x="226"/>
        <item x="93"/>
        <item x="895"/>
        <item x="387"/>
        <item x="289"/>
        <item x="526"/>
        <item x="184"/>
        <item x="778"/>
        <item x="374"/>
        <item x="420"/>
        <item x="449"/>
        <item x="48"/>
        <item x="545"/>
        <item x="120"/>
        <item x="938"/>
        <item x="558"/>
        <item x="528"/>
        <item x="55"/>
        <item x="18"/>
        <item x="397"/>
        <item x="590"/>
        <item x="520"/>
        <item x="725"/>
        <item x="364"/>
        <item x="417"/>
        <item x="360"/>
        <item x="801"/>
        <item x="338"/>
        <item x="523"/>
        <item x="855"/>
        <item x="383"/>
        <item x="863"/>
        <item x="847"/>
        <item x="477"/>
        <item x="915"/>
        <item x="377"/>
        <item x="652"/>
        <item x="190"/>
        <item x="809"/>
        <item x="902"/>
        <item x="540"/>
        <item x="866"/>
        <item x="772"/>
        <item x="712"/>
        <item x="432"/>
        <item x="76"/>
        <item x="369"/>
        <item x="908"/>
        <item x="42"/>
        <item x="710"/>
        <item x="583"/>
        <item x="484"/>
        <item x="144"/>
        <item x="161"/>
        <item x="820"/>
        <item x="235"/>
        <item x="834"/>
        <item x="709"/>
        <item x="548"/>
        <item x="2"/>
        <item x="650"/>
        <item x="189"/>
        <item x="419"/>
        <item x="345"/>
        <item x="872"/>
        <item x="117"/>
        <item x="378"/>
        <item x="474"/>
        <item x="675"/>
        <item x="766"/>
        <item x="174"/>
        <item x="455"/>
        <item x="580"/>
        <item x="668"/>
        <item x="792"/>
        <item x="257"/>
        <item x="162"/>
        <item x="405"/>
        <item x="9"/>
        <item x="330"/>
        <item x="837"/>
        <item x="79"/>
        <item x="8"/>
        <item x="163"/>
        <item x="296"/>
        <item x="441"/>
        <item x="140"/>
        <item x="152"/>
        <item x="3"/>
        <item x="889"/>
        <item x="742"/>
        <item x="489"/>
        <item x="518"/>
        <item x="177"/>
        <item x="962"/>
        <item x="170"/>
        <item x="667"/>
        <item x="475"/>
        <item x="822"/>
        <item x="179"/>
        <item x="242"/>
        <item x="619"/>
        <item x="358"/>
        <item x="123"/>
        <item x="130"/>
        <item x="845"/>
        <item x="239"/>
        <item x="119"/>
        <item x="670"/>
        <item x="318"/>
        <item x="813"/>
        <item x="630"/>
        <item x="798"/>
        <item x="66"/>
        <item x="987"/>
        <item x="691"/>
        <item x="694"/>
        <item x="267"/>
        <item x="480"/>
        <item x="164"/>
        <item x="325"/>
        <item x="638"/>
        <item x="367"/>
        <item x="125"/>
        <item x="871"/>
        <item x="705"/>
        <item x="704"/>
        <item x="992"/>
        <item x="562"/>
        <item x="967"/>
        <item x="248"/>
        <item x="102"/>
        <item x="661"/>
        <item x="870"/>
        <item x="623"/>
        <item x="698"/>
        <item x="113"/>
        <item x="137"/>
        <item x="614"/>
        <item x="494"/>
        <item x="234"/>
        <item x="807"/>
        <item x="404"/>
        <item x="129"/>
        <item x="33"/>
        <item x="803"/>
        <item x="963"/>
        <item x="47"/>
        <item x="433"/>
        <item x="219"/>
        <item x="878"/>
        <item x="497"/>
        <item x="959"/>
        <item x="114"/>
        <item x="715"/>
        <item x="26"/>
        <item x="578"/>
        <item x="659"/>
        <item x="508"/>
        <item x="339"/>
        <item x="767"/>
        <item x="346"/>
        <item x="873"/>
        <item x="986"/>
        <item x="454"/>
        <item x="874"/>
        <item x="263"/>
        <item x="92"/>
        <item x="830"/>
        <item x="91"/>
        <item x="276"/>
        <item x="617"/>
        <item x="546"/>
        <item x="665"/>
        <item x="657"/>
        <item x="401"/>
        <item x="94"/>
        <item x="344"/>
        <item x="355"/>
        <item x="534"/>
        <item x="589"/>
        <item x="632"/>
        <item x="906"/>
        <item x="572"/>
        <item x="96"/>
        <item x="639"/>
        <item x="887"/>
        <item x="486"/>
        <item x="917"/>
        <item x="964"/>
        <item x="664"/>
        <item x="988"/>
        <item x="660"/>
        <item x="64"/>
        <item x="875"/>
        <item x="139"/>
        <item x="651"/>
        <item x="191"/>
        <item x="793"/>
        <item x="591"/>
        <item x="733"/>
        <item x="7"/>
        <item x="613"/>
        <item x="498"/>
        <item x="370"/>
        <item x="121"/>
        <item x="385"/>
        <item x="515"/>
        <item x="505"/>
        <item x="20"/>
        <item x="911"/>
        <item x="566"/>
        <item x="77"/>
        <item x="510"/>
        <item x="108"/>
        <item x="181"/>
        <item x="615"/>
        <item x="206"/>
        <item x="12"/>
        <item x="965"/>
        <item x="87"/>
        <item x="787"/>
        <item x="762"/>
        <item x="288"/>
        <item x="192"/>
        <item x="876"/>
        <item x="349"/>
        <item x="669"/>
        <item x="916"/>
        <item x="923"/>
        <item x="901"/>
        <item x="569"/>
        <item x="910"/>
        <item x="207"/>
        <item x="539"/>
        <item x="810"/>
        <item x="976"/>
        <item x="261"/>
        <item x="605"/>
        <item x="859"/>
        <item x="554"/>
        <item x="888"/>
        <item x="978"/>
        <item x="596"/>
        <item x="240"/>
        <item x="603"/>
        <item x="552"/>
        <item x="52"/>
        <item x="83"/>
        <item x="541"/>
        <item x="335"/>
        <item x="357"/>
        <item x="883"/>
        <item x="654"/>
        <item x="328"/>
        <item x="582"/>
        <item x="90"/>
        <item x="60"/>
        <item x="382"/>
        <item x="380"/>
        <item x="299"/>
        <item x="386"/>
        <item x="317"/>
        <item x="375"/>
        <item x="188"/>
        <item x="115"/>
        <item x="429"/>
        <item x="611"/>
        <item x="516"/>
        <item x="947"/>
        <item x="584"/>
        <item x="759"/>
        <item x="354"/>
        <item x="800"/>
        <item x="22"/>
        <item x="461"/>
        <item x="920"/>
        <item x="408"/>
        <item x="581"/>
        <item x="696"/>
        <item x="975"/>
        <item x="647"/>
        <item x="869"/>
        <item x="701"/>
        <item x="943"/>
        <item x="777"/>
        <item x="473"/>
        <item x="447"/>
        <item x="786"/>
        <item x="782"/>
        <item x="146"/>
        <item x="166"/>
        <item x="501"/>
        <item x="817"/>
        <item x="187"/>
        <item x="100"/>
        <item x="758"/>
        <item x="841"/>
        <item x="519"/>
        <item x="309"/>
        <item x="646"/>
        <item x="23"/>
        <item x="535"/>
        <item x="278"/>
        <item x="785"/>
        <item x="176"/>
        <item x="183"/>
        <item x="271"/>
        <item x="685"/>
        <item x="195"/>
        <item x="228"/>
        <item x="856"/>
        <item x="791"/>
        <item x="912"/>
        <item x="853"/>
        <item x="954"/>
        <item x="550"/>
        <item x="695"/>
        <item x="645"/>
        <item x="769"/>
        <item x="72"/>
        <item x="773"/>
        <item x="136"/>
        <item x="898"/>
        <item x="95"/>
        <item x="285"/>
        <item x="653"/>
        <item x="81"/>
        <item x="443"/>
        <item x="279"/>
        <item x="503"/>
        <item x="202"/>
        <item x="471"/>
        <item x="527"/>
        <item x="763"/>
        <item x="286"/>
        <item x="666"/>
        <item x="708"/>
        <item x="680"/>
        <item x="559"/>
        <item x="106"/>
        <item x="336"/>
        <item x="214"/>
        <item x="779"/>
        <item x="35"/>
        <item x="145"/>
        <item x="365"/>
        <item x="707"/>
        <item x="156"/>
        <item x="65"/>
        <item x="109"/>
        <item x="625"/>
        <item x="531"/>
        <item x="390"/>
        <item x="641"/>
        <item x="747"/>
        <item x="678"/>
        <item x="322"/>
        <item x="204"/>
        <item x="989"/>
        <item x="246"/>
        <item x="418"/>
        <item x="918"/>
        <item x="463"/>
        <item x="273"/>
        <item x="71"/>
        <item x="410"/>
        <item x="368"/>
        <item x="626"/>
        <item x="56"/>
        <item x="434"/>
        <item x="970"/>
        <item x="465"/>
        <item x="49"/>
        <item x="827"/>
        <item x="292"/>
        <item x="141"/>
        <item x="658"/>
        <item x="549"/>
        <item x="907"/>
        <item x="688"/>
        <item x="736"/>
        <item x="372"/>
        <item x="107"/>
        <item x="674"/>
        <item x="601"/>
        <item x="805"/>
        <item x="905"/>
        <item x="302"/>
        <item x="532"/>
        <item x="948"/>
        <item x="504"/>
        <item x="755"/>
        <item x="796"/>
        <item x="816"/>
        <item x="930"/>
        <item x="941"/>
        <item x="502"/>
        <item x="84"/>
        <item x="270"/>
        <item x="618"/>
        <item x="808"/>
        <item x="936"/>
        <item x="59"/>
        <item x="180"/>
        <item x="722"/>
        <item x="560"/>
        <item x="706"/>
        <item x="984"/>
        <item x="151"/>
        <item x="622"/>
        <item x="702"/>
        <item x="185"/>
        <item x="741"/>
        <item x="381"/>
        <item x="781"/>
        <item x="649"/>
        <item x="392"/>
        <item x="610"/>
        <item x="264"/>
        <item x="88"/>
        <item x="862"/>
        <item x="483"/>
        <item x="864"/>
        <item x="790"/>
        <item x="693"/>
        <item x="940"/>
        <item x="223"/>
        <item x="825"/>
        <item x="865"/>
        <item x="89"/>
        <item x="236"/>
        <item x="82"/>
        <item x="63"/>
        <item x="482"/>
        <item x="149"/>
        <item x="727"/>
        <item x="555"/>
        <item x="269"/>
        <item x="673"/>
        <item x="243"/>
        <item x="972"/>
        <item x="719"/>
        <item x="732"/>
        <item x="445"/>
        <item x="955"/>
        <item x="633"/>
        <item x="842"/>
        <item x="607"/>
        <item x="319"/>
        <item x="249"/>
        <item x="67"/>
        <item x="280"/>
        <item x="493"/>
        <item x="629"/>
        <item x="974"/>
        <item x="744"/>
        <item x="479"/>
        <item x="154"/>
        <item x="426"/>
        <item x="30"/>
        <item x="734"/>
        <item x="320"/>
        <item x="205"/>
        <item x="321"/>
        <item x="812"/>
        <item x="982"/>
        <item x="537"/>
        <item x="315"/>
        <item x="838"/>
        <item x="914"/>
        <item x="396"/>
        <item x="621"/>
        <item x="687"/>
        <item x="73"/>
        <item x="844"/>
        <item x="452"/>
        <item x="305"/>
        <item x="171"/>
        <item x="952"/>
        <item x="394"/>
        <item x="19"/>
        <item x="846"/>
        <item x="57"/>
        <item x="784"/>
        <item x="771"/>
        <item x="99"/>
        <item x="643"/>
        <item x="726"/>
        <item x="259"/>
        <item x="200"/>
        <item x="756"/>
        <item x="353"/>
        <item x="642"/>
        <item x="648"/>
        <item x="960"/>
        <item x="362"/>
        <item x="41"/>
        <item x="616"/>
        <item x="506"/>
        <item x="218"/>
        <item x="444"/>
        <item x="244"/>
        <item x="585"/>
        <item x="312"/>
        <item x="728"/>
        <item x="105"/>
        <item x="15"/>
        <item x="13"/>
        <item x="703"/>
        <item x="241"/>
        <item x="326"/>
        <item x="634"/>
        <item x="692"/>
        <item x="158"/>
        <item x="814"/>
        <item x="854"/>
        <item x="821"/>
        <item x="329"/>
        <item x="594"/>
        <item x="212"/>
        <item x="530"/>
        <item x="186"/>
        <item x="512"/>
        <item x="333"/>
        <item x="575"/>
        <item x="262"/>
        <item x="753"/>
        <item x="934"/>
        <item x="24"/>
        <item x="356"/>
        <item x="899"/>
        <item x="423"/>
        <item x="307"/>
        <item x="690"/>
        <item x="488"/>
        <item x="521"/>
        <item x="350"/>
        <item x="112"/>
        <item x="340"/>
        <item x="327"/>
        <item x="116"/>
        <item x="721"/>
        <item x="774"/>
        <item x="894"/>
        <item x="37"/>
        <item x="468"/>
        <item x="230"/>
        <item x="388"/>
        <item x="78"/>
        <item x="290"/>
        <item x="979"/>
        <item x="436"/>
        <item x="403"/>
        <item x="0"/>
        <item x="1"/>
        <item x="4"/>
        <item x="460"/>
        <item x="636"/>
        <item x="971"/>
        <item x="628"/>
        <item x="682"/>
        <item x="448"/>
        <item x="858"/>
        <item x="80"/>
        <item x="676"/>
        <item x="892"/>
        <item x="306"/>
        <item x="574"/>
        <item x="133"/>
        <item x="749"/>
        <item x="194"/>
        <item x="398"/>
        <item x="45"/>
        <item x="373"/>
        <item x="495"/>
        <item x="196"/>
        <item x="679"/>
        <item x="836"/>
        <item x="182"/>
        <item x="823"/>
        <item x="159"/>
        <item x="464"/>
        <item x="314"/>
        <item x="839"/>
        <item x="804"/>
        <item x="857"/>
        <item x="178"/>
        <item x="428"/>
        <item x="266"/>
        <item x="124"/>
        <item x="624"/>
        <item x="287"/>
        <item x="884"/>
        <item x="599"/>
        <item x="284"/>
        <item x="409"/>
        <item x="939"/>
        <item x="227"/>
        <item x="900"/>
        <item x="363"/>
        <item x="542"/>
        <item x="413"/>
        <item x="921"/>
        <item x="430"/>
        <item x="672"/>
        <item x="663"/>
        <item x="850"/>
        <item x="956"/>
        <item x="627"/>
        <item x="739"/>
        <item x="268"/>
        <item x="210"/>
        <item x="586"/>
        <item x="341"/>
        <item x="281"/>
        <item x="11"/>
        <item x="251"/>
        <item x="143"/>
        <item x="587"/>
        <item x="21"/>
        <item x="770"/>
        <item x="252"/>
        <item x="919"/>
        <item x="260"/>
        <item x="635"/>
        <item x="656"/>
        <item x="440"/>
        <item x="579"/>
        <item x="32"/>
        <item x="944"/>
        <item x="553"/>
        <item x="612"/>
        <item x="570"/>
        <item x="334"/>
        <item x="867"/>
        <item x="291"/>
        <item x="103"/>
        <item x="794"/>
        <item x="860"/>
        <item x="34"/>
        <item x="890"/>
        <item x="211"/>
        <item x="833"/>
        <item x="985"/>
        <item x="983"/>
        <item x="547"/>
        <item x="439"/>
        <item x="343"/>
        <item x="25"/>
        <item x="951"/>
        <item x="175"/>
        <item x="689"/>
        <item x="852"/>
        <item x="254"/>
        <item x="743"/>
        <item x="332"/>
        <item x="104"/>
        <item x="499"/>
        <item x="247"/>
        <item x="931"/>
        <item x="977"/>
        <item x="828"/>
        <item x="885"/>
        <item x="10"/>
        <item x="220"/>
        <item x="75"/>
        <item x="62"/>
        <item x="720"/>
        <item x="973"/>
        <item x="193"/>
        <item x="496"/>
        <item x="826"/>
        <item x="470"/>
        <item x="272"/>
        <item x="764"/>
        <item x="462"/>
        <item x="507"/>
        <item x="283"/>
        <item x="424"/>
        <item x="848"/>
        <item x="492"/>
        <item x="893"/>
        <item x="295"/>
        <item x="39"/>
        <item x="85"/>
        <item x="544"/>
        <item x="250"/>
        <item x="53"/>
        <item x="371"/>
        <item x="789"/>
        <item x="877"/>
        <item x="359"/>
        <item x="402"/>
        <item x="331"/>
        <item x="511"/>
        <item x="881"/>
        <item x="16"/>
        <item x="806"/>
        <item x="431"/>
        <item x="754"/>
        <item x="500"/>
        <item x="411"/>
        <item x="922"/>
        <item x="132"/>
        <item x="208"/>
        <item x="595"/>
        <item x="101"/>
        <item x="903"/>
        <item x="564"/>
        <item x="231"/>
        <item x="671"/>
        <item x="203"/>
        <item x="476"/>
        <item x="644"/>
        <item x="298"/>
        <item x="384"/>
        <item x="745"/>
        <item x="740"/>
        <item x="29"/>
        <item x="683"/>
        <item x="799"/>
        <item x="427"/>
        <item x="724"/>
        <item x="437"/>
        <item x="966"/>
        <item x="849"/>
        <item x="361"/>
        <item x="949"/>
        <item x="568"/>
        <item x="197"/>
        <item x="27"/>
        <item x="126"/>
        <item x="571"/>
        <item x="788"/>
        <item x="147"/>
        <item x="662"/>
        <item x="98"/>
        <item x="282"/>
        <item x="509"/>
        <item x="927"/>
        <item x="565"/>
        <item x="172"/>
        <item x="513"/>
        <item x="255"/>
        <item x="991"/>
        <item x="730"/>
        <item x="435"/>
        <item x="750"/>
        <item x="51"/>
        <item x="598"/>
        <item x="478"/>
        <item x="459"/>
        <item x="308"/>
        <item x="467"/>
        <item x="775"/>
        <item x="925"/>
        <item x="135"/>
        <item x="686"/>
        <item x="681"/>
        <item x="406"/>
        <item x="738"/>
        <item x="640"/>
        <item x="300"/>
        <item x="258"/>
        <item x="173"/>
        <item x="897"/>
        <item x="935"/>
        <item x="811"/>
        <item x="768"/>
        <item x="737"/>
        <item x="395"/>
        <item x="926"/>
        <item x="533"/>
        <item x="275"/>
        <item x="700"/>
        <item x="604"/>
        <item x="304"/>
        <item x="543"/>
        <item x="882"/>
        <item x="316"/>
        <item x="274"/>
        <item x="311"/>
        <item x="391"/>
        <item x="969"/>
        <item x="127"/>
        <item x="491"/>
        <item x="751"/>
        <item x="946"/>
        <item x="199"/>
        <item x="313"/>
        <item x="438"/>
        <item x="31"/>
        <item x="909"/>
        <item x="606"/>
        <item x="536"/>
        <item x="588"/>
        <item x="342"/>
        <item x="832"/>
        <item x="631"/>
        <item x="229"/>
        <item x="347"/>
        <item x="609"/>
        <item x="442"/>
        <item x="422"/>
        <item x="44"/>
        <item x="453"/>
        <item x="215"/>
        <item x="880"/>
        <item x="131"/>
        <item x="711"/>
        <item x="366"/>
        <item x="716"/>
        <item x="469"/>
        <item x="567"/>
        <item x="597"/>
        <item x="729"/>
        <item x="153"/>
        <item x="253"/>
        <item x="221"/>
        <item x="765"/>
        <item x="563"/>
        <item x="97"/>
        <item x="896"/>
        <item x="425"/>
        <item x="577"/>
        <item x="868"/>
        <item x="522"/>
        <item x="886"/>
        <item x="993"/>
        <item x="485"/>
        <item x="54"/>
        <item x="150"/>
        <item x="757"/>
        <item x="945"/>
        <item x="593"/>
        <item x="407"/>
        <item x="233"/>
        <item x="735"/>
        <item x="620"/>
        <item x="472"/>
        <item x="157"/>
        <item x="412"/>
        <item x="795"/>
        <item x="122"/>
        <item x="138"/>
        <item x="61"/>
        <item x="608"/>
        <item x="942"/>
        <item x="602"/>
        <item x="980"/>
        <item x="713"/>
        <item x="167"/>
        <item x="913"/>
        <item x="752"/>
        <item x="216"/>
        <item x="324"/>
        <item x="265"/>
        <item x="213"/>
        <item x="637"/>
        <item x="556"/>
        <item x="160"/>
        <item x="699"/>
        <item x="17"/>
        <item x="573"/>
        <item x="824"/>
        <item x="851"/>
        <item x="70"/>
        <item x="677"/>
        <item x="169"/>
        <item x="840"/>
        <item x="819"/>
        <item x="36"/>
        <item x="524"/>
        <item x="831"/>
        <item x="238"/>
        <item x="400"/>
        <item x="723"/>
        <item x="950"/>
        <item x="714"/>
        <item x="224"/>
        <item x="58"/>
        <item x="165"/>
        <item x="529"/>
        <item x="225"/>
        <item x="168"/>
        <item x="746"/>
        <item x="217"/>
        <item x="761"/>
        <item x="294"/>
        <item x="928"/>
        <item x="86"/>
        <item x="201"/>
        <item x="760"/>
        <item x="815"/>
        <item x="937"/>
        <item x="46"/>
        <item x="684"/>
        <item x="142"/>
        <item x="932"/>
        <item x="399"/>
        <item x="731"/>
        <item x="69"/>
        <item x="6"/>
        <item x="843"/>
        <item x="957"/>
        <item x="301"/>
        <item x="277"/>
        <item x="68"/>
        <item x="458"/>
        <item x="818"/>
        <item x="958"/>
        <item x="323"/>
        <item x="783"/>
        <item x="490"/>
        <item x="118"/>
        <item x="232"/>
        <item x="802"/>
        <item x="293"/>
        <item x="748"/>
        <item x="576"/>
        <item x="148"/>
        <item x="557"/>
        <item x="561"/>
        <item x="38"/>
        <item x="450"/>
        <item x="780"/>
        <item x="198"/>
        <item x="351"/>
        <item x="891"/>
        <item x="393"/>
        <item x="451"/>
        <item x="879"/>
        <item x="718"/>
        <item x="904"/>
        <item x="245"/>
        <item x="237"/>
        <item x="481"/>
        <item x="74"/>
        <item x="297"/>
        <item x="829"/>
        <item x="128"/>
        <item x="929"/>
        <item x="953"/>
        <item x="256"/>
        <item x="835"/>
        <item x="776"/>
        <item x="551"/>
        <item x="348"/>
        <item x="861"/>
        <item x="43"/>
        <item x="421"/>
        <item x="337"/>
        <item x="592"/>
        <item x="352"/>
        <item x="110"/>
        <item x="456"/>
        <item x="5"/>
        <item x="416"/>
        <item x="924"/>
        <item x="446"/>
        <item x="379"/>
        <item x="50"/>
        <item x="655"/>
        <item x="14"/>
        <item x="209"/>
        <item x="981"/>
        <item x="389"/>
        <item x="990"/>
        <item x="414"/>
        <item x="457"/>
        <item x="303"/>
        <item x="40"/>
        <item x="222"/>
        <item x="28"/>
        <item x="310"/>
        <item x="994"/>
        <item t="default"/>
      </items>
    </pivotField>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F01EB5-A4E1-4214-B428-10B54E89787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venue Per Year">
  <location ref="A26:B38" firstHeaderRow="1" firstDataRow="1" firstDataCol="1"/>
  <pivotFields count="17">
    <pivotField axis="axisRow" showAll="0" sortType="ascending">
      <items count="12">
        <item x="8"/>
        <item x="7"/>
        <item x="5"/>
        <item x="1"/>
        <item x="3"/>
        <item x="6"/>
        <item x="0"/>
        <item x="2"/>
        <item x="9"/>
        <item x="4"/>
        <item x="10"/>
        <item t="default"/>
      </items>
    </pivotField>
    <pivotField showAll="0"/>
    <pivotField showAll="0">
      <items count="12">
        <item x="0"/>
        <item x="2"/>
        <item x="6"/>
        <item x="3"/>
        <item x="8"/>
        <item x="7"/>
        <item x="4"/>
        <item x="9"/>
        <item x="5"/>
        <item x="1"/>
        <item x="10"/>
        <item t="default"/>
      </items>
    </pivotField>
    <pivotField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2">
    <i>
      <x/>
    </i>
    <i>
      <x v="1"/>
    </i>
    <i>
      <x v="2"/>
    </i>
    <i>
      <x v="3"/>
    </i>
    <i>
      <x v="4"/>
    </i>
    <i>
      <x v="5"/>
    </i>
    <i>
      <x v="6"/>
    </i>
    <i>
      <x v="7"/>
    </i>
    <i>
      <x v="8"/>
    </i>
    <i>
      <x v="9"/>
    </i>
    <i>
      <x v="10"/>
    </i>
    <i t="grand">
      <x/>
    </i>
  </rowItems>
  <colItems count="1">
    <i/>
  </colItems>
  <dataFields count="1">
    <dataField name="Sum of Revenue" fld="9"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E0E752-5717-426A-8C3E-9901D3708A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ngine Type Sales">
  <location ref="A18:B24" firstHeaderRow="1" firstDataRow="1" firstDataCol="1"/>
  <pivotFields count="17">
    <pivotField showAll="0">
      <items count="12">
        <item x="8"/>
        <item x="7"/>
        <item x="5"/>
        <item x="1"/>
        <item x="3"/>
        <item x="6"/>
        <item x="0"/>
        <item x="2"/>
        <item x="9"/>
        <item x="4"/>
        <item x="10"/>
        <item t="default"/>
      </items>
    </pivotField>
    <pivotField showAll="0"/>
    <pivotField showAll="0">
      <items count="12">
        <item x="0"/>
        <item x="2"/>
        <item x="6"/>
        <item x="3"/>
        <item x="8"/>
        <item x="7"/>
        <item x="4"/>
        <item x="9"/>
        <item x="5"/>
        <item x="1"/>
        <item x="10"/>
        <item t="default"/>
      </items>
    </pivotField>
    <pivotField showAll="0">
      <items count="12">
        <item x="6"/>
        <item x="2"/>
        <item x="7"/>
        <item x="1"/>
        <item x="3"/>
        <item x="9"/>
        <item x="0"/>
        <item x="8"/>
        <item x="4"/>
        <item x="5"/>
        <item x="10"/>
        <item t="default"/>
      </items>
    </pivotField>
    <pivotField showAll="0">
      <items count="5">
        <item x="2"/>
        <item x="1"/>
        <item x="0"/>
        <item x="3"/>
        <item t="default"/>
      </items>
    </pivotField>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6">
    <i>
      <x v="1"/>
    </i>
    <i>
      <x v="2"/>
    </i>
    <i>
      <x/>
    </i>
    <i>
      <x v="3"/>
    </i>
    <i>
      <x v="4"/>
    </i>
    <i t="grand">
      <x/>
    </i>
  </rowItems>
  <colItems count="1">
    <i/>
  </colItems>
  <dataFields count="1">
    <dataField name="Sum of units_sold" fld="8" baseField="0" baseItem="0"/>
  </dataFields>
  <chartFormats count="6">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2"/>
          </reference>
        </references>
      </pivotArea>
    </chartFormat>
    <chartFormat chart="4" format="13">
      <pivotArea type="data" outline="0" fieldPosition="0">
        <references count="2">
          <reference field="4294967294" count="1" selected="0">
            <x v="0"/>
          </reference>
          <reference field="5" count="1" selected="0">
            <x v="0"/>
          </reference>
        </references>
      </pivotArea>
    </chartFormat>
    <chartFormat chart="4" format="14">
      <pivotArea type="data" outline="0" fieldPosition="0">
        <references count="2">
          <reference field="4294967294" count="1" selected="0">
            <x v="0"/>
          </reference>
          <reference field="5" count="1" selected="0">
            <x v="3"/>
          </reference>
        </references>
      </pivotArea>
    </chartFormat>
    <chartFormat chart="4" format="1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7CA026-FAC8-41DD-9738-69BA16B800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arketing relation to Revenue">
  <location ref="A72:D84" firstHeaderRow="0" firstDataRow="1" firstDataCol="1"/>
  <pivotFields count="17">
    <pivotField showAll="0">
      <items count="12">
        <item x="8"/>
        <item x="7"/>
        <item x="5"/>
        <item x="1"/>
        <item x="3"/>
        <item x="6"/>
        <item x="0"/>
        <item x="2"/>
        <item x="9"/>
        <item x="4"/>
        <item x="10"/>
        <item t="default"/>
      </items>
    </pivotField>
    <pivotField showAll="0"/>
    <pivotField axis="axisRow" showAll="0" sortType="descending">
      <items count="12">
        <item x="0"/>
        <item x="2"/>
        <item x="6"/>
        <item x="3"/>
        <item x="8"/>
        <item x="7"/>
        <item x="4"/>
        <item x="9"/>
        <item x="5"/>
        <item x="1"/>
        <item x="10"/>
        <item t="default"/>
      </items>
      <autoSortScope>
        <pivotArea dataOnly="0" outline="0" fieldPosition="0">
          <references count="1">
            <reference field="4294967294" count="1" selected="0">
              <x v="2"/>
            </reference>
          </references>
        </pivotArea>
      </autoSortScope>
    </pivotField>
    <pivotField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s>
  <rowFields count="1">
    <field x="2"/>
  </rowFields>
  <rowItems count="12">
    <i>
      <x v="3"/>
    </i>
    <i>
      <x v="8"/>
    </i>
    <i>
      <x v="1"/>
    </i>
    <i>
      <x v="6"/>
    </i>
    <i>
      <x v="4"/>
    </i>
    <i>
      <x v="2"/>
    </i>
    <i>
      <x v="5"/>
    </i>
    <i>
      <x/>
    </i>
    <i>
      <x v="7"/>
    </i>
    <i>
      <x v="9"/>
    </i>
    <i>
      <x v="10"/>
    </i>
    <i t="grand">
      <x/>
    </i>
  </rowItems>
  <colFields count="1">
    <field x="-2"/>
  </colFields>
  <colItems count="3">
    <i>
      <x/>
    </i>
    <i i="1">
      <x v="1"/>
    </i>
    <i i="2">
      <x v="2"/>
    </i>
  </colItems>
  <dataFields count="3">
    <dataField name="Sum of units_sold" fld="8" baseField="0" baseItem="0"/>
    <dataField name="Sum of Revenue" fld="9" baseField="0" baseItem="0"/>
    <dataField name="Sum of marketing_spend_usd" fld="10" baseField="0" baseItem="0"/>
  </dataFields>
  <chartFormats count="3">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3110FF-CFDC-4864-A2C2-82B51E76F5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op Model Revenue">
  <location ref="A44:B56" firstHeaderRow="1" firstDataRow="1" firstDataCol="1"/>
  <pivotFields count="17">
    <pivotField showAll="0">
      <items count="12">
        <item x="8"/>
        <item x="7"/>
        <item x="5"/>
        <item x="1"/>
        <item x="3"/>
        <item x="6"/>
        <item x="0"/>
        <item x="2"/>
        <item x="9"/>
        <item x="4"/>
        <item x="10"/>
        <item t="default"/>
      </items>
    </pivotField>
    <pivotField showAll="0"/>
    <pivotField showAll="0">
      <items count="12">
        <item x="0"/>
        <item x="2"/>
        <item x="6"/>
        <item x="3"/>
        <item x="8"/>
        <item x="7"/>
        <item x="4"/>
        <item x="9"/>
        <item x="5"/>
        <item x="1"/>
        <item x="10"/>
        <item t="default"/>
      </items>
    </pivotField>
    <pivotField axis="axisRow"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Sum of Revenue" fld="9"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A242BE-A2D4-4D49-B4E3-FB2FB4DCAF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Per Segment">
  <location ref="A69:A70" firstHeaderRow="1" firstDataRow="1" firstDataCol="0"/>
  <pivotFields count="17">
    <pivotField showAll="0">
      <items count="12">
        <item x="8"/>
        <item x="7"/>
        <item x="5"/>
        <item x="1"/>
        <item x="3"/>
        <item x="6"/>
        <item x="0"/>
        <item x="2"/>
        <item x="9"/>
        <item x="4"/>
        <item x="10"/>
        <item t="default"/>
      </items>
    </pivotField>
    <pivotField showAll="0"/>
    <pivotField showAll="0">
      <items count="12">
        <item x="0"/>
        <item x="2"/>
        <item x="6"/>
        <item x="3"/>
        <item x="8"/>
        <item x="7"/>
        <item x="4"/>
        <item x="9"/>
        <item x="5"/>
        <item x="1"/>
        <item x="10"/>
        <item t="default"/>
      </items>
    </pivotField>
    <pivotField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units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EB8902-98AD-46F8-A0D4-82938115BE7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Per Segment">
  <location ref="A64:A65" firstHeaderRow="1" firstDataRow="1" firstDataCol="0"/>
  <pivotFields count="17">
    <pivotField showAll="0">
      <items count="12">
        <item x="8"/>
        <item x="7"/>
        <item x="5"/>
        <item x="1"/>
        <item x="3"/>
        <item x="6"/>
        <item x="0"/>
        <item x="2"/>
        <item x="9"/>
        <item x="4"/>
        <item x="10"/>
        <item t="default"/>
      </items>
    </pivotField>
    <pivotField showAll="0"/>
    <pivotField showAll="0">
      <items count="12">
        <item x="0"/>
        <item x="2"/>
        <item x="6"/>
        <item x="3"/>
        <item x="8"/>
        <item x="7"/>
        <item x="4"/>
        <item x="9"/>
        <item x="5"/>
        <item x="1"/>
        <item x="10"/>
        <item t="default"/>
      </items>
    </pivotField>
    <pivotField showAll="0">
      <items count="12">
        <item x="6"/>
        <item x="2"/>
        <item x="7"/>
        <item x="1"/>
        <item x="3"/>
        <item x="9"/>
        <item x="0"/>
        <item x="8"/>
        <item x="4"/>
        <item x="5"/>
        <item x="10"/>
        <item t="default"/>
      </items>
    </pivotField>
    <pivotField showAll="0">
      <items count="5">
        <item x="2"/>
        <item x="1"/>
        <item x="0"/>
        <item x="3"/>
        <item t="default"/>
      </items>
    </pivotField>
    <pivotField showAll="0">
      <items count="6">
        <item x="3"/>
        <item x="1"/>
        <item x="2"/>
        <item x="0"/>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6F34F8-1C71-4226-8AC6-66E404811578}" autoFormatId="16" applyNumberFormats="0" applyBorderFormats="0" applyFontFormats="0" applyPatternFormats="0" applyAlignmentFormats="0" applyWidthHeightFormats="0">
  <queryTableRefresh nextId="22" unboundColumnsRight="2">
    <queryTableFields count="19">
      <queryTableField id="1" name="year" tableColumnId="1"/>
      <queryTableField id="2" name="month" tableColumnId="2"/>
      <queryTableField id="3" name="country" tableColumnId="3"/>
      <queryTableField id="4" name="model" tableColumnId="4"/>
      <queryTableField id="5" name="segment" tableColumnId="5"/>
      <queryTableField id="6" name="engine_type" tableColumnId="6"/>
      <queryTableField id="7" name="price_usd" tableColumnId="7"/>
      <queryTableField id="16" name="Price Category" tableColumnId="16"/>
      <queryTableField id="8" name="units_sold" tableColumnId="8"/>
      <queryTableField id="9" name="Revenue" tableColumnId="9"/>
      <queryTableField id="10" name="marketing_spend_usd" tableColumnId="10"/>
      <queryTableField id="17" name="Revenue After Marketing" tableColumnId="17"/>
      <queryTableField id="11" name="dealership_count" tableColumnId="11"/>
      <queryTableField id="12" name="fuel_price_usd" tableColumnId="12"/>
      <queryTableField id="13" name="gdp_growth_percent" tableColumnId="13"/>
      <queryTableField id="14" name="interest_rate_percent" tableColumnId="14"/>
      <queryTableField id="15" name="competition_index" tableColumnId="15"/>
      <queryTableField id="20" dataBound="0" tableColumnId="18"/>
      <queryTableField id="21"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B7362C-1DCF-4422-AA1A-6E8D8A017903}" sourceName="year">
  <pivotTables>
    <pivotTable tabId="5" name="PivotTable5"/>
    <pivotTable tabId="5" name="PivotTable1"/>
    <pivotTable tabId="5" name="PivotTable6"/>
    <pivotTable tabId="5" name="PivotTable8"/>
    <pivotTable tabId="5" name="PivotTable9"/>
    <pivotTable tabId="5" name="PivotTable11"/>
    <pivotTable tabId="5" name="PivotTable2"/>
    <pivotTable tabId="5" name="PivotTable3"/>
    <pivotTable tabId="5" name="PivotTable7"/>
    <pivotTable tabId="5" name="PivotTable10"/>
    <pivotTable tabId="5" name="PivotTable12"/>
  </pivotTables>
  <data>
    <tabular pivotCacheId="275579765">
      <items count="11">
        <i x="8" s="1"/>
        <i x="7" s="1"/>
        <i x="5" s="1"/>
        <i x="1" s="1"/>
        <i x="3" s="1"/>
        <i x="6" s="1"/>
        <i x="0" s="1"/>
        <i x="2" s="1"/>
        <i x="9" s="1"/>
        <i x="4"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E3C9487-6D99-43F7-A129-AADD384AF7B2}" sourceName="country">
  <pivotTables>
    <pivotTable tabId="5" name="PivotTable5"/>
    <pivotTable tabId="5" name="PivotTable1"/>
    <pivotTable tabId="5" name="PivotTable6"/>
    <pivotTable tabId="5" name="PivotTable8"/>
    <pivotTable tabId="5" name="PivotTable9"/>
    <pivotTable tabId="5" name="PivotTable11"/>
    <pivotTable tabId="5" name="PivotTable2"/>
    <pivotTable tabId="5" name="PivotTable3"/>
    <pivotTable tabId="5" name="PivotTable7"/>
    <pivotTable tabId="5" name="PivotTable10"/>
    <pivotTable tabId="5" name="PivotTable12"/>
  </pivotTables>
  <data>
    <tabular pivotCacheId="275579765">
      <items count="11">
        <i x="0" s="1"/>
        <i x="2" s="1"/>
        <i x="6" s="1"/>
        <i x="3" s="1"/>
        <i x="8" s="1"/>
        <i x="7" s="1"/>
        <i x="4" s="1"/>
        <i x="9" s="1"/>
        <i x="5" s="1"/>
        <i x="1"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CEF82094-7D23-4863-847B-9F868F7CB0B3}" sourceName="model">
  <pivotTables>
    <pivotTable tabId="5" name="PivotTable5"/>
    <pivotTable tabId="5" name="PivotTable1"/>
    <pivotTable tabId="5" name="PivotTable6"/>
    <pivotTable tabId="5" name="PivotTable8"/>
    <pivotTable tabId="5" name="PivotTable9"/>
    <pivotTable tabId="5" name="PivotTable11"/>
    <pivotTable tabId="5" name="PivotTable2"/>
    <pivotTable tabId="5" name="PivotTable3"/>
    <pivotTable tabId="5" name="PivotTable7"/>
    <pivotTable tabId="5" name="PivotTable10"/>
    <pivotTable tabId="5" name="PivotTable12"/>
  </pivotTables>
  <data>
    <tabular pivotCacheId="275579765">
      <items count="11">
        <i x="6" s="1"/>
        <i x="2" s="1"/>
        <i x="7" s="1"/>
        <i x="1" s="1"/>
        <i x="3" s="1"/>
        <i x="9" s="1"/>
        <i x="0" s="1"/>
        <i x="8" s="1"/>
        <i x="4" s="1"/>
        <i x="5"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type" xr10:uid="{8B13C72E-2F16-4D0F-B551-DD6864095ADD}" sourceName="engine_type">
  <pivotTables>
    <pivotTable tabId="5" name="PivotTable5"/>
    <pivotTable tabId="5" name="PivotTable1"/>
    <pivotTable tabId="5" name="PivotTable6"/>
    <pivotTable tabId="5" name="PivotTable8"/>
    <pivotTable tabId="5" name="PivotTable9"/>
    <pivotTable tabId="5" name="PivotTable11"/>
    <pivotTable tabId="5" name="PivotTable2"/>
    <pivotTable tabId="5" name="PivotTable3"/>
    <pivotTable tabId="5" name="PivotTable7"/>
    <pivotTable tabId="5" name="PivotTable10"/>
    <pivotTable tabId="5" name="PivotTable12"/>
  </pivotTables>
  <data>
    <tabular pivotCacheId="275579765">
      <items count="5">
        <i x="3" s="1"/>
        <i x="1" s="1"/>
        <i x="2"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7534244-1678-4BAB-A46F-CEB57C6F85D8}" sourceName="segment">
  <pivotTables>
    <pivotTable tabId="5" name="PivotTable5"/>
    <pivotTable tabId="5" name="PivotTable1"/>
    <pivotTable tabId="5" name="PivotTable6"/>
    <pivotTable tabId="5" name="PivotTable8"/>
    <pivotTable tabId="5" name="PivotTable9"/>
    <pivotTable tabId="5" name="PivotTable11"/>
    <pivotTable tabId="5" name="PivotTable2"/>
    <pivotTable tabId="5" name="PivotTable3"/>
    <pivotTable tabId="5" name="PivotTable7"/>
    <pivotTable tabId="5" name="PivotTable10"/>
    <pivotTable tabId="5" name="PivotTable12"/>
  </pivotTables>
  <data>
    <tabular pivotCacheId="27557976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3DFB6D8-CF14-4610-85BC-DA99AEF50F9D}" cache="Slicer_year" caption="year" startItem="7" style="SlicerStyleLight5" rowHeight="251883"/>
  <slicer name="country 1" xr10:uid="{54AE56A0-25D7-46CF-BF29-4CB606927B91}" cache="Slicer_country" caption="country" startItem="1" style="SlicerStyleLight5" rowHeight="251883"/>
  <slicer name="model 1" xr10:uid="{27447D05-7CF3-4CA3-B916-AEB2D2B1977B}" cache="Slicer_model" caption="model" startItem="4" style="SlicerStyleLight5" rowHeight="251883"/>
  <slicer name="engine_type 1" xr10:uid="{A87C775F-1031-4F66-9290-ACB2E24FA3FA}" cache="Slicer_engine_type" caption="engine_type" style="SlicerStyleLight5" rowHeight="251883"/>
  <slicer name="segment 1" xr10:uid="{A7D331F3-80EC-4967-912D-D5024D54C25B}" cache="Slicer_segment" caption="segment" style="SlicerStyleLight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6B52A5-94B9-4BFE-8881-6278A7A5D9B9}" name="BMW" displayName="BMW" ref="A1:S1001" tableType="queryTable" totalsRowShown="0">
  <autoFilter ref="A1:S1001" xr:uid="{7A6B52A5-94B9-4BFE-8881-6278A7A5D9B9}"/>
  <tableColumns count="19">
    <tableColumn id="1" xr3:uid="{2EFF028F-4FB6-4FE7-A17C-7CFDA15BE3F5}" uniqueName="1" name="year" queryTableFieldId="1"/>
    <tableColumn id="2" xr3:uid="{77A18C37-53AF-4805-B870-D0CAB42CA776}" uniqueName="2" name="month" queryTableFieldId="2" dataDxfId="25"/>
    <tableColumn id="3" xr3:uid="{2F40E4D6-FD30-44FD-A977-98677D05CBC6}" uniqueName="3" name="country" queryTableFieldId="3" dataDxfId="24"/>
    <tableColumn id="4" xr3:uid="{3B8C9ED0-E450-40A6-B314-A7633E97DA15}" uniqueName="4" name="model" queryTableFieldId="4" dataDxfId="23"/>
    <tableColumn id="5" xr3:uid="{5B7A3260-1302-4636-819E-EC0D0F748FB0}" uniqueName="5" name="segment" queryTableFieldId="5" dataDxfId="22"/>
    <tableColumn id="6" xr3:uid="{4FA273EC-A488-4502-9874-1FA0D89CC134}" uniqueName="6" name="engine_type" queryTableFieldId="6" dataDxfId="21"/>
    <tableColumn id="7" xr3:uid="{7B8B2122-9695-48F3-8FF8-2AF9352F882C}" uniqueName="7" name="price_usd" queryTableFieldId="7"/>
    <tableColumn id="16" xr3:uid="{AF3B6EAA-13F8-43F9-89B2-986BEFE82EAC}" uniqueName="16" name="Price Category" queryTableFieldId="16"/>
    <tableColumn id="8" xr3:uid="{3657466F-7E39-4659-B84E-24638974AC26}" uniqueName="8" name="units_sold" queryTableFieldId="8"/>
    <tableColumn id="9" xr3:uid="{9D483445-49DE-4071-8FF7-6997C40CE747}" uniqueName="9" name="Revenue" queryTableFieldId="9"/>
    <tableColumn id="10" xr3:uid="{FB1BE5AB-091C-492B-905D-167446DE582D}" uniqueName="10" name="marketing_spend_usd" queryTableFieldId="10"/>
    <tableColumn id="17" xr3:uid="{9F99C0F9-5466-48A0-A225-DA5C6740C958}" uniqueName="17" name="Revenue After Marketing" queryTableFieldId="17"/>
    <tableColumn id="11" xr3:uid="{0E559549-E2CA-4524-88FE-9B0AEB2E8F10}" uniqueName="11" name="dealership_count" queryTableFieldId="11"/>
    <tableColumn id="12" xr3:uid="{BB183B50-53B0-43B8-A7A2-D5116FC92FA7}" uniqueName="12" name="fuel_price_usd" queryTableFieldId="12"/>
    <tableColumn id="13" xr3:uid="{7D99EAFB-8209-448D-B66B-962EF14D311D}" uniqueName="13" name="gdp_growth_percent" queryTableFieldId="13"/>
    <tableColumn id="14" xr3:uid="{89857D30-7396-4571-9B08-FEBCFA377F7E}" uniqueName="14" name="interest_rate_percent" queryTableFieldId="14"/>
    <tableColumn id="15" xr3:uid="{64ECCD61-0729-404E-9277-BC9FEF89A113}" uniqueName="15" name="competition_index" queryTableFieldId="15"/>
    <tableColumn id="18" xr3:uid="{DD950A83-D00A-490C-8588-06FB62C4F52A}" uniqueName="18" name="Column1" queryTableFieldId="20" dataDxfId="20">
      <calculatedColumnFormula>CORREL(BMW[units_sold],BMW[gdp_growth_percent])</calculatedColumnFormula>
    </tableColumn>
    <tableColumn id="19" xr3:uid="{87714881-A3B7-4758-A803-6A55914C7490}" uniqueName="19" name="Column2" queryTableFieldId="21"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C25E2E-3EB9-4366-978E-683636B1F7BE}" name="Table1" displayName="Table1" ref="A1:N1001" totalsRowShown="0" headerRowDxfId="18" dataDxfId="16" headerRowBorderDxfId="17" tableBorderDxfId="15" totalsRowBorderDxfId="14">
  <autoFilter ref="A1:N1001" xr:uid="{AAFB0596-032E-4220-BD0B-E85EF6C1E306}"/>
  <tableColumns count="14">
    <tableColumn id="1" xr3:uid="{C5B91A20-C2A4-4793-9AD7-8BDCDD9E974C}" name="year" dataDxfId="13"/>
    <tableColumn id="2" xr3:uid="{87D40821-E536-4905-8B27-5AEA0469C490}" name="month" dataDxfId="12"/>
    <tableColumn id="3" xr3:uid="{482255D5-2A0D-4D31-8DA1-70E2969604C3}" name="country" dataDxfId="11"/>
    <tableColumn id="4" xr3:uid="{2C11C5A0-CD23-456E-A101-F69CED4C2531}" name="model" dataDxfId="10"/>
    <tableColumn id="5" xr3:uid="{9E261568-DD98-4EF0-BB40-A943F834FD77}" name="segment" dataDxfId="9"/>
    <tableColumn id="6" xr3:uid="{5E891B80-F9E6-4EEC-BC24-EE1E472A3828}" name="engine_type" dataDxfId="8"/>
    <tableColumn id="7" xr3:uid="{78543A89-5CDE-4E64-B286-A6FC713205CF}" name="price_usd" dataDxfId="7"/>
    <tableColumn id="8" xr3:uid="{7255C1F6-BA8C-445F-A3A7-DDDD981F4503}" name="units_sold" dataDxfId="6"/>
    <tableColumn id="9" xr3:uid="{E13C92CB-DA54-4E63-B2EF-A1F1B7DAFA8D}" name="marketing_spend_usd" dataDxfId="5"/>
    <tableColumn id="10" xr3:uid="{C0228C3E-1D28-4E95-AFE9-36395BCB21B5}" name="dealership_count" dataDxfId="4"/>
    <tableColumn id="11" xr3:uid="{02E98608-BD24-424F-A2CA-7C6484B64FDC}" name="fuel_price_usd" dataDxfId="3"/>
    <tableColumn id="12" xr3:uid="{EF8A6923-F2E4-467D-BD78-05E5407CDC11}" name="gdp_growth_percent" dataDxfId="2"/>
    <tableColumn id="13" xr3:uid="{D4F55BCC-8BEC-461F-8BAB-0568B3A057F6}" name="interest_rate_percent" dataDxfId="1"/>
    <tableColumn id="14" xr3:uid="{9907D5E3-4D4F-44B2-ABD7-A1339865426F}" name="competition_index"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BF96-B748-40B7-ABFF-63EC6274C558}">
  <dimension ref="D1:O52"/>
  <sheetViews>
    <sheetView showGridLines="0" tabSelected="1" topLeftCell="A12" zoomScale="70" zoomScaleNormal="70" workbookViewId="0">
      <selection activeCell="AF46" sqref="AF46"/>
    </sheetView>
  </sheetViews>
  <sheetFormatPr defaultRowHeight="14.5" x14ac:dyDescent="0.35"/>
  <cols>
    <col min="5" max="5" width="14.90625" customWidth="1"/>
    <col min="6" max="6" width="10.6328125" customWidth="1"/>
    <col min="8" max="8" width="10.90625" customWidth="1"/>
    <col min="10" max="10" width="21.453125" bestFit="1" customWidth="1"/>
    <col min="15" max="15" width="6" customWidth="1"/>
  </cols>
  <sheetData>
    <row r="1" spans="4:15" s="19" customFormat="1" x14ac:dyDescent="0.35">
      <c r="F1" s="31" t="s">
        <v>69</v>
      </c>
      <c r="G1" s="31"/>
      <c r="H1" s="31"/>
      <c r="I1" s="31"/>
      <c r="J1" s="31"/>
      <c r="K1" s="31"/>
      <c r="L1" s="31"/>
      <c r="M1" s="31"/>
      <c r="N1" s="31"/>
      <c r="O1" s="31"/>
    </row>
    <row r="2" spans="4:15" s="19" customFormat="1" x14ac:dyDescent="0.35">
      <c r="F2" s="31"/>
      <c r="G2" s="31"/>
      <c r="H2" s="31"/>
      <c r="I2" s="31"/>
      <c r="J2" s="31"/>
      <c r="K2" s="31"/>
      <c r="L2" s="31"/>
      <c r="M2" s="31"/>
      <c r="N2" s="31"/>
      <c r="O2" s="31"/>
    </row>
    <row r="3" spans="4:15" s="19" customFormat="1" x14ac:dyDescent="0.35">
      <c r="F3" s="31"/>
      <c r="G3" s="31"/>
      <c r="H3" s="31"/>
      <c r="I3" s="31"/>
      <c r="J3" s="31"/>
      <c r="K3" s="31"/>
      <c r="L3" s="31"/>
      <c r="M3" s="31"/>
      <c r="N3" s="31"/>
      <c r="O3" s="31"/>
    </row>
    <row r="4" spans="4:15" s="19" customFormat="1" ht="14.5" customHeight="1" x14ac:dyDescent="0.35">
      <c r="D4" s="32" t="s">
        <v>68</v>
      </c>
      <c r="E4" s="32"/>
      <c r="H4" s="32" t="s">
        <v>70</v>
      </c>
      <c r="I4" s="32"/>
    </row>
    <row r="5" spans="4:15" s="19" customFormat="1" ht="14.5" customHeight="1" x14ac:dyDescent="0.35">
      <c r="D5" s="32"/>
      <c r="E5" s="32"/>
      <c r="H5" s="32"/>
      <c r="I5" s="32"/>
    </row>
    <row r="6" spans="4:15" s="19" customFormat="1" ht="14.5" customHeight="1" x14ac:dyDescent="0.35">
      <c r="D6" s="33">
        <f>GETPIVOTDATA("Revenue",Pivots!$A$64)</f>
        <v>47969164700</v>
      </c>
      <c r="E6" s="33"/>
      <c r="H6" s="33">
        <f>GETPIVOTDATA("units_sold",Pivots!$A$69)</f>
        <v>633192</v>
      </c>
      <c r="I6" s="33"/>
      <c r="J6" s="20"/>
    </row>
    <row r="7" spans="4:15" s="19" customFormat="1" ht="14.5" customHeight="1" x14ac:dyDescent="0.35">
      <c r="D7" s="33"/>
      <c r="E7" s="33"/>
      <c r="H7" s="33"/>
      <c r="I7" s="33"/>
    </row>
    <row r="8" spans="4:15" s="19" customFormat="1" x14ac:dyDescent="0.35"/>
    <row r="9" spans="4:15" s="19" customFormat="1" x14ac:dyDescent="0.35"/>
    <row r="10" spans="4:15" s="19" customFormat="1" x14ac:dyDescent="0.35"/>
    <row r="11" spans="4:15" s="19" customFormat="1" x14ac:dyDescent="0.35"/>
    <row r="12" spans="4:15" s="19" customFormat="1" x14ac:dyDescent="0.35"/>
    <row r="13" spans="4:15" s="19" customFormat="1" x14ac:dyDescent="0.35"/>
    <row r="14" spans="4:15" s="19" customFormat="1" x14ac:dyDescent="0.35"/>
    <row r="15" spans="4:15" s="19" customFormat="1" x14ac:dyDescent="0.35"/>
    <row r="16" spans="4:15" s="19" customFormat="1" x14ac:dyDescent="0.35"/>
    <row r="17" s="19" customFormat="1" x14ac:dyDescent="0.35"/>
    <row r="18" s="19" customFormat="1" x14ac:dyDescent="0.35"/>
    <row r="19" s="19" customFormat="1" x14ac:dyDescent="0.35"/>
    <row r="20" s="19" customFormat="1" x14ac:dyDescent="0.35"/>
    <row r="21" s="19" customFormat="1" x14ac:dyDescent="0.35"/>
    <row r="22" s="19" customFormat="1" x14ac:dyDescent="0.35"/>
    <row r="23" s="19" customFormat="1" x14ac:dyDescent="0.35"/>
    <row r="24" s="19" customFormat="1" x14ac:dyDescent="0.35"/>
    <row r="25" s="19" customFormat="1" x14ac:dyDescent="0.35"/>
    <row r="26" s="19" customFormat="1" x14ac:dyDescent="0.35"/>
    <row r="27" s="19" customFormat="1" x14ac:dyDescent="0.35"/>
    <row r="28" s="19" customFormat="1" x14ac:dyDescent="0.35"/>
    <row r="29" s="19" customFormat="1" x14ac:dyDescent="0.35"/>
    <row r="30" s="19" customFormat="1" x14ac:dyDescent="0.35"/>
    <row r="31" s="19" customFormat="1" x14ac:dyDescent="0.35"/>
    <row r="32" s="19" customFormat="1" x14ac:dyDescent="0.35"/>
    <row r="33" s="19" customFormat="1" x14ac:dyDescent="0.35"/>
    <row r="34" s="19" customFormat="1" x14ac:dyDescent="0.35"/>
    <row r="35" s="19" customFormat="1" x14ac:dyDescent="0.35"/>
    <row r="36" s="19" customFormat="1" x14ac:dyDescent="0.35"/>
    <row r="37" s="19" customFormat="1" x14ac:dyDescent="0.35"/>
    <row r="38" s="19" customFormat="1" x14ac:dyDescent="0.35"/>
    <row r="39" s="19" customFormat="1" x14ac:dyDescent="0.35"/>
    <row r="40" s="19" customFormat="1" x14ac:dyDescent="0.35"/>
    <row r="41" s="19" customFormat="1" x14ac:dyDescent="0.35"/>
    <row r="42" s="19" customFormat="1" x14ac:dyDescent="0.35"/>
    <row r="43" s="19" customFormat="1" x14ac:dyDescent="0.35"/>
    <row r="44" s="19" customFormat="1" x14ac:dyDescent="0.35"/>
    <row r="45" s="19" customFormat="1" x14ac:dyDescent="0.35"/>
    <row r="46" s="19" customFormat="1" x14ac:dyDescent="0.35"/>
    <row r="47" s="19" customFormat="1" x14ac:dyDescent="0.35"/>
    <row r="48" s="19" customFormat="1" x14ac:dyDescent="0.35"/>
    <row r="49" s="19" customFormat="1" x14ac:dyDescent="0.35"/>
    <row r="50" s="19" customFormat="1" x14ac:dyDescent="0.35"/>
    <row r="51" s="19" customFormat="1" x14ac:dyDescent="0.35"/>
    <row r="52" s="19" customFormat="1" x14ac:dyDescent="0.35"/>
  </sheetData>
  <mergeCells count="5">
    <mergeCell ref="F1:O3"/>
    <mergeCell ref="D4:E5"/>
    <mergeCell ref="D6:E7"/>
    <mergeCell ref="H4:I5"/>
    <mergeCell ref="H6:I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2836-F818-4F33-A6FA-D438BC73A799}">
  <dimension ref="A2:G112"/>
  <sheetViews>
    <sheetView showGridLines="0" topLeftCell="A97" workbookViewId="0">
      <selection activeCell="G105" sqref="G105"/>
    </sheetView>
  </sheetViews>
  <sheetFormatPr defaultRowHeight="14.5" x14ac:dyDescent="0.35"/>
  <cols>
    <col min="1" max="1" width="18.54296875" bestFit="1" customWidth="1"/>
    <col min="2" max="2" width="15.7265625" bestFit="1" customWidth="1"/>
    <col min="3" max="3" width="14.36328125" bestFit="1" customWidth="1"/>
    <col min="4" max="4" width="10.36328125" bestFit="1" customWidth="1"/>
    <col min="5" max="5" width="27.6328125" bestFit="1" customWidth="1"/>
    <col min="6" max="6" width="14.36328125" bestFit="1" customWidth="1"/>
    <col min="7" max="7" width="25.7265625" bestFit="1" customWidth="1"/>
  </cols>
  <sheetData>
    <row r="2" spans="1:4" x14ac:dyDescent="0.35">
      <c r="A2" t="s">
        <v>64</v>
      </c>
    </row>
    <row r="3" spans="1:4" x14ac:dyDescent="0.35">
      <c r="A3" s="13"/>
      <c r="B3" s="15" t="s">
        <v>61</v>
      </c>
      <c r="C3" s="15" t="s">
        <v>60</v>
      </c>
      <c r="D3" s="16" t="s">
        <v>62</v>
      </c>
    </row>
    <row r="4" spans="1:4" x14ac:dyDescent="0.35">
      <c r="A4" s="15" t="s">
        <v>28</v>
      </c>
      <c r="B4" s="15">
        <v>77488</v>
      </c>
      <c r="C4" s="15">
        <v>6072297993</v>
      </c>
      <c r="D4" s="17">
        <v>0.12658752827939071</v>
      </c>
    </row>
    <row r="5" spans="1:4" x14ac:dyDescent="0.35">
      <c r="A5" s="15" t="s">
        <v>32</v>
      </c>
      <c r="B5" s="15">
        <v>70639</v>
      </c>
      <c r="C5" s="15">
        <v>5487964042</v>
      </c>
      <c r="D5" s="17">
        <v>0.11440607891177225</v>
      </c>
    </row>
    <row r="6" spans="1:4" x14ac:dyDescent="0.35">
      <c r="A6" s="15" t="s">
        <v>37</v>
      </c>
      <c r="B6" s="15">
        <v>67173</v>
      </c>
      <c r="C6" s="15">
        <v>5029553241</v>
      </c>
      <c r="D6" s="17">
        <v>0.10484971486276475</v>
      </c>
    </row>
    <row r="7" spans="1:4" x14ac:dyDescent="0.35">
      <c r="A7" s="15" t="s">
        <v>30</v>
      </c>
      <c r="B7" s="15">
        <v>65898</v>
      </c>
      <c r="C7" s="15">
        <v>4972431297</v>
      </c>
      <c r="D7" s="17">
        <v>0.10365890938684617</v>
      </c>
    </row>
    <row r="8" spans="1:4" x14ac:dyDescent="0.35">
      <c r="A8" s="15" t="s">
        <v>25</v>
      </c>
      <c r="B8" s="15">
        <v>64331</v>
      </c>
      <c r="C8" s="15">
        <v>4959349000</v>
      </c>
      <c r="D8" s="17">
        <v>0.10338618633482272</v>
      </c>
    </row>
    <row r="9" spans="1:4" x14ac:dyDescent="0.35">
      <c r="A9" s="15" t="s">
        <v>14</v>
      </c>
      <c r="B9" s="15">
        <v>61987</v>
      </c>
      <c r="C9" s="15">
        <v>4549509804</v>
      </c>
      <c r="D9" s="17">
        <v>9.484238119326685E-2</v>
      </c>
    </row>
    <row r="10" spans="1:4" x14ac:dyDescent="0.35">
      <c r="A10" s="15" t="s">
        <v>36</v>
      </c>
      <c r="B10" s="15">
        <v>59006</v>
      </c>
      <c r="C10" s="15">
        <v>4493222982</v>
      </c>
      <c r="D10" s="17">
        <v>9.3668985276285199E-2</v>
      </c>
    </row>
    <row r="11" spans="1:4" x14ac:dyDescent="0.35">
      <c r="A11" s="15" t="s">
        <v>21</v>
      </c>
      <c r="B11" s="15">
        <v>52647</v>
      </c>
      <c r="C11" s="15">
        <v>4160873752</v>
      </c>
      <c r="D11" s="17">
        <v>8.6740592170453198E-2</v>
      </c>
    </row>
    <row r="12" spans="1:4" x14ac:dyDescent="0.35">
      <c r="A12" s="15" t="s">
        <v>38</v>
      </c>
      <c r="B12" s="15">
        <v>58076</v>
      </c>
      <c r="C12" s="15">
        <v>4143581597</v>
      </c>
      <c r="D12" s="17">
        <v>8.6380107365096562E-2</v>
      </c>
    </row>
    <row r="13" spans="1:4" x14ac:dyDescent="0.35">
      <c r="A13" s="15" t="s">
        <v>35</v>
      </c>
      <c r="B13" s="21">
        <v>55947</v>
      </c>
      <c r="C13" s="21">
        <v>4100380992</v>
      </c>
      <c r="D13" s="18">
        <v>8.547951621930161E-2</v>
      </c>
    </row>
    <row r="14" spans="1:4" x14ac:dyDescent="0.35">
      <c r="A14" s="15" t="s">
        <v>58</v>
      </c>
      <c r="B14" s="15"/>
      <c r="C14" s="15"/>
      <c r="D14" s="17">
        <v>0</v>
      </c>
    </row>
    <row r="15" spans="1:4" x14ac:dyDescent="0.35">
      <c r="A15" s="13" t="s">
        <v>59</v>
      </c>
      <c r="B15" s="13">
        <v>633192</v>
      </c>
      <c r="C15" s="13">
        <v>47969164700</v>
      </c>
      <c r="D15" s="14">
        <v>1</v>
      </c>
    </row>
    <row r="18" spans="1:2" x14ac:dyDescent="0.35">
      <c r="A18" s="11" t="s">
        <v>65</v>
      </c>
      <c r="B18" t="s">
        <v>61</v>
      </c>
    </row>
    <row r="19" spans="1:2" x14ac:dyDescent="0.35">
      <c r="A19" s="12" t="s">
        <v>20</v>
      </c>
      <c r="B19">
        <v>170694</v>
      </c>
    </row>
    <row r="20" spans="1:2" x14ac:dyDescent="0.35">
      <c r="A20" s="12" t="s">
        <v>23</v>
      </c>
      <c r="B20">
        <v>159624</v>
      </c>
    </row>
    <row r="21" spans="1:2" x14ac:dyDescent="0.35">
      <c r="A21" s="12" t="s">
        <v>27</v>
      </c>
      <c r="B21">
        <v>157598</v>
      </c>
    </row>
    <row r="22" spans="1:2" x14ac:dyDescent="0.35">
      <c r="A22" s="12" t="s">
        <v>17</v>
      </c>
      <c r="B22">
        <v>145276</v>
      </c>
    </row>
    <row r="23" spans="1:2" x14ac:dyDescent="0.35">
      <c r="A23" s="12" t="s">
        <v>58</v>
      </c>
    </row>
    <row r="24" spans="1:2" x14ac:dyDescent="0.35">
      <c r="A24" s="12" t="s">
        <v>59</v>
      </c>
      <c r="B24">
        <v>633192</v>
      </c>
    </row>
    <row r="26" spans="1:2" x14ac:dyDescent="0.35">
      <c r="A26" s="11" t="s">
        <v>67</v>
      </c>
      <c r="B26" t="s">
        <v>60</v>
      </c>
    </row>
    <row r="27" spans="1:2" x14ac:dyDescent="0.35">
      <c r="A27" s="12">
        <v>2015</v>
      </c>
      <c r="B27">
        <v>5786624353</v>
      </c>
    </row>
    <row r="28" spans="1:2" x14ac:dyDescent="0.35">
      <c r="A28" s="12">
        <v>2016</v>
      </c>
      <c r="B28">
        <v>3983041996</v>
      </c>
    </row>
    <row r="29" spans="1:2" x14ac:dyDescent="0.35">
      <c r="A29" s="12">
        <v>2017</v>
      </c>
      <c r="B29">
        <v>5421022991</v>
      </c>
    </row>
    <row r="30" spans="1:2" x14ac:dyDescent="0.35">
      <c r="A30" s="12">
        <v>2018</v>
      </c>
      <c r="B30">
        <v>4340167456</v>
      </c>
    </row>
    <row r="31" spans="1:2" x14ac:dyDescent="0.35">
      <c r="A31" s="12">
        <v>2019</v>
      </c>
      <c r="B31">
        <v>5087502384</v>
      </c>
    </row>
    <row r="32" spans="1:2" x14ac:dyDescent="0.35">
      <c r="A32" s="12">
        <v>2020</v>
      </c>
      <c r="B32">
        <v>4643344835</v>
      </c>
    </row>
    <row r="33" spans="1:5" x14ac:dyDescent="0.35">
      <c r="A33" s="12">
        <v>2021</v>
      </c>
      <c r="B33">
        <v>4556304930</v>
      </c>
    </row>
    <row r="34" spans="1:5" x14ac:dyDescent="0.35">
      <c r="A34" s="12">
        <v>2022</v>
      </c>
      <c r="B34">
        <v>4581617494</v>
      </c>
    </row>
    <row r="35" spans="1:5" x14ac:dyDescent="0.35">
      <c r="A35" s="12">
        <v>2023</v>
      </c>
      <c r="B35">
        <v>4413090832</v>
      </c>
    </row>
    <row r="36" spans="1:5" x14ac:dyDescent="0.35">
      <c r="A36" s="12">
        <v>2024</v>
      </c>
      <c r="B36">
        <v>5156447429</v>
      </c>
    </row>
    <row r="37" spans="1:5" x14ac:dyDescent="0.35">
      <c r="A37" s="12" t="s">
        <v>58</v>
      </c>
    </row>
    <row r="38" spans="1:5" x14ac:dyDescent="0.35">
      <c r="A38" s="12" t="s">
        <v>59</v>
      </c>
      <c r="B38">
        <v>47969164700</v>
      </c>
    </row>
    <row r="41" spans="1:5" ht="31" customHeight="1" x14ac:dyDescent="0.35">
      <c r="C41" s="1"/>
    </row>
    <row r="42" spans="1:5" ht="29" customHeight="1" x14ac:dyDescent="0.35">
      <c r="C42" s="34"/>
      <c r="E42">
        <f>SUM(BMW!J982:J1001)</f>
        <v>1115243998</v>
      </c>
    </row>
    <row r="43" spans="1:5" ht="34" customHeight="1" x14ac:dyDescent="0.35">
      <c r="C43" s="34"/>
    </row>
    <row r="44" spans="1:5" x14ac:dyDescent="0.35">
      <c r="A44" s="11" t="s">
        <v>63</v>
      </c>
      <c r="B44" t="s">
        <v>60</v>
      </c>
    </row>
    <row r="45" spans="1:5" x14ac:dyDescent="0.35">
      <c r="A45" s="12" t="s">
        <v>31</v>
      </c>
      <c r="B45">
        <v>5281929125</v>
      </c>
    </row>
    <row r="46" spans="1:5" x14ac:dyDescent="0.35">
      <c r="A46" s="12" t="s">
        <v>22</v>
      </c>
      <c r="B46">
        <v>4276025156</v>
      </c>
    </row>
    <row r="47" spans="1:5" x14ac:dyDescent="0.35">
      <c r="A47" s="12" t="s">
        <v>33</v>
      </c>
      <c r="B47">
        <v>4870343575</v>
      </c>
    </row>
    <row r="48" spans="1:5" x14ac:dyDescent="0.35">
      <c r="A48" s="12" t="s">
        <v>18</v>
      </c>
      <c r="B48">
        <v>5342875307</v>
      </c>
    </row>
    <row r="49" spans="1:2" x14ac:dyDescent="0.35">
      <c r="A49" s="12" t="s">
        <v>24</v>
      </c>
      <c r="B49">
        <v>4784153567</v>
      </c>
    </row>
    <row r="50" spans="1:2" x14ac:dyDescent="0.35">
      <c r="A50" s="12" t="s">
        <v>39</v>
      </c>
      <c r="B50">
        <v>3848748931</v>
      </c>
    </row>
    <row r="51" spans="1:2" x14ac:dyDescent="0.35">
      <c r="A51" s="12" t="s">
        <v>15</v>
      </c>
      <c r="B51">
        <v>4681234375</v>
      </c>
    </row>
    <row r="52" spans="1:2" x14ac:dyDescent="0.35">
      <c r="A52" s="12" t="s">
        <v>34</v>
      </c>
      <c r="B52">
        <v>5623524340</v>
      </c>
    </row>
    <row r="53" spans="1:2" x14ac:dyDescent="0.35">
      <c r="A53" s="12" t="s">
        <v>26</v>
      </c>
      <c r="B53">
        <v>5027126143</v>
      </c>
    </row>
    <row r="54" spans="1:2" x14ac:dyDescent="0.35">
      <c r="A54" s="12" t="s">
        <v>29</v>
      </c>
      <c r="B54">
        <v>4233204181</v>
      </c>
    </row>
    <row r="55" spans="1:2" x14ac:dyDescent="0.35">
      <c r="A55" s="12" t="s">
        <v>58</v>
      </c>
    </row>
    <row r="56" spans="1:2" x14ac:dyDescent="0.35">
      <c r="A56" s="12" t="s">
        <v>59</v>
      </c>
      <c r="B56">
        <v>47969164700</v>
      </c>
    </row>
    <row r="58" spans="1:2" x14ac:dyDescent="0.35">
      <c r="A58" s="11" t="s">
        <v>66</v>
      </c>
      <c r="B58" t="s">
        <v>61</v>
      </c>
    </row>
    <row r="59" spans="1:2" x14ac:dyDescent="0.35">
      <c r="A59" s="12" t="s">
        <v>20</v>
      </c>
      <c r="B59">
        <v>218809</v>
      </c>
    </row>
    <row r="60" spans="1:2" x14ac:dyDescent="0.35">
      <c r="A60" s="12" t="s">
        <v>16</v>
      </c>
      <c r="B60">
        <v>209953</v>
      </c>
    </row>
    <row r="61" spans="1:2" x14ac:dyDescent="0.35">
      <c r="A61" s="12" t="s">
        <v>19</v>
      </c>
      <c r="B61">
        <v>204430</v>
      </c>
    </row>
    <row r="62" spans="1:2" x14ac:dyDescent="0.35">
      <c r="A62" s="12" t="s">
        <v>58</v>
      </c>
    </row>
    <row r="63" spans="1:2" x14ac:dyDescent="0.35">
      <c r="A63" s="12" t="s">
        <v>59</v>
      </c>
      <c r="B63">
        <v>633192</v>
      </c>
    </row>
    <row r="64" spans="1:2" x14ac:dyDescent="0.35">
      <c r="A64" t="s">
        <v>60</v>
      </c>
    </row>
    <row r="65" spans="1:4" x14ac:dyDescent="0.35">
      <c r="A65">
        <v>47969164700</v>
      </c>
    </row>
    <row r="69" spans="1:4" x14ac:dyDescent="0.35">
      <c r="A69" t="s">
        <v>61</v>
      </c>
    </row>
    <row r="70" spans="1:4" x14ac:dyDescent="0.35">
      <c r="A70">
        <v>633192</v>
      </c>
    </row>
    <row r="72" spans="1:4" x14ac:dyDescent="0.35">
      <c r="A72" s="11" t="s">
        <v>72</v>
      </c>
      <c r="B72" t="s">
        <v>61</v>
      </c>
      <c r="C72" t="s">
        <v>60</v>
      </c>
      <c r="D72" t="s">
        <v>71</v>
      </c>
    </row>
    <row r="73" spans="1:4" x14ac:dyDescent="0.35">
      <c r="A73" s="12" t="s">
        <v>28</v>
      </c>
      <c r="B73">
        <v>77488</v>
      </c>
      <c r="C73">
        <v>6072297993</v>
      </c>
      <c r="D73">
        <v>32278092</v>
      </c>
    </row>
    <row r="74" spans="1:4" x14ac:dyDescent="0.35">
      <c r="A74" s="12" t="s">
        <v>32</v>
      </c>
      <c r="B74">
        <v>70639</v>
      </c>
      <c r="C74">
        <v>5487964042</v>
      </c>
      <c r="D74">
        <v>29631305</v>
      </c>
    </row>
    <row r="75" spans="1:4" x14ac:dyDescent="0.35">
      <c r="A75" s="12" t="s">
        <v>25</v>
      </c>
      <c r="B75">
        <v>64331</v>
      </c>
      <c r="C75">
        <v>4959349000</v>
      </c>
      <c r="D75">
        <v>29332775</v>
      </c>
    </row>
    <row r="76" spans="1:4" x14ac:dyDescent="0.35">
      <c r="A76" s="12" t="s">
        <v>30</v>
      </c>
      <c r="B76">
        <v>65898</v>
      </c>
      <c r="C76">
        <v>4972431297</v>
      </c>
      <c r="D76">
        <v>28203967</v>
      </c>
    </row>
    <row r="77" spans="1:4" x14ac:dyDescent="0.35">
      <c r="A77" s="12" t="s">
        <v>37</v>
      </c>
      <c r="B77">
        <v>67173</v>
      </c>
      <c r="C77">
        <v>5029553241</v>
      </c>
      <c r="D77">
        <v>28164171</v>
      </c>
    </row>
    <row r="78" spans="1:4" x14ac:dyDescent="0.35">
      <c r="A78" s="12" t="s">
        <v>35</v>
      </c>
      <c r="B78">
        <v>55947</v>
      </c>
      <c r="C78">
        <v>4100380992</v>
      </c>
      <c r="D78">
        <v>27825488</v>
      </c>
    </row>
    <row r="79" spans="1:4" x14ac:dyDescent="0.35">
      <c r="A79" s="12" t="s">
        <v>36</v>
      </c>
      <c r="B79">
        <v>59006</v>
      </c>
      <c r="C79">
        <v>4493222982</v>
      </c>
      <c r="D79">
        <v>27047347</v>
      </c>
    </row>
    <row r="80" spans="1:4" x14ac:dyDescent="0.35">
      <c r="A80" s="12" t="s">
        <v>14</v>
      </c>
      <c r="B80">
        <v>61987</v>
      </c>
      <c r="C80">
        <v>4549509804</v>
      </c>
      <c r="D80">
        <v>26639918</v>
      </c>
    </row>
    <row r="81" spans="1:7" x14ac:dyDescent="0.35">
      <c r="A81" s="12" t="s">
        <v>38</v>
      </c>
      <c r="B81">
        <v>58076</v>
      </c>
      <c r="C81">
        <v>4143581597</v>
      </c>
      <c r="D81">
        <v>25692523</v>
      </c>
    </row>
    <row r="82" spans="1:7" x14ac:dyDescent="0.35">
      <c r="A82" s="12" t="s">
        <v>21</v>
      </c>
      <c r="B82">
        <v>52647</v>
      </c>
      <c r="C82">
        <v>4160873752</v>
      </c>
      <c r="D82">
        <v>24676644</v>
      </c>
    </row>
    <row r="83" spans="1:7" x14ac:dyDescent="0.35">
      <c r="A83" s="12" t="s">
        <v>58</v>
      </c>
    </row>
    <row r="84" spans="1:7" x14ac:dyDescent="0.35">
      <c r="A84" s="12" t="s">
        <v>59</v>
      </c>
      <c r="B84">
        <v>633192</v>
      </c>
      <c r="C84">
        <v>47969164700</v>
      </c>
      <c r="D84">
        <v>279492230</v>
      </c>
    </row>
    <row r="86" spans="1:7" x14ac:dyDescent="0.35">
      <c r="A86" s="22"/>
      <c r="B86" s="23"/>
      <c r="C86" s="24"/>
    </row>
    <row r="87" spans="1:7" x14ac:dyDescent="0.35">
      <c r="A87" s="25"/>
      <c r="B87" s="26"/>
      <c r="C87" s="27"/>
      <c r="E87" t="s">
        <v>61</v>
      </c>
    </row>
    <row r="88" spans="1:7" x14ac:dyDescent="0.35">
      <c r="A88" s="25"/>
      <c r="B88" s="26"/>
      <c r="C88" s="27"/>
      <c r="D88" s="12" t="s">
        <v>54</v>
      </c>
      <c r="E88">
        <v>275294</v>
      </c>
    </row>
    <row r="89" spans="1:7" x14ac:dyDescent="0.35">
      <c r="A89" s="25"/>
      <c r="B89" s="26"/>
      <c r="C89" s="27"/>
      <c r="D89" s="12" t="s">
        <v>57</v>
      </c>
      <c r="E89">
        <v>130294</v>
      </c>
      <c r="F89" s="2" t="s">
        <v>77</v>
      </c>
      <c r="G89" s="2" t="s">
        <v>61</v>
      </c>
    </row>
    <row r="90" spans="1:7" x14ac:dyDescent="0.35">
      <c r="A90" s="25"/>
      <c r="B90" s="26"/>
      <c r="C90" s="27"/>
      <c r="D90" s="12" t="s">
        <v>55</v>
      </c>
      <c r="E90">
        <v>227604</v>
      </c>
      <c r="F90" s="2" t="s">
        <v>54</v>
      </c>
      <c r="G90" s="2">
        <v>275294</v>
      </c>
    </row>
    <row r="91" spans="1:7" x14ac:dyDescent="0.35">
      <c r="A91" s="25"/>
      <c r="B91" s="26"/>
      <c r="C91" s="27"/>
      <c r="D91" s="12" t="s">
        <v>58</v>
      </c>
      <c r="F91" s="2" t="s">
        <v>55</v>
      </c>
      <c r="G91" s="2">
        <v>227604</v>
      </c>
    </row>
    <row r="92" spans="1:7" x14ac:dyDescent="0.35">
      <c r="A92" s="25"/>
      <c r="B92" s="26"/>
      <c r="C92" s="27"/>
      <c r="D92" s="12" t="s">
        <v>59</v>
      </c>
      <c r="E92">
        <v>633192</v>
      </c>
      <c r="F92" s="2" t="s">
        <v>57</v>
      </c>
      <c r="G92" s="2">
        <v>130294</v>
      </c>
    </row>
    <row r="93" spans="1:7" x14ac:dyDescent="0.35">
      <c r="A93" s="25"/>
      <c r="B93" s="26"/>
      <c r="C93" s="27"/>
      <c r="F93" s="2" t="s">
        <v>59</v>
      </c>
      <c r="G93" s="2">
        <v>633192</v>
      </c>
    </row>
    <row r="94" spans="1:7" x14ac:dyDescent="0.35">
      <c r="A94" s="25"/>
      <c r="B94" s="26"/>
      <c r="C94" s="27"/>
    </row>
    <row r="95" spans="1:7" x14ac:dyDescent="0.35">
      <c r="A95" s="25"/>
      <c r="B95" s="26"/>
      <c r="C95" s="27"/>
    </row>
    <row r="96" spans="1:7" x14ac:dyDescent="0.35">
      <c r="A96" s="25"/>
      <c r="B96" s="26"/>
      <c r="C96" s="27"/>
    </row>
    <row r="97" spans="1:7" x14ac:dyDescent="0.35">
      <c r="A97" s="25"/>
      <c r="B97" s="26"/>
      <c r="C97" s="27"/>
    </row>
    <row r="98" spans="1:7" x14ac:dyDescent="0.35">
      <c r="A98" s="25"/>
      <c r="B98" s="26"/>
      <c r="C98" s="27"/>
    </row>
    <row r="99" spans="1:7" x14ac:dyDescent="0.35">
      <c r="A99" s="25"/>
      <c r="B99" s="26"/>
      <c r="C99" s="27"/>
    </row>
    <row r="100" spans="1:7" x14ac:dyDescent="0.35">
      <c r="A100" s="25"/>
      <c r="B100" s="26"/>
      <c r="C100" s="27"/>
      <c r="E100" t="s">
        <v>78</v>
      </c>
      <c r="G100" t="s">
        <v>78</v>
      </c>
    </row>
    <row r="101" spans="1:7" x14ac:dyDescent="0.35">
      <c r="A101" s="25"/>
      <c r="B101" s="26"/>
      <c r="C101" s="27"/>
      <c r="D101" s="12" t="s">
        <v>14</v>
      </c>
      <c r="E101">
        <v>4522869886</v>
      </c>
      <c r="F101" t="s">
        <v>28</v>
      </c>
      <c r="G101">
        <v>6040019901</v>
      </c>
    </row>
    <row r="102" spans="1:7" x14ac:dyDescent="0.35">
      <c r="A102" s="25"/>
      <c r="B102" s="26"/>
      <c r="C102" s="27"/>
      <c r="D102" s="12" t="s">
        <v>25</v>
      </c>
      <c r="E102">
        <v>4930016225</v>
      </c>
      <c r="F102" t="s">
        <v>32</v>
      </c>
      <c r="G102">
        <v>5458332737</v>
      </c>
    </row>
    <row r="103" spans="1:7" x14ac:dyDescent="0.35">
      <c r="A103" s="28"/>
      <c r="B103" s="29"/>
      <c r="C103" s="30"/>
      <c r="D103" s="12" t="s">
        <v>35</v>
      </c>
      <c r="E103">
        <v>4072555504</v>
      </c>
      <c r="F103" t="s">
        <v>37</v>
      </c>
      <c r="G103">
        <v>5001389070</v>
      </c>
    </row>
    <row r="104" spans="1:7" x14ac:dyDescent="0.35">
      <c r="D104" s="12" t="s">
        <v>28</v>
      </c>
      <c r="E104">
        <v>6040019901</v>
      </c>
      <c r="F104" t="s">
        <v>30</v>
      </c>
      <c r="G104">
        <v>4944227330</v>
      </c>
    </row>
    <row r="105" spans="1:7" x14ac:dyDescent="0.35">
      <c r="D105" s="12" t="s">
        <v>37</v>
      </c>
      <c r="E105">
        <v>5001389070</v>
      </c>
      <c r="F105" t="s">
        <v>25</v>
      </c>
      <c r="G105">
        <v>4930016225</v>
      </c>
    </row>
    <row r="106" spans="1:7" x14ac:dyDescent="0.35">
      <c r="D106" s="12" t="s">
        <v>36</v>
      </c>
      <c r="E106">
        <v>4466175635</v>
      </c>
      <c r="F106" t="s">
        <v>14</v>
      </c>
      <c r="G106">
        <v>4522869886</v>
      </c>
    </row>
    <row r="107" spans="1:7" x14ac:dyDescent="0.35">
      <c r="D107" s="12" t="s">
        <v>30</v>
      </c>
      <c r="E107">
        <v>4944227330</v>
      </c>
      <c r="F107" t="s">
        <v>36</v>
      </c>
      <c r="G107">
        <v>4466175635</v>
      </c>
    </row>
    <row r="108" spans="1:7" x14ac:dyDescent="0.35">
      <c r="D108" s="12" t="s">
        <v>38</v>
      </c>
      <c r="E108">
        <v>4117889074</v>
      </c>
      <c r="F108" t="s">
        <v>21</v>
      </c>
      <c r="G108">
        <v>4136197108</v>
      </c>
    </row>
    <row r="109" spans="1:7" x14ac:dyDescent="0.35">
      <c r="D109" s="12" t="s">
        <v>32</v>
      </c>
      <c r="E109">
        <v>5458332737</v>
      </c>
      <c r="F109" t="s">
        <v>38</v>
      </c>
      <c r="G109">
        <v>4117889074</v>
      </c>
    </row>
    <row r="110" spans="1:7" x14ac:dyDescent="0.35">
      <c r="D110" s="12" t="s">
        <v>21</v>
      </c>
      <c r="E110">
        <v>4136197108</v>
      </c>
      <c r="F110" t="s">
        <v>35</v>
      </c>
      <c r="G110">
        <v>4072555504</v>
      </c>
    </row>
    <row r="111" spans="1:7" x14ac:dyDescent="0.35">
      <c r="D111" s="12" t="s">
        <v>58</v>
      </c>
    </row>
    <row r="112" spans="1:7" x14ac:dyDescent="0.35">
      <c r="D112" s="12" t="s">
        <v>59</v>
      </c>
      <c r="E112">
        <v>47689672470</v>
      </c>
    </row>
  </sheetData>
  <autoFilter ref="F100:G110" xr:uid="{63A32836-F818-4F33-A6FA-D438BC73A799}">
    <sortState xmlns:xlrd2="http://schemas.microsoft.com/office/spreadsheetml/2017/richdata2" ref="F101:G112">
      <sortCondition descending="1" ref="G100:G110"/>
    </sortState>
  </autoFilter>
  <sortState xmlns:xlrd2="http://schemas.microsoft.com/office/spreadsheetml/2017/richdata2" ref="A72:D84">
    <sortCondition descending="1" ref="D72"/>
  </sortState>
  <mergeCells count="1">
    <mergeCell ref="C42:C43"/>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652CA125-96D3-42DA-A72D-AB207D861016}">
          <x14:colorSeries rgb="FF376092"/>
          <x14:colorNegative rgb="FFD00000"/>
          <x14:colorAxis rgb="FF000000"/>
          <x14:colorMarkers rgb="FFD00000"/>
          <x14:colorFirst rgb="FFD00000"/>
          <x14:colorLast rgb="FFD00000"/>
          <x14:colorHigh rgb="FFD00000"/>
          <x14:colorLow rgb="FFD00000"/>
          <x14:sparklines>
            <x14:sparkline>
              <xm:f>BMW!J2:J1001</xm:f>
              <xm:sqref>E42</xm:sqref>
            </x14:sparkline>
          </x14:sparklines>
        </x14:sparklineGroup>
        <x14:sparklineGroup displayEmptyCellsAs="gap" last="1" xr2:uid="{9E9F24B5-AB26-42CC-B7D8-C85446426ABE}">
          <x14:colorSeries theme="8" tint="0.39997558519241921"/>
          <x14:colorNegative theme="0" tint="-0.499984740745262"/>
          <x14:colorAxis rgb="FF000000"/>
          <x14:colorMarkers theme="8" tint="0.79998168889431442"/>
          <x14:colorFirst theme="8" tint="-0.249977111117893"/>
          <x14:colorLast rgb="FFFF0000"/>
          <x14:colorHigh theme="8" tint="-0.499984740745262"/>
          <x14:colorLow theme="8" tint="-0.499984740745262"/>
          <x14:sparklines>
            <x14:sparkline>
              <xm:f>BMW!J2:J1001</xm:f>
              <xm:sqref>C42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74584-D26B-47C2-9510-F83471B216B9}">
  <dimension ref="A1"/>
  <sheetViews>
    <sheetView workbookViewId="0">
      <selection activeCell="E16" sqref="E16"/>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8B23E-EBD0-4C2A-8828-ACD7435B7334}">
  <dimension ref="A1:S1001"/>
  <sheetViews>
    <sheetView topLeftCell="K982" workbookViewId="0">
      <selection activeCell="N1" sqref="N1:Q1001"/>
    </sheetView>
  </sheetViews>
  <sheetFormatPr defaultRowHeight="14.5" x14ac:dyDescent="0.35"/>
  <cols>
    <col min="1" max="1" width="6.6328125" bestFit="1" customWidth="1"/>
    <col min="2" max="2" width="8.54296875" bestFit="1" customWidth="1"/>
    <col min="3" max="3" width="9.453125" bestFit="1" customWidth="1"/>
    <col min="4" max="4" width="8.36328125" bestFit="1" customWidth="1"/>
    <col min="5" max="5" width="10.26953125" bestFit="1" customWidth="1"/>
    <col min="6" max="6" width="13.1796875" bestFit="1" customWidth="1"/>
    <col min="7" max="7" width="11.26953125" bestFit="1" customWidth="1"/>
    <col min="8" max="8" width="15.1796875" bestFit="1" customWidth="1"/>
    <col min="9" max="9" width="11.7265625" bestFit="1" customWidth="1"/>
    <col min="10" max="10" width="10.36328125" bestFit="1" customWidth="1"/>
    <col min="11" max="11" width="21.6328125" bestFit="1" customWidth="1"/>
    <col min="12" max="12" width="23.6328125" bestFit="1" customWidth="1"/>
    <col min="13" max="13" width="17.7265625" bestFit="1" customWidth="1"/>
    <col min="14" max="14" width="15.453125" bestFit="1" customWidth="1"/>
    <col min="15" max="15" width="20.08984375" bestFit="1" customWidth="1"/>
    <col min="16" max="16" width="21.08984375" bestFit="1" customWidth="1"/>
    <col min="17" max="17" width="18.81640625" customWidth="1"/>
    <col min="18" max="18" width="12.453125" bestFit="1" customWidth="1"/>
  </cols>
  <sheetData>
    <row r="1" spans="1:19" x14ac:dyDescent="0.35">
      <c r="A1" t="s">
        <v>0</v>
      </c>
      <c r="B1" t="s">
        <v>1</v>
      </c>
      <c r="C1" t="s">
        <v>2</v>
      </c>
      <c r="D1" t="s">
        <v>3</v>
      </c>
      <c r="E1" t="s">
        <v>4</v>
      </c>
      <c r="F1" t="s">
        <v>5</v>
      </c>
      <c r="G1" t="s">
        <v>6</v>
      </c>
      <c r="H1" t="s">
        <v>53</v>
      </c>
      <c r="I1" t="s">
        <v>13</v>
      </c>
      <c r="J1" t="s">
        <v>40</v>
      </c>
      <c r="K1" t="s">
        <v>7</v>
      </c>
      <c r="L1" t="s">
        <v>56</v>
      </c>
      <c r="M1" t="s">
        <v>8</v>
      </c>
      <c r="N1" t="s">
        <v>9</v>
      </c>
      <c r="O1" t="s">
        <v>10</v>
      </c>
      <c r="P1" t="s">
        <v>11</v>
      </c>
      <c r="Q1" t="s">
        <v>12</v>
      </c>
      <c r="R1" t="s">
        <v>73</v>
      </c>
      <c r="S1" t="s">
        <v>74</v>
      </c>
    </row>
    <row r="2" spans="1:19" x14ac:dyDescent="0.35">
      <c r="A2">
        <v>2021</v>
      </c>
      <c r="B2" t="s">
        <v>41</v>
      </c>
      <c r="C2" t="s">
        <v>14</v>
      </c>
      <c r="D2" t="s">
        <v>15</v>
      </c>
      <c r="E2" t="s">
        <v>16</v>
      </c>
      <c r="F2" t="s">
        <v>17</v>
      </c>
      <c r="G2">
        <v>82234</v>
      </c>
      <c r="H2" t="s">
        <v>54</v>
      </c>
      <c r="I2">
        <v>324</v>
      </c>
      <c r="J2">
        <v>26643816</v>
      </c>
      <c r="K2">
        <v>315372</v>
      </c>
      <c r="L2">
        <v>26328444</v>
      </c>
      <c r="M2">
        <v>96</v>
      </c>
      <c r="N2">
        <v>0.97</v>
      </c>
      <c r="O2">
        <v>6.29</v>
      </c>
      <c r="P2">
        <v>1.2</v>
      </c>
      <c r="Q2">
        <v>8</v>
      </c>
      <c r="R2">
        <f>CORREL(BMW[units_sold],BMW[gdp_growth_percent])</f>
        <v>-5.2597817623217792E-17</v>
      </c>
    </row>
    <row r="3" spans="1:19" x14ac:dyDescent="0.35">
      <c r="A3">
        <v>2018</v>
      </c>
      <c r="B3" t="s">
        <v>42</v>
      </c>
      <c r="C3" t="s">
        <v>14</v>
      </c>
      <c r="D3" t="s">
        <v>18</v>
      </c>
      <c r="E3" t="s">
        <v>19</v>
      </c>
      <c r="F3" t="s">
        <v>20</v>
      </c>
      <c r="G3">
        <v>82291</v>
      </c>
      <c r="H3" t="s">
        <v>54</v>
      </c>
      <c r="I3">
        <v>556</v>
      </c>
      <c r="J3">
        <v>45753796</v>
      </c>
      <c r="K3">
        <v>447798</v>
      </c>
      <c r="L3">
        <v>45305998</v>
      </c>
      <c r="M3">
        <v>234</v>
      </c>
      <c r="N3">
        <v>0.97</v>
      </c>
      <c r="O3">
        <v>6.29</v>
      </c>
      <c r="P3">
        <v>1.2</v>
      </c>
      <c r="Q3">
        <v>7</v>
      </c>
      <c r="R3">
        <f>CORREL(BMW[units_sold],BMW[gdp_growth_percent])</f>
        <v>-5.2597817623217792E-17</v>
      </c>
    </row>
    <row r="4" spans="1:19" x14ac:dyDescent="0.35">
      <c r="A4">
        <v>2022</v>
      </c>
      <c r="B4" t="s">
        <v>43</v>
      </c>
      <c r="C4" t="s">
        <v>21</v>
      </c>
      <c r="D4" t="s">
        <v>22</v>
      </c>
      <c r="E4" t="s">
        <v>20</v>
      </c>
      <c r="F4" t="s">
        <v>23</v>
      </c>
      <c r="G4">
        <v>40594</v>
      </c>
      <c r="H4" t="s">
        <v>57</v>
      </c>
      <c r="I4">
        <v>152</v>
      </c>
      <c r="J4">
        <v>6170288</v>
      </c>
      <c r="K4">
        <v>259755</v>
      </c>
      <c r="L4">
        <v>5910533</v>
      </c>
      <c r="M4">
        <v>25</v>
      </c>
      <c r="N4">
        <v>0.97</v>
      </c>
      <c r="O4">
        <v>6.29</v>
      </c>
      <c r="P4">
        <v>1.2</v>
      </c>
      <c r="Q4">
        <v>7</v>
      </c>
      <c r="R4">
        <f>CORREL(BMW[units_sold],BMW[gdp_growth_percent])</f>
        <v>-5.2597817623217792E-17</v>
      </c>
    </row>
    <row r="5" spans="1:19" x14ac:dyDescent="0.35">
      <c r="A5">
        <v>2019</v>
      </c>
      <c r="B5" t="s">
        <v>44</v>
      </c>
      <c r="C5" t="s">
        <v>14</v>
      </c>
      <c r="D5" t="s">
        <v>24</v>
      </c>
      <c r="E5" t="s">
        <v>16</v>
      </c>
      <c r="F5" t="s">
        <v>20</v>
      </c>
      <c r="G5">
        <v>42371</v>
      </c>
      <c r="H5" t="s">
        <v>57</v>
      </c>
      <c r="I5">
        <v>730</v>
      </c>
      <c r="J5">
        <v>30930830</v>
      </c>
      <c r="K5">
        <v>323541</v>
      </c>
      <c r="L5">
        <v>30607289</v>
      </c>
      <c r="M5">
        <v>319</v>
      </c>
      <c r="N5">
        <v>0.97</v>
      </c>
      <c r="O5">
        <v>6.29</v>
      </c>
      <c r="P5">
        <v>1.2</v>
      </c>
      <c r="Q5">
        <v>5</v>
      </c>
      <c r="R5">
        <f>CORREL(BMW[units_sold],BMW[gdp_growth_percent])</f>
        <v>-5.2597817623217792E-17</v>
      </c>
    </row>
    <row r="6" spans="1:19" x14ac:dyDescent="0.35">
      <c r="A6">
        <v>2021</v>
      </c>
      <c r="B6" t="s">
        <v>43</v>
      </c>
      <c r="C6" t="s">
        <v>25</v>
      </c>
      <c r="D6" t="s">
        <v>26</v>
      </c>
      <c r="E6" t="s">
        <v>16</v>
      </c>
      <c r="F6" t="s">
        <v>27</v>
      </c>
      <c r="G6">
        <v>82315</v>
      </c>
      <c r="H6" t="s">
        <v>54</v>
      </c>
      <c r="I6">
        <v>1156</v>
      </c>
      <c r="J6">
        <v>95156140</v>
      </c>
      <c r="K6">
        <v>482015</v>
      </c>
      <c r="L6">
        <v>94674125</v>
      </c>
      <c r="M6">
        <v>367</v>
      </c>
      <c r="N6">
        <v>0.97</v>
      </c>
      <c r="O6">
        <v>6.29</v>
      </c>
      <c r="P6">
        <v>1.2</v>
      </c>
      <c r="Q6">
        <v>2</v>
      </c>
      <c r="R6">
        <f>CORREL(BMW[units_sold],BMW[gdp_growth_percent])</f>
        <v>-5.2597817623217792E-17</v>
      </c>
    </row>
    <row r="7" spans="1:19" x14ac:dyDescent="0.35">
      <c r="A7">
        <v>2024</v>
      </c>
      <c r="B7" t="s">
        <v>43</v>
      </c>
      <c r="C7" t="s">
        <v>28</v>
      </c>
      <c r="D7" t="s">
        <v>24</v>
      </c>
      <c r="E7" t="s">
        <v>20</v>
      </c>
      <c r="F7" t="s">
        <v>27</v>
      </c>
      <c r="G7">
        <v>118564</v>
      </c>
      <c r="H7" t="s">
        <v>54</v>
      </c>
      <c r="I7">
        <v>687</v>
      </c>
      <c r="J7">
        <v>81453468</v>
      </c>
      <c r="K7">
        <v>349155</v>
      </c>
      <c r="L7">
        <v>81104313</v>
      </c>
      <c r="M7">
        <v>172</v>
      </c>
      <c r="N7">
        <v>0.97</v>
      </c>
      <c r="O7">
        <v>6.29</v>
      </c>
      <c r="P7">
        <v>1.2</v>
      </c>
      <c r="Q7">
        <v>6</v>
      </c>
      <c r="R7">
        <f>CORREL(BMW[units_sold],BMW[gdp_growth_percent])</f>
        <v>-5.2597817623217792E-17</v>
      </c>
    </row>
    <row r="8" spans="1:19" x14ac:dyDescent="0.35">
      <c r="A8">
        <v>2017</v>
      </c>
      <c r="B8" t="s">
        <v>45</v>
      </c>
      <c r="C8" t="s">
        <v>21</v>
      </c>
      <c r="D8" t="s">
        <v>18</v>
      </c>
      <c r="E8" t="s">
        <v>20</v>
      </c>
      <c r="F8" t="s">
        <v>27</v>
      </c>
      <c r="G8">
        <v>114526</v>
      </c>
      <c r="H8" t="s">
        <v>54</v>
      </c>
      <c r="I8">
        <v>439</v>
      </c>
      <c r="J8">
        <v>50276914</v>
      </c>
      <c r="K8">
        <v>129183</v>
      </c>
      <c r="L8">
        <v>50147731</v>
      </c>
      <c r="M8">
        <v>107</v>
      </c>
      <c r="N8">
        <v>0.97</v>
      </c>
      <c r="O8">
        <v>6.29</v>
      </c>
      <c r="P8">
        <v>1.2</v>
      </c>
      <c r="Q8">
        <v>10</v>
      </c>
      <c r="R8">
        <f>CORREL(BMW[units_sold],BMW[gdp_growth_percent])</f>
        <v>-5.2597817623217792E-17</v>
      </c>
    </row>
    <row r="9" spans="1:19" x14ac:dyDescent="0.35">
      <c r="A9">
        <v>2021</v>
      </c>
      <c r="B9" t="s">
        <v>45</v>
      </c>
      <c r="C9" t="s">
        <v>21</v>
      </c>
      <c r="D9" t="s">
        <v>29</v>
      </c>
      <c r="E9" t="s">
        <v>19</v>
      </c>
      <c r="F9" t="s">
        <v>27</v>
      </c>
      <c r="G9">
        <v>51626</v>
      </c>
      <c r="H9" t="s">
        <v>55</v>
      </c>
      <c r="I9">
        <v>489</v>
      </c>
      <c r="J9">
        <v>25245114</v>
      </c>
      <c r="K9">
        <v>405398</v>
      </c>
      <c r="L9">
        <v>24839716</v>
      </c>
      <c r="M9">
        <v>165</v>
      </c>
      <c r="N9">
        <v>0.97</v>
      </c>
      <c r="O9">
        <v>6.29</v>
      </c>
      <c r="P9">
        <v>1.2</v>
      </c>
      <c r="Q9">
        <v>3</v>
      </c>
      <c r="R9">
        <f>CORREL(BMW[units_sold],BMW[gdp_growth_percent])</f>
        <v>-5.2597817623217792E-17</v>
      </c>
    </row>
    <row r="10" spans="1:19" x14ac:dyDescent="0.35">
      <c r="A10">
        <v>2022</v>
      </c>
      <c r="B10" t="s">
        <v>46</v>
      </c>
      <c r="C10" t="s">
        <v>30</v>
      </c>
      <c r="D10" t="s">
        <v>31</v>
      </c>
      <c r="E10" t="s">
        <v>19</v>
      </c>
      <c r="F10" t="s">
        <v>17</v>
      </c>
      <c r="G10">
        <v>42130</v>
      </c>
      <c r="H10" t="s">
        <v>57</v>
      </c>
      <c r="I10">
        <v>435</v>
      </c>
      <c r="J10">
        <v>18326550</v>
      </c>
      <c r="K10">
        <v>487480</v>
      </c>
      <c r="L10">
        <v>17839070</v>
      </c>
      <c r="M10">
        <v>11</v>
      </c>
      <c r="N10">
        <v>0.97</v>
      </c>
      <c r="O10">
        <v>6.29</v>
      </c>
      <c r="P10">
        <v>1.2</v>
      </c>
      <c r="Q10">
        <v>4</v>
      </c>
      <c r="R10">
        <f>CORREL(BMW[units_sold],BMW[gdp_growth_percent])</f>
        <v>-5.2597817623217792E-17</v>
      </c>
    </row>
    <row r="11" spans="1:19" x14ac:dyDescent="0.35">
      <c r="A11">
        <v>2019</v>
      </c>
      <c r="B11" t="s">
        <v>42</v>
      </c>
      <c r="C11" t="s">
        <v>32</v>
      </c>
      <c r="D11" t="s">
        <v>33</v>
      </c>
      <c r="E11" t="s">
        <v>16</v>
      </c>
      <c r="F11" t="s">
        <v>17</v>
      </c>
      <c r="G11">
        <v>41828</v>
      </c>
      <c r="H11" t="s">
        <v>57</v>
      </c>
      <c r="I11">
        <v>1080</v>
      </c>
      <c r="J11">
        <v>45174240</v>
      </c>
      <c r="K11">
        <v>92317</v>
      </c>
      <c r="L11">
        <v>45081923</v>
      </c>
      <c r="M11">
        <v>359</v>
      </c>
      <c r="N11">
        <v>0.97</v>
      </c>
      <c r="O11">
        <v>6.29</v>
      </c>
      <c r="P11">
        <v>1.2</v>
      </c>
      <c r="Q11">
        <v>10</v>
      </c>
      <c r="R11">
        <f>CORREL(BMW[units_sold],BMW[gdp_growth_percent])</f>
        <v>-5.2597817623217792E-17</v>
      </c>
    </row>
    <row r="12" spans="1:19" x14ac:dyDescent="0.35">
      <c r="A12">
        <v>2018</v>
      </c>
      <c r="B12" t="s">
        <v>46</v>
      </c>
      <c r="C12" t="s">
        <v>32</v>
      </c>
      <c r="D12" t="s">
        <v>22</v>
      </c>
      <c r="E12" t="s">
        <v>20</v>
      </c>
      <c r="F12" t="s">
        <v>20</v>
      </c>
      <c r="G12">
        <v>92514</v>
      </c>
      <c r="H12" t="s">
        <v>54</v>
      </c>
      <c r="I12">
        <v>447</v>
      </c>
      <c r="J12">
        <v>41353758</v>
      </c>
      <c r="K12">
        <v>228986</v>
      </c>
      <c r="L12">
        <v>41124772</v>
      </c>
      <c r="M12">
        <v>178</v>
      </c>
      <c r="N12">
        <v>0.97</v>
      </c>
      <c r="O12">
        <v>6.29</v>
      </c>
      <c r="P12">
        <v>1.2</v>
      </c>
      <c r="Q12">
        <v>2</v>
      </c>
      <c r="R12">
        <f>CORREL(BMW[units_sold],BMW[gdp_growth_percent])</f>
        <v>-5.2597817623217792E-17</v>
      </c>
    </row>
    <row r="13" spans="1:19" x14ac:dyDescent="0.35">
      <c r="A13">
        <v>2022</v>
      </c>
      <c r="B13" t="s">
        <v>42</v>
      </c>
      <c r="C13" t="s">
        <v>25</v>
      </c>
      <c r="D13" t="s">
        <v>34</v>
      </c>
      <c r="E13" t="s">
        <v>20</v>
      </c>
      <c r="F13" t="s">
        <v>23</v>
      </c>
      <c r="G13">
        <v>87664</v>
      </c>
      <c r="H13" t="s">
        <v>54</v>
      </c>
      <c r="I13">
        <v>827</v>
      </c>
      <c r="J13">
        <v>72498128</v>
      </c>
      <c r="K13">
        <v>265705</v>
      </c>
      <c r="L13">
        <v>72232423</v>
      </c>
      <c r="M13">
        <v>324</v>
      </c>
      <c r="N13">
        <v>0.97</v>
      </c>
      <c r="O13">
        <v>6.29</v>
      </c>
      <c r="P13">
        <v>1.2</v>
      </c>
      <c r="Q13">
        <v>2</v>
      </c>
      <c r="R13">
        <f>CORREL(BMW[units_sold],BMW[gdp_growth_percent])</f>
        <v>-5.2597817623217792E-17</v>
      </c>
    </row>
    <row r="14" spans="1:19" x14ac:dyDescent="0.35">
      <c r="A14">
        <v>2022</v>
      </c>
      <c r="B14" t="s">
        <v>47</v>
      </c>
      <c r="C14" t="s">
        <v>35</v>
      </c>
      <c r="D14" t="s">
        <v>34</v>
      </c>
      <c r="E14" t="s">
        <v>20</v>
      </c>
      <c r="F14" t="s">
        <v>27</v>
      </c>
      <c r="G14">
        <v>52883</v>
      </c>
      <c r="H14" t="s">
        <v>55</v>
      </c>
      <c r="I14">
        <v>712</v>
      </c>
      <c r="J14">
        <v>37652696</v>
      </c>
      <c r="K14">
        <v>414633</v>
      </c>
      <c r="L14">
        <v>37238063</v>
      </c>
      <c r="M14">
        <v>334</v>
      </c>
      <c r="N14">
        <v>0.97</v>
      </c>
      <c r="O14">
        <v>6.29</v>
      </c>
      <c r="P14">
        <v>1.2</v>
      </c>
      <c r="Q14">
        <v>8</v>
      </c>
      <c r="R14">
        <f>CORREL(BMW[units_sold],BMW[gdp_growth_percent])</f>
        <v>-5.2597817623217792E-17</v>
      </c>
    </row>
    <row r="15" spans="1:19" x14ac:dyDescent="0.35">
      <c r="A15">
        <v>2017</v>
      </c>
      <c r="B15" t="s">
        <v>41</v>
      </c>
      <c r="C15" t="s">
        <v>36</v>
      </c>
      <c r="D15" t="s">
        <v>34</v>
      </c>
      <c r="E15" t="s">
        <v>16</v>
      </c>
      <c r="F15" t="s">
        <v>20</v>
      </c>
      <c r="G15">
        <v>78059</v>
      </c>
      <c r="H15" t="s">
        <v>55</v>
      </c>
      <c r="I15">
        <v>1181</v>
      </c>
      <c r="J15">
        <v>92187679</v>
      </c>
      <c r="K15">
        <v>226326</v>
      </c>
      <c r="L15">
        <v>91961353</v>
      </c>
      <c r="M15">
        <v>384</v>
      </c>
      <c r="N15">
        <v>0.97</v>
      </c>
      <c r="O15">
        <v>6.29</v>
      </c>
      <c r="P15">
        <v>1.2</v>
      </c>
      <c r="Q15">
        <v>8</v>
      </c>
      <c r="R15">
        <f>CORREL(BMW[units_sold],BMW[gdp_growth_percent])</f>
        <v>-5.2597817623217792E-17</v>
      </c>
    </row>
    <row r="16" spans="1:19" x14ac:dyDescent="0.35">
      <c r="A16">
        <v>2020</v>
      </c>
      <c r="B16" t="s">
        <v>43</v>
      </c>
      <c r="C16" t="s">
        <v>36</v>
      </c>
      <c r="D16" t="s">
        <v>15</v>
      </c>
      <c r="E16" t="s">
        <v>20</v>
      </c>
      <c r="F16" t="s">
        <v>17</v>
      </c>
      <c r="G16">
        <v>119078</v>
      </c>
      <c r="H16" t="s">
        <v>54</v>
      </c>
      <c r="I16">
        <v>307</v>
      </c>
      <c r="J16">
        <v>36556946</v>
      </c>
      <c r="K16">
        <v>352240</v>
      </c>
      <c r="L16">
        <v>36204706</v>
      </c>
      <c r="M16">
        <v>101</v>
      </c>
      <c r="N16">
        <v>0.97</v>
      </c>
      <c r="O16">
        <v>6.29</v>
      </c>
      <c r="P16">
        <v>1.2</v>
      </c>
      <c r="Q16">
        <v>10</v>
      </c>
      <c r="R16">
        <f>CORREL(BMW[units_sold],BMW[gdp_growth_percent])</f>
        <v>-5.2597817623217792E-17</v>
      </c>
    </row>
    <row r="17" spans="1:18" x14ac:dyDescent="0.35">
      <c r="A17">
        <v>2019</v>
      </c>
      <c r="B17" t="s">
        <v>47</v>
      </c>
      <c r="C17" t="s">
        <v>37</v>
      </c>
      <c r="D17" t="s">
        <v>34</v>
      </c>
      <c r="E17" t="s">
        <v>20</v>
      </c>
      <c r="F17" t="s">
        <v>17</v>
      </c>
      <c r="G17">
        <v>77932</v>
      </c>
      <c r="H17" t="s">
        <v>55</v>
      </c>
      <c r="I17">
        <v>725</v>
      </c>
      <c r="J17">
        <v>56500700</v>
      </c>
      <c r="K17">
        <v>365929</v>
      </c>
      <c r="L17">
        <v>56134771</v>
      </c>
      <c r="M17">
        <v>190</v>
      </c>
      <c r="N17">
        <v>0.97</v>
      </c>
      <c r="O17">
        <v>6.29</v>
      </c>
      <c r="P17">
        <v>1.2</v>
      </c>
      <c r="Q17">
        <v>6</v>
      </c>
      <c r="R17">
        <f>CORREL(BMW[units_sold],BMW[gdp_growth_percent])</f>
        <v>-5.2597817623217792E-17</v>
      </c>
    </row>
    <row r="18" spans="1:18" x14ac:dyDescent="0.35">
      <c r="A18">
        <v>2016</v>
      </c>
      <c r="B18" t="s">
        <v>48</v>
      </c>
      <c r="C18" t="s">
        <v>25</v>
      </c>
      <c r="D18" t="s">
        <v>33</v>
      </c>
      <c r="E18" t="s">
        <v>16</v>
      </c>
      <c r="F18" t="s">
        <v>23</v>
      </c>
      <c r="G18">
        <v>96269</v>
      </c>
      <c r="H18" t="s">
        <v>54</v>
      </c>
      <c r="I18">
        <v>588</v>
      </c>
      <c r="J18">
        <v>56606172</v>
      </c>
      <c r="K18">
        <v>102344</v>
      </c>
      <c r="L18">
        <v>56503828</v>
      </c>
      <c r="M18">
        <v>240</v>
      </c>
      <c r="N18">
        <v>0.97</v>
      </c>
      <c r="O18">
        <v>6.29</v>
      </c>
      <c r="P18">
        <v>1.2</v>
      </c>
      <c r="Q18">
        <v>5</v>
      </c>
      <c r="R18">
        <f>CORREL(BMW[units_sold],BMW[gdp_growth_percent])</f>
        <v>-5.2597817623217792E-17</v>
      </c>
    </row>
    <row r="19" spans="1:18" x14ac:dyDescent="0.35">
      <c r="A19">
        <v>2022</v>
      </c>
      <c r="B19" t="s">
        <v>49</v>
      </c>
      <c r="C19" t="s">
        <v>21</v>
      </c>
      <c r="D19" t="s">
        <v>31</v>
      </c>
      <c r="E19" t="s">
        <v>19</v>
      </c>
      <c r="F19" t="s">
        <v>23</v>
      </c>
      <c r="G19">
        <v>110986</v>
      </c>
      <c r="H19" t="s">
        <v>54</v>
      </c>
      <c r="I19">
        <v>644</v>
      </c>
      <c r="J19">
        <v>71474984</v>
      </c>
      <c r="K19">
        <v>296060</v>
      </c>
      <c r="L19">
        <v>71178924</v>
      </c>
      <c r="M19">
        <v>310</v>
      </c>
      <c r="N19">
        <v>0.97</v>
      </c>
      <c r="O19">
        <v>6.29</v>
      </c>
      <c r="P19">
        <v>1.2</v>
      </c>
      <c r="Q19">
        <v>8</v>
      </c>
      <c r="R19">
        <f>CORREL(BMW[units_sold],BMW[gdp_growth_percent])</f>
        <v>-5.2597817623217792E-17</v>
      </c>
    </row>
    <row r="20" spans="1:18" x14ac:dyDescent="0.35">
      <c r="A20">
        <v>2020</v>
      </c>
      <c r="B20" t="s">
        <v>50</v>
      </c>
      <c r="C20" t="s">
        <v>25</v>
      </c>
      <c r="D20" t="s">
        <v>34</v>
      </c>
      <c r="E20" t="s">
        <v>19</v>
      </c>
      <c r="F20" t="s">
        <v>23</v>
      </c>
      <c r="G20">
        <v>37035</v>
      </c>
      <c r="H20" t="s">
        <v>57</v>
      </c>
      <c r="I20">
        <v>534</v>
      </c>
      <c r="J20">
        <v>19776690</v>
      </c>
      <c r="K20">
        <v>432526</v>
      </c>
      <c r="L20">
        <v>19344164</v>
      </c>
      <c r="M20">
        <v>157</v>
      </c>
      <c r="N20">
        <v>0.97</v>
      </c>
      <c r="O20">
        <v>6.29</v>
      </c>
      <c r="P20">
        <v>1.2</v>
      </c>
      <c r="Q20">
        <v>4</v>
      </c>
      <c r="R20">
        <f>CORREL(BMW[units_sold],BMW[gdp_growth_percent])</f>
        <v>-5.2597817623217792E-17</v>
      </c>
    </row>
    <row r="21" spans="1:18" x14ac:dyDescent="0.35">
      <c r="A21">
        <v>2016</v>
      </c>
      <c r="B21" t="s">
        <v>42</v>
      </c>
      <c r="C21" t="s">
        <v>25</v>
      </c>
      <c r="D21" t="s">
        <v>24</v>
      </c>
      <c r="E21" t="s">
        <v>16</v>
      </c>
      <c r="F21" t="s">
        <v>20</v>
      </c>
      <c r="G21">
        <v>75745</v>
      </c>
      <c r="H21" t="s">
        <v>55</v>
      </c>
      <c r="I21">
        <v>1004</v>
      </c>
      <c r="J21">
        <v>76047980</v>
      </c>
      <c r="K21">
        <v>249618</v>
      </c>
      <c r="L21">
        <v>75798362</v>
      </c>
      <c r="M21">
        <v>289</v>
      </c>
      <c r="N21">
        <v>0.97</v>
      </c>
      <c r="O21">
        <v>6.29</v>
      </c>
      <c r="P21">
        <v>1.2</v>
      </c>
      <c r="Q21">
        <v>4</v>
      </c>
      <c r="R21">
        <f>CORREL(BMW[units_sold],BMW[gdp_growth_percent])</f>
        <v>-5.2597817623217792E-17</v>
      </c>
    </row>
    <row r="22" spans="1:18" x14ac:dyDescent="0.35">
      <c r="A22">
        <v>2019</v>
      </c>
      <c r="B22" t="s">
        <v>48</v>
      </c>
      <c r="C22" t="s">
        <v>25</v>
      </c>
      <c r="D22" t="s">
        <v>24</v>
      </c>
      <c r="E22" t="s">
        <v>20</v>
      </c>
      <c r="F22" t="s">
        <v>17</v>
      </c>
      <c r="G22">
        <v>52241</v>
      </c>
      <c r="H22" t="s">
        <v>55</v>
      </c>
      <c r="I22">
        <v>544</v>
      </c>
      <c r="J22">
        <v>28419104</v>
      </c>
      <c r="K22">
        <v>209484</v>
      </c>
      <c r="L22">
        <v>28209620</v>
      </c>
      <c r="M22">
        <v>198</v>
      </c>
      <c r="N22">
        <v>0.97</v>
      </c>
      <c r="O22">
        <v>6.29</v>
      </c>
      <c r="P22">
        <v>1.2</v>
      </c>
      <c r="Q22">
        <v>5</v>
      </c>
      <c r="R22">
        <f>CORREL(BMW[units_sold],BMW[gdp_growth_percent])</f>
        <v>-5.2597817623217792E-17</v>
      </c>
    </row>
    <row r="23" spans="1:18" x14ac:dyDescent="0.35">
      <c r="A23">
        <v>2015</v>
      </c>
      <c r="B23" t="s">
        <v>49</v>
      </c>
      <c r="C23" t="s">
        <v>32</v>
      </c>
      <c r="D23" t="s">
        <v>15</v>
      </c>
      <c r="E23" t="s">
        <v>16</v>
      </c>
      <c r="F23" t="s">
        <v>17</v>
      </c>
      <c r="G23">
        <v>87975</v>
      </c>
      <c r="H23" t="s">
        <v>54</v>
      </c>
      <c r="I23">
        <v>751</v>
      </c>
      <c r="J23">
        <v>66069225</v>
      </c>
      <c r="K23">
        <v>160489</v>
      </c>
      <c r="L23">
        <v>65908736</v>
      </c>
      <c r="M23">
        <v>356</v>
      </c>
      <c r="N23">
        <v>0.97</v>
      </c>
      <c r="O23">
        <v>6.29</v>
      </c>
      <c r="P23">
        <v>1.2</v>
      </c>
      <c r="Q23">
        <v>1</v>
      </c>
      <c r="R23">
        <f>CORREL(BMW[units_sold],BMW[gdp_growth_percent])</f>
        <v>-5.2597817623217792E-17</v>
      </c>
    </row>
    <row r="24" spans="1:18" x14ac:dyDescent="0.35">
      <c r="A24">
        <v>2024</v>
      </c>
      <c r="B24" t="s">
        <v>44</v>
      </c>
      <c r="C24" t="s">
        <v>25</v>
      </c>
      <c r="D24" t="s">
        <v>33</v>
      </c>
      <c r="E24" t="s">
        <v>19</v>
      </c>
      <c r="F24" t="s">
        <v>23</v>
      </c>
      <c r="G24">
        <v>58154</v>
      </c>
      <c r="H24" t="s">
        <v>55</v>
      </c>
      <c r="I24">
        <v>1061</v>
      </c>
      <c r="J24">
        <v>61701394</v>
      </c>
      <c r="K24">
        <v>494874</v>
      </c>
      <c r="L24">
        <v>61206520</v>
      </c>
      <c r="M24">
        <v>359</v>
      </c>
      <c r="N24">
        <v>0.97</v>
      </c>
      <c r="O24">
        <v>6.29</v>
      </c>
      <c r="P24">
        <v>1.2</v>
      </c>
      <c r="Q24">
        <v>1</v>
      </c>
      <c r="R24">
        <f>CORREL(BMW[units_sold],BMW[gdp_growth_percent])</f>
        <v>-5.2597817623217792E-17</v>
      </c>
    </row>
    <row r="25" spans="1:18" x14ac:dyDescent="0.35">
      <c r="A25">
        <v>2020</v>
      </c>
      <c r="B25" t="s">
        <v>51</v>
      </c>
      <c r="C25" t="s">
        <v>28</v>
      </c>
      <c r="D25" t="s">
        <v>31</v>
      </c>
      <c r="E25" t="s">
        <v>19</v>
      </c>
      <c r="F25" t="s">
        <v>27</v>
      </c>
      <c r="G25">
        <v>60625</v>
      </c>
      <c r="H25" t="s">
        <v>55</v>
      </c>
      <c r="I25">
        <v>954</v>
      </c>
      <c r="J25">
        <v>57836250</v>
      </c>
      <c r="K25">
        <v>492765</v>
      </c>
      <c r="L25">
        <v>57343485</v>
      </c>
      <c r="M25">
        <v>323</v>
      </c>
      <c r="N25">
        <v>0.97</v>
      </c>
      <c r="O25">
        <v>6.29</v>
      </c>
      <c r="P25">
        <v>1.2</v>
      </c>
      <c r="Q25">
        <v>2</v>
      </c>
      <c r="R25">
        <f>CORREL(BMW[units_sold],BMW[gdp_growth_percent])</f>
        <v>-5.2597817623217792E-17</v>
      </c>
    </row>
    <row r="26" spans="1:18" x14ac:dyDescent="0.35">
      <c r="A26">
        <v>2023</v>
      </c>
      <c r="B26" t="s">
        <v>41</v>
      </c>
      <c r="C26" t="s">
        <v>36</v>
      </c>
      <c r="D26" t="s">
        <v>22</v>
      </c>
      <c r="E26" t="s">
        <v>16</v>
      </c>
      <c r="F26" t="s">
        <v>23</v>
      </c>
      <c r="G26">
        <v>79950</v>
      </c>
      <c r="H26" t="s">
        <v>55</v>
      </c>
      <c r="I26">
        <v>673</v>
      </c>
      <c r="J26">
        <v>53806350</v>
      </c>
      <c r="K26">
        <v>308667</v>
      </c>
      <c r="L26">
        <v>53497683</v>
      </c>
      <c r="M26">
        <v>137</v>
      </c>
      <c r="N26">
        <v>0.97</v>
      </c>
      <c r="O26">
        <v>6.29</v>
      </c>
      <c r="P26">
        <v>1.2</v>
      </c>
      <c r="Q26">
        <v>8</v>
      </c>
      <c r="R26">
        <f>CORREL(BMW[units_sold],BMW[gdp_growth_percent])</f>
        <v>-5.2597817623217792E-17</v>
      </c>
    </row>
    <row r="27" spans="1:18" x14ac:dyDescent="0.35">
      <c r="A27">
        <v>2015</v>
      </c>
      <c r="B27" t="s">
        <v>46</v>
      </c>
      <c r="C27" t="s">
        <v>37</v>
      </c>
      <c r="D27" t="s">
        <v>18</v>
      </c>
      <c r="E27" t="s">
        <v>16</v>
      </c>
      <c r="F27" t="s">
        <v>20</v>
      </c>
      <c r="G27">
        <v>91396</v>
      </c>
      <c r="H27" t="s">
        <v>54</v>
      </c>
      <c r="I27">
        <v>15</v>
      </c>
      <c r="J27">
        <v>1370940</v>
      </c>
      <c r="K27">
        <v>61549</v>
      </c>
      <c r="L27">
        <v>1309391</v>
      </c>
      <c r="M27">
        <v>16</v>
      </c>
      <c r="N27">
        <v>0.97</v>
      </c>
      <c r="O27">
        <v>6.29</v>
      </c>
      <c r="P27">
        <v>1.2</v>
      </c>
      <c r="Q27">
        <v>7</v>
      </c>
      <c r="R27">
        <f>CORREL(BMW[units_sold],BMW[gdp_growth_percent])</f>
        <v>-5.2597817623217792E-17</v>
      </c>
    </row>
    <row r="28" spans="1:18" x14ac:dyDescent="0.35">
      <c r="A28">
        <v>2024</v>
      </c>
      <c r="B28" t="s">
        <v>46</v>
      </c>
      <c r="C28" t="s">
        <v>28</v>
      </c>
      <c r="D28" t="s">
        <v>31</v>
      </c>
      <c r="E28" t="s">
        <v>19</v>
      </c>
      <c r="F28" t="s">
        <v>23</v>
      </c>
      <c r="G28">
        <v>48331</v>
      </c>
      <c r="H28" t="s">
        <v>57</v>
      </c>
      <c r="I28">
        <v>107</v>
      </c>
      <c r="J28">
        <v>5171417</v>
      </c>
      <c r="K28">
        <v>75739</v>
      </c>
      <c r="L28">
        <v>5095678</v>
      </c>
      <c r="M28">
        <v>56</v>
      </c>
      <c r="N28">
        <v>0.97</v>
      </c>
      <c r="O28">
        <v>6.29</v>
      </c>
      <c r="P28">
        <v>1.2</v>
      </c>
      <c r="Q28">
        <v>10</v>
      </c>
      <c r="R28">
        <f>CORREL(BMW[units_sold],BMW[gdp_growth_percent])</f>
        <v>-5.2597817623217792E-17</v>
      </c>
    </row>
    <row r="29" spans="1:18" x14ac:dyDescent="0.35">
      <c r="A29">
        <v>2017</v>
      </c>
      <c r="B29" t="s">
        <v>47</v>
      </c>
      <c r="C29" t="s">
        <v>37</v>
      </c>
      <c r="D29" t="s">
        <v>18</v>
      </c>
      <c r="E29" t="s">
        <v>16</v>
      </c>
      <c r="F29" t="s">
        <v>23</v>
      </c>
      <c r="G29">
        <v>98927</v>
      </c>
      <c r="H29" t="s">
        <v>54</v>
      </c>
      <c r="I29">
        <v>523</v>
      </c>
      <c r="J29">
        <v>51738821</v>
      </c>
      <c r="K29">
        <v>333353</v>
      </c>
      <c r="L29">
        <v>51405468</v>
      </c>
      <c r="M29">
        <v>62</v>
      </c>
      <c r="N29">
        <v>0.97</v>
      </c>
      <c r="O29">
        <v>6.29</v>
      </c>
      <c r="P29">
        <v>1.2</v>
      </c>
      <c r="Q29">
        <v>9</v>
      </c>
      <c r="R29">
        <f>CORREL(BMW[units_sold],BMW[gdp_growth_percent])</f>
        <v>-5.2597817623217792E-17</v>
      </c>
    </row>
    <row r="30" spans="1:18" x14ac:dyDescent="0.35">
      <c r="A30">
        <v>2021</v>
      </c>
      <c r="B30" t="s">
        <v>45</v>
      </c>
      <c r="C30" t="s">
        <v>30</v>
      </c>
      <c r="D30" t="s">
        <v>29</v>
      </c>
      <c r="E30" t="s">
        <v>19</v>
      </c>
      <c r="F30" t="s">
        <v>20</v>
      </c>
      <c r="G30">
        <v>119719</v>
      </c>
      <c r="H30" t="s">
        <v>54</v>
      </c>
      <c r="I30">
        <v>782</v>
      </c>
      <c r="J30">
        <v>93620258</v>
      </c>
      <c r="K30">
        <v>157051</v>
      </c>
      <c r="L30">
        <v>93463207</v>
      </c>
      <c r="M30">
        <v>196</v>
      </c>
      <c r="N30">
        <v>0.97</v>
      </c>
      <c r="O30">
        <v>6.29</v>
      </c>
      <c r="P30">
        <v>1.2</v>
      </c>
      <c r="Q30">
        <v>5</v>
      </c>
      <c r="R30">
        <f>CORREL(BMW[units_sold],BMW[gdp_growth_percent])</f>
        <v>-5.2597817623217792E-17</v>
      </c>
    </row>
    <row r="31" spans="1:18" x14ac:dyDescent="0.35">
      <c r="A31">
        <v>2018</v>
      </c>
      <c r="B31" t="s">
        <v>49</v>
      </c>
      <c r="C31" t="s">
        <v>37</v>
      </c>
      <c r="D31" t="s">
        <v>18</v>
      </c>
      <c r="E31" t="s">
        <v>16</v>
      </c>
      <c r="F31" t="s">
        <v>23</v>
      </c>
      <c r="G31">
        <v>98014</v>
      </c>
      <c r="H31" t="s">
        <v>54</v>
      </c>
      <c r="I31">
        <v>397</v>
      </c>
      <c r="J31">
        <v>38911558</v>
      </c>
      <c r="K31">
        <v>65116</v>
      </c>
      <c r="L31">
        <v>38846442</v>
      </c>
      <c r="M31">
        <v>47</v>
      </c>
      <c r="N31">
        <v>0.97</v>
      </c>
      <c r="O31">
        <v>6.29</v>
      </c>
      <c r="P31">
        <v>1.2</v>
      </c>
      <c r="Q31">
        <v>2</v>
      </c>
      <c r="R31">
        <f>CORREL(BMW[units_sold],BMW[gdp_growth_percent])</f>
        <v>-5.2597817623217792E-17</v>
      </c>
    </row>
    <row r="32" spans="1:18" x14ac:dyDescent="0.35">
      <c r="A32">
        <v>2023</v>
      </c>
      <c r="B32" t="s">
        <v>51</v>
      </c>
      <c r="C32" t="s">
        <v>36</v>
      </c>
      <c r="D32" t="s">
        <v>26</v>
      </c>
      <c r="E32" t="s">
        <v>16</v>
      </c>
      <c r="F32" t="s">
        <v>17</v>
      </c>
      <c r="G32">
        <v>74346</v>
      </c>
      <c r="H32" t="s">
        <v>55</v>
      </c>
      <c r="I32">
        <v>773</v>
      </c>
      <c r="J32">
        <v>57469458</v>
      </c>
      <c r="K32">
        <v>70045</v>
      </c>
      <c r="L32">
        <v>57399413</v>
      </c>
      <c r="M32">
        <v>235</v>
      </c>
      <c r="N32">
        <v>0.97</v>
      </c>
      <c r="O32">
        <v>6.29</v>
      </c>
      <c r="P32">
        <v>1.2</v>
      </c>
      <c r="Q32">
        <v>7</v>
      </c>
      <c r="R32">
        <f>CORREL(BMW[units_sold],BMW[gdp_growth_percent])</f>
        <v>-5.2597817623217792E-17</v>
      </c>
    </row>
    <row r="33" spans="1:18" x14ac:dyDescent="0.35">
      <c r="A33">
        <v>2017</v>
      </c>
      <c r="B33" t="s">
        <v>48</v>
      </c>
      <c r="C33" t="s">
        <v>36</v>
      </c>
      <c r="D33" t="s">
        <v>24</v>
      </c>
      <c r="E33" t="s">
        <v>16</v>
      </c>
      <c r="F33" t="s">
        <v>27</v>
      </c>
      <c r="G33">
        <v>105411</v>
      </c>
      <c r="H33" t="s">
        <v>54</v>
      </c>
      <c r="I33">
        <v>179</v>
      </c>
      <c r="J33">
        <v>18868569</v>
      </c>
      <c r="K33">
        <v>469543</v>
      </c>
      <c r="L33">
        <v>18399026</v>
      </c>
      <c r="M33">
        <v>62</v>
      </c>
      <c r="N33">
        <v>0.97</v>
      </c>
      <c r="O33">
        <v>6.29</v>
      </c>
      <c r="P33">
        <v>1.2</v>
      </c>
      <c r="Q33">
        <v>8</v>
      </c>
      <c r="R33">
        <f>CORREL(BMW[units_sold],BMW[gdp_growth_percent])</f>
        <v>-5.2597817623217792E-17</v>
      </c>
    </row>
    <row r="34" spans="1:18" x14ac:dyDescent="0.35">
      <c r="A34">
        <v>2019</v>
      </c>
      <c r="B34" t="s">
        <v>41</v>
      </c>
      <c r="C34" t="s">
        <v>25</v>
      </c>
      <c r="D34" t="s">
        <v>33</v>
      </c>
      <c r="E34" t="s">
        <v>19</v>
      </c>
      <c r="F34" t="s">
        <v>23</v>
      </c>
      <c r="G34">
        <v>89478</v>
      </c>
      <c r="H34" t="s">
        <v>54</v>
      </c>
      <c r="I34">
        <v>652</v>
      </c>
      <c r="J34">
        <v>58339656</v>
      </c>
      <c r="K34">
        <v>85709</v>
      </c>
      <c r="L34">
        <v>58253947</v>
      </c>
      <c r="M34">
        <v>233</v>
      </c>
      <c r="N34">
        <v>0.97</v>
      </c>
      <c r="O34">
        <v>6.29</v>
      </c>
      <c r="P34">
        <v>1.2</v>
      </c>
      <c r="Q34">
        <v>7</v>
      </c>
      <c r="R34">
        <f>CORREL(BMW[units_sold],BMW[gdp_growth_percent])</f>
        <v>-5.2597817623217792E-17</v>
      </c>
    </row>
    <row r="35" spans="1:18" x14ac:dyDescent="0.35">
      <c r="A35">
        <v>2017</v>
      </c>
      <c r="B35" t="s">
        <v>49</v>
      </c>
      <c r="C35" t="s">
        <v>38</v>
      </c>
      <c r="D35" t="s">
        <v>39</v>
      </c>
      <c r="E35" t="s">
        <v>16</v>
      </c>
      <c r="F35" t="s">
        <v>20</v>
      </c>
      <c r="G35">
        <v>47254</v>
      </c>
      <c r="H35" t="s">
        <v>57</v>
      </c>
      <c r="I35">
        <v>389</v>
      </c>
      <c r="J35">
        <v>18381806</v>
      </c>
      <c r="K35">
        <v>355761</v>
      </c>
      <c r="L35">
        <v>18026045</v>
      </c>
      <c r="M35">
        <v>163</v>
      </c>
      <c r="N35">
        <v>0.97</v>
      </c>
      <c r="O35">
        <v>6.29</v>
      </c>
      <c r="P35">
        <v>1.2</v>
      </c>
      <c r="Q35">
        <v>7</v>
      </c>
      <c r="R35">
        <f>CORREL(BMW[units_sold],BMW[gdp_growth_percent])</f>
        <v>-5.2597817623217792E-17</v>
      </c>
    </row>
    <row r="36" spans="1:18" x14ac:dyDescent="0.35">
      <c r="A36">
        <v>2021</v>
      </c>
      <c r="B36" t="s">
        <v>51</v>
      </c>
      <c r="C36" t="s">
        <v>30</v>
      </c>
      <c r="D36" t="s">
        <v>15</v>
      </c>
      <c r="E36" t="s">
        <v>19</v>
      </c>
      <c r="F36" t="s">
        <v>27</v>
      </c>
      <c r="G36">
        <v>90734</v>
      </c>
      <c r="H36" t="s">
        <v>54</v>
      </c>
      <c r="I36">
        <v>213</v>
      </c>
      <c r="J36">
        <v>19326342</v>
      </c>
      <c r="K36">
        <v>207977</v>
      </c>
      <c r="L36">
        <v>19118365</v>
      </c>
      <c r="M36">
        <v>57</v>
      </c>
      <c r="N36">
        <v>0.97</v>
      </c>
      <c r="O36">
        <v>6.29</v>
      </c>
      <c r="P36">
        <v>1.2</v>
      </c>
      <c r="Q36">
        <v>5</v>
      </c>
      <c r="R36">
        <f>CORREL(BMW[units_sold],BMW[gdp_growth_percent])</f>
        <v>-5.2597817623217792E-17</v>
      </c>
    </row>
    <row r="37" spans="1:18" x14ac:dyDescent="0.35">
      <c r="A37">
        <v>2019</v>
      </c>
      <c r="B37" t="s">
        <v>50</v>
      </c>
      <c r="C37" t="s">
        <v>21</v>
      </c>
      <c r="D37" t="s">
        <v>26</v>
      </c>
      <c r="E37" t="s">
        <v>19</v>
      </c>
      <c r="F37" t="s">
        <v>20</v>
      </c>
      <c r="G37">
        <v>63621</v>
      </c>
      <c r="H37" t="s">
        <v>55</v>
      </c>
      <c r="I37">
        <v>945</v>
      </c>
      <c r="J37">
        <v>60121845</v>
      </c>
      <c r="K37">
        <v>253675</v>
      </c>
      <c r="L37">
        <v>59868170</v>
      </c>
      <c r="M37">
        <v>360</v>
      </c>
      <c r="N37">
        <v>0.97</v>
      </c>
      <c r="O37">
        <v>6.29</v>
      </c>
      <c r="P37">
        <v>1.2</v>
      </c>
      <c r="Q37">
        <v>2</v>
      </c>
      <c r="R37">
        <f>CORREL(BMW[units_sold],BMW[gdp_growth_percent])</f>
        <v>-5.2597817623217792E-17</v>
      </c>
    </row>
    <row r="38" spans="1:18" x14ac:dyDescent="0.35">
      <c r="A38">
        <v>2023</v>
      </c>
      <c r="B38" t="s">
        <v>42</v>
      </c>
      <c r="C38" t="s">
        <v>14</v>
      </c>
      <c r="D38" t="s">
        <v>18</v>
      </c>
      <c r="E38" t="s">
        <v>16</v>
      </c>
      <c r="F38" t="s">
        <v>27</v>
      </c>
      <c r="G38">
        <v>111441</v>
      </c>
      <c r="H38" t="s">
        <v>54</v>
      </c>
      <c r="I38">
        <v>705</v>
      </c>
      <c r="J38">
        <v>78565905</v>
      </c>
      <c r="K38">
        <v>279167</v>
      </c>
      <c r="L38">
        <v>78286738</v>
      </c>
      <c r="M38">
        <v>156</v>
      </c>
      <c r="N38">
        <v>0.97</v>
      </c>
      <c r="O38">
        <v>6.29</v>
      </c>
      <c r="P38">
        <v>1.2</v>
      </c>
      <c r="Q38">
        <v>6</v>
      </c>
      <c r="R38">
        <f>CORREL(BMW[units_sold],BMW[gdp_growth_percent])</f>
        <v>-5.2597817623217792E-17</v>
      </c>
    </row>
    <row r="39" spans="1:18" x14ac:dyDescent="0.35">
      <c r="A39">
        <v>2021</v>
      </c>
      <c r="B39" t="s">
        <v>46</v>
      </c>
      <c r="C39" t="s">
        <v>37</v>
      </c>
      <c r="D39" t="s">
        <v>34</v>
      </c>
      <c r="E39" t="s">
        <v>16</v>
      </c>
      <c r="F39" t="s">
        <v>27</v>
      </c>
      <c r="G39">
        <v>81121</v>
      </c>
      <c r="H39" t="s">
        <v>54</v>
      </c>
      <c r="I39">
        <v>368</v>
      </c>
      <c r="J39">
        <v>29852528</v>
      </c>
      <c r="K39">
        <v>431923</v>
      </c>
      <c r="L39">
        <v>29420605</v>
      </c>
      <c r="M39">
        <v>73</v>
      </c>
      <c r="N39">
        <v>0.97</v>
      </c>
      <c r="O39">
        <v>6.29</v>
      </c>
      <c r="P39">
        <v>1.2</v>
      </c>
      <c r="Q39">
        <v>4</v>
      </c>
      <c r="R39">
        <f>CORREL(BMW[units_sold],BMW[gdp_growth_percent])</f>
        <v>-5.2597817623217792E-17</v>
      </c>
    </row>
    <row r="40" spans="1:18" x14ac:dyDescent="0.35">
      <c r="A40">
        <v>2016</v>
      </c>
      <c r="B40" t="s">
        <v>48</v>
      </c>
      <c r="C40" t="s">
        <v>38</v>
      </c>
      <c r="D40" t="s">
        <v>33</v>
      </c>
      <c r="E40" t="s">
        <v>19</v>
      </c>
      <c r="F40" t="s">
        <v>23</v>
      </c>
      <c r="G40">
        <v>116418</v>
      </c>
      <c r="H40" t="s">
        <v>54</v>
      </c>
      <c r="I40">
        <v>743</v>
      </c>
      <c r="J40">
        <v>86498574</v>
      </c>
      <c r="K40">
        <v>355063</v>
      </c>
      <c r="L40">
        <v>86143511</v>
      </c>
      <c r="M40">
        <v>358</v>
      </c>
      <c r="N40">
        <v>0.97</v>
      </c>
      <c r="O40">
        <v>6.29</v>
      </c>
      <c r="P40">
        <v>1.2</v>
      </c>
      <c r="Q40">
        <v>10</v>
      </c>
      <c r="R40">
        <f>CORREL(BMW[units_sold],BMW[gdp_growth_percent])</f>
        <v>-5.2597817623217792E-17</v>
      </c>
    </row>
    <row r="41" spans="1:18" x14ac:dyDescent="0.35">
      <c r="A41">
        <v>2018</v>
      </c>
      <c r="B41" t="s">
        <v>46</v>
      </c>
      <c r="C41" t="s">
        <v>25</v>
      </c>
      <c r="D41" t="s">
        <v>26</v>
      </c>
      <c r="E41" t="s">
        <v>19</v>
      </c>
      <c r="F41" t="s">
        <v>17</v>
      </c>
      <c r="G41">
        <v>95197</v>
      </c>
      <c r="H41" t="s">
        <v>54</v>
      </c>
      <c r="I41">
        <v>805</v>
      </c>
      <c r="J41">
        <v>76633585</v>
      </c>
      <c r="K41">
        <v>395665</v>
      </c>
      <c r="L41">
        <v>76237920</v>
      </c>
      <c r="M41">
        <v>191</v>
      </c>
      <c r="N41">
        <v>0.97</v>
      </c>
      <c r="O41">
        <v>6.29</v>
      </c>
      <c r="P41">
        <v>1.2</v>
      </c>
      <c r="Q41">
        <v>2</v>
      </c>
      <c r="R41">
        <f>CORREL(BMW[units_sold],BMW[gdp_growth_percent])</f>
        <v>-5.2597817623217792E-17</v>
      </c>
    </row>
    <row r="42" spans="1:18" x14ac:dyDescent="0.35">
      <c r="A42">
        <v>2023</v>
      </c>
      <c r="B42" t="s">
        <v>48</v>
      </c>
      <c r="C42" t="s">
        <v>32</v>
      </c>
      <c r="D42" t="s">
        <v>15</v>
      </c>
      <c r="E42" t="s">
        <v>20</v>
      </c>
      <c r="F42" t="s">
        <v>23</v>
      </c>
      <c r="G42">
        <v>119577</v>
      </c>
      <c r="H42" t="s">
        <v>54</v>
      </c>
      <c r="I42">
        <v>380</v>
      </c>
      <c r="J42">
        <v>45439260</v>
      </c>
      <c r="K42">
        <v>269222</v>
      </c>
      <c r="L42">
        <v>45170038</v>
      </c>
      <c r="M42">
        <v>134</v>
      </c>
      <c r="N42">
        <v>0.97</v>
      </c>
      <c r="O42">
        <v>6.29</v>
      </c>
      <c r="P42">
        <v>1.2</v>
      </c>
      <c r="Q42">
        <v>9</v>
      </c>
      <c r="R42">
        <f>CORREL(BMW[units_sold],BMW[gdp_growth_percent])</f>
        <v>-5.2597817623217792E-17</v>
      </c>
    </row>
    <row r="43" spans="1:18" x14ac:dyDescent="0.35">
      <c r="A43">
        <v>2016</v>
      </c>
      <c r="B43" t="s">
        <v>47</v>
      </c>
      <c r="C43" t="s">
        <v>21</v>
      </c>
      <c r="D43" t="s">
        <v>24</v>
      </c>
      <c r="E43" t="s">
        <v>19</v>
      </c>
      <c r="F43" t="s">
        <v>20</v>
      </c>
      <c r="G43">
        <v>77431</v>
      </c>
      <c r="H43" t="s">
        <v>55</v>
      </c>
      <c r="I43">
        <v>543</v>
      </c>
      <c r="J43">
        <v>42045033</v>
      </c>
      <c r="K43">
        <v>239518</v>
      </c>
      <c r="L43">
        <v>41805515</v>
      </c>
      <c r="M43">
        <v>188</v>
      </c>
      <c r="N43">
        <v>0.97</v>
      </c>
      <c r="O43">
        <v>6.29</v>
      </c>
      <c r="P43">
        <v>1.2</v>
      </c>
      <c r="Q43">
        <v>7</v>
      </c>
      <c r="R43">
        <f>CORREL(BMW[units_sold],BMW[gdp_growth_percent])</f>
        <v>-5.2597817623217792E-17</v>
      </c>
    </row>
    <row r="44" spans="1:18" x14ac:dyDescent="0.35">
      <c r="A44">
        <v>2024</v>
      </c>
      <c r="B44" t="s">
        <v>45</v>
      </c>
      <c r="C44" t="s">
        <v>35</v>
      </c>
      <c r="D44" t="s">
        <v>33</v>
      </c>
      <c r="E44" t="s">
        <v>20</v>
      </c>
      <c r="F44" t="s">
        <v>20</v>
      </c>
      <c r="G44">
        <v>39837</v>
      </c>
      <c r="H44" t="s">
        <v>57</v>
      </c>
      <c r="I44">
        <v>429</v>
      </c>
      <c r="J44">
        <v>17090073</v>
      </c>
      <c r="K44">
        <v>233500</v>
      </c>
      <c r="L44">
        <v>16856573</v>
      </c>
      <c r="M44">
        <v>48</v>
      </c>
      <c r="N44">
        <v>0.97</v>
      </c>
      <c r="O44">
        <v>6.29</v>
      </c>
      <c r="P44">
        <v>1.2</v>
      </c>
      <c r="Q44">
        <v>6</v>
      </c>
      <c r="R44">
        <f>CORREL(BMW[units_sold],BMW[gdp_growth_percent])</f>
        <v>-5.2597817623217792E-17</v>
      </c>
    </row>
    <row r="45" spans="1:18" x14ac:dyDescent="0.35">
      <c r="A45">
        <v>2023</v>
      </c>
      <c r="B45" t="s">
        <v>48</v>
      </c>
      <c r="C45" t="s">
        <v>38</v>
      </c>
      <c r="D45" t="s">
        <v>15</v>
      </c>
      <c r="E45" t="s">
        <v>20</v>
      </c>
      <c r="F45" t="s">
        <v>27</v>
      </c>
      <c r="G45">
        <v>118163</v>
      </c>
      <c r="H45" t="s">
        <v>54</v>
      </c>
      <c r="I45">
        <v>661</v>
      </c>
      <c r="J45">
        <v>78105743</v>
      </c>
      <c r="K45">
        <v>491110</v>
      </c>
      <c r="L45">
        <v>77614633</v>
      </c>
      <c r="M45">
        <v>269</v>
      </c>
      <c r="N45">
        <v>0.97</v>
      </c>
      <c r="O45">
        <v>6.29</v>
      </c>
      <c r="P45">
        <v>1.2</v>
      </c>
      <c r="Q45">
        <v>5</v>
      </c>
      <c r="R45">
        <f>CORREL(BMW[units_sold],BMW[gdp_growth_percent])</f>
        <v>-5.2597817623217792E-17</v>
      </c>
    </row>
    <row r="46" spans="1:18" x14ac:dyDescent="0.35">
      <c r="A46">
        <v>2024</v>
      </c>
      <c r="B46" t="s">
        <v>46</v>
      </c>
      <c r="C46" t="s">
        <v>32</v>
      </c>
      <c r="D46" t="s">
        <v>29</v>
      </c>
      <c r="E46" t="s">
        <v>20</v>
      </c>
      <c r="F46" t="s">
        <v>27</v>
      </c>
      <c r="G46">
        <v>106232</v>
      </c>
      <c r="H46" t="s">
        <v>54</v>
      </c>
      <c r="I46">
        <v>1001</v>
      </c>
      <c r="J46">
        <v>106338232</v>
      </c>
      <c r="K46">
        <v>318591</v>
      </c>
      <c r="L46">
        <v>106019641</v>
      </c>
      <c r="M46">
        <v>391</v>
      </c>
      <c r="N46">
        <v>0.97</v>
      </c>
      <c r="O46">
        <v>6.29</v>
      </c>
      <c r="P46">
        <v>1.2</v>
      </c>
      <c r="Q46">
        <v>3</v>
      </c>
      <c r="R46">
        <f>CORREL(BMW[units_sold],BMW[gdp_growth_percent])</f>
        <v>-5.2597817623217792E-17</v>
      </c>
    </row>
    <row r="47" spans="1:18" x14ac:dyDescent="0.35">
      <c r="A47">
        <v>2019</v>
      </c>
      <c r="B47" t="s">
        <v>47</v>
      </c>
      <c r="C47" t="s">
        <v>30</v>
      </c>
      <c r="D47" t="s">
        <v>29</v>
      </c>
      <c r="E47" t="s">
        <v>16</v>
      </c>
      <c r="F47" t="s">
        <v>17</v>
      </c>
      <c r="G47">
        <v>83994</v>
      </c>
      <c r="H47" t="s">
        <v>54</v>
      </c>
      <c r="I47">
        <v>413</v>
      </c>
      <c r="J47">
        <v>34689522</v>
      </c>
      <c r="K47">
        <v>55499</v>
      </c>
      <c r="L47">
        <v>34634023</v>
      </c>
      <c r="M47">
        <v>12</v>
      </c>
      <c r="N47">
        <v>0.97</v>
      </c>
      <c r="O47">
        <v>6.29</v>
      </c>
      <c r="P47">
        <v>1.2</v>
      </c>
      <c r="Q47">
        <v>10</v>
      </c>
      <c r="R47">
        <f>CORREL(BMW[units_sold],BMW[gdp_growth_percent])</f>
        <v>-5.2597817623217792E-17</v>
      </c>
    </row>
    <row r="48" spans="1:18" x14ac:dyDescent="0.35">
      <c r="A48">
        <v>2016</v>
      </c>
      <c r="B48" t="s">
        <v>48</v>
      </c>
      <c r="C48" t="s">
        <v>25</v>
      </c>
      <c r="D48" t="s">
        <v>15</v>
      </c>
      <c r="E48" t="s">
        <v>16</v>
      </c>
      <c r="F48" t="s">
        <v>23</v>
      </c>
      <c r="G48">
        <v>114079</v>
      </c>
      <c r="H48" t="s">
        <v>54</v>
      </c>
      <c r="I48">
        <v>396</v>
      </c>
      <c r="J48">
        <v>45175284</v>
      </c>
      <c r="K48">
        <v>89041</v>
      </c>
      <c r="L48">
        <v>45086243</v>
      </c>
      <c r="M48">
        <v>73</v>
      </c>
      <c r="N48">
        <v>0.97</v>
      </c>
      <c r="O48">
        <v>6.29</v>
      </c>
      <c r="P48">
        <v>1.2</v>
      </c>
      <c r="Q48">
        <v>10</v>
      </c>
      <c r="R48">
        <f>CORREL(BMW[units_sold],BMW[gdp_growth_percent])</f>
        <v>-5.2597817623217792E-17</v>
      </c>
    </row>
    <row r="49" spans="1:18" x14ac:dyDescent="0.35">
      <c r="A49">
        <v>2018</v>
      </c>
      <c r="B49" t="s">
        <v>50</v>
      </c>
      <c r="C49" t="s">
        <v>21</v>
      </c>
      <c r="D49" t="s">
        <v>26</v>
      </c>
      <c r="E49" t="s">
        <v>19</v>
      </c>
      <c r="F49" t="s">
        <v>20</v>
      </c>
      <c r="G49">
        <v>47615</v>
      </c>
      <c r="H49" t="s">
        <v>57</v>
      </c>
      <c r="I49">
        <v>225</v>
      </c>
      <c r="J49">
        <v>10713375</v>
      </c>
      <c r="K49">
        <v>343459</v>
      </c>
      <c r="L49">
        <v>10369916</v>
      </c>
      <c r="M49">
        <v>38</v>
      </c>
      <c r="N49">
        <v>0.97</v>
      </c>
      <c r="O49">
        <v>6.29</v>
      </c>
      <c r="P49">
        <v>1.2</v>
      </c>
      <c r="Q49">
        <v>4</v>
      </c>
      <c r="R49">
        <f>CORREL(BMW[units_sold],BMW[gdp_growth_percent])</f>
        <v>-5.2597817623217792E-17</v>
      </c>
    </row>
    <row r="50" spans="1:18" x14ac:dyDescent="0.35">
      <c r="A50">
        <v>2021</v>
      </c>
      <c r="B50" t="s">
        <v>45</v>
      </c>
      <c r="C50" t="s">
        <v>21</v>
      </c>
      <c r="D50" t="s">
        <v>33</v>
      </c>
      <c r="E50" t="s">
        <v>20</v>
      </c>
      <c r="F50" t="s">
        <v>27</v>
      </c>
      <c r="G50">
        <v>36466</v>
      </c>
      <c r="H50" t="s">
        <v>57</v>
      </c>
      <c r="I50">
        <v>992</v>
      </c>
      <c r="J50">
        <v>36174272</v>
      </c>
      <c r="K50">
        <v>182371</v>
      </c>
      <c r="L50">
        <v>35991901</v>
      </c>
      <c r="M50">
        <v>381</v>
      </c>
      <c r="N50">
        <v>0.97</v>
      </c>
      <c r="O50">
        <v>6.29</v>
      </c>
      <c r="P50">
        <v>1.2</v>
      </c>
      <c r="Q50">
        <v>3</v>
      </c>
      <c r="R50">
        <f>CORREL(BMW[units_sold],BMW[gdp_growth_percent])</f>
        <v>-5.2597817623217792E-17</v>
      </c>
    </row>
    <row r="51" spans="1:18" x14ac:dyDescent="0.35">
      <c r="A51">
        <v>2022</v>
      </c>
      <c r="B51" t="s">
        <v>48</v>
      </c>
      <c r="C51" t="s">
        <v>21</v>
      </c>
      <c r="D51" t="s">
        <v>26</v>
      </c>
      <c r="E51" t="s">
        <v>16</v>
      </c>
      <c r="F51" t="s">
        <v>17</v>
      </c>
      <c r="G51">
        <v>65771</v>
      </c>
      <c r="H51" t="s">
        <v>55</v>
      </c>
      <c r="I51">
        <v>476</v>
      </c>
      <c r="J51">
        <v>31306996</v>
      </c>
      <c r="K51">
        <v>432650</v>
      </c>
      <c r="L51">
        <v>30874346</v>
      </c>
      <c r="M51">
        <v>20</v>
      </c>
      <c r="N51">
        <v>0.97</v>
      </c>
      <c r="O51">
        <v>6.29</v>
      </c>
      <c r="P51">
        <v>1.2</v>
      </c>
      <c r="Q51">
        <v>8</v>
      </c>
      <c r="R51">
        <f>CORREL(BMW[units_sold],BMW[gdp_growth_percent])</f>
        <v>-5.2597817623217792E-17</v>
      </c>
    </row>
    <row r="52" spans="1:18" x14ac:dyDescent="0.35">
      <c r="A52">
        <v>2017</v>
      </c>
      <c r="B52" t="s">
        <v>47</v>
      </c>
      <c r="C52" t="s">
        <v>30</v>
      </c>
      <c r="D52" t="s">
        <v>22</v>
      </c>
      <c r="E52" t="s">
        <v>16</v>
      </c>
      <c r="F52" t="s">
        <v>20</v>
      </c>
      <c r="G52">
        <v>118886</v>
      </c>
      <c r="H52" t="s">
        <v>54</v>
      </c>
      <c r="I52">
        <v>357</v>
      </c>
      <c r="J52">
        <v>42442302</v>
      </c>
      <c r="K52">
        <v>186066</v>
      </c>
      <c r="L52">
        <v>42256236</v>
      </c>
      <c r="M52">
        <v>106</v>
      </c>
      <c r="N52">
        <v>0.97</v>
      </c>
      <c r="O52">
        <v>6.29</v>
      </c>
      <c r="P52">
        <v>1.2</v>
      </c>
      <c r="Q52">
        <v>3</v>
      </c>
      <c r="R52">
        <f>CORREL(BMW[units_sold],BMW[gdp_growth_percent])</f>
        <v>-5.2597817623217792E-17</v>
      </c>
    </row>
    <row r="53" spans="1:18" x14ac:dyDescent="0.35">
      <c r="A53">
        <v>2015</v>
      </c>
      <c r="B53" t="s">
        <v>44</v>
      </c>
      <c r="C53" t="s">
        <v>37</v>
      </c>
      <c r="D53" t="s">
        <v>18</v>
      </c>
      <c r="E53" t="s">
        <v>16</v>
      </c>
      <c r="F53" t="s">
        <v>27</v>
      </c>
      <c r="G53">
        <v>100911</v>
      </c>
      <c r="H53" t="s">
        <v>54</v>
      </c>
      <c r="I53">
        <v>1145</v>
      </c>
      <c r="J53">
        <v>115543095</v>
      </c>
      <c r="K53">
        <v>276486</v>
      </c>
      <c r="L53">
        <v>115266609</v>
      </c>
      <c r="M53">
        <v>367</v>
      </c>
      <c r="N53">
        <v>0.97</v>
      </c>
      <c r="O53">
        <v>6.29</v>
      </c>
      <c r="P53">
        <v>1.2</v>
      </c>
      <c r="Q53">
        <v>7</v>
      </c>
      <c r="R53">
        <f>CORREL(BMW[units_sold],BMW[gdp_growth_percent])</f>
        <v>-5.2597817623217792E-17</v>
      </c>
    </row>
    <row r="54" spans="1:18" x14ac:dyDescent="0.35">
      <c r="A54">
        <v>2018</v>
      </c>
      <c r="B54" t="s">
        <v>49</v>
      </c>
      <c r="C54" t="s">
        <v>35</v>
      </c>
      <c r="D54" t="s">
        <v>22</v>
      </c>
      <c r="E54" t="s">
        <v>16</v>
      </c>
      <c r="F54" t="s">
        <v>20</v>
      </c>
      <c r="G54">
        <v>55746</v>
      </c>
      <c r="H54" t="s">
        <v>55</v>
      </c>
      <c r="I54">
        <v>679</v>
      </c>
      <c r="J54">
        <v>37851534</v>
      </c>
      <c r="K54">
        <v>262235</v>
      </c>
      <c r="L54">
        <v>37589299</v>
      </c>
      <c r="M54">
        <v>212</v>
      </c>
      <c r="N54">
        <v>0.97</v>
      </c>
      <c r="O54">
        <v>6.29</v>
      </c>
      <c r="P54">
        <v>1.2</v>
      </c>
      <c r="Q54">
        <v>7</v>
      </c>
      <c r="R54">
        <f>CORREL(BMW[units_sold],BMW[gdp_growth_percent])</f>
        <v>-5.2597817623217792E-17</v>
      </c>
    </row>
    <row r="55" spans="1:18" x14ac:dyDescent="0.35">
      <c r="A55">
        <v>2016</v>
      </c>
      <c r="B55" t="s">
        <v>52</v>
      </c>
      <c r="C55" t="s">
        <v>30</v>
      </c>
      <c r="D55" t="s">
        <v>29</v>
      </c>
      <c r="E55" t="s">
        <v>16</v>
      </c>
      <c r="F55" t="s">
        <v>17</v>
      </c>
      <c r="G55">
        <v>95739</v>
      </c>
      <c r="H55" t="s">
        <v>54</v>
      </c>
      <c r="I55">
        <v>184</v>
      </c>
      <c r="J55">
        <v>17615976</v>
      </c>
      <c r="K55">
        <v>307831</v>
      </c>
      <c r="L55">
        <v>17308145</v>
      </c>
      <c r="M55">
        <v>30</v>
      </c>
      <c r="N55">
        <v>0.97</v>
      </c>
      <c r="O55">
        <v>6.29</v>
      </c>
      <c r="P55">
        <v>1.2</v>
      </c>
      <c r="Q55">
        <v>7</v>
      </c>
      <c r="R55">
        <f>CORREL(BMW[units_sold],BMW[gdp_growth_percent])</f>
        <v>-5.2597817623217792E-17</v>
      </c>
    </row>
    <row r="56" spans="1:18" x14ac:dyDescent="0.35">
      <c r="A56">
        <v>2022</v>
      </c>
      <c r="B56" t="s">
        <v>51</v>
      </c>
      <c r="C56" t="s">
        <v>14</v>
      </c>
      <c r="D56" t="s">
        <v>24</v>
      </c>
      <c r="E56" t="s">
        <v>20</v>
      </c>
      <c r="F56" t="s">
        <v>17</v>
      </c>
      <c r="G56">
        <v>108369</v>
      </c>
      <c r="H56" t="s">
        <v>54</v>
      </c>
      <c r="I56">
        <v>205</v>
      </c>
      <c r="J56">
        <v>22215645</v>
      </c>
      <c r="K56">
        <v>450705</v>
      </c>
      <c r="L56">
        <v>21764940</v>
      </c>
      <c r="M56">
        <v>48</v>
      </c>
      <c r="N56">
        <v>0.97</v>
      </c>
      <c r="O56">
        <v>6.29</v>
      </c>
      <c r="P56">
        <v>1.2</v>
      </c>
      <c r="Q56">
        <v>7</v>
      </c>
      <c r="R56">
        <f>CORREL(BMW[units_sold],BMW[gdp_growth_percent])</f>
        <v>-5.2597817623217792E-17</v>
      </c>
    </row>
    <row r="57" spans="1:18" x14ac:dyDescent="0.35">
      <c r="A57">
        <v>2018</v>
      </c>
      <c r="B57" t="s">
        <v>52</v>
      </c>
      <c r="C57" t="s">
        <v>35</v>
      </c>
      <c r="D57" t="s">
        <v>31</v>
      </c>
      <c r="E57" t="s">
        <v>20</v>
      </c>
      <c r="F57" t="s">
        <v>20</v>
      </c>
      <c r="G57">
        <v>36893</v>
      </c>
      <c r="H57" t="s">
        <v>57</v>
      </c>
      <c r="I57">
        <v>534</v>
      </c>
      <c r="J57">
        <v>19700862</v>
      </c>
      <c r="K57">
        <v>403791</v>
      </c>
      <c r="L57">
        <v>19297071</v>
      </c>
      <c r="M57">
        <v>232</v>
      </c>
      <c r="N57">
        <v>0.97</v>
      </c>
      <c r="O57">
        <v>6.29</v>
      </c>
      <c r="P57">
        <v>1.2</v>
      </c>
      <c r="Q57">
        <v>2</v>
      </c>
      <c r="R57">
        <f>CORREL(BMW[units_sold],BMW[gdp_growth_percent])</f>
        <v>-5.2597817623217792E-17</v>
      </c>
    </row>
    <row r="58" spans="1:18" x14ac:dyDescent="0.35">
      <c r="A58">
        <v>2016</v>
      </c>
      <c r="B58" t="s">
        <v>44</v>
      </c>
      <c r="C58" t="s">
        <v>36</v>
      </c>
      <c r="D58" t="s">
        <v>18</v>
      </c>
      <c r="E58" t="s">
        <v>20</v>
      </c>
      <c r="F58" t="s">
        <v>23</v>
      </c>
      <c r="G58">
        <v>65573</v>
      </c>
      <c r="H58" t="s">
        <v>55</v>
      </c>
      <c r="I58">
        <v>578</v>
      </c>
      <c r="J58">
        <v>37901194</v>
      </c>
      <c r="K58">
        <v>344499</v>
      </c>
      <c r="L58">
        <v>37556695</v>
      </c>
      <c r="M58">
        <v>111</v>
      </c>
      <c r="N58">
        <v>0.97</v>
      </c>
      <c r="O58">
        <v>6.29</v>
      </c>
      <c r="P58">
        <v>1.2</v>
      </c>
      <c r="Q58">
        <v>10</v>
      </c>
      <c r="R58">
        <f>CORREL(BMW[units_sold],BMW[gdp_growth_percent])</f>
        <v>-5.2597817623217792E-17</v>
      </c>
    </row>
    <row r="59" spans="1:18" x14ac:dyDescent="0.35">
      <c r="A59">
        <v>2020</v>
      </c>
      <c r="B59" t="s">
        <v>52</v>
      </c>
      <c r="C59" t="s">
        <v>25</v>
      </c>
      <c r="D59" t="s">
        <v>29</v>
      </c>
      <c r="E59" t="s">
        <v>20</v>
      </c>
      <c r="F59" t="s">
        <v>20</v>
      </c>
      <c r="G59">
        <v>75874</v>
      </c>
      <c r="H59" t="s">
        <v>55</v>
      </c>
      <c r="I59">
        <v>292</v>
      </c>
      <c r="J59">
        <v>22155208</v>
      </c>
      <c r="K59">
        <v>385949</v>
      </c>
      <c r="L59">
        <v>21769259</v>
      </c>
      <c r="M59">
        <v>55</v>
      </c>
      <c r="N59">
        <v>0.97</v>
      </c>
      <c r="O59">
        <v>6.29</v>
      </c>
      <c r="P59">
        <v>1.2</v>
      </c>
      <c r="Q59">
        <v>3</v>
      </c>
      <c r="R59">
        <f>CORREL(BMW[units_sold],BMW[gdp_growth_percent])</f>
        <v>-5.2597817623217792E-17</v>
      </c>
    </row>
    <row r="60" spans="1:18" x14ac:dyDescent="0.35">
      <c r="A60">
        <v>2020</v>
      </c>
      <c r="B60" t="s">
        <v>44</v>
      </c>
      <c r="C60" t="s">
        <v>30</v>
      </c>
      <c r="D60" t="s">
        <v>26</v>
      </c>
      <c r="E60" t="s">
        <v>19</v>
      </c>
      <c r="F60" t="s">
        <v>27</v>
      </c>
      <c r="G60">
        <v>112362</v>
      </c>
      <c r="H60" t="s">
        <v>54</v>
      </c>
      <c r="I60">
        <v>495</v>
      </c>
      <c r="J60">
        <v>55619190</v>
      </c>
      <c r="K60">
        <v>380511</v>
      </c>
      <c r="L60">
        <v>55238679</v>
      </c>
      <c r="M60">
        <v>75</v>
      </c>
      <c r="N60">
        <v>0.97</v>
      </c>
      <c r="O60">
        <v>6.29</v>
      </c>
      <c r="P60">
        <v>1.2</v>
      </c>
      <c r="Q60">
        <v>10</v>
      </c>
      <c r="R60">
        <f>CORREL(BMW[units_sold],BMW[gdp_growth_percent])</f>
        <v>-5.2597817623217792E-17</v>
      </c>
    </row>
    <row r="61" spans="1:18" x14ac:dyDescent="0.35">
      <c r="A61">
        <v>2024</v>
      </c>
      <c r="B61" t="s">
        <v>41</v>
      </c>
      <c r="C61" t="s">
        <v>32</v>
      </c>
      <c r="D61" t="s">
        <v>26</v>
      </c>
      <c r="E61" t="s">
        <v>20</v>
      </c>
      <c r="F61" t="s">
        <v>23</v>
      </c>
      <c r="G61">
        <v>68367</v>
      </c>
      <c r="H61" t="s">
        <v>55</v>
      </c>
      <c r="I61">
        <v>576</v>
      </c>
      <c r="J61">
        <v>39379392</v>
      </c>
      <c r="K61">
        <v>422050</v>
      </c>
      <c r="L61">
        <v>38957342</v>
      </c>
      <c r="M61">
        <v>100</v>
      </c>
      <c r="N61">
        <v>0.97</v>
      </c>
      <c r="O61">
        <v>6.29</v>
      </c>
      <c r="P61">
        <v>1.2</v>
      </c>
      <c r="Q61">
        <v>9</v>
      </c>
      <c r="R61">
        <f>CORREL(BMW[units_sold],BMW[gdp_growth_percent])</f>
        <v>-5.2597817623217792E-17</v>
      </c>
    </row>
    <row r="62" spans="1:18" x14ac:dyDescent="0.35">
      <c r="A62">
        <v>2018</v>
      </c>
      <c r="B62" t="s">
        <v>44</v>
      </c>
      <c r="C62" t="s">
        <v>35</v>
      </c>
      <c r="D62" t="s">
        <v>26</v>
      </c>
      <c r="E62" t="s">
        <v>16</v>
      </c>
      <c r="F62" t="s">
        <v>27</v>
      </c>
      <c r="G62">
        <v>56199</v>
      </c>
      <c r="H62" t="s">
        <v>55</v>
      </c>
      <c r="I62">
        <v>534</v>
      </c>
      <c r="J62">
        <v>30010266</v>
      </c>
      <c r="K62">
        <v>429553</v>
      </c>
      <c r="L62">
        <v>29580713</v>
      </c>
      <c r="M62">
        <v>173</v>
      </c>
      <c r="N62">
        <v>0.97</v>
      </c>
      <c r="O62">
        <v>6.29</v>
      </c>
      <c r="P62">
        <v>1.2</v>
      </c>
      <c r="Q62">
        <v>3</v>
      </c>
      <c r="R62">
        <f>CORREL(BMW[units_sold],BMW[gdp_growth_percent])</f>
        <v>-5.2597817623217792E-17</v>
      </c>
    </row>
    <row r="63" spans="1:18" x14ac:dyDescent="0.35">
      <c r="A63">
        <v>2020</v>
      </c>
      <c r="B63" t="s">
        <v>44</v>
      </c>
      <c r="C63" t="s">
        <v>14</v>
      </c>
      <c r="D63" t="s">
        <v>24</v>
      </c>
      <c r="E63" t="s">
        <v>20</v>
      </c>
      <c r="F63" t="s">
        <v>20</v>
      </c>
      <c r="G63">
        <v>109328</v>
      </c>
      <c r="H63" t="s">
        <v>54</v>
      </c>
      <c r="I63">
        <v>453</v>
      </c>
      <c r="J63">
        <v>49525584</v>
      </c>
      <c r="K63">
        <v>389499</v>
      </c>
      <c r="L63">
        <v>49136085</v>
      </c>
      <c r="M63">
        <v>120</v>
      </c>
      <c r="N63">
        <v>0.97</v>
      </c>
      <c r="O63">
        <v>6.29</v>
      </c>
      <c r="P63">
        <v>1.2</v>
      </c>
      <c r="Q63">
        <v>2</v>
      </c>
      <c r="R63">
        <f>CORREL(BMW[units_sold],BMW[gdp_growth_percent])</f>
        <v>-5.2597817623217792E-17</v>
      </c>
    </row>
    <row r="64" spans="1:18" x14ac:dyDescent="0.35">
      <c r="A64">
        <v>2016</v>
      </c>
      <c r="B64" t="s">
        <v>43</v>
      </c>
      <c r="C64" t="s">
        <v>36</v>
      </c>
      <c r="D64" t="s">
        <v>22</v>
      </c>
      <c r="E64" t="s">
        <v>19</v>
      </c>
      <c r="F64" t="s">
        <v>23</v>
      </c>
      <c r="G64">
        <v>92724</v>
      </c>
      <c r="H64" t="s">
        <v>54</v>
      </c>
      <c r="I64">
        <v>1070</v>
      </c>
      <c r="J64">
        <v>99214680</v>
      </c>
      <c r="K64">
        <v>166220</v>
      </c>
      <c r="L64">
        <v>99048460</v>
      </c>
      <c r="M64">
        <v>347</v>
      </c>
      <c r="N64">
        <v>0.97</v>
      </c>
      <c r="O64">
        <v>6.29</v>
      </c>
      <c r="P64">
        <v>1.2</v>
      </c>
      <c r="Q64">
        <v>9</v>
      </c>
      <c r="R64">
        <f>CORREL(BMW[units_sold],BMW[gdp_growth_percent])</f>
        <v>-5.2597817623217792E-17</v>
      </c>
    </row>
    <row r="65" spans="1:18" x14ac:dyDescent="0.35">
      <c r="A65">
        <v>2024</v>
      </c>
      <c r="B65" t="s">
        <v>44</v>
      </c>
      <c r="C65" t="s">
        <v>37</v>
      </c>
      <c r="D65" t="s">
        <v>31</v>
      </c>
      <c r="E65" t="s">
        <v>16</v>
      </c>
      <c r="F65" t="s">
        <v>27</v>
      </c>
      <c r="G65">
        <v>71405</v>
      </c>
      <c r="H65" t="s">
        <v>55</v>
      </c>
      <c r="I65">
        <v>348</v>
      </c>
      <c r="J65">
        <v>24848940</v>
      </c>
      <c r="K65">
        <v>271421</v>
      </c>
      <c r="L65">
        <v>24577519</v>
      </c>
      <c r="M65">
        <v>132</v>
      </c>
      <c r="N65">
        <v>0.97</v>
      </c>
      <c r="O65">
        <v>6.29</v>
      </c>
      <c r="P65">
        <v>1.2</v>
      </c>
      <c r="Q65">
        <v>10</v>
      </c>
      <c r="R65">
        <f>CORREL(BMW[units_sold],BMW[gdp_growth_percent])</f>
        <v>-5.2597817623217792E-17</v>
      </c>
    </row>
    <row r="66" spans="1:18" x14ac:dyDescent="0.35">
      <c r="A66">
        <v>2016</v>
      </c>
      <c r="B66" t="s">
        <v>50</v>
      </c>
      <c r="C66" t="s">
        <v>32</v>
      </c>
      <c r="D66" t="s">
        <v>26</v>
      </c>
      <c r="E66" t="s">
        <v>20</v>
      </c>
      <c r="F66" t="s">
        <v>20</v>
      </c>
      <c r="G66">
        <v>50989</v>
      </c>
      <c r="H66" t="s">
        <v>55</v>
      </c>
      <c r="I66">
        <v>651</v>
      </c>
      <c r="J66">
        <v>33193839</v>
      </c>
      <c r="K66">
        <v>399317</v>
      </c>
      <c r="L66">
        <v>32794522</v>
      </c>
      <c r="M66">
        <v>202</v>
      </c>
      <c r="N66">
        <v>0.97</v>
      </c>
      <c r="O66">
        <v>6.29</v>
      </c>
      <c r="P66">
        <v>1.2</v>
      </c>
      <c r="Q66">
        <v>9</v>
      </c>
      <c r="R66">
        <f>CORREL(BMW[units_sold],BMW[gdp_growth_percent])</f>
        <v>-5.2597817623217792E-17</v>
      </c>
    </row>
    <row r="67" spans="1:18" x14ac:dyDescent="0.35">
      <c r="A67">
        <v>2024</v>
      </c>
      <c r="B67" t="s">
        <v>49</v>
      </c>
      <c r="C67" t="s">
        <v>35</v>
      </c>
      <c r="D67" t="s">
        <v>39</v>
      </c>
      <c r="E67" t="s">
        <v>20</v>
      </c>
      <c r="F67" t="s">
        <v>20</v>
      </c>
      <c r="G67">
        <v>63931</v>
      </c>
      <c r="H67" t="s">
        <v>55</v>
      </c>
      <c r="I67">
        <v>307</v>
      </c>
      <c r="J67">
        <v>19626817</v>
      </c>
      <c r="K67">
        <v>314140</v>
      </c>
      <c r="L67">
        <v>19312677</v>
      </c>
      <c r="M67">
        <v>108</v>
      </c>
      <c r="N67">
        <v>0.97</v>
      </c>
      <c r="O67">
        <v>6.29</v>
      </c>
      <c r="P67">
        <v>1.2</v>
      </c>
      <c r="Q67">
        <v>4</v>
      </c>
      <c r="R67">
        <f>CORREL(BMW[units_sold],BMW[gdp_growth_percent])</f>
        <v>-5.2597817623217792E-17</v>
      </c>
    </row>
    <row r="68" spans="1:18" x14ac:dyDescent="0.35">
      <c r="A68">
        <v>2018</v>
      </c>
      <c r="B68" t="s">
        <v>42</v>
      </c>
      <c r="C68" t="s">
        <v>25</v>
      </c>
      <c r="D68" t="s">
        <v>18</v>
      </c>
      <c r="E68" t="s">
        <v>20</v>
      </c>
      <c r="F68" t="s">
        <v>23</v>
      </c>
      <c r="G68">
        <v>44290</v>
      </c>
      <c r="H68" t="s">
        <v>57</v>
      </c>
      <c r="I68">
        <v>951</v>
      </c>
      <c r="J68">
        <v>42119790</v>
      </c>
      <c r="K68">
        <v>301071</v>
      </c>
      <c r="L68">
        <v>41818719</v>
      </c>
      <c r="M68">
        <v>300</v>
      </c>
      <c r="N68">
        <v>0.97</v>
      </c>
      <c r="O68">
        <v>6.29</v>
      </c>
      <c r="P68">
        <v>1.2</v>
      </c>
      <c r="Q68">
        <v>9</v>
      </c>
      <c r="R68">
        <f>CORREL(BMW[units_sold],BMW[gdp_growth_percent])</f>
        <v>-5.2597817623217792E-17</v>
      </c>
    </row>
    <row r="69" spans="1:18" x14ac:dyDescent="0.35">
      <c r="A69">
        <v>2022</v>
      </c>
      <c r="B69" t="s">
        <v>48</v>
      </c>
      <c r="C69" t="s">
        <v>32</v>
      </c>
      <c r="D69" t="s">
        <v>33</v>
      </c>
      <c r="E69" t="s">
        <v>16</v>
      </c>
      <c r="F69" t="s">
        <v>20</v>
      </c>
      <c r="G69">
        <v>73367</v>
      </c>
      <c r="H69" t="s">
        <v>55</v>
      </c>
      <c r="I69">
        <v>393</v>
      </c>
      <c r="J69">
        <v>28833231</v>
      </c>
      <c r="K69">
        <v>356531</v>
      </c>
      <c r="L69">
        <v>28476700</v>
      </c>
      <c r="M69">
        <v>168</v>
      </c>
      <c r="N69">
        <v>0.97</v>
      </c>
      <c r="O69">
        <v>6.29</v>
      </c>
      <c r="P69">
        <v>1.2</v>
      </c>
      <c r="Q69">
        <v>3</v>
      </c>
      <c r="R69">
        <f>CORREL(BMW[units_sold],BMW[gdp_growth_percent])</f>
        <v>-5.2597817623217792E-17</v>
      </c>
    </row>
    <row r="70" spans="1:18" x14ac:dyDescent="0.35">
      <c r="A70">
        <v>2021</v>
      </c>
      <c r="B70" t="s">
        <v>51</v>
      </c>
      <c r="C70" t="s">
        <v>36</v>
      </c>
      <c r="D70" t="s">
        <v>39</v>
      </c>
      <c r="E70" t="s">
        <v>16</v>
      </c>
      <c r="F70" t="s">
        <v>17</v>
      </c>
      <c r="G70">
        <v>114878</v>
      </c>
      <c r="H70" t="s">
        <v>54</v>
      </c>
      <c r="I70">
        <v>453</v>
      </c>
      <c r="J70">
        <v>52039734</v>
      </c>
      <c r="K70">
        <v>53089</v>
      </c>
      <c r="L70">
        <v>51986645</v>
      </c>
      <c r="M70">
        <v>112</v>
      </c>
      <c r="N70">
        <v>0.97</v>
      </c>
      <c r="O70">
        <v>6.29</v>
      </c>
      <c r="P70">
        <v>1.2</v>
      </c>
      <c r="Q70">
        <v>7</v>
      </c>
      <c r="R70">
        <f>CORREL(BMW[units_sold],BMW[gdp_growth_percent])</f>
        <v>-5.2597817623217792E-17</v>
      </c>
    </row>
    <row r="71" spans="1:18" x14ac:dyDescent="0.35">
      <c r="A71">
        <v>2023</v>
      </c>
      <c r="B71" t="s">
        <v>45</v>
      </c>
      <c r="C71" t="s">
        <v>32</v>
      </c>
      <c r="D71" t="s">
        <v>31</v>
      </c>
      <c r="E71" t="s">
        <v>19</v>
      </c>
      <c r="F71" t="s">
        <v>27</v>
      </c>
      <c r="G71">
        <v>114481</v>
      </c>
      <c r="H71" t="s">
        <v>54</v>
      </c>
      <c r="I71">
        <v>1190</v>
      </c>
      <c r="J71">
        <v>136232390</v>
      </c>
      <c r="K71">
        <v>410971</v>
      </c>
      <c r="L71">
        <v>135821419</v>
      </c>
      <c r="M71">
        <v>394</v>
      </c>
      <c r="N71">
        <v>0.97</v>
      </c>
      <c r="O71">
        <v>6.29</v>
      </c>
      <c r="P71">
        <v>1.2</v>
      </c>
      <c r="Q71">
        <v>7</v>
      </c>
      <c r="R71">
        <f>CORREL(BMW[units_sold],BMW[gdp_growth_percent])</f>
        <v>-5.2597817623217792E-17</v>
      </c>
    </row>
    <row r="72" spans="1:18" x14ac:dyDescent="0.35">
      <c r="A72">
        <v>2022</v>
      </c>
      <c r="B72" t="s">
        <v>49</v>
      </c>
      <c r="C72" t="s">
        <v>28</v>
      </c>
      <c r="D72" t="s">
        <v>24</v>
      </c>
      <c r="E72" t="s">
        <v>16</v>
      </c>
      <c r="F72" t="s">
        <v>27</v>
      </c>
      <c r="G72">
        <v>111298</v>
      </c>
      <c r="H72" t="s">
        <v>54</v>
      </c>
      <c r="I72">
        <v>847</v>
      </c>
      <c r="J72">
        <v>94269406</v>
      </c>
      <c r="K72">
        <v>332803</v>
      </c>
      <c r="L72">
        <v>93936603</v>
      </c>
      <c r="M72">
        <v>290</v>
      </c>
      <c r="N72">
        <v>0.97</v>
      </c>
      <c r="O72">
        <v>6.29</v>
      </c>
      <c r="P72">
        <v>1.2</v>
      </c>
      <c r="Q72">
        <v>8</v>
      </c>
      <c r="R72">
        <f>CORREL(BMW[units_sold],BMW[gdp_growth_percent])</f>
        <v>-5.2597817623217792E-17</v>
      </c>
    </row>
    <row r="73" spans="1:18" x14ac:dyDescent="0.35">
      <c r="A73">
        <v>2019</v>
      </c>
      <c r="B73" t="s">
        <v>46</v>
      </c>
      <c r="C73" t="s">
        <v>38</v>
      </c>
      <c r="D73" t="s">
        <v>31</v>
      </c>
      <c r="E73" t="s">
        <v>16</v>
      </c>
      <c r="F73" t="s">
        <v>20</v>
      </c>
      <c r="G73">
        <v>65133</v>
      </c>
      <c r="H73" t="s">
        <v>55</v>
      </c>
      <c r="I73">
        <v>117</v>
      </c>
      <c r="J73">
        <v>7620561</v>
      </c>
      <c r="K73">
        <v>357322</v>
      </c>
      <c r="L73">
        <v>7263239</v>
      </c>
      <c r="M73">
        <v>52</v>
      </c>
      <c r="N73">
        <v>0.97</v>
      </c>
      <c r="O73">
        <v>6.29</v>
      </c>
      <c r="P73">
        <v>1.2</v>
      </c>
      <c r="Q73">
        <v>10</v>
      </c>
      <c r="R73">
        <f>CORREL(BMW[units_sold],BMW[gdp_growth_percent])</f>
        <v>-5.2597817623217792E-17</v>
      </c>
    </row>
    <row r="74" spans="1:18" x14ac:dyDescent="0.35">
      <c r="A74">
        <v>2016</v>
      </c>
      <c r="B74" t="s">
        <v>42</v>
      </c>
      <c r="C74" t="s">
        <v>37</v>
      </c>
      <c r="D74" t="s">
        <v>33</v>
      </c>
      <c r="E74" t="s">
        <v>20</v>
      </c>
      <c r="F74" t="s">
        <v>20</v>
      </c>
      <c r="G74">
        <v>62052</v>
      </c>
      <c r="H74" t="s">
        <v>55</v>
      </c>
      <c r="I74">
        <v>518</v>
      </c>
      <c r="J74">
        <v>32142936</v>
      </c>
      <c r="K74">
        <v>145965</v>
      </c>
      <c r="L74">
        <v>31996971</v>
      </c>
      <c r="M74">
        <v>93</v>
      </c>
      <c r="N74">
        <v>0.97</v>
      </c>
      <c r="O74">
        <v>6.29</v>
      </c>
      <c r="P74">
        <v>1.2</v>
      </c>
      <c r="Q74">
        <v>4</v>
      </c>
      <c r="R74">
        <f>CORREL(BMW[units_sold],BMW[gdp_growth_percent])</f>
        <v>-5.2597817623217792E-17</v>
      </c>
    </row>
    <row r="75" spans="1:18" x14ac:dyDescent="0.35">
      <c r="A75">
        <v>2019</v>
      </c>
      <c r="B75" t="s">
        <v>41</v>
      </c>
      <c r="C75" t="s">
        <v>36</v>
      </c>
      <c r="D75" t="s">
        <v>18</v>
      </c>
      <c r="E75" t="s">
        <v>16</v>
      </c>
      <c r="F75" t="s">
        <v>17</v>
      </c>
      <c r="G75">
        <v>75475</v>
      </c>
      <c r="H75" t="s">
        <v>55</v>
      </c>
      <c r="I75">
        <v>610</v>
      </c>
      <c r="J75">
        <v>46039750</v>
      </c>
      <c r="K75">
        <v>131268</v>
      </c>
      <c r="L75">
        <v>45908482</v>
      </c>
      <c r="M75">
        <v>200</v>
      </c>
      <c r="N75">
        <v>0.97</v>
      </c>
      <c r="O75">
        <v>6.29</v>
      </c>
      <c r="P75">
        <v>1.2</v>
      </c>
      <c r="Q75">
        <v>3</v>
      </c>
      <c r="R75">
        <f>CORREL(BMW[units_sold],BMW[gdp_growth_percent])</f>
        <v>-5.2597817623217792E-17</v>
      </c>
    </row>
    <row r="76" spans="1:18" x14ac:dyDescent="0.35">
      <c r="A76">
        <v>2022</v>
      </c>
      <c r="B76" t="s">
        <v>41</v>
      </c>
      <c r="C76" t="s">
        <v>32</v>
      </c>
      <c r="D76" t="s">
        <v>33</v>
      </c>
      <c r="E76" t="s">
        <v>20</v>
      </c>
      <c r="F76" t="s">
        <v>23</v>
      </c>
      <c r="G76">
        <v>117666</v>
      </c>
      <c r="H76" t="s">
        <v>54</v>
      </c>
      <c r="I76">
        <v>260</v>
      </c>
      <c r="J76">
        <v>30593160</v>
      </c>
      <c r="K76">
        <v>397186</v>
      </c>
      <c r="L76">
        <v>30195974</v>
      </c>
      <c r="M76">
        <v>60</v>
      </c>
      <c r="N76">
        <v>0.97</v>
      </c>
      <c r="O76">
        <v>6.29</v>
      </c>
      <c r="P76">
        <v>1.2</v>
      </c>
      <c r="Q76">
        <v>3</v>
      </c>
      <c r="R76">
        <f>CORREL(BMW[units_sold],BMW[gdp_growth_percent])</f>
        <v>-5.2597817623217792E-17</v>
      </c>
    </row>
    <row r="77" spans="1:18" x14ac:dyDescent="0.35">
      <c r="A77">
        <v>2024</v>
      </c>
      <c r="B77" t="s">
        <v>44</v>
      </c>
      <c r="C77" t="s">
        <v>38</v>
      </c>
      <c r="D77" t="s">
        <v>15</v>
      </c>
      <c r="E77" t="s">
        <v>20</v>
      </c>
      <c r="F77" t="s">
        <v>20</v>
      </c>
      <c r="G77">
        <v>92656</v>
      </c>
      <c r="H77" t="s">
        <v>54</v>
      </c>
      <c r="I77">
        <v>1115</v>
      </c>
      <c r="J77">
        <v>103311440</v>
      </c>
      <c r="K77">
        <v>418615</v>
      </c>
      <c r="L77">
        <v>102892825</v>
      </c>
      <c r="M77">
        <v>395</v>
      </c>
      <c r="N77">
        <v>0.97</v>
      </c>
      <c r="O77">
        <v>6.29</v>
      </c>
      <c r="P77">
        <v>1.2</v>
      </c>
      <c r="Q77">
        <v>5</v>
      </c>
      <c r="R77">
        <f>CORREL(BMW[units_sold],BMW[gdp_growth_percent])</f>
        <v>-5.2597817623217792E-17</v>
      </c>
    </row>
    <row r="78" spans="1:18" x14ac:dyDescent="0.35">
      <c r="A78">
        <v>2023</v>
      </c>
      <c r="B78" t="s">
        <v>49</v>
      </c>
      <c r="C78" t="s">
        <v>38</v>
      </c>
      <c r="D78" t="s">
        <v>18</v>
      </c>
      <c r="E78" t="s">
        <v>16</v>
      </c>
      <c r="F78" t="s">
        <v>20</v>
      </c>
      <c r="G78">
        <v>39633</v>
      </c>
      <c r="H78" t="s">
        <v>57</v>
      </c>
      <c r="I78">
        <v>677</v>
      </c>
      <c r="J78">
        <v>26831541</v>
      </c>
      <c r="K78">
        <v>251798</v>
      </c>
      <c r="L78">
        <v>26579743</v>
      </c>
      <c r="M78">
        <v>219</v>
      </c>
      <c r="N78">
        <v>0.97</v>
      </c>
      <c r="O78">
        <v>6.29</v>
      </c>
      <c r="P78">
        <v>1.2</v>
      </c>
      <c r="Q78">
        <v>1</v>
      </c>
      <c r="R78">
        <f>CORREL(BMW[units_sold],BMW[gdp_growth_percent])</f>
        <v>-5.2597817623217792E-17</v>
      </c>
    </row>
    <row r="79" spans="1:18" x14ac:dyDescent="0.35">
      <c r="A79">
        <v>2023</v>
      </c>
      <c r="B79" t="s">
        <v>47</v>
      </c>
      <c r="C79" t="s">
        <v>32</v>
      </c>
      <c r="D79" t="s">
        <v>31</v>
      </c>
      <c r="E79" t="s">
        <v>19</v>
      </c>
      <c r="F79" t="s">
        <v>20</v>
      </c>
      <c r="G79">
        <v>52304</v>
      </c>
      <c r="H79" t="s">
        <v>55</v>
      </c>
      <c r="I79">
        <v>370</v>
      </c>
      <c r="J79">
        <v>19352480</v>
      </c>
      <c r="K79">
        <v>382255</v>
      </c>
      <c r="L79">
        <v>18970225</v>
      </c>
      <c r="M79">
        <v>135</v>
      </c>
      <c r="N79">
        <v>0.97</v>
      </c>
      <c r="O79">
        <v>6.29</v>
      </c>
      <c r="P79">
        <v>1.2</v>
      </c>
      <c r="Q79">
        <v>10</v>
      </c>
      <c r="R79">
        <f>CORREL(BMW[units_sold],BMW[gdp_growth_percent])</f>
        <v>-5.2597817623217792E-17</v>
      </c>
    </row>
    <row r="80" spans="1:18" x14ac:dyDescent="0.35">
      <c r="A80">
        <v>2015</v>
      </c>
      <c r="B80" t="s">
        <v>43</v>
      </c>
      <c r="C80" t="s">
        <v>25</v>
      </c>
      <c r="D80" t="s">
        <v>26</v>
      </c>
      <c r="E80" t="s">
        <v>19</v>
      </c>
      <c r="F80" t="s">
        <v>20</v>
      </c>
      <c r="G80">
        <v>81546</v>
      </c>
      <c r="H80" t="s">
        <v>54</v>
      </c>
      <c r="I80">
        <v>532</v>
      </c>
      <c r="J80">
        <v>43382472</v>
      </c>
      <c r="K80">
        <v>287103</v>
      </c>
      <c r="L80">
        <v>43095369</v>
      </c>
      <c r="M80">
        <v>78</v>
      </c>
      <c r="N80">
        <v>0.97</v>
      </c>
      <c r="O80">
        <v>6.29</v>
      </c>
      <c r="P80">
        <v>1.2</v>
      </c>
      <c r="Q80">
        <v>3</v>
      </c>
      <c r="R80">
        <f>CORREL(BMW[units_sold],BMW[gdp_growth_percent])</f>
        <v>-5.2597817623217792E-17</v>
      </c>
    </row>
    <row r="81" spans="1:18" x14ac:dyDescent="0.35">
      <c r="A81">
        <v>2023</v>
      </c>
      <c r="B81" t="s">
        <v>52</v>
      </c>
      <c r="C81" t="s">
        <v>28</v>
      </c>
      <c r="D81" t="s">
        <v>31</v>
      </c>
      <c r="E81" t="s">
        <v>16</v>
      </c>
      <c r="F81" t="s">
        <v>27</v>
      </c>
      <c r="G81">
        <v>42008</v>
      </c>
      <c r="H81" t="s">
        <v>57</v>
      </c>
      <c r="I81">
        <v>691</v>
      </c>
      <c r="J81">
        <v>29027528</v>
      </c>
      <c r="K81">
        <v>294754</v>
      </c>
      <c r="L81">
        <v>28732774</v>
      </c>
      <c r="M81">
        <v>274</v>
      </c>
      <c r="N81">
        <v>0.97</v>
      </c>
      <c r="O81">
        <v>6.29</v>
      </c>
      <c r="P81">
        <v>1.2</v>
      </c>
      <c r="Q81">
        <v>6</v>
      </c>
      <c r="R81">
        <f>CORREL(BMW[units_sold],BMW[gdp_growth_percent])</f>
        <v>-5.2597817623217792E-17</v>
      </c>
    </row>
    <row r="82" spans="1:18" x14ac:dyDescent="0.35">
      <c r="A82">
        <v>2021</v>
      </c>
      <c r="B82" t="s">
        <v>46</v>
      </c>
      <c r="C82" t="s">
        <v>30</v>
      </c>
      <c r="D82" t="s">
        <v>31</v>
      </c>
      <c r="E82" t="s">
        <v>19</v>
      </c>
      <c r="F82" t="s">
        <v>20</v>
      </c>
      <c r="G82">
        <v>83291</v>
      </c>
      <c r="H82" t="s">
        <v>54</v>
      </c>
      <c r="I82">
        <v>899</v>
      </c>
      <c r="J82">
        <v>74878609</v>
      </c>
      <c r="K82">
        <v>215637</v>
      </c>
      <c r="L82">
        <v>74662972</v>
      </c>
      <c r="M82">
        <v>267</v>
      </c>
      <c r="N82">
        <v>0.97</v>
      </c>
      <c r="O82">
        <v>6.29</v>
      </c>
      <c r="P82">
        <v>1.2</v>
      </c>
      <c r="Q82">
        <v>3</v>
      </c>
      <c r="R82">
        <f>CORREL(BMW[units_sold],BMW[gdp_growth_percent])</f>
        <v>-5.2597817623217792E-17</v>
      </c>
    </row>
    <row r="83" spans="1:18" x14ac:dyDescent="0.35">
      <c r="A83">
        <v>2023</v>
      </c>
      <c r="B83" t="s">
        <v>41</v>
      </c>
      <c r="C83" t="s">
        <v>28</v>
      </c>
      <c r="D83" t="s">
        <v>18</v>
      </c>
      <c r="E83" t="s">
        <v>20</v>
      </c>
      <c r="F83" t="s">
        <v>27</v>
      </c>
      <c r="G83">
        <v>62405</v>
      </c>
      <c r="H83" t="s">
        <v>55</v>
      </c>
      <c r="I83">
        <v>605</v>
      </c>
      <c r="J83">
        <v>37755025</v>
      </c>
      <c r="K83">
        <v>412579</v>
      </c>
      <c r="L83">
        <v>37342446</v>
      </c>
      <c r="M83">
        <v>197</v>
      </c>
      <c r="N83">
        <v>0.97</v>
      </c>
      <c r="O83">
        <v>6.29</v>
      </c>
      <c r="P83">
        <v>1.2</v>
      </c>
      <c r="Q83">
        <v>5</v>
      </c>
      <c r="R83">
        <f>CORREL(BMW[units_sold],BMW[gdp_growth_percent])</f>
        <v>-5.2597817623217792E-17</v>
      </c>
    </row>
    <row r="84" spans="1:18" x14ac:dyDescent="0.35">
      <c r="A84">
        <v>2022</v>
      </c>
      <c r="B84" t="s">
        <v>51</v>
      </c>
      <c r="C84" t="s">
        <v>32</v>
      </c>
      <c r="D84" t="s">
        <v>15</v>
      </c>
      <c r="E84" t="s">
        <v>20</v>
      </c>
      <c r="F84" t="s">
        <v>20</v>
      </c>
      <c r="G84">
        <v>71386</v>
      </c>
      <c r="H84" t="s">
        <v>55</v>
      </c>
      <c r="I84">
        <v>474</v>
      </c>
      <c r="J84">
        <v>33836964</v>
      </c>
      <c r="K84">
        <v>139242</v>
      </c>
      <c r="L84">
        <v>33697722</v>
      </c>
      <c r="M84">
        <v>239</v>
      </c>
      <c r="N84">
        <v>0.97</v>
      </c>
      <c r="O84">
        <v>6.29</v>
      </c>
      <c r="P84">
        <v>1.2</v>
      </c>
      <c r="Q84">
        <v>9</v>
      </c>
      <c r="R84">
        <f>CORREL(BMW[units_sold],BMW[gdp_growth_percent])</f>
        <v>-5.2597817623217792E-17</v>
      </c>
    </row>
    <row r="85" spans="1:18" x14ac:dyDescent="0.35">
      <c r="A85">
        <v>2015</v>
      </c>
      <c r="B85" t="s">
        <v>41</v>
      </c>
      <c r="C85" t="s">
        <v>37</v>
      </c>
      <c r="D85" t="s">
        <v>31</v>
      </c>
      <c r="E85" t="s">
        <v>16</v>
      </c>
      <c r="F85" t="s">
        <v>23</v>
      </c>
      <c r="G85">
        <v>55827</v>
      </c>
      <c r="H85" t="s">
        <v>55</v>
      </c>
      <c r="I85">
        <v>706</v>
      </c>
      <c r="J85">
        <v>39413862</v>
      </c>
      <c r="K85">
        <v>425348</v>
      </c>
      <c r="L85">
        <v>38988514</v>
      </c>
      <c r="M85">
        <v>198</v>
      </c>
      <c r="N85">
        <v>0.97</v>
      </c>
      <c r="O85">
        <v>6.29</v>
      </c>
      <c r="P85">
        <v>1.2</v>
      </c>
      <c r="Q85">
        <v>2</v>
      </c>
      <c r="R85">
        <f>CORREL(BMW[units_sold],BMW[gdp_growth_percent])</f>
        <v>-5.2597817623217792E-17</v>
      </c>
    </row>
    <row r="86" spans="1:18" x14ac:dyDescent="0.35">
      <c r="A86">
        <v>2022</v>
      </c>
      <c r="B86" t="s">
        <v>45</v>
      </c>
      <c r="C86" t="s">
        <v>30</v>
      </c>
      <c r="D86" t="s">
        <v>39</v>
      </c>
      <c r="E86" t="s">
        <v>19</v>
      </c>
      <c r="F86" t="s">
        <v>17</v>
      </c>
      <c r="G86">
        <v>68040</v>
      </c>
      <c r="H86" t="s">
        <v>55</v>
      </c>
      <c r="I86">
        <v>272</v>
      </c>
      <c r="J86">
        <v>18506880</v>
      </c>
      <c r="K86">
        <v>203956</v>
      </c>
      <c r="L86">
        <v>18302924</v>
      </c>
      <c r="M86">
        <v>19</v>
      </c>
      <c r="N86">
        <v>0.97</v>
      </c>
      <c r="O86">
        <v>6.29</v>
      </c>
      <c r="P86">
        <v>1.2</v>
      </c>
      <c r="Q86">
        <v>2</v>
      </c>
      <c r="R86">
        <f>CORREL(BMW[units_sold],BMW[gdp_growth_percent])</f>
        <v>-5.2597817623217792E-17</v>
      </c>
    </row>
    <row r="87" spans="1:18" x14ac:dyDescent="0.35">
      <c r="A87">
        <v>2022</v>
      </c>
      <c r="B87" t="s">
        <v>48</v>
      </c>
      <c r="C87" t="s">
        <v>36</v>
      </c>
      <c r="D87" t="s">
        <v>29</v>
      </c>
      <c r="E87" t="s">
        <v>19</v>
      </c>
      <c r="F87" t="s">
        <v>23</v>
      </c>
      <c r="G87">
        <v>95354</v>
      </c>
      <c r="H87" t="s">
        <v>54</v>
      </c>
      <c r="I87">
        <v>531</v>
      </c>
      <c r="J87">
        <v>50632974</v>
      </c>
      <c r="K87">
        <v>329343</v>
      </c>
      <c r="L87">
        <v>50303631</v>
      </c>
      <c r="M87">
        <v>123</v>
      </c>
      <c r="N87">
        <v>0.97</v>
      </c>
      <c r="O87">
        <v>6.29</v>
      </c>
      <c r="P87">
        <v>1.2</v>
      </c>
      <c r="Q87">
        <v>6</v>
      </c>
      <c r="R87">
        <f>CORREL(BMW[units_sold],BMW[gdp_growth_percent])</f>
        <v>-5.2597817623217792E-17</v>
      </c>
    </row>
    <row r="88" spans="1:18" x14ac:dyDescent="0.35">
      <c r="A88">
        <v>2017</v>
      </c>
      <c r="B88" t="s">
        <v>41</v>
      </c>
      <c r="C88" t="s">
        <v>28</v>
      </c>
      <c r="D88" t="s">
        <v>34</v>
      </c>
      <c r="E88" t="s">
        <v>20</v>
      </c>
      <c r="F88" t="s">
        <v>20</v>
      </c>
      <c r="G88">
        <v>113543</v>
      </c>
      <c r="H88" t="s">
        <v>54</v>
      </c>
      <c r="I88">
        <v>586</v>
      </c>
      <c r="J88">
        <v>66536198</v>
      </c>
      <c r="K88">
        <v>110038</v>
      </c>
      <c r="L88">
        <v>66426160</v>
      </c>
      <c r="M88">
        <v>85</v>
      </c>
      <c r="N88">
        <v>0.97</v>
      </c>
      <c r="O88">
        <v>6.29</v>
      </c>
      <c r="P88">
        <v>1.2</v>
      </c>
      <c r="Q88">
        <v>6</v>
      </c>
      <c r="R88">
        <f>CORREL(BMW[units_sold],BMW[gdp_growth_percent])</f>
        <v>-5.2597817623217792E-17</v>
      </c>
    </row>
    <row r="89" spans="1:18" x14ac:dyDescent="0.35">
      <c r="A89">
        <v>2015</v>
      </c>
      <c r="B89" t="s">
        <v>45</v>
      </c>
      <c r="C89" t="s">
        <v>32</v>
      </c>
      <c r="D89" t="s">
        <v>34</v>
      </c>
      <c r="E89" t="s">
        <v>16</v>
      </c>
      <c r="F89" t="s">
        <v>20</v>
      </c>
      <c r="G89">
        <v>53157</v>
      </c>
      <c r="H89" t="s">
        <v>55</v>
      </c>
      <c r="I89">
        <v>667</v>
      </c>
      <c r="J89">
        <v>35455719</v>
      </c>
      <c r="K89">
        <v>107786</v>
      </c>
      <c r="L89">
        <v>35347933</v>
      </c>
      <c r="M89">
        <v>173</v>
      </c>
      <c r="N89">
        <v>0.97</v>
      </c>
      <c r="O89">
        <v>6.29</v>
      </c>
      <c r="P89">
        <v>1.2</v>
      </c>
      <c r="Q89">
        <v>8</v>
      </c>
      <c r="R89">
        <f>CORREL(BMW[units_sold],BMW[gdp_growth_percent])</f>
        <v>-5.2597817623217792E-17</v>
      </c>
    </row>
    <row r="90" spans="1:18" x14ac:dyDescent="0.35">
      <c r="A90">
        <v>2022</v>
      </c>
      <c r="B90" t="s">
        <v>49</v>
      </c>
      <c r="C90" t="s">
        <v>28</v>
      </c>
      <c r="D90" t="s">
        <v>31</v>
      </c>
      <c r="E90" t="s">
        <v>19</v>
      </c>
      <c r="F90" t="s">
        <v>20</v>
      </c>
      <c r="G90">
        <v>70315</v>
      </c>
      <c r="H90" t="s">
        <v>55</v>
      </c>
      <c r="I90">
        <v>559</v>
      </c>
      <c r="J90">
        <v>39306085</v>
      </c>
      <c r="K90">
        <v>421780</v>
      </c>
      <c r="L90">
        <v>38884305</v>
      </c>
      <c r="M90">
        <v>94</v>
      </c>
      <c r="N90">
        <v>0.97</v>
      </c>
      <c r="O90">
        <v>6.29</v>
      </c>
      <c r="P90">
        <v>1.2</v>
      </c>
      <c r="Q90">
        <v>2</v>
      </c>
      <c r="R90">
        <f>CORREL(BMW[units_sold],BMW[gdp_growth_percent])</f>
        <v>-5.2597817623217792E-17</v>
      </c>
    </row>
    <row r="91" spans="1:18" x14ac:dyDescent="0.35">
      <c r="A91">
        <v>2017</v>
      </c>
      <c r="B91" t="s">
        <v>49</v>
      </c>
      <c r="C91" t="s">
        <v>30</v>
      </c>
      <c r="D91" t="s">
        <v>39</v>
      </c>
      <c r="E91" t="s">
        <v>16</v>
      </c>
      <c r="F91" t="s">
        <v>23</v>
      </c>
      <c r="G91">
        <v>70932</v>
      </c>
      <c r="H91" t="s">
        <v>55</v>
      </c>
      <c r="I91">
        <v>502</v>
      </c>
      <c r="J91">
        <v>35607864</v>
      </c>
      <c r="K91">
        <v>286042</v>
      </c>
      <c r="L91">
        <v>35321822</v>
      </c>
      <c r="M91">
        <v>58</v>
      </c>
      <c r="N91">
        <v>0.97</v>
      </c>
      <c r="O91">
        <v>6.29</v>
      </c>
      <c r="P91">
        <v>1.2</v>
      </c>
      <c r="Q91">
        <v>9</v>
      </c>
      <c r="R91">
        <f>CORREL(BMW[units_sold],BMW[gdp_growth_percent])</f>
        <v>-5.2597817623217792E-17</v>
      </c>
    </row>
    <row r="92" spans="1:18" x14ac:dyDescent="0.35">
      <c r="A92">
        <v>2017</v>
      </c>
      <c r="B92" t="s">
        <v>43</v>
      </c>
      <c r="C92" t="s">
        <v>14</v>
      </c>
      <c r="D92" t="s">
        <v>26</v>
      </c>
      <c r="E92" t="s">
        <v>19</v>
      </c>
      <c r="F92" t="s">
        <v>20</v>
      </c>
      <c r="G92">
        <v>56164</v>
      </c>
      <c r="H92" t="s">
        <v>55</v>
      </c>
      <c r="I92">
        <v>822</v>
      </c>
      <c r="J92">
        <v>46166808</v>
      </c>
      <c r="K92">
        <v>361438</v>
      </c>
      <c r="L92">
        <v>45805370</v>
      </c>
      <c r="M92">
        <v>335</v>
      </c>
      <c r="N92">
        <v>0.97</v>
      </c>
      <c r="O92">
        <v>6.29</v>
      </c>
      <c r="P92">
        <v>1.2</v>
      </c>
      <c r="Q92">
        <v>2</v>
      </c>
      <c r="R92">
        <f>CORREL(BMW[units_sold],BMW[gdp_growth_percent])</f>
        <v>-5.2597817623217792E-17</v>
      </c>
    </row>
    <row r="93" spans="1:18" x14ac:dyDescent="0.35">
      <c r="A93">
        <v>2015</v>
      </c>
      <c r="B93" t="s">
        <v>42</v>
      </c>
      <c r="C93" t="s">
        <v>35</v>
      </c>
      <c r="D93" t="s">
        <v>24</v>
      </c>
      <c r="E93" t="s">
        <v>20</v>
      </c>
      <c r="F93" t="s">
        <v>23</v>
      </c>
      <c r="G93">
        <v>49414</v>
      </c>
      <c r="H93" t="s">
        <v>57</v>
      </c>
      <c r="I93">
        <v>564</v>
      </c>
      <c r="J93">
        <v>27869496</v>
      </c>
      <c r="K93">
        <v>259087</v>
      </c>
      <c r="L93">
        <v>27610409</v>
      </c>
      <c r="M93">
        <v>186</v>
      </c>
      <c r="N93">
        <v>0.97</v>
      </c>
      <c r="O93">
        <v>6.29</v>
      </c>
      <c r="P93">
        <v>1.2</v>
      </c>
      <c r="Q93">
        <v>1</v>
      </c>
      <c r="R93">
        <f>CORREL(BMW[units_sold],BMW[gdp_growth_percent])</f>
        <v>-5.2597817623217792E-17</v>
      </c>
    </row>
    <row r="94" spans="1:18" x14ac:dyDescent="0.35">
      <c r="A94">
        <v>2019</v>
      </c>
      <c r="B94" t="s">
        <v>41</v>
      </c>
      <c r="C94" t="s">
        <v>28</v>
      </c>
      <c r="D94" t="s">
        <v>24</v>
      </c>
      <c r="E94" t="s">
        <v>20</v>
      </c>
      <c r="F94" t="s">
        <v>27</v>
      </c>
      <c r="G94">
        <v>49327</v>
      </c>
      <c r="H94" t="s">
        <v>57</v>
      </c>
      <c r="I94">
        <v>1066</v>
      </c>
      <c r="J94">
        <v>52582582</v>
      </c>
      <c r="K94">
        <v>215250</v>
      </c>
      <c r="L94">
        <v>52367332</v>
      </c>
      <c r="M94">
        <v>396</v>
      </c>
      <c r="N94">
        <v>0.97</v>
      </c>
      <c r="O94">
        <v>6.29</v>
      </c>
      <c r="P94">
        <v>1.2</v>
      </c>
      <c r="Q94">
        <v>10</v>
      </c>
      <c r="R94">
        <f>CORREL(BMW[units_sold],BMW[gdp_growth_percent])</f>
        <v>-5.2597817623217792E-17</v>
      </c>
    </row>
    <row r="95" spans="1:18" x14ac:dyDescent="0.35">
      <c r="A95">
        <v>2024</v>
      </c>
      <c r="B95" t="s">
        <v>51</v>
      </c>
      <c r="C95" t="s">
        <v>36</v>
      </c>
      <c r="D95" t="s">
        <v>18</v>
      </c>
      <c r="E95" t="s">
        <v>16</v>
      </c>
      <c r="F95" t="s">
        <v>17</v>
      </c>
      <c r="G95">
        <v>35946</v>
      </c>
      <c r="H95" t="s">
        <v>57</v>
      </c>
      <c r="I95">
        <v>871</v>
      </c>
      <c r="J95">
        <v>31308966</v>
      </c>
      <c r="K95">
        <v>455881</v>
      </c>
      <c r="L95">
        <v>30853085</v>
      </c>
      <c r="M95">
        <v>398</v>
      </c>
      <c r="N95">
        <v>0.97</v>
      </c>
      <c r="O95">
        <v>6.29</v>
      </c>
      <c r="P95">
        <v>1.2</v>
      </c>
      <c r="Q95">
        <v>2</v>
      </c>
      <c r="R95">
        <f>CORREL(BMW[units_sold],BMW[gdp_growth_percent])</f>
        <v>-5.2597817623217792E-17</v>
      </c>
    </row>
    <row r="96" spans="1:18" x14ac:dyDescent="0.35">
      <c r="A96">
        <v>2021</v>
      </c>
      <c r="B96" t="s">
        <v>41</v>
      </c>
      <c r="C96" t="s">
        <v>36</v>
      </c>
      <c r="D96" t="s">
        <v>34</v>
      </c>
      <c r="E96" t="s">
        <v>20</v>
      </c>
      <c r="F96" t="s">
        <v>17</v>
      </c>
      <c r="G96">
        <v>49693</v>
      </c>
      <c r="H96" t="s">
        <v>57</v>
      </c>
      <c r="I96">
        <v>592</v>
      </c>
      <c r="J96">
        <v>29418256</v>
      </c>
      <c r="K96">
        <v>312678</v>
      </c>
      <c r="L96">
        <v>29105578</v>
      </c>
      <c r="M96">
        <v>227</v>
      </c>
      <c r="N96">
        <v>0.97</v>
      </c>
      <c r="O96">
        <v>6.29</v>
      </c>
      <c r="P96">
        <v>1.2</v>
      </c>
      <c r="Q96">
        <v>7</v>
      </c>
      <c r="R96">
        <f>CORREL(BMW[units_sold],BMW[gdp_growth_percent])</f>
        <v>-5.2597817623217792E-17</v>
      </c>
    </row>
    <row r="97" spans="1:18" x14ac:dyDescent="0.35">
      <c r="A97">
        <v>2024</v>
      </c>
      <c r="B97" t="s">
        <v>51</v>
      </c>
      <c r="C97" t="s">
        <v>21</v>
      </c>
      <c r="D97" t="s">
        <v>31</v>
      </c>
      <c r="E97" t="s">
        <v>19</v>
      </c>
      <c r="F97" t="s">
        <v>23</v>
      </c>
      <c r="G97">
        <v>62241</v>
      </c>
      <c r="H97" t="s">
        <v>55</v>
      </c>
      <c r="I97">
        <v>508</v>
      </c>
      <c r="J97">
        <v>31618428</v>
      </c>
      <c r="K97">
        <v>403972</v>
      </c>
      <c r="L97">
        <v>31214456</v>
      </c>
      <c r="M97">
        <v>198</v>
      </c>
      <c r="N97">
        <v>0.97</v>
      </c>
      <c r="O97">
        <v>6.29</v>
      </c>
      <c r="P97">
        <v>1.2</v>
      </c>
      <c r="Q97">
        <v>8</v>
      </c>
      <c r="R97">
        <f>CORREL(BMW[units_sold],BMW[gdp_growth_percent])</f>
        <v>-5.2597817623217792E-17</v>
      </c>
    </row>
    <row r="98" spans="1:18" x14ac:dyDescent="0.35">
      <c r="A98">
        <v>2023</v>
      </c>
      <c r="B98" t="s">
        <v>50</v>
      </c>
      <c r="C98" t="s">
        <v>28</v>
      </c>
      <c r="D98" t="s">
        <v>24</v>
      </c>
      <c r="E98" t="s">
        <v>20</v>
      </c>
      <c r="F98" t="s">
        <v>27</v>
      </c>
      <c r="G98">
        <v>50540</v>
      </c>
      <c r="H98" t="s">
        <v>55</v>
      </c>
      <c r="I98">
        <v>1177</v>
      </c>
      <c r="J98">
        <v>59485580</v>
      </c>
      <c r="K98">
        <v>348276</v>
      </c>
      <c r="L98">
        <v>59137304</v>
      </c>
      <c r="M98">
        <v>355</v>
      </c>
      <c r="N98">
        <v>0.97</v>
      </c>
      <c r="O98">
        <v>6.29</v>
      </c>
      <c r="P98">
        <v>1.2</v>
      </c>
      <c r="Q98">
        <v>5</v>
      </c>
      <c r="R98">
        <f>CORREL(BMW[units_sold],BMW[gdp_growth_percent])</f>
        <v>-5.2597817623217792E-17</v>
      </c>
    </row>
    <row r="99" spans="1:18" x14ac:dyDescent="0.35">
      <c r="A99">
        <v>2021</v>
      </c>
      <c r="B99" t="s">
        <v>44</v>
      </c>
      <c r="C99" t="s">
        <v>35</v>
      </c>
      <c r="D99" t="s">
        <v>31</v>
      </c>
      <c r="E99" t="s">
        <v>16</v>
      </c>
      <c r="F99" t="s">
        <v>23</v>
      </c>
      <c r="G99">
        <v>107255</v>
      </c>
      <c r="H99" t="s">
        <v>54</v>
      </c>
      <c r="I99">
        <v>630</v>
      </c>
      <c r="J99">
        <v>67570650</v>
      </c>
      <c r="K99">
        <v>427864</v>
      </c>
      <c r="L99">
        <v>67142786</v>
      </c>
      <c r="M99">
        <v>239</v>
      </c>
      <c r="N99">
        <v>0.97</v>
      </c>
      <c r="O99">
        <v>6.29</v>
      </c>
      <c r="P99">
        <v>1.2</v>
      </c>
      <c r="Q99">
        <v>6</v>
      </c>
      <c r="R99">
        <f>CORREL(BMW[units_sold],BMW[gdp_growth_percent])</f>
        <v>-5.2597817623217792E-17</v>
      </c>
    </row>
    <row r="100" spans="1:18" x14ac:dyDescent="0.35">
      <c r="A100">
        <v>2023</v>
      </c>
      <c r="B100" t="s">
        <v>42</v>
      </c>
      <c r="C100" t="s">
        <v>25</v>
      </c>
      <c r="D100" t="s">
        <v>18</v>
      </c>
      <c r="E100" t="s">
        <v>16</v>
      </c>
      <c r="F100" t="s">
        <v>27</v>
      </c>
      <c r="G100">
        <v>99757</v>
      </c>
      <c r="H100" t="s">
        <v>54</v>
      </c>
      <c r="I100">
        <v>845</v>
      </c>
      <c r="J100">
        <v>84294665</v>
      </c>
      <c r="K100">
        <v>348254</v>
      </c>
      <c r="L100">
        <v>83946411</v>
      </c>
      <c r="M100">
        <v>264</v>
      </c>
      <c r="N100">
        <v>0.97</v>
      </c>
      <c r="O100">
        <v>6.29</v>
      </c>
      <c r="P100">
        <v>1.2</v>
      </c>
      <c r="Q100">
        <v>1</v>
      </c>
      <c r="R100">
        <f>CORREL(BMW[units_sold],BMW[gdp_growth_percent])</f>
        <v>-5.2597817623217792E-17</v>
      </c>
    </row>
    <row r="101" spans="1:18" x14ac:dyDescent="0.35">
      <c r="A101">
        <v>2022</v>
      </c>
      <c r="B101" t="s">
        <v>50</v>
      </c>
      <c r="C101" t="s">
        <v>38</v>
      </c>
      <c r="D101" t="s">
        <v>34</v>
      </c>
      <c r="E101" t="s">
        <v>16</v>
      </c>
      <c r="F101" t="s">
        <v>20</v>
      </c>
      <c r="G101">
        <v>76203</v>
      </c>
      <c r="H101" t="s">
        <v>55</v>
      </c>
      <c r="I101">
        <v>880</v>
      </c>
      <c r="J101">
        <v>67058640</v>
      </c>
      <c r="K101">
        <v>239826</v>
      </c>
      <c r="L101">
        <v>66818814</v>
      </c>
      <c r="M101">
        <v>245</v>
      </c>
      <c r="N101">
        <v>0.97</v>
      </c>
      <c r="O101">
        <v>6.29</v>
      </c>
      <c r="P101">
        <v>1.2</v>
      </c>
      <c r="Q101">
        <v>6</v>
      </c>
      <c r="R101">
        <f>CORREL(BMW[units_sold],BMW[gdp_growth_percent])</f>
        <v>-5.2597817623217792E-17</v>
      </c>
    </row>
    <row r="102" spans="1:18" x14ac:dyDescent="0.35">
      <c r="A102">
        <v>2016</v>
      </c>
      <c r="B102" t="s">
        <v>41</v>
      </c>
      <c r="C102" t="s">
        <v>35</v>
      </c>
      <c r="D102" t="s">
        <v>33</v>
      </c>
      <c r="E102" t="s">
        <v>19</v>
      </c>
      <c r="F102" t="s">
        <v>27</v>
      </c>
      <c r="G102">
        <v>60081</v>
      </c>
      <c r="H102" t="s">
        <v>55</v>
      </c>
      <c r="I102">
        <v>100</v>
      </c>
      <c r="J102">
        <v>6008100</v>
      </c>
      <c r="K102">
        <v>375724</v>
      </c>
      <c r="L102">
        <v>5632376</v>
      </c>
      <c r="M102">
        <v>35</v>
      </c>
      <c r="N102">
        <v>0.97</v>
      </c>
      <c r="O102">
        <v>6.29</v>
      </c>
      <c r="P102">
        <v>1.2</v>
      </c>
      <c r="Q102">
        <v>8</v>
      </c>
      <c r="R102">
        <f>CORREL(BMW[units_sold],BMW[gdp_growth_percent])</f>
        <v>-5.2597817623217792E-17</v>
      </c>
    </row>
    <row r="103" spans="1:18" x14ac:dyDescent="0.35">
      <c r="A103">
        <v>2015</v>
      </c>
      <c r="B103" t="s">
        <v>42</v>
      </c>
      <c r="C103" t="s">
        <v>38</v>
      </c>
      <c r="D103" t="s">
        <v>29</v>
      </c>
      <c r="E103" t="s">
        <v>19</v>
      </c>
      <c r="F103" t="s">
        <v>27</v>
      </c>
      <c r="G103">
        <v>96861</v>
      </c>
      <c r="H103" t="s">
        <v>54</v>
      </c>
      <c r="I103">
        <v>451</v>
      </c>
      <c r="J103">
        <v>43684311</v>
      </c>
      <c r="K103">
        <v>465685</v>
      </c>
      <c r="L103">
        <v>43218626</v>
      </c>
      <c r="M103">
        <v>81</v>
      </c>
      <c r="N103">
        <v>0.97</v>
      </c>
      <c r="O103">
        <v>6.29</v>
      </c>
      <c r="P103">
        <v>1.2</v>
      </c>
      <c r="Q103">
        <v>3</v>
      </c>
      <c r="R103">
        <f>CORREL(BMW[units_sold],BMW[gdp_growth_percent])</f>
        <v>-5.2597817623217792E-17</v>
      </c>
    </row>
    <row r="104" spans="1:18" x14ac:dyDescent="0.35">
      <c r="A104">
        <v>2021</v>
      </c>
      <c r="B104" t="s">
        <v>50</v>
      </c>
      <c r="C104" t="s">
        <v>38</v>
      </c>
      <c r="D104" t="s">
        <v>29</v>
      </c>
      <c r="E104" t="s">
        <v>19</v>
      </c>
      <c r="F104" t="s">
        <v>27</v>
      </c>
      <c r="G104">
        <v>46350</v>
      </c>
      <c r="H104" t="s">
        <v>57</v>
      </c>
      <c r="I104">
        <v>944</v>
      </c>
      <c r="J104">
        <v>43754400</v>
      </c>
      <c r="K104">
        <v>376160</v>
      </c>
      <c r="L104">
        <v>43378240</v>
      </c>
      <c r="M104">
        <v>270</v>
      </c>
      <c r="N104">
        <v>0.97</v>
      </c>
      <c r="O104">
        <v>6.29</v>
      </c>
      <c r="P104">
        <v>1.2</v>
      </c>
      <c r="Q104">
        <v>1</v>
      </c>
      <c r="R104">
        <f>CORREL(BMW[units_sold],BMW[gdp_growth_percent])</f>
        <v>-5.2597817623217792E-17</v>
      </c>
    </row>
    <row r="105" spans="1:18" x14ac:dyDescent="0.35">
      <c r="A105">
        <v>2021</v>
      </c>
      <c r="B105" t="s">
        <v>52</v>
      </c>
      <c r="C105" t="s">
        <v>14</v>
      </c>
      <c r="D105" t="s">
        <v>24</v>
      </c>
      <c r="E105" t="s">
        <v>19</v>
      </c>
      <c r="F105" t="s">
        <v>17</v>
      </c>
      <c r="G105">
        <v>90512</v>
      </c>
      <c r="H105" t="s">
        <v>54</v>
      </c>
      <c r="I105">
        <v>705</v>
      </c>
      <c r="J105">
        <v>63810960</v>
      </c>
      <c r="K105">
        <v>96233</v>
      </c>
      <c r="L105">
        <v>63714727</v>
      </c>
      <c r="M105">
        <v>263</v>
      </c>
      <c r="N105">
        <v>0.97</v>
      </c>
      <c r="O105">
        <v>6.29</v>
      </c>
      <c r="P105">
        <v>1.2</v>
      </c>
      <c r="Q105">
        <v>4</v>
      </c>
      <c r="R105">
        <f>CORREL(BMW[units_sold],BMW[gdp_growth_percent])</f>
        <v>-5.2597817623217792E-17</v>
      </c>
    </row>
    <row r="106" spans="1:18" x14ac:dyDescent="0.35">
      <c r="A106">
        <v>2022</v>
      </c>
      <c r="B106" t="s">
        <v>41</v>
      </c>
      <c r="C106" t="s">
        <v>21</v>
      </c>
      <c r="D106" t="s">
        <v>29</v>
      </c>
      <c r="E106" t="s">
        <v>19</v>
      </c>
      <c r="F106" t="s">
        <v>27</v>
      </c>
      <c r="G106">
        <v>91809</v>
      </c>
      <c r="H106" t="s">
        <v>54</v>
      </c>
      <c r="I106">
        <v>947</v>
      </c>
      <c r="J106">
        <v>86943123</v>
      </c>
      <c r="K106">
        <v>442007</v>
      </c>
      <c r="L106">
        <v>86501116</v>
      </c>
      <c r="M106">
        <v>280</v>
      </c>
      <c r="N106">
        <v>0.97</v>
      </c>
      <c r="O106">
        <v>6.29</v>
      </c>
      <c r="P106">
        <v>1.2</v>
      </c>
      <c r="Q106">
        <v>1</v>
      </c>
      <c r="R106">
        <f>CORREL(BMW[units_sold],BMW[gdp_growth_percent])</f>
        <v>-5.2597817623217792E-17</v>
      </c>
    </row>
    <row r="107" spans="1:18" x14ac:dyDescent="0.35">
      <c r="A107">
        <v>2019</v>
      </c>
      <c r="B107" t="s">
        <v>50</v>
      </c>
      <c r="C107" t="s">
        <v>35</v>
      </c>
      <c r="D107" t="s">
        <v>33</v>
      </c>
      <c r="E107" t="s">
        <v>20</v>
      </c>
      <c r="F107" t="s">
        <v>20</v>
      </c>
      <c r="G107">
        <v>77832</v>
      </c>
      <c r="H107" t="s">
        <v>55</v>
      </c>
      <c r="I107">
        <v>658</v>
      </c>
      <c r="J107">
        <v>51213456</v>
      </c>
      <c r="K107">
        <v>247780</v>
      </c>
      <c r="L107">
        <v>50965676</v>
      </c>
      <c r="M107">
        <v>132</v>
      </c>
      <c r="N107">
        <v>0.97</v>
      </c>
      <c r="O107">
        <v>6.29</v>
      </c>
      <c r="P107">
        <v>1.2</v>
      </c>
      <c r="Q107">
        <v>8</v>
      </c>
      <c r="R107">
        <f>CORREL(BMW[units_sold],BMW[gdp_growth_percent])</f>
        <v>-5.2597817623217792E-17</v>
      </c>
    </row>
    <row r="108" spans="1:18" x14ac:dyDescent="0.35">
      <c r="A108">
        <v>2017</v>
      </c>
      <c r="B108" t="s">
        <v>52</v>
      </c>
      <c r="C108" t="s">
        <v>35</v>
      </c>
      <c r="D108" t="s">
        <v>31</v>
      </c>
      <c r="E108" t="s">
        <v>19</v>
      </c>
      <c r="F108" t="s">
        <v>20</v>
      </c>
      <c r="G108">
        <v>63369</v>
      </c>
      <c r="H108" t="s">
        <v>55</v>
      </c>
      <c r="I108">
        <v>532</v>
      </c>
      <c r="J108">
        <v>33712308</v>
      </c>
      <c r="K108">
        <v>274522</v>
      </c>
      <c r="L108">
        <v>33437786</v>
      </c>
      <c r="M108">
        <v>153</v>
      </c>
      <c r="N108">
        <v>0.97</v>
      </c>
      <c r="O108">
        <v>6.29</v>
      </c>
      <c r="P108">
        <v>1.2</v>
      </c>
      <c r="Q108">
        <v>5</v>
      </c>
      <c r="R108">
        <f>CORREL(BMW[units_sold],BMW[gdp_growth_percent])</f>
        <v>-5.2597817623217792E-17</v>
      </c>
    </row>
    <row r="109" spans="1:18" x14ac:dyDescent="0.35">
      <c r="A109">
        <v>2022</v>
      </c>
      <c r="B109" t="s">
        <v>52</v>
      </c>
      <c r="C109" t="s">
        <v>14</v>
      </c>
      <c r="D109" t="s">
        <v>18</v>
      </c>
      <c r="E109" t="s">
        <v>19</v>
      </c>
      <c r="F109" t="s">
        <v>20</v>
      </c>
      <c r="G109">
        <v>66728</v>
      </c>
      <c r="H109" t="s">
        <v>55</v>
      </c>
      <c r="I109">
        <v>904</v>
      </c>
      <c r="J109">
        <v>60322112</v>
      </c>
      <c r="K109">
        <v>156311</v>
      </c>
      <c r="L109">
        <v>60165801</v>
      </c>
      <c r="M109">
        <v>266</v>
      </c>
      <c r="N109">
        <v>0.97</v>
      </c>
      <c r="O109">
        <v>6.29</v>
      </c>
      <c r="P109">
        <v>1.2</v>
      </c>
      <c r="Q109">
        <v>1</v>
      </c>
      <c r="R109">
        <f>CORREL(BMW[units_sold],BMW[gdp_growth_percent])</f>
        <v>-5.2597817623217792E-17</v>
      </c>
    </row>
    <row r="110" spans="1:18" x14ac:dyDescent="0.35">
      <c r="A110">
        <v>2020</v>
      </c>
      <c r="B110" t="s">
        <v>49</v>
      </c>
      <c r="C110" t="s">
        <v>28</v>
      </c>
      <c r="D110" t="s">
        <v>33</v>
      </c>
      <c r="E110" t="s">
        <v>20</v>
      </c>
      <c r="F110" t="s">
        <v>27</v>
      </c>
      <c r="G110">
        <v>52576</v>
      </c>
      <c r="H110" t="s">
        <v>55</v>
      </c>
      <c r="I110">
        <v>728</v>
      </c>
      <c r="J110">
        <v>38275328</v>
      </c>
      <c r="K110">
        <v>84409</v>
      </c>
      <c r="L110">
        <v>38190919</v>
      </c>
      <c r="M110">
        <v>153</v>
      </c>
      <c r="N110">
        <v>0.97</v>
      </c>
      <c r="O110">
        <v>6.29</v>
      </c>
      <c r="P110">
        <v>1.2</v>
      </c>
      <c r="Q110">
        <v>8</v>
      </c>
      <c r="R110">
        <f>CORREL(BMW[units_sold],BMW[gdp_growth_percent])</f>
        <v>-5.2597817623217792E-17</v>
      </c>
    </row>
    <row r="111" spans="1:18" x14ac:dyDescent="0.35">
      <c r="A111">
        <v>2017</v>
      </c>
      <c r="B111" t="s">
        <v>43</v>
      </c>
      <c r="C111" t="s">
        <v>28</v>
      </c>
      <c r="D111" t="s">
        <v>18</v>
      </c>
      <c r="E111" t="s">
        <v>19</v>
      </c>
      <c r="F111" t="s">
        <v>23</v>
      </c>
      <c r="G111">
        <v>64001</v>
      </c>
      <c r="H111" t="s">
        <v>55</v>
      </c>
      <c r="I111">
        <v>709</v>
      </c>
      <c r="J111">
        <v>45376709</v>
      </c>
      <c r="K111">
        <v>296231</v>
      </c>
      <c r="L111">
        <v>45080478</v>
      </c>
      <c r="M111">
        <v>268</v>
      </c>
      <c r="N111">
        <v>0.97</v>
      </c>
      <c r="O111">
        <v>6.29</v>
      </c>
      <c r="P111">
        <v>1.2</v>
      </c>
      <c r="Q111">
        <v>9</v>
      </c>
      <c r="R111">
        <f>CORREL(BMW[units_sold],BMW[gdp_growth_percent])</f>
        <v>-5.2597817623217792E-17</v>
      </c>
    </row>
    <row r="112" spans="1:18" x14ac:dyDescent="0.35">
      <c r="A112">
        <v>2015</v>
      </c>
      <c r="B112" t="s">
        <v>41</v>
      </c>
      <c r="C112" t="s">
        <v>28</v>
      </c>
      <c r="D112" t="s">
        <v>18</v>
      </c>
      <c r="E112" t="s">
        <v>16</v>
      </c>
      <c r="F112" t="s">
        <v>23</v>
      </c>
      <c r="G112">
        <v>118384</v>
      </c>
      <c r="H112" t="s">
        <v>54</v>
      </c>
      <c r="I112">
        <v>368</v>
      </c>
      <c r="J112">
        <v>43565312</v>
      </c>
      <c r="K112">
        <v>462540</v>
      </c>
      <c r="L112">
        <v>43102772</v>
      </c>
      <c r="M112">
        <v>56</v>
      </c>
      <c r="N112">
        <v>0.97</v>
      </c>
      <c r="O112">
        <v>6.29</v>
      </c>
      <c r="P112">
        <v>1.2</v>
      </c>
      <c r="Q112">
        <v>10</v>
      </c>
      <c r="R112">
        <f>CORREL(BMW[units_sold],BMW[gdp_growth_percent])</f>
        <v>-5.2597817623217792E-17</v>
      </c>
    </row>
    <row r="113" spans="1:18" x14ac:dyDescent="0.35">
      <c r="A113">
        <v>2017</v>
      </c>
      <c r="B113" t="s">
        <v>52</v>
      </c>
      <c r="C113" t="s">
        <v>37</v>
      </c>
      <c r="D113" t="s">
        <v>34</v>
      </c>
      <c r="E113" t="s">
        <v>19</v>
      </c>
      <c r="F113" t="s">
        <v>20</v>
      </c>
      <c r="G113">
        <v>35390</v>
      </c>
      <c r="H113" t="s">
        <v>57</v>
      </c>
      <c r="I113">
        <v>1007</v>
      </c>
      <c r="J113">
        <v>35637730</v>
      </c>
      <c r="K113">
        <v>451954</v>
      </c>
      <c r="L113">
        <v>35185776</v>
      </c>
      <c r="M113">
        <v>360</v>
      </c>
      <c r="N113">
        <v>0.97</v>
      </c>
      <c r="O113">
        <v>6.29</v>
      </c>
      <c r="P113">
        <v>1.2</v>
      </c>
      <c r="Q113">
        <v>2</v>
      </c>
      <c r="R113">
        <f>CORREL(BMW[units_sold],BMW[gdp_growth_percent])</f>
        <v>-5.2597817623217792E-17</v>
      </c>
    </row>
    <row r="114" spans="1:18" x14ac:dyDescent="0.35">
      <c r="A114">
        <v>2019</v>
      </c>
      <c r="B114" t="s">
        <v>49</v>
      </c>
      <c r="C114" t="s">
        <v>38</v>
      </c>
      <c r="D114" t="s">
        <v>31</v>
      </c>
      <c r="E114" t="s">
        <v>19</v>
      </c>
      <c r="F114" t="s">
        <v>17</v>
      </c>
      <c r="G114">
        <v>80436</v>
      </c>
      <c r="H114" t="s">
        <v>54</v>
      </c>
      <c r="I114">
        <v>193</v>
      </c>
      <c r="J114">
        <v>15524148</v>
      </c>
      <c r="K114">
        <v>336198</v>
      </c>
      <c r="L114">
        <v>15187950</v>
      </c>
      <c r="M114">
        <v>22</v>
      </c>
      <c r="N114">
        <v>0.97</v>
      </c>
      <c r="O114">
        <v>6.29</v>
      </c>
      <c r="P114">
        <v>1.2</v>
      </c>
      <c r="Q114">
        <v>9</v>
      </c>
      <c r="R114">
        <f>CORREL(BMW[units_sold],BMW[gdp_growth_percent])</f>
        <v>-5.2597817623217792E-17</v>
      </c>
    </row>
    <row r="115" spans="1:18" x14ac:dyDescent="0.35">
      <c r="A115">
        <v>2017</v>
      </c>
      <c r="B115" t="s">
        <v>50</v>
      </c>
      <c r="C115" t="s">
        <v>37</v>
      </c>
      <c r="D115" t="s">
        <v>39</v>
      </c>
      <c r="E115" t="s">
        <v>16</v>
      </c>
      <c r="F115" t="s">
        <v>23</v>
      </c>
      <c r="G115">
        <v>46569</v>
      </c>
      <c r="H115" t="s">
        <v>57</v>
      </c>
      <c r="I115">
        <v>874</v>
      </c>
      <c r="J115">
        <v>40701306</v>
      </c>
      <c r="K115">
        <v>79709</v>
      </c>
      <c r="L115">
        <v>40621597</v>
      </c>
      <c r="M115">
        <v>385</v>
      </c>
      <c r="N115">
        <v>0.97</v>
      </c>
      <c r="O115">
        <v>6.29</v>
      </c>
      <c r="P115">
        <v>1.2</v>
      </c>
      <c r="Q115">
        <v>8</v>
      </c>
      <c r="R115">
        <f>CORREL(BMW[units_sold],BMW[gdp_growth_percent])</f>
        <v>-5.2597817623217792E-17</v>
      </c>
    </row>
    <row r="116" spans="1:18" x14ac:dyDescent="0.35">
      <c r="A116">
        <v>2015</v>
      </c>
      <c r="B116" t="s">
        <v>45</v>
      </c>
      <c r="C116" t="s">
        <v>21</v>
      </c>
      <c r="D116" t="s">
        <v>29</v>
      </c>
      <c r="E116" t="s">
        <v>16</v>
      </c>
      <c r="F116" t="s">
        <v>27</v>
      </c>
      <c r="G116">
        <v>48029</v>
      </c>
      <c r="H116" t="s">
        <v>57</v>
      </c>
      <c r="I116">
        <v>622</v>
      </c>
      <c r="J116">
        <v>29874038</v>
      </c>
      <c r="K116">
        <v>159321</v>
      </c>
      <c r="L116">
        <v>29714717</v>
      </c>
      <c r="M116">
        <v>217</v>
      </c>
      <c r="N116">
        <v>0.97</v>
      </c>
      <c r="O116">
        <v>6.29</v>
      </c>
      <c r="P116">
        <v>1.2</v>
      </c>
      <c r="Q116">
        <v>7</v>
      </c>
      <c r="R116">
        <f>CORREL(BMW[units_sold],BMW[gdp_growth_percent])</f>
        <v>-5.2597817623217792E-17</v>
      </c>
    </row>
    <row r="117" spans="1:18" x14ac:dyDescent="0.35">
      <c r="A117">
        <v>2019</v>
      </c>
      <c r="B117" t="s">
        <v>41</v>
      </c>
      <c r="C117" t="s">
        <v>14</v>
      </c>
      <c r="D117" t="s">
        <v>39</v>
      </c>
      <c r="E117" t="s">
        <v>16</v>
      </c>
      <c r="F117" t="s">
        <v>23</v>
      </c>
      <c r="G117">
        <v>57490</v>
      </c>
      <c r="H117" t="s">
        <v>55</v>
      </c>
      <c r="I117">
        <v>1049</v>
      </c>
      <c r="J117">
        <v>60307010</v>
      </c>
      <c r="K117">
        <v>50363</v>
      </c>
      <c r="L117">
        <v>60256647</v>
      </c>
      <c r="M117">
        <v>320</v>
      </c>
      <c r="N117">
        <v>0.97</v>
      </c>
      <c r="O117">
        <v>6.29</v>
      </c>
      <c r="P117">
        <v>1.2</v>
      </c>
      <c r="Q117">
        <v>3</v>
      </c>
      <c r="R117">
        <f>CORREL(BMW[units_sold],BMW[gdp_growth_percent])</f>
        <v>-5.2597817623217792E-17</v>
      </c>
    </row>
    <row r="118" spans="1:18" x14ac:dyDescent="0.35">
      <c r="A118">
        <v>2024</v>
      </c>
      <c r="B118" t="s">
        <v>42</v>
      </c>
      <c r="C118" t="s">
        <v>35</v>
      </c>
      <c r="D118" t="s">
        <v>34</v>
      </c>
      <c r="E118" t="s">
        <v>16</v>
      </c>
      <c r="F118" t="s">
        <v>20</v>
      </c>
      <c r="G118">
        <v>80875</v>
      </c>
      <c r="H118" t="s">
        <v>54</v>
      </c>
      <c r="I118">
        <v>857</v>
      </c>
      <c r="J118">
        <v>69309875</v>
      </c>
      <c r="K118">
        <v>322502</v>
      </c>
      <c r="L118">
        <v>68987373</v>
      </c>
      <c r="M118">
        <v>244</v>
      </c>
      <c r="N118">
        <v>0.97</v>
      </c>
      <c r="O118">
        <v>6.29</v>
      </c>
      <c r="P118">
        <v>1.2</v>
      </c>
      <c r="Q118">
        <v>2</v>
      </c>
      <c r="R118">
        <f>CORREL(BMW[units_sold],BMW[gdp_growth_percent])</f>
        <v>-5.2597817623217792E-17</v>
      </c>
    </row>
    <row r="119" spans="1:18" x14ac:dyDescent="0.35">
      <c r="A119">
        <v>2021</v>
      </c>
      <c r="B119" t="s">
        <v>51</v>
      </c>
      <c r="C119" t="s">
        <v>38</v>
      </c>
      <c r="D119" t="s">
        <v>18</v>
      </c>
      <c r="E119" t="s">
        <v>19</v>
      </c>
      <c r="F119" t="s">
        <v>17</v>
      </c>
      <c r="G119">
        <v>40867</v>
      </c>
      <c r="H119" t="s">
        <v>57</v>
      </c>
      <c r="I119">
        <v>426</v>
      </c>
      <c r="J119">
        <v>17409342</v>
      </c>
      <c r="K119">
        <v>446456</v>
      </c>
      <c r="L119">
        <v>16962886</v>
      </c>
      <c r="M119">
        <v>158</v>
      </c>
      <c r="N119">
        <v>0.97</v>
      </c>
      <c r="O119">
        <v>6.29</v>
      </c>
      <c r="P119">
        <v>1.2</v>
      </c>
      <c r="Q119">
        <v>7</v>
      </c>
      <c r="R119">
        <f>CORREL(BMW[units_sold],BMW[gdp_growth_percent])</f>
        <v>-5.2597817623217792E-17</v>
      </c>
    </row>
    <row r="120" spans="1:18" x14ac:dyDescent="0.35">
      <c r="A120">
        <v>2021</v>
      </c>
      <c r="B120" t="s">
        <v>51</v>
      </c>
      <c r="C120" t="s">
        <v>37</v>
      </c>
      <c r="D120" t="s">
        <v>24</v>
      </c>
      <c r="E120" t="s">
        <v>16</v>
      </c>
      <c r="F120" t="s">
        <v>23</v>
      </c>
      <c r="G120">
        <v>115820</v>
      </c>
      <c r="H120" t="s">
        <v>54</v>
      </c>
      <c r="I120">
        <v>1055</v>
      </c>
      <c r="J120">
        <v>122190100</v>
      </c>
      <c r="K120">
        <v>95689</v>
      </c>
      <c r="L120">
        <v>122094411</v>
      </c>
      <c r="M120">
        <v>331</v>
      </c>
      <c r="N120">
        <v>0.97</v>
      </c>
      <c r="O120">
        <v>6.29</v>
      </c>
      <c r="P120">
        <v>1.2</v>
      </c>
      <c r="Q120">
        <v>5</v>
      </c>
      <c r="R120">
        <f>CORREL(BMW[units_sold],BMW[gdp_growth_percent])</f>
        <v>-5.2597817623217792E-17</v>
      </c>
    </row>
    <row r="121" spans="1:18" x14ac:dyDescent="0.35">
      <c r="A121">
        <v>2023</v>
      </c>
      <c r="B121" t="s">
        <v>50</v>
      </c>
      <c r="C121" t="s">
        <v>37</v>
      </c>
      <c r="D121" t="s">
        <v>29</v>
      </c>
      <c r="E121" t="s">
        <v>16</v>
      </c>
      <c r="F121" t="s">
        <v>23</v>
      </c>
      <c r="G121">
        <v>44121</v>
      </c>
      <c r="H121" t="s">
        <v>57</v>
      </c>
      <c r="I121">
        <v>742</v>
      </c>
      <c r="J121">
        <v>32737782</v>
      </c>
      <c r="K121">
        <v>314080</v>
      </c>
      <c r="L121">
        <v>32423702</v>
      </c>
      <c r="M121">
        <v>164</v>
      </c>
      <c r="N121">
        <v>0.97</v>
      </c>
      <c r="O121">
        <v>6.29</v>
      </c>
      <c r="P121">
        <v>1.2</v>
      </c>
      <c r="Q121">
        <v>6</v>
      </c>
      <c r="R121">
        <f>CORREL(BMW[units_sold],BMW[gdp_growth_percent])</f>
        <v>-5.2597817623217792E-17</v>
      </c>
    </row>
    <row r="122" spans="1:18" x14ac:dyDescent="0.35">
      <c r="A122">
        <v>2024</v>
      </c>
      <c r="B122" t="s">
        <v>47</v>
      </c>
      <c r="C122" t="s">
        <v>32</v>
      </c>
      <c r="D122" t="s">
        <v>29</v>
      </c>
      <c r="E122" t="s">
        <v>20</v>
      </c>
      <c r="F122" t="s">
        <v>20</v>
      </c>
      <c r="G122">
        <v>36539</v>
      </c>
      <c r="H122" t="s">
        <v>57</v>
      </c>
      <c r="I122">
        <v>686</v>
      </c>
      <c r="J122">
        <v>25065754</v>
      </c>
      <c r="K122">
        <v>424416</v>
      </c>
      <c r="L122">
        <v>24641338</v>
      </c>
      <c r="M122">
        <v>175</v>
      </c>
      <c r="N122">
        <v>0.97</v>
      </c>
      <c r="O122">
        <v>6.29</v>
      </c>
      <c r="P122">
        <v>1.2</v>
      </c>
      <c r="Q122">
        <v>4</v>
      </c>
      <c r="R122">
        <f>CORREL(BMW[units_sold],BMW[gdp_growth_percent])</f>
        <v>-5.2597817623217792E-17</v>
      </c>
    </row>
    <row r="123" spans="1:18" x14ac:dyDescent="0.35">
      <c r="A123">
        <v>2024</v>
      </c>
      <c r="B123" t="s">
        <v>47</v>
      </c>
      <c r="C123" t="s">
        <v>37</v>
      </c>
      <c r="D123" t="s">
        <v>31</v>
      </c>
      <c r="E123" t="s">
        <v>16</v>
      </c>
      <c r="F123" t="s">
        <v>17</v>
      </c>
      <c r="G123">
        <v>52027</v>
      </c>
      <c r="H123" t="s">
        <v>55</v>
      </c>
      <c r="I123">
        <v>299</v>
      </c>
      <c r="J123">
        <v>15556073</v>
      </c>
      <c r="K123">
        <v>141074</v>
      </c>
      <c r="L123">
        <v>15414999</v>
      </c>
      <c r="M123">
        <v>99</v>
      </c>
      <c r="N123">
        <v>0.97</v>
      </c>
      <c r="O123">
        <v>6.29</v>
      </c>
      <c r="P123">
        <v>1.2</v>
      </c>
      <c r="Q123">
        <v>2</v>
      </c>
      <c r="R123">
        <f>CORREL(BMW[units_sold],BMW[gdp_growth_percent])</f>
        <v>-5.2597817623217792E-17</v>
      </c>
    </row>
    <row r="124" spans="1:18" x14ac:dyDescent="0.35">
      <c r="A124">
        <v>2017</v>
      </c>
      <c r="B124" t="s">
        <v>50</v>
      </c>
      <c r="C124" t="s">
        <v>25</v>
      </c>
      <c r="D124" t="s">
        <v>15</v>
      </c>
      <c r="E124" t="s">
        <v>16</v>
      </c>
      <c r="F124" t="s">
        <v>17</v>
      </c>
      <c r="G124">
        <v>109229</v>
      </c>
      <c r="H124" t="s">
        <v>54</v>
      </c>
      <c r="I124">
        <v>716</v>
      </c>
      <c r="J124">
        <v>78207964</v>
      </c>
      <c r="K124">
        <v>225037</v>
      </c>
      <c r="L124">
        <v>77982927</v>
      </c>
      <c r="M124">
        <v>195</v>
      </c>
      <c r="N124">
        <v>0.97</v>
      </c>
      <c r="O124">
        <v>6.29</v>
      </c>
      <c r="P124">
        <v>1.2</v>
      </c>
      <c r="Q124">
        <v>9</v>
      </c>
      <c r="R124">
        <f>CORREL(BMW[units_sold],BMW[gdp_growth_percent])</f>
        <v>-5.2597817623217792E-17</v>
      </c>
    </row>
    <row r="125" spans="1:18" x14ac:dyDescent="0.35">
      <c r="A125">
        <v>2021</v>
      </c>
      <c r="B125" t="s">
        <v>52</v>
      </c>
      <c r="C125" t="s">
        <v>35</v>
      </c>
      <c r="D125" t="s">
        <v>22</v>
      </c>
      <c r="E125" t="s">
        <v>20</v>
      </c>
      <c r="F125" t="s">
        <v>20</v>
      </c>
      <c r="G125">
        <v>43921</v>
      </c>
      <c r="H125" t="s">
        <v>57</v>
      </c>
      <c r="I125">
        <v>906</v>
      </c>
      <c r="J125">
        <v>39792426</v>
      </c>
      <c r="K125">
        <v>258606</v>
      </c>
      <c r="L125">
        <v>39533820</v>
      </c>
      <c r="M125">
        <v>327</v>
      </c>
      <c r="N125">
        <v>0.97</v>
      </c>
      <c r="O125">
        <v>6.29</v>
      </c>
      <c r="P125">
        <v>1.2</v>
      </c>
      <c r="Q125">
        <v>3</v>
      </c>
      <c r="R125">
        <f>CORREL(BMW[units_sold],BMW[gdp_growth_percent])</f>
        <v>-5.2597817623217792E-17</v>
      </c>
    </row>
    <row r="126" spans="1:18" x14ac:dyDescent="0.35">
      <c r="A126">
        <v>2015</v>
      </c>
      <c r="B126" t="s">
        <v>43</v>
      </c>
      <c r="C126" t="s">
        <v>25</v>
      </c>
      <c r="D126" t="s">
        <v>22</v>
      </c>
      <c r="E126" t="s">
        <v>20</v>
      </c>
      <c r="F126" t="s">
        <v>27</v>
      </c>
      <c r="G126">
        <v>85435</v>
      </c>
      <c r="H126" t="s">
        <v>54</v>
      </c>
      <c r="I126">
        <v>1038</v>
      </c>
      <c r="J126">
        <v>88681530</v>
      </c>
      <c r="K126">
        <v>50882</v>
      </c>
      <c r="L126">
        <v>88630648</v>
      </c>
      <c r="M126">
        <v>367</v>
      </c>
      <c r="N126">
        <v>0.97</v>
      </c>
      <c r="O126">
        <v>6.29</v>
      </c>
      <c r="P126">
        <v>1.2</v>
      </c>
      <c r="Q126">
        <v>7</v>
      </c>
      <c r="R126">
        <f>CORREL(BMW[units_sold],BMW[gdp_growth_percent])</f>
        <v>-5.2597817623217792E-17</v>
      </c>
    </row>
    <row r="127" spans="1:18" x14ac:dyDescent="0.35">
      <c r="A127">
        <v>2018</v>
      </c>
      <c r="B127" t="s">
        <v>41</v>
      </c>
      <c r="C127" t="s">
        <v>35</v>
      </c>
      <c r="D127" t="s">
        <v>22</v>
      </c>
      <c r="E127" t="s">
        <v>19</v>
      </c>
      <c r="F127" t="s">
        <v>23</v>
      </c>
      <c r="G127">
        <v>45310</v>
      </c>
      <c r="H127" t="s">
        <v>57</v>
      </c>
      <c r="I127">
        <v>421</v>
      </c>
      <c r="J127">
        <v>19075510</v>
      </c>
      <c r="K127">
        <v>463440</v>
      </c>
      <c r="L127">
        <v>18612070</v>
      </c>
      <c r="M127">
        <v>183</v>
      </c>
      <c r="N127">
        <v>0.97</v>
      </c>
      <c r="O127">
        <v>6.29</v>
      </c>
      <c r="P127">
        <v>1.2</v>
      </c>
      <c r="Q127">
        <v>8</v>
      </c>
      <c r="R127">
        <f>CORREL(BMW[units_sold],BMW[gdp_growth_percent])</f>
        <v>-5.2597817623217792E-17</v>
      </c>
    </row>
    <row r="128" spans="1:18" x14ac:dyDescent="0.35">
      <c r="A128">
        <v>2018</v>
      </c>
      <c r="B128" t="s">
        <v>51</v>
      </c>
      <c r="C128" t="s">
        <v>14</v>
      </c>
      <c r="D128" t="s">
        <v>15</v>
      </c>
      <c r="E128" t="s">
        <v>20</v>
      </c>
      <c r="F128" t="s">
        <v>27</v>
      </c>
      <c r="G128">
        <v>98965</v>
      </c>
      <c r="H128" t="s">
        <v>54</v>
      </c>
      <c r="I128">
        <v>551</v>
      </c>
      <c r="J128">
        <v>54529715</v>
      </c>
      <c r="K128">
        <v>417371</v>
      </c>
      <c r="L128">
        <v>54112344</v>
      </c>
      <c r="M128">
        <v>226</v>
      </c>
      <c r="N128">
        <v>0.97</v>
      </c>
      <c r="O128">
        <v>6.29</v>
      </c>
      <c r="P128">
        <v>1.2</v>
      </c>
      <c r="Q128">
        <v>2</v>
      </c>
      <c r="R128">
        <f>CORREL(BMW[units_sold],BMW[gdp_growth_percent])</f>
        <v>-5.2597817623217792E-17</v>
      </c>
    </row>
    <row r="129" spans="1:18" x14ac:dyDescent="0.35">
      <c r="A129">
        <v>2019</v>
      </c>
      <c r="B129" t="s">
        <v>51</v>
      </c>
      <c r="C129" t="s">
        <v>35</v>
      </c>
      <c r="D129" t="s">
        <v>31</v>
      </c>
      <c r="E129" t="s">
        <v>19</v>
      </c>
      <c r="F129" t="s">
        <v>23</v>
      </c>
      <c r="G129">
        <v>104922</v>
      </c>
      <c r="H129" t="s">
        <v>54</v>
      </c>
      <c r="I129">
        <v>941</v>
      </c>
      <c r="J129">
        <v>98731602</v>
      </c>
      <c r="K129">
        <v>304822</v>
      </c>
      <c r="L129">
        <v>98426780</v>
      </c>
      <c r="M129">
        <v>273</v>
      </c>
      <c r="N129">
        <v>0.97</v>
      </c>
      <c r="O129">
        <v>6.29</v>
      </c>
      <c r="P129">
        <v>1.2</v>
      </c>
      <c r="Q129">
        <v>6</v>
      </c>
      <c r="R129">
        <f>CORREL(BMW[units_sold],BMW[gdp_growth_percent])</f>
        <v>-5.2597817623217792E-17</v>
      </c>
    </row>
    <row r="130" spans="1:18" x14ac:dyDescent="0.35">
      <c r="A130">
        <v>2021</v>
      </c>
      <c r="B130" t="s">
        <v>43</v>
      </c>
      <c r="C130" t="s">
        <v>25</v>
      </c>
      <c r="D130" t="s">
        <v>15</v>
      </c>
      <c r="E130" t="s">
        <v>20</v>
      </c>
      <c r="F130" t="s">
        <v>23</v>
      </c>
      <c r="G130">
        <v>117839</v>
      </c>
      <c r="H130" t="s">
        <v>54</v>
      </c>
      <c r="I130">
        <v>626</v>
      </c>
      <c r="J130">
        <v>73767214</v>
      </c>
      <c r="K130">
        <v>175865</v>
      </c>
      <c r="L130">
        <v>73591349</v>
      </c>
      <c r="M130">
        <v>106</v>
      </c>
      <c r="N130">
        <v>0.97</v>
      </c>
      <c r="O130">
        <v>6.29</v>
      </c>
      <c r="P130">
        <v>1.2</v>
      </c>
      <c r="Q130">
        <v>8</v>
      </c>
      <c r="R130">
        <f>CORREL(BMW[units_sold],BMW[gdp_growth_percent])</f>
        <v>-5.2597817623217792E-17</v>
      </c>
    </row>
    <row r="131" spans="1:18" x14ac:dyDescent="0.35">
      <c r="A131">
        <v>2021</v>
      </c>
      <c r="B131" t="s">
        <v>52</v>
      </c>
      <c r="C131" t="s">
        <v>35</v>
      </c>
      <c r="D131" t="s">
        <v>22</v>
      </c>
      <c r="E131" t="s">
        <v>20</v>
      </c>
      <c r="F131" t="s">
        <v>27</v>
      </c>
      <c r="G131">
        <v>47242</v>
      </c>
      <c r="H131" t="s">
        <v>57</v>
      </c>
      <c r="I131">
        <v>632</v>
      </c>
      <c r="J131">
        <v>29856944</v>
      </c>
      <c r="K131">
        <v>173745</v>
      </c>
      <c r="L131">
        <v>29683199</v>
      </c>
      <c r="M131">
        <v>126</v>
      </c>
      <c r="N131">
        <v>0.97</v>
      </c>
      <c r="O131">
        <v>6.29</v>
      </c>
      <c r="P131">
        <v>1.2</v>
      </c>
      <c r="Q131">
        <v>7</v>
      </c>
      <c r="R131">
        <f>CORREL(BMW[units_sold],BMW[gdp_growth_percent])</f>
        <v>-5.2597817623217792E-17</v>
      </c>
    </row>
    <row r="132" spans="1:18" x14ac:dyDescent="0.35">
      <c r="A132">
        <v>2018</v>
      </c>
      <c r="B132" t="s">
        <v>51</v>
      </c>
      <c r="C132" t="s">
        <v>14</v>
      </c>
      <c r="D132" t="s">
        <v>34</v>
      </c>
      <c r="E132" t="s">
        <v>19</v>
      </c>
      <c r="F132" t="s">
        <v>20</v>
      </c>
      <c r="G132">
        <v>43947</v>
      </c>
      <c r="H132" t="s">
        <v>57</v>
      </c>
      <c r="I132">
        <v>837</v>
      </c>
      <c r="J132">
        <v>36783639</v>
      </c>
      <c r="K132">
        <v>474041</v>
      </c>
      <c r="L132">
        <v>36309598</v>
      </c>
      <c r="M132">
        <v>208</v>
      </c>
      <c r="N132">
        <v>0.97</v>
      </c>
      <c r="O132">
        <v>6.29</v>
      </c>
      <c r="P132">
        <v>1.2</v>
      </c>
      <c r="Q132">
        <v>3</v>
      </c>
      <c r="R132">
        <f>CORREL(BMW[units_sold],BMW[gdp_growth_percent])</f>
        <v>-5.2597817623217792E-17</v>
      </c>
    </row>
    <row r="133" spans="1:18" x14ac:dyDescent="0.35">
      <c r="A133">
        <v>2021</v>
      </c>
      <c r="B133" t="s">
        <v>42</v>
      </c>
      <c r="C133" t="s">
        <v>14</v>
      </c>
      <c r="D133" t="s">
        <v>33</v>
      </c>
      <c r="E133" t="s">
        <v>20</v>
      </c>
      <c r="F133" t="s">
        <v>20</v>
      </c>
      <c r="G133">
        <v>106466</v>
      </c>
      <c r="H133" t="s">
        <v>54</v>
      </c>
      <c r="I133">
        <v>749</v>
      </c>
      <c r="J133">
        <v>79743034</v>
      </c>
      <c r="K133">
        <v>78885</v>
      </c>
      <c r="L133">
        <v>79664149</v>
      </c>
      <c r="M133">
        <v>329</v>
      </c>
      <c r="N133">
        <v>0.97</v>
      </c>
      <c r="O133">
        <v>6.29</v>
      </c>
      <c r="P133">
        <v>1.2</v>
      </c>
      <c r="Q133">
        <v>1</v>
      </c>
      <c r="R133">
        <f>CORREL(BMW[units_sold],BMW[gdp_growth_percent])</f>
        <v>-5.2597817623217792E-17</v>
      </c>
    </row>
    <row r="134" spans="1:18" x14ac:dyDescent="0.35">
      <c r="A134">
        <v>2017</v>
      </c>
      <c r="B134" t="s">
        <v>41</v>
      </c>
      <c r="C134" t="s">
        <v>21</v>
      </c>
      <c r="D134" t="s">
        <v>18</v>
      </c>
      <c r="E134" t="s">
        <v>19</v>
      </c>
      <c r="F134" t="s">
        <v>23</v>
      </c>
      <c r="G134">
        <v>96816</v>
      </c>
      <c r="H134" t="s">
        <v>54</v>
      </c>
      <c r="I134">
        <v>373</v>
      </c>
      <c r="J134">
        <v>36112368</v>
      </c>
      <c r="K134">
        <v>221128</v>
      </c>
      <c r="L134">
        <v>35891240</v>
      </c>
      <c r="M134">
        <v>30</v>
      </c>
      <c r="N134">
        <v>0.97</v>
      </c>
      <c r="O134">
        <v>6.29</v>
      </c>
      <c r="P134">
        <v>1.2</v>
      </c>
      <c r="Q134">
        <v>6</v>
      </c>
      <c r="R134">
        <f>CORREL(BMW[units_sold],BMW[gdp_growth_percent])</f>
        <v>-5.2597817623217792E-17</v>
      </c>
    </row>
    <row r="135" spans="1:18" x14ac:dyDescent="0.35">
      <c r="A135">
        <v>2020</v>
      </c>
      <c r="B135" t="s">
        <v>48</v>
      </c>
      <c r="C135" t="s">
        <v>35</v>
      </c>
      <c r="D135" t="s">
        <v>15</v>
      </c>
      <c r="E135" t="s">
        <v>20</v>
      </c>
      <c r="F135" t="s">
        <v>20</v>
      </c>
      <c r="G135">
        <v>83785</v>
      </c>
      <c r="H135" t="s">
        <v>54</v>
      </c>
      <c r="I135">
        <v>753</v>
      </c>
      <c r="J135">
        <v>63090105</v>
      </c>
      <c r="K135">
        <v>446419</v>
      </c>
      <c r="L135">
        <v>62643686</v>
      </c>
      <c r="M135">
        <v>209</v>
      </c>
      <c r="N135">
        <v>0.97</v>
      </c>
      <c r="O135">
        <v>6.29</v>
      </c>
      <c r="P135">
        <v>1.2</v>
      </c>
      <c r="Q135">
        <v>8</v>
      </c>
      <c r="R135">
        <f>CORREL(BMW[units_sold],BMW[gdp_growth_percent])</f>
        <v>-5.2597817623217792E-17</v>
      </c>
    </row>
    <row r="136" spans="1:18" x14ac:dyDescent="0.35">
      <c r="A136">
        <v>2016</v>
      </c>
      <c r="B136" t="s">
        <v>51</v>
      </c>
      <c r="C136" t="s">
        <v>32</v>
      </c>
      <c r="D136" t="s">
        <v>31</v>
      </c>
      <c r="E136" t="s">
        <v>16</v>
      </c>
      <c r="F136" t="s">
        <v>23</v>
      </c>
      <c r="G136">
        <v>35507</v>
      </c>
      <c r="H136" t="s">
        <v>57</v>
      </c>
      <c r="I136">
        <v>1169</v>
      </c>
      <c r="J136">
        <v>41507683</v>
      </c>
      <c r="K136">
        <v>241313</v>
      </c>
      <c r="L136">
        <v>41266370</v>
      </c>
      <c r="M136">
        <v>380</v>
      </c>
      <c r="N136">
        <v>0.97</v>
      </c>
      <c r="O136">
        <v>6.29</v>
      </c>
      <c r="P136">
        <v>1.2</v>
      </c>
      <c r="Q136">
        <v>6</v>
      </c>
      <c r="R136">
        <f>CORREL(BMW[units_sold],BMW[gdp_growth_percent])</f>
        <v>-5.2597817623217792E-17</v>
      </c>
    </row>
    <row r="137" spans="1:18" x14ac:dyDescent="0.35">
      <c r="A137">
        <v>2024</v>
      </c>
      <c r="B137" t="s">
        <v>50</v>
      </c>
      <c r="C137" t="s">
        <v>28</v>
      </c>
      <c r="D137" t="s">
        <v>31</v>
      </c>
      <c r="E137" t="s">
        <v>20</v>
      </c>
      <c r="F137" t="s">
        <v>20</v>
      </c>
      <c r="G137">
        <v>101972</v>
      </c>
      <c r="H137" t="s">
        <v>54</v>
      </c>
      <c r="I137">
        <v>780</v>
      </c>
      <c r="J137">
        <v>79538160</v>
      </c>
      <c r="K137">
        <v>445460</v>
      </c>
      <c r="L137">
        <v>79092700</v>
      </c>
      <c r="M137">
        <v>350</v>
      </c>
      <c r="N137">
        <v>0.97</v>
      </c>
      <c r="O137">
        <v>6.29</v>
      </c>
      <c r="P137">
        <v>1.2</v>
      </c>
      <c r="Q137">
        <v>5</v>
      </c>
      <c r="R137">
        <f>CORREL(BMW[units_sold],BMW[gdp_growth_percent])</f>
        <v>-5.2597817623217792E-17</v>
      </c>
    </row>
    <row r="138" spans="1:18" x14ac:dyDescent="0.35">
      <c r="A138">
        <v>2023</v>
      </c>
      <c r="B138" t="s">
        <v>42</v>
      </c>
      <c r="C138" t="s">
        <v>36</v>
      </c>
      <c r="D138" t="s">
        <v>39</v>
      </c>
      <c r="E138" t="s">
        <v>19</v>
      </c>
      <c r="F138" t="s">
        <v>23</v>
      </c>
      <c r="G138">
        <v>62151</v>
      </c>
      <c r="H138" t="s">
        <v>55</v>
      </c>
      <c r="I138">
        <v>756</v>
      </c>
      <c r="J138">
        <v>46986156</v>
      </c>
      <c r="K138">
        <v>410466</v>
      </c>
      <c r="L138">
        <v>46575690</v>
      </c>
      <c r="M138">
        <v>257</v>
      </c>
      <c r="N138">
        <v>0.97</v>
      </c>
      <c r="O138">
        <v>6.29</v>
      </c>
      <c r="P138">
        <v>1.2</v>
      </c>
      <c r="Q138">
        <v>8</v>
      </c>
      <c r="R138">
        <f>CORREL(BMW[units_sold],BMW[gdp_growth_percent])</f>
        <v>-5.2597817623217792E-17</v>
      </c>
    </row>
    <row r="139" spans="1:18" x14ac:dyDescent="0.35">
      <c r="A139">
        <v>2019</v>
      </c>
      <c r="B139" t="s">
        <v>51</v>
      </c>
      <c r="C139" t="s">
        <v>14</v>
      </c>
      <c r="D139" t="s">
        <v>33</v>
      </c>
      <c r="E139" t="s">
        <v>20</v>
      </c>
      <c r="F139" t="s">
        <v>20</v>
      </c>
      <c r="G139">
        <v>46618</v>
      </c>
      <c r="H139" t="s">
        <v>57</v>
      </c>
      <c r="I139">
        <v>848</v>
      </c>
      <c r="J139">
        <v>39532064</v>
      </c>
      <c r="K139">
        <v>380763</v>
      </c>
      <c r="L139">
        <v>39151301</v>
      </c>
      <c r="M139">
        <v>285</v>
      </c>
      <c r="N139">
        <v>0.97</v>
      </c>
      <c r="O139">
        <v>6.29</v>
      </c>
      <c r="P139">
        <v>1.2</v>
      </c>
      <c r="Q139">
        <v>2</v>
      </c>
      <c r="R139">
        <f>CORREL(BMW[units_sold],BMW[gdp_growth_percent])</f>
        <v>-5.2597817623217792E-17</v>
      </c>
    </row>
    <row r="140" spans="1:18" x14ac:dyDescent="0.35">
      <c r="A140">
        <v>2020</v>
      </c>
      <c r="B140" t="s">
        <v>44</v>
      </c>
      <c r="C140" t="s">
        <v>30</v>
      </c>
      <c r="D140" t="s">
        <v>24</v>
      </c>
      <c r="E140" t="s">
        <v>19</v>
      </c>
      <c r="F140" t="s">
        <v>17</v>
      </c>
      <c r="G140">
        <v>109286</v>
      </c>
      <c r="H140" t="s">
        <v>54</v>
      </c>
      <c r="I140">
        <v>911</v>
      </c>
      <c r="J140">
        <v>99559546</v>
      </c>
      <c r="K140">
        <v>71584</v>
      </c>
      <c r="L140">
        <v>99487962</v>
      </c>
      <c r="M140">
        <v>273</v>
      </c>
      <c r="N140">
        <v>0.97</v>
      </c>
      <c r="O140">
        <v>6.29</v>
      </c>
      <c r="P140">
        <v>1.2</v>
      </c>
      <c r="Q140">
        <v>1</v>
      </c>
      <c r="R140">
        <f>CORREL(BMW[units_sold],BMW[gdp_growth_percent])</f>
        <v>-5.2597817623217792E-17</v>
      </c>
    </row>
    <row r="141" spans="1:18" x14ac:dyDescent="0.35">
      <c r="A141">
        <v>2018</v>
      </c>
      <c r="B141" t="s">
        <v>42</v>
      </c>
      <c r="C141" t="s">
        <v>28</v>
      </c>
      <c r="D141" t="s">
        <v>29</v>
      </c>
      <c r="E141" t="s">
        <v>19</v>
      </c>
      <c r="F141" t="s">
        <v>27</v>
      </c>
      <c r="G141">
        <v>51122</v>
      </c>
      <c r="H141" t="s">
        <v>55</v>
      </c>
      <c r="I141">
        <v>530</v>
      </c>
      <c r="J141">
        <v>27094660</v>
      </c>
      <c r="K141">
        <v>320665</v>
      </c>
      <c r="L141">
        <v>26773995</v>
      </c>
      <c r="M141">
        <v>67</v>
      </c>
      <c r="N141">
        <v>0.97</v>
      </c>
      <c r="O141">
        <v>6.29</v>
      </c>
      <c r="P141">
        <v>1.2</v>
      </c>
      <c r="Q141">
        <v>1</v>
      </c>
      <c r="R141">
        <f>CORREL(BMW[units_sold],BMW[gdp_growth_percent])</f>
        <v>-5.2597817623217792E-17</v>
      </c>
    </row>
    <row r="142" spans="1:18" x14ac:dyDescent="0.35">
      <c r="A142">
        <v>2024</v>
      </c>
      <c r="B142" t="s">
        <v>49</v>
      </c>
      <c r="C142" t="s">
        <v>38</v>
      </c>
      <c r="D142" t="s">
        <v>22</v>
      </c>
      <c r="E142" t="s">
        <v>16</v>
      </c>
      <c r="F142" t="s">
        <v>17</v>
      </c>
      <c r="G142">
        <v>42354</v>
      </c>
      <c r="H142" t="s">
        <v>57</v>
      </c>
      <c r="I142">
        <v>989</v>
      </c>
      <c r="J142">
        <v>41888106</v>
      </c>
      <c r="K142">
        <v>231089</v>
      </c>
      <c r="L142">
        <v>41657017</v>
      </c>
      <c r="M142">
        <v>311</v>
      </c>
      <c r="N142">
        <v>0.97</v>
      </c>
      <c r="O142">
        <v>6.29</v>
      </c>
      <c r="P142">
        <v>1.2</v>
      </c>
      <c r="Q142">
        <v>4</v>
      </c>
      <c r="R142">
        <f>CORREL(BMW[units_sold],BMW[gdp_growth_percent])</f>
        <v>-5.2597817623217792E-17</v>
      </c>
    </row>
    <row r="143" spans="1:18" x14ac:dyDescent="0.35">
      <c r="A143">
        <v>2021</v>
      </c>
      <c r="B143" t="s">
        <v>48</v>
      </c>
      <c r="C143" t="s">
        <v>35</v>
      </c>
      <c r="D143" t="s">
        <v>24</v>
      </c>
      <c r="E143" t="s">
        <v>16</v>
      </c>
      <c r="F143" t="s">
        <v>27</v>
      </c>
      <c r="G143">
        <v>65979</v>
      </c>
      <c r="H143" t="s">
        <v>55</v>
      </c>
      <c r="I143">
        <v>203</v>
      </c>
      <c r="J143">
        <v>13393737</v>
      </c>
      <c r="K143">
        <v>345685</v>
      </c>
      <c r="L143">
        <v>13048052</v>
      </c>
      <c r="M143">
        <v>40</v>
      </c>
      <c r="N143">
        <v>0.97</v>
      </c>
      <c r="O143">
        <v>6.29</v>
      </c>
      <c r="P143">
        <v>1.2</v>
      </c>
      <c r="Q143">
        <v>6</v>
      </c>
      <c r="R143">
        <f>CORREL(BMW[units_sold],BMW[gdp_growth_percent])</f>
        <v>-5.2597817623217792E-17</v>
      </c>
    </row>
    <row r="144" spans="1:18" x14ac:dyDescent="0.35">
      <c r="A144">
        <v>2023</v>
      </c>
      <c r="B144" t="s">
        <v>46</v>
      </c>
      <c r="C144" t="s">
        <v>25</v>
      </c>
      <c r="D144" t="s">
        <v>39</v>
      </c>
      <c r="E144" t="s">
        <v>19</v>
      </c>
      <c r="F144" t="s">
        <v>27</v>
      </c>
      <c r="G144">
        <v>114376</v>
      </c>
      <c r="H144" t="s">
        <v>54</v>
      </c>
      <c r="I144">
        <v>685</v>
      </c>
      <c r="J144">
        <v>78347560</v>
      </c>
      <c r="K144">
        <v>79063</v>
      </c>
      <c r="L144">
        <v>78268497</v>
      </c>
      <c r="M144">
        <v>258</v>
      </c>
      <c r="N144">
        <v>0.97</v>
      </c>
      <c r="O144">
        <v>6.29</v>
      </c>
      <c r="P144">
        <v>1.2</v>
      </c>
      <c r="Q144">
        <v>9</v>
      </c>
      <c r="R144">
        <f>CORREL(BMW[units_sold],BMW[gdp_growth_percent])</f>
        <v>-5.2597817623217792E-17</v>
      </c>
    </row>
    <row r="145" spans="1:18" x14ac:dyDescent="0.35">
      <c r="A145">
        <v>2021</v>
      </c>
      <c r="B145" t="s">
        <v>50</v>
      </c>
      <c r="C145" t="s">
        <v>36</v>
      </c>
      <c r="D145" t="s">
        <v>22</v>
      </c>
      <c r="E145" t="s">
        <v>20</v>
      </c>
      <c r="F145" t="s">
        <v>23</v>
      </c>
      <c r="G145">
        <v>87774</v>
      </c>
      <c r="H145" t="s">
        <v>54</v>
      </c>
      <c r="I145">
        <v>408</v>
      </c>
      <c r="J145">
        <v>35811792</v>
      </c>
      <c r="K145">
        <v>120268</v>
      </c>
      <c r="L145">
        <v>35691524</v>
      </c>
      <c r="M145">
        <v>102</v>
      </c>
      <c r="N145">
        <v>0.97</v>
      </c>
      <c r="O145">
        <v>6.29</v>
      </c>
      <c r="P145">
        <v>1.2</v>
      </c>
      <c r="Q145">
        <v>1</v>
      </c>
      <c r="R145">
        <f>CORREL(BMW[units_sold],BMW[gdp_growth_percent])</f>
        <v>-5.2597817623217792E-17</v>
      </c>
    </row>
    <row r="146" spans="1:18" x14ac:dyDescent="0.35">
      <c r="A146">
        <v>2015</v>
      </c>
      <c r="B146" t="s">
        <v>50</v>
      </c>
      <c r="C146" t="s">
        <v>30</v>
      </c>
      <c r="D146" t="s">
        <v>33</v>
      </c>
      <c r="E146" t="s">
        <v>19</v>
      </c>
      <c r="F146" t="s">
        <v>27</v>
      </c>
      <c r="G146">
        <v>40037</v>
      </c>
      <c r="H146" t="s">
        <v>57</v>
      </c>
      <c r="I146">
        <v>762</v>
      </c>
      <c r="J146">
        <v>30508194</v>
      </c>
      <c r="K146">
        <v>306306</v>
      </c>
      <c r="L146">
        <v>30201888</v>
      </c>
      <c r="M146">
        <v>274</v>
      </c>
      <c r="N146">
        <v>0.97</v>
      </c>
      <c r="O146">
        <v>6.29</v>
      </c>
      <c r="P146">
        <v>1.2</v>
      </c>
      <c r="Q146">
        <v>1</v>
      </c>
      <c r="R146">
        <f>CORREL(BMW[units_sold],BMW[gdp_growth_percent])</f>
        <v>-5.2597817623217792E-17</v>
      </c>
    </row>
    <row r="147" spans="1:18" x14ac:dyDescent="0.35">
      <c r="A147">
        <v>2015</v>
      </c>
      <c r="B147" t="s">
        <v>41</v>
      </c>
      <c r="C147" t="s">
        <v>28</v>
      </c>
      <c r="D147" t="s">
        <v>39</v>
      </c>
      <c r="E147" t="s">
        <v>19</v>
      </c>
      <c r="F147" t="s">
        <v>17</v>
      </c>
      <c r="G147">
        <v>63633</v>
      </c>
      <c r="H147" t="s">
        <v>55</v>
      </c>
      <c r="I147">
        <v>941</v>
      </c>
      <c r="J147">
        <v>59878653</v>
      </c>
      <c r="K147">
        <v>176218</v>
      </c>
      <c r="L147">
        <v>59702435</v>
      </c>
      <c r="M147">
        <v>280</v>
      </c>
      <c r="N147">
        <v>0.97</v>
      </c>
      <c r="O147">
        <v>6.29</v>
      </c>
      <c r="P147">
        <v>1.2</v>
      </c>
      <c r="Q147">
        <v>5</v>
      </c>
      <c r="R147">
        <f>CORREL(BMW[units_sold],BMW[gdp_growth_percent])</f>
        <v>-5.2597817623217792E-17</v>
      </c>
    </row>
    <row r="148" spans="1:18" x14ac:dyDescent="0.35">
      <c r="A148">
        <v>2023</v>
      </c>
      <c r="B148" t="s">
        <v>43</v>
      </c>
      <c r="C148" t="s">
        <v>35</v>
      </c>
      <c r="D148" t="s">
        <v>22</v>
      </c>
      <c r="E148" t="s">
        <v>20</v>
      </c>
      <c r="F148" t="s">
        <v>17</v>
      </c>
      <c r="G148">
        <v>59495</v>
      </c>
      <c r="H148" t="s">
        <v>55</v>
      </c>
      <c r="I148">
        <v>425</v>
      </c>
      <c r="J148">
        <v>25285375</v>
      </c>
      <c r="K148">
        <v>430350</v>
      </c>
      <c r="L148">
        <v>24855025</v>
      </c>
      <c r="M148">
        <v>103</v>
      </c>
      <c r="N148">
        <v>0.97</v>
      </c>
      <c r="O148">
        <v>6.29</v>
      </c>
      <c r="P148">
        <v>1.2</v>
      </c>
      <c r="Q148">
        <v>10</v>
      </c>
      <c r="R148">
        <f>CORREL(BMW[units_sold],BMW[gdp_growth_percent])</f>
        <v>-5.2597817623217792E-17</v>
      </c>
    </row>
    <row r="149" spans="1:18" x14ac:dyDescent="0.35">
      <c r="A149">
        <v>2023</v>
      </c>
      <c r="B149" t="s">
        <v>42</v>
      </c>
      <c r="C149" t="s">
        <v>21</v>
      </c>
      <c r="D149" t="s">
        <v>33</v>
      </c>
      <c r="E149" t="s">
        <v>20</v>
      </c>
      <c r="F149" t="s">
        <v>20</v>
      </c>
      <c r="G149">
        <v>99550</v>
      </c>
      <c r="H149" t="s">
        <v>54</v>
      </c>
      <c r="I149">
        <v>596</v>
      </c>
      <c r="J149">
        <v>59331800</v>
      </c>
      <c r="K149">
        <v>274126</v>
      </c>
      <c r="L149">
        <v>59057674</v>
      </c>
      <c r="M149">
        <v>163</v>
      </c>
      <c r="N149">
        <v>0.97</v>
      </c>
      <c r="O149">
        <v>6.29</v>
      </c>
      <c r="P149">
        <v>1.2</v>
      </c>
      <c r="Q149">
        <v>5</v>
      </c>
      <c r="R149">
        <f>CORREL(BMW[units_sold],BMW[gdp_growth_percent])</f>
        <v>-5.2597817623217792E-17</v>
      </c>
    </row>
    <row r="150" spans="1:18" x14ac:dyDescent="0.35">
      <c r="A150">
        <v>2018</v>
      </c>
      <c r="B150" t="s">
        <v>52</v>
      </c>
      <c r="C150" t="s">
        <v>38</v>
      </c>
      <c r="D150" t="s">
        <v>26</v>
      </c>
      <c r="E150" t="s">
        <v>20</v>
      </c>
      <c r="F150" t="s">
        <v>17</v>
      </c>
      <c r="G150">
        <v>116384</v>
      </c>
      <c r="H150" t="s">
        <v>54</v>
      </c>
      <c r="I150">
        <v>769</v>
      </c>
      <c r="J150">
        <v>89499296</v>
      </c>
      <c r="K150">
        <v>220635</v>
      </c>
      <c r="L150">
        <v>89278661</v>
      </c>
      <c r="M150">
        <v>294</v>
      </c>
      <c r="N150">
        <v>0.97</v>
      </c>
      <c r="O150">
        <v>6.29</v>
      </c>
      <c r="P150">
        <v>1.2</v>
      </c>
      <c r="Q150">
        <v>5</v>
      </c>
      <c r="R150">
        <f>CORREL(BMW[units_sold],BMW[gdp_growth_percent])</f>
        <v>-5.2597817623217792E-17</v>
      </c>
    </row>
    <row r="151" spans="1:18" x14ac:dyDescent="0.35">
      <c r="A151">
        <v>2023</v>
      </c>
      <c r="B151" t="s">
        <v>50</v>
      </c>
      <c r="C151" t="s">
        <v>36</v>
      </c>
      <c r="D151" t="s">
        <v>24</v>
      </c>
      <c r="E151" t="s">
        <v>20</v>
      </c>
      <c r="F151" t="s">
        <v>20</v>
      </c>
      <c r="G151">
        <v>71483</v>
      </c>
      <c r="H151" t="s">
        <v>55</v>
      </c>
      <c r="I151">
        <v>543</v>
      </c>
      <c r="J151">
        <v>38815269</v>
      </c>
      <c r="K151">
        <v>220824</v>
      </c>
      <c r="L151">
        <v>38594445</v>
      </c>
      <c r="M151">
        <v>89</v>
      </c>
      <c r="N151">
        <v>0.97</v>
      </c>
      <c r="O151">
        <v>6.29</v>
      </c>
      <c r="P151">
        <v>1.2</v>
      </c>
      <c r="Q151">
        <v>10</v>
      </c>
      <c r="R151">
        <f>CORREL(BMW[units_sold],BMW[gdp_growth_percent])</f>
        <v>-5.2597817623217792E-17</v>
      </c>
    </row>
    <row r="152" spans="1:18" x14ac:dyDescent="0.35">
      <c r="A152">
        <v>2017</v>
      </c>
      <c r="B152" t="s">
        <v>42</v>
      </c>
      <c r="C152" t="s">
        <v>32</v>
      </c>
      <c r="D152" t="s">
        <v>24</v>
      </c>
      <c r="E152" t="s">
        <v>19</v>
      </c>
      <c r="F152" t="s">
        <v>27</v>
      </c>
      <c r="G152">
        <v>108373</v>
      </c>
      <c r="H152" t="s">
        <v>54</v>
      </c>
      <c r="I152">
        <v>997</v>
      </c>
      <c r="J152">
        <v>108047881</v>
      </c>
      <c r="K152">
        <v>276305</v>
      </c>
      <c r="L152">
        <v>107771576</v>
      </c>
      <c r="M152">
        <v>301</v>
      </c>
      <c r="N152">
        <v>0.97</v>
      </c>
      <c r="O152">
        <v>6.29</v>
      </c>
      <c r="P152">
        <v>1.2</v>
      </c>
      <c r="Q152">
        <v>6</v>
      </c>
      <c r="R152">
        <f>CORREL(BMW[units_sold],BMW[gdp_growth_percent])</f>
        <v>-5.2597817623217792E-17</v>
      </c>
    </row>
    <row r="153" spans="1:18" x14ac:dyDescent="0.35">
      <c r="A153">
        <v>2021</v>
      </c>
      <c r="B153" t="s">
        <v>42</v>
      </c>
      <c r="C153" t="s">
        <v>21</v>
      </c>
      <c r="D153" t="s">
        <v>29</v>
      </c>
      <c r="E153" t="s">
        <v>19</v>
      </c>
      <c r="F153" t="s">
        <v>17</v>
      </c>
      <c r="G153">
        <v>69069</v>
      </c>
      <c r="H153" t="s">
        <v>55</v>
      </c>
      <c r="I153">
        <v>357</v>
      </c>
      <c r="J153">
        <v>24657633</v>
      </c>
      <c r="K153">
        <v>445783</v>
      </c>
      <c r="L153">
        <v>24211850</v>
      </c>
      <c r="M153">
        <v>93</v>
      </c>
      <c r="N153">
        <v>0.97</v>
      </c>
      <c r="O153">
        <v>6.29</v>
      </c>
      <c r="P153">
        <v>1.2</v>
      </c>
      <c r="Q153">
        <v>8</v>
      </c>
      <c r="R153">
        <f>CORREL(BMW[units_sold],BMW[gdp_growth_percent])</f>
        <v>-5.2597817623217792E-17</v>
      </c>
    </row>
    <row r="154" spans="1:18" x14ac:dyDescent="0.35">
      <c r="A154">
        <v>2020</v>
      </c>
      <c r="B154" t="s">
        <v>44</v>
      </c>
      <c r="C154" t="s">
        <v>30</v>
      </c>
      <c r="D154" t="s">
        <v>33</v>
      </c>
      <c r="E154" t="s">
        <v>16</v>
      </c>
      <c r="F154" t="s">
        <v>27</v>
      </c>
      <c r="G154">
        <v>42370</v>
      </c>
      <c r="H154" t="s">
        <v>57</v>
      </c>
      <c r="I154">
        <v>1043</v>
      </c>
      <c r="J154">
        <v>44191910</v>
      </c>
      <c r="K154">
        <v>459337</v>
      </c>
      <c r="L154">
        <v>43732573</v>
      </c>
      <c r="M154">
        <v>374</v>
      </c>
      <c r="N154">
        <v>0.97</v>
      </c>
      <c r="O154">
        <v>6.29</v>
      </c>
      <c r="P154">
        <v>1.2</v>
      </c>
      <c r="Q154">
        <v>3</v>
      </c>
      <c r="R154">
        <f>CORREL(BMW[units_sold],BMW[gdp_growth_percent])</f>
        <v>-5.2597817623217792E-17</v>
      </c>
    </row>
    <row r="155" spans="1:18" x14ac:dyDescent="0.35">
      <c r="A155">
        <v>2022</v>
      </c>
      <c r="B155" t="s">
        <v>45</v>
      </c>
      <c r="C155" t="s">
        <v>36</v>
      </c>
      <c r="D155" t="s">
        <v>15</v>
      </c>
      <c r="E155" t="s">
        <v>19</v>
      </c>
      <c r="F155" t="s">
        <v>17</v>
      </c>
      <c r="G155">
        <v>106947</v>
      </c>
      <c r="H155" t="s">
        <v>54</v>
      </c>
      <c r="I155">
        <v>849</v>
      </c>
      <c r="J155">
        <v>90798003</v>
      </c>
      <c r="K155">
        <v>444890</v>
      </c>
      <c r="L155">
        <v>90353113</v>
      </c>
      <c r="M155">
        <v>383</v>
      </c>
      <c r="N155">
        <v>0.97</v>
      </c>
      <c r="O155">
        <v>6.29</v>
      </c>
      <c r="P155">
        <v>1.2</v>
      </c>
      <c r="Q155">
        <v>9</v>
      </c>
      <c r="R155">
        <f>CORREL(BMW[units_sold],BMW[gdp_growth_percent])</f>
        <v>-5.2597817623217792E-17</v>
      </c>
    </row>
    <row r="156" spans="1:18" x14ac:dyDescent="0.35">
      <c r="A156">
        <v>2023</v>
      </c>
      <c r="B156" t="s">
        <v>45</v>
      </c>
      <c r="C156" t="s">
        <v>21</v>
      </c>
      <c r="D156" t="s">
        <v>26</v>
      </c>
      <c r="E156" t="s">
        <v>20</v>
      </c>
      <c r="F156" t="s">
        <v>17</v>
      </c>
      <c r="G156">
        <v>74133</v>
      </c>
      <c r="H156" t="s">
        <v>55</v>
      </c>
      <c r="I156">
        <v>122</v>
      </c>
      <c r="J156">
        <v>9044226</v>
      </c>
      <c r="K156">
        <v>126411</v>
      </c>
      <c r="L156">
        <v>8917815</v>
      </c>
      <c r="M156">
        <v>46</v>
      </c>
      <c r="N156">
        <v>0.97</v>
      </c>
      <c r="O156">
        <v>6.29</v>
      </c>
      <c r="P156">
        <v>1.2</v>
      </c>
      <c r="Q156">
        <v>1</v>
      </c>
      <c r="R156">
        <f>CORREL(BMW[units_sold],BMW[gdp_growth_percent])</f>
        <v>-5.2597817623217792E-17</v>
      </c>
    </row>
    <row r="157" spans="1:18" x14ac:dyDescent="0.35">
      <c r="A157">
        <v>2019</v>
      </c>
      <c r="B157" t="s">
        <v>46</v>
      </c>
      <c r="C157" t="s">
        <v>38</v>
      </c>
      <c r="D157" t="s">
        <v>34</v>
      </c>
      <c r="E157" t="s">
        <v>16</v>
      </c>
      <c r="F157" t="s">
        <v>20</v>
      </c>
      <c r="G157">
        <v>35692</v>
      </c>
      <c r="H157" t="s">
        <v>57</v>
      </c>
      <c r="I157">
        <v>916</v>
      </c>
      <c r="J157">
        <v>32693872</v>
      </c>
      <c r="K157">
        <v>159876</v>
      </c>
      <c r="L157">
        <v>32533996</v>
      </c>
      <c r="M157">
        <v>351</v>
      </c>
      <c r="N157">
        <v>0.97</v>
      </c>
      <c r="O157">
        <v>6.29</v>
      </c>
      <c r="P157">
        <v>1.2</v>
      </c>
      <c r="Q157">
        <v>4</v>
      </c>
      <c r="R157">
        <f>CORREL(BMW[units_sold],BMW[gdp_growth_percent])</f>
        <v>-5.2597817623217792E-17</v>
      </c>
    </row>
    <row r="158" spans="1:18" x14ac:dyDescent="0.35">
      <c r="A158">
        <v>2015</v>
      </c>
      <c r="B158" t="s">
        <v>49</v>
      </c>
      <c r="C158" t="s">
        <v>32</v>
      </c>
      <c r="D158" t="s">
        <v>22</v>
      </c>
      <c r="E158" t="s">
        <v>20</v>
      </c>
      <c r="F158" t="s">
        <v>27</v>
      </c>
      <c r="G158">
        <v>63926</v>
      </c>
      <c r="H158" t="s">
        <v>55</v>
      </c>
      <c r="I158">
        <v>882</v>
      </c>
      <c r="J158">
        <v>56382732</v>
      </c>
      <c r="K158">
        <v>248153</v>
      </c>
      <c r="L158">
        <v>56134579</v>
      </c>
      <c r="M158">
        <v>336</v>
      </c>
      <c r="N158">
        <v>0.97</v>
      </c>
      <c r="O158">
        <v>6.29</v>
      </c>
      <c r="P158">
        <v>1.2</v>
      </c>
      <c r="Q158">
        <v>9</v>
      </c>
      <c r="R158">
        <f>CORREL(BMW[units_sold],BMW[gdp_growth_percent])</f>
        <v>-5.2597817623217792E-17</v>
      </c>
    </row>
    <row r="159" spans="1:18" x14ac:dyDescent="0.35">
      <c r="A159">
        <v>2017</v>
      </c>
      <c r="B159" t="s">
        <v>46</v>
      </c>
      <c r="C159" t="s">
        <v>21</v>
      </c>
      <c r="D159" t="s">
        <v>26</v>
      </c>
      <c r="E159" t="s">
        <v>19</v>
      </c>
      <c r="F159" t="s">
        <v>17</v>
      </c>
      <c r="G159">
        <v>108984</v>
      </c>
      <c r="H159" t="s">
        <v>54</v>
      </c>
      <c r="I159">
        <v>472</v>
      </c>
      <c r="J159">
        <v>51440448</v>
      </c>
      <c r="K159">
        <v>210212</v>
      </c>
      <c r="L159">
        <v>51230236</v>
      </c>
      <c r="M159">
        <v>241</v>
      </c>
      <c r="N159">
        <v>0.97</v>
      </c>
      <c r="O159">
        <v>6.29</v>
      </c>
      <c r="P159">
        <v>1.2</v>
      </c>
      <c r="Q159">
        <v>8</v>
      </c>
      <c r="R159">
        <f>CORREL(BMW[units_sold],BMW[gdp_growth_percent])</f>
        <v>-5.2597817623217792E-17</v>
      </c>
    </row>
    <row r="160" spans="1:18" x14ac:dyDescent="0.35">
      <c r="A160">
        <v>2024</v>
      </c>
      <c r="B160" t="s">
        <v>51</v>
      </c>
      <c r="C160" t="s">
        <v>37</v>
      </c>
      <c r="D160" t="s">
        <v>33</v>
      </c>
      <c r="E160" t="s">
        <v>16</v>
      </c>
      <c r="F160" t="s">
        <v>23</v>
      </c>
      <c r="G160">
        <v>78390</v>
      </c>
      <c r="H160" t="s">
        <v>55</v>
      </c>
      <c r="I160">
        <v>448</v>
      </c>
      <c r="J160">
        <v>35118720</v>
      </c>
      <c r="K160">
        <v>190399</v>
      </c>
      <c r="L160">
        <v>34928321</v>
      </c>
      <c r="M160">
        <v>102</v>
      </c>
      <c r="N160">
        <v>0.97</v>
      </c>
      <c r="O160">
        <v>6.29</v>
      </c>
      <c r="P160">
        <v>1.2</v>
      </c>
      <c r="Q160">
        <v>10</v>
      </c>
      <c r="R160">
        <f>CORREL(BMW[units_sold],BMW[gdp_growth_percent])</f>
        <v>-5.2597817623217792E-17</v>
      </c>
    </row>
    <row r="161" spans="1:18" x14ac:dyDescent="0.35">
      <c r="A161">
        <v>2022</v>
      </c>
      <c r="B161" t="s">
        <v>52</v>
      </c>
      <c r="C161" t="s">
        <v>32</v>
      </c>
      <c r="D161" t="s">
        <v>18</v>
      </c>
      <c r="E161" t="s">
        <v>20</v>
      </c>
      <c r="F161" t="s">
        <v>27</v>
      </c>
      <c r="G161">
        <v>84593</v>
      </c>
      <c r="H161" t="s">
        <v>54</v>
      </c>
      <c r="I161">
        <v>956</v>
      </c>
      <c r="J161">
        <v>80870908</v>
      </c>
      <c r="K161">
        <v>73331</v>
      </c>
      <c r="L161">
        <v>80797577</v>
      </c>
      <c r="M161">
        <v>345</v>
      </c>
      <c r="N161">
        <v>0.97</v>
      </c>
      <c r="O161">
        <v>6.29</v>
      </c>
      <c r="P161">
        <v>1.2</v>
      </c>
      <c r="Q161">
        <v>9</v>
      </c>
      <c r="R161">
        <f>CORREL(BMW[units_sold],BMW[gdp_growth_percent])</f>
        <v>-5.2597817623217792E-17</v>
      </c>
    </row>
    <row r="162" spans="1:18" x14ac:dyDescent="0.35">
      <c r="A162">
        <v>2020</v>
      </c>
      <c r="B162" t="s">
        <v>51</v>
      </c>
      <c r="C162" t="s">
        <v>30</v>
      </c>
      <c r="D162" t="s">
        <v>22</v>
      </c>
      <c r="E162" t="s">
        <v>16</v>
      </c>
      <c r="F162" t="s">
        <v>27</v>
      </c>
      <c r="G162">
        <v>110609</v>
      </c>
      <c r="H162" t="s">
        <v>54</v>
      </c>
      <c r="I162">
        <v>628</v>
      </c>
      <c r="J162">
        <v>69462452</v>
      </c>
      <c r="K162">
        <v>73004</v>
      </c>
      <c r="L162">
        <v>69389448</v>
      </c>
      <c r="M162">
        <v>111</v>
      </c>
      <c r="N162">
        <v>0.97</v>
      </c>
      <c r="O162">
        <v>6.29</v>
      </c>
      <c r="P162">
        <v>1.2</v>
      </c>
      <c r="Q162">
        <v>1</v>
      </c>
      <c r="R162">
        <f>CORREL(BMW[units_sold],BMW[gdp_growth_percent])</f>
        <v>-5.2597817623217792E-17</v>
      </c>
    </row>
    <row r="163" spans="1:18" x14ac:dyDescent="0.35">
      <c r="A163">
        <v>2022</v>
      </c>
      <c r="B163" t="s">
        <v>47</v>
      </c>
      <c r="C163" t="s">
        <v>38</v>
      </c>
      <c r="D163" t="s">
        <v>31</v>
      </c>
      <c r="E163" t="s">
        <v>16</v>
      </c>
      <c r="F163" t="s">
        <v>27</v>
      </c>
      <c r="G163">
        <v>40209</v>
      </c>
      <c r="H163" t="s">
        <v>57</v>
      </c>
      <c r="I163">
        <v>806</v>
      </c>
      <c r="J163">
        <v>32408454</v>
      </c>
      <c r="K163">
        <v>288441</v>
      </c>
      <c r="L163">
        <v>32120013</v>
      </c>
      <c r="M163">
        <v>175</v>
      </c>
      <c r="N163">
        <v>0.97</v>
      </c>
      <c r="O163">
        <v>6.29</v>
      </c>
      <c r="P163">
        <v>1.2</v>
      </c>
      <c r="Q163">
        <v>9</v>
      </c>
      <c r="R163">
        <f>CORREL(BMW[units_sold],BMW[gdp_growth_percent])</f>
        <v>-5.2597817623217792E-17</v>
      </c>
    </row>
    <row r="164" spans="1:18" x14ac:dyDescent="0.35">
      <c r="A164">
        <v>2023</v>
      </c>
      <c r="B164" t="s">
        <v>51</v>
      </c>
      <c r="C164" t="s">
        <v>35</v>
      </c>
      <c r="D164" t="s">
        <v>24</v>
      </c>
      <c r="E164" t="s">
        <v>19</v>
      </c>
      <c r="F164" t="s">
        <v>20</v>
      </c>
      <c r="G164">
        <v>41533</v>
      </c>
      <c r="H164" t="s">
        <v>57</v>
      </c>
      <c r="I164">
        <v>465</v>
      </c>
      <c r="J164">
        <v>19312845</v>
      </c>
      <c r="K164">
        <v>431387</v>
      </c>
      <c r="L164">
        <v>18881458</v>
      </c>
      <c r="M164">
        <v>168</v>
      </c>
      <c r="N164">
        <v>0.97</v>
      </c>
      <c r="O164">
        <v>6.29</v>
      </c>
      <c r="P164">
        <v>1.2</v>
      </c>
      <c r="Q164">
        <v>3</v>
      </c>
      <c r="R164">
        <f>CORREL(BMW[units_sold],BMW[gdp_growth_percent])</f>
        <v>-5.2597817623217792E-17</v>
      </c>
    </row>
    <row r="165" spans="1:18" x14ac:dyDescent="0.35">
      <c r="A165">
        <v>2018</v>
      </c>
      <c r="B165" t="s">
        <v>41</v>
      </c>
      <c r="C165" t="s">
        <v>25</v>
      </c>
      <c r="D165" t="s">
        <v>33</v>
      </c>
      <c r="E165" t="s">
        <v>20</v>
      </c>
      <c r="F165" t="s">
        <v>23</v>
      </c>
      <c r="G165">
        <v>42211</v>
      </c>
      <c r="H165" t="s">
        <v>57</v>
      </c>
      <c r="I165">
        <v>121</v>
      </c>
      <c r="J165">
        <v>5107531</v>
      </c>
      <c r="K165">
        <v>453708</v>
      </c>
      <c r="L165">
        <v>4653823</v>
      </c>
      <c r="M165">
        <v>23</v>
      </c>
      <c r="N165">
        <v>0.97</v>
      </c>
      <c r="O165">
        <v>6.29</v>
      </c>
      <c r="P165">
        <v>1.2</v>
      </c>
      <c r="Q165">
        <v>10</v>
      </c>
      <c r="R165">
        <f>CORREL(BMW[units_sold],BMW[gdp_growth_percent])</f>
        <v>-5.2597817623217792E-17</v>
      </c>
    </row>
    <row r="166" spans="1:18" x14ac:dyDescent="0.35">
      <c r="A166">
        <v>2015</v>
      </c>
      <c r="B166" t="s">
        <v>51</v>
      </c>
      <c r="C166" t="s">
        <v>25</v>
      </c>
      <c r="D166" t="s">
        <v>31</v>
      </c>
      <c r="E166" t="s">
        <v>16</v>
      </c>
      <c r="F166" t="s">
        <v>27</v>
      </c>
      <c r="G166">
        <v>44927</v>
      </c>
      <c r="H166" t="s">
        <v>57</v>
      </c>
      <c r="I166">
        <v>923</v>
      </c>
      <c r="J166">
        <v>41467621</v>
      </c>
      <c r="K166">
        <v>498013</v>
      </c>
      <c r="L166">
        <v>40969608</v>
      </c>
      <c r="M166">
        <v>382</v>
      </c>
      <c r="N166">
        <v>0.97</v>
      </c>
      <c r="O166">
        <v>6.29</v>
      </c>
      <c r="P166">
        <v>1.2</v>
      </c>
      <c r="Q166">
        <v>9</v>
      </c>
      <c r="R166">
        <f>CORREL(BMW[units_sold],BMW[gdp_growth_percent])</f>
        <v>-5.2597817623217792E-17</v>
      </c>
    </row>
    <row r="167" spans="1:18" x14ac:dyDescent="0.35">
      <c r="A167">
        <v>2015</v>
      </c>
      <c r="B167" t="s">
        <v>46</v>
      </c>
      <c r="C167" t="s">
        <v>25</v>
      </c>
      <c r="D167" t="s">
        <v>29</v>
      </c>
      <c r="E167" t="s">
        <v>16</v>
      </c>
      <c r="F167" t="s">
        <v>17</v>
      </c>
      <c r="G167">
        <v>112463</v>
      </c>
      <c r="H167" t="s">
        <v>54</v>
      </c>
      <c r="I167">
        <v>507</v>
      </c>
      <c r="J167">
        <v>57018741</v>
      </c>
      <c r="K167">
        <v>239167</v>
      </c>
      <c r="L167">
        <v>56779574</v>
      </c>
      <c r="M167">
        <v>234</v>
      </c>
      <c r="N167">
        <v>0.97</v>
      </c>
      <c r="O167">
        <v>6.29</v>
      </c>
      <c r="P167">
        <v>1.2</v>
      </c>
      <c r="Q167">
        <v>1</v>
      </c>
      <c r="R167">
        <f>CORREL(BMW[units_sold],BMW[gdp_growth_percent])</f>
        <v>-5.2597817623217792E-17</v>
      </c>
    </row>
    <row r="168" spans="1:18" x14ac:dyDescent="0.35">
      <c r="A168">
        <v>2024</v>
      </c>
      <c r="B168" t="s">
        <v>50</v>
      </c>
      <c r="C168" t="s">
        <v>36</v>
      </c>
      <c r="D168" t="s">
        <v>39</v>
      </c>
      <c r="E168" t="s">
        <v>20</v>
      </c>
      <c r="F168" t="s">
        <v>17</v>
      </c>
      <c r="G168">
        <v>59594</v>
      </c>
      <c r="H168" t="s">
        <v>55</v>
      </c>
      <c r="I168">
        <v>288</v>
      </c>
      <c r="J168">
        <v>17163072</v>
      </c>
      <c r="K168">
        <v>456965</v>
      </c>
      <c r="L168">
        <v>16706107</v>
      </c>
      <c r="M168">
        <v>82</v>
      </c>
      <c r="N168">
        <v>0.97</v>
      </c>
      <c r="O168">
        <v>6.29</v>
      </c>
      <c r="P168">
        <v>1.2</v>
      </c>
      <c r="Q168">
        <v>1</v>
      </c>
      <c r="R168">
        <f>CORREL(BMW[units_sold],BMW[gdp_growth_percent])</f>
        <v>-5.2597817623217792E-17</v>
      </c>
    </row>
    <row r="169" spans="1:18" x14ac:dyDescent="0.35">
      <c r="A169">
        <v>2018</v>
      </c>
      <c r="B169" t="s">
        <v>50</v>
      </c>
      <c r="C169" t="s">
        <v>30</v>
      </c>
      <c r="D169" t="s">
        <v>34</v>
      </c>
      <c r="E169" t="s">
        <v>16</v>
      </c>
      <c r="F169" t="s">
        <v>20</v>
      </c>
      <c r="G169">
        <v>109852</v>
      </c>
      <c r="H169" t="s">
        <v>54</v>
      </c>
      <c r="I169">
        <v>519</v>
      </c>
      <c r="J169">
        <v>57013188</v>
      </c>
      <c r="K169">
        <v>375361</v>
      </c>
      <c r="L169">
        <v>56637827</v>
      </c>
      <c r="M169">
        <v>258</v>
      </c>
      <c r="N169">
        <v>0.97</v>
      </c>
      <c r="O169">
        <v>6.29</v>
      </c>
      <c r="P169">
        <v>1.2</v>
      </c>
      <c r="Q169">
        <v>9</v>
      </c>
      <c r="R169">
        <f>CORREL(BMW[units_sold],BMW[gdp_growth_percent])</f>
        <v>-5.2597817623217792E-17</v>
      </c>
    </row>
    <row r="170" spans="1:18" x14ac:dyDescent="0.35">
      <c r="A170">
        <v>2021</v>
      </c>
      <c r="B170" t="s">
        <v>45</v>
      </c>
      <c r="C170" t="s">
        <v>38</v>
      </c>
      <c r="D170" t="s">
        <v>34</v>
      </c>
      <c r="E170" t="s">
        <v>16</v>
      </c>
      <c r="F170" t="s">
        <v>17</v>
      </c>
      <c r="G170">
        <v>112713</v>
      </c>
      <c r="H170" t="s">
        <v>54</v>
      </c>
      <c r="I170">
        <v>527</v>
      </c>
      <c r="J170">
        <v>59399751</v>
      </c>
      <c r="K170">
        <v>139044</v>
      </c>
      <c r="L170">
        <v>59260707</v>
      </c>
      <c r="M170">
        <v>100</v>
      </c>
      <c r="N170">
        <v>0.97</v>
      </c>
      <c r="O170">
        <v>6.29</v>
      </c>
      <c r="P170">
        <v>1.2</v>
      </c>
      <c r="Q170">
        <v>6</v>
      </c>
      <c r="R170">
        <f>CORREL(BMW[units_sold],BMW[gdp_growth_percent])</f>
        <v>-5.2597817623217792E-17</v>
      </c>
    </row>
    <row r="171" spans="1:18" x14ac:dyDescent="0.35">
      <c r="A171">
        <v>2016</v>
      </c>
      <c r="B171" t="s">
        <v>43</v>
      </c>
      <c r="C171" t="s">
        <v>32</v>
      </c>
      <c r="D171" t="s">
        <v>31</v>
      </c>
      <c r="E171" t="s">
        <v>16</v>
      </c>
      <c r="F171" t="s">
        <v>27</v>
      </c>
      <c r="G171">
        <v>111382</v>
      </c>
      <c r="H171" t="s">
        <v>54</v>
      </c>
      <c r="I171">
        <v>883</v>
      </c>
      <c r="J171">
        <v>98350306</v>
      </c>
      <c r="K171">
        <v>321189</v>
      </c>
      <c r="L171">
        <v>98029117</v>
      </c>
      <c r="M171">
        <v>225</v>
      </c>
      <c r="N171">
        <v>0.97</v>
      </c>
      <c r="O171">
        <v>6.29</v>
      </c>
      <c r="P171">
        <v>1.2</v>
      </c>
      <c r="Q171">
        <v>4</v>
      </c>
      <c r="R171">
        <f>CORREL(BMW[units_sold],BMW[gdp_growth_percent])</f>
        <v>-5.2597817623217792E-17</v>
      </c>
    </row>
    <row r="172" spans="1:18" x14ac:dyDescent="0.35">
      <c r="A172">
        <v>2017</v>
      </c>
      <c r="B172" t="s">
        <v>52</v>
      </c>
      <c r="C172" t="s">
        <v>36</v>
      </c>
      <c r="D172" t="s">
        <v>24</v>
      </c>
      <c r="E172" t="s">
        <v>20</v>
      </c>
      <c r="F172" t="s">
        <v>17</v>
      </c>
      <c r="G172">
        <v>42933</v>
      </c>
      <c r="H172" t="s">
        <v>57</v>
      </c>
      <c r="I172">
        <v>361</v>
      </c>
      <c r="J172">
        <v>15498813</v>
      </c>
      <c r="K172">
        <v>332260</v>
      </c>
      <c r="L172">
        <v>15166553</v>
      </c>
      <c r="M172">
        <v>99</v>
      </c>
      <c r="N172">
        <v>0.97</v>
      </c>
      <c r="O172">
        <v>6.29</v>
      </c>
      <c r="P172">
        <v>1.2</v>
      </c>
      <c r="Q172">
        <v>7</v>
      </c>
      <c r="R172">
        <f>CORREL(BMW[units_sold],BMW[gdp_growth_percent])</f>
        <v>-5.2597817623217792E-17</v>
      </c>
    </row>
    <row r="173" spans="1:18" x14ac:dyDescent="0.35">
      <c r="A173">
        <v>2015</v>
      </c>
      <c r="B173" t="s">
        <v>52</v>
      </c>
      <c r="C173" t="s">
        <v>30</v>
      </c>
      <c r="D173" t="s">
        <v>29</v>
      </c>
      <c r="E173" t="s">
        <v>20</v>
      </c>
      <c r="F173" t="s">
        <v>27</v>
      </c>
      <c r="G173">
        <v>75696</v>
      </c>
      <c r="H173" t="s">
        <v>55</v>
      </c>
      <c r="I173">
        <v>388</v>
      </c>
      <c r="J173">
        <v>29370048</v>
      </c>
      <c r="K173">
        <v>68667</v>
      </c>
      <c r="L173">
        <v>29301381</v>
      </c>
      <c r="M173">
        <v>38</v>
      </c>
      <c r="N173">
        <v>0.97</v>
      </c>
      <c r="O173">
        <v>6.29</v>
      </c>
      <c r="P173">
        <v>1.2</v>
      </c>
      <c r="Q173">
        <v>5</v>
      </c>
      <c r="R173">
        <f>CORREL(BMW[units_sold],BMW[gdp_growth_percent])</f>
        <v>-5.2597817623217792E-17</v>
      </c>
    </row>
    <row r="174" spans="1:18" x14ac:dyDescent="0.35">
      <c r="A174">
        <v>2019</v>
      </c>
      <c r="B174" t="s">
        <v>41</v>
      </c>
      <c r="C174" t="s">
        <v>35</v>
      </c>
      <c r="D174" t="s">
        <v>18</v>
      </c>
      <c r="E174" t="s">
        <v>20</v>
      </c>
      <c r="F174" t="s">
        <v>17</v>
      </c>
      <c r="G174">
        <v>100449</v>
      </c>
      <c r="H174" t="s">
        <v>54</v>
      </c>
      <c r="I174">
        <v>844</v>
      </c>
      <c r="J174">
        <v>84778956</v>
      </c>
      <c r="K174">
        <v>387201</v>
      </c>
      <c r="L174">
        <v>84391755</v>
      </c>
      <c r="M174">
        <v>314</v>
      </c>
      <c r="N174">
        <v>0.97</v>
      </c>
      <c r="O174">
        <v>6.29</v>
      </c>
      <c r="P174">
        <v>1.2</v>
      </c>
      <c r="Q174">
        <v>10</v>
      </c>
      <c r="R174">
        <f>CORREL(BMW[units_sold],BMW[gdp_growth_percent])</f>
        <v>-5.2597817623217792E-17</v>
      </c>
    </row>
    <row r="175" spans="1:18" x14ac:dyDescent="0.35">
      <c r="A175">
        <v>2015</v>
      </c>
      <c r="B175" t="s">
        <v>46</v>
      </c>
      <c r="C175" t="s">
        <v>37</v>
      </c>
      <c r="D175" t="s">
        <v>24</v>
      </c>
      <c r="E175" t="s">
        <v>20</v>
      </c>
      <c r="F175" t="s">
        <v>23</v>
      </c>
      <c r="G175">
        <v>102616</v>
      </c>
      <c r="H175" t="s">
        <v>54</v>
      </c>
      <c r="I175">
        <v>687</v>
      </c>
      <c r="J175">
        <v>70497192</v>
      </c>
      <c r="K175">
        <v>124205</v>
      </c>
      <c r="L175">
        <v>70372987</v>
      </c>
      <c r="M175">
        <v>229</v>
      </c>
      <c r="N175">
        <v>0.97</v>
      </c>
      <c r="O175">
        <v>6.29</v>
      </c>
      <c r="P175">
        <v>1.2</v>
      </c>
      <c r="Q175">
        <v>7</v>
      </c>
      <c r="R175">
        <f>CORREL(BMW[units_sold],BMW[gdp_growth_percent])</f>
        <v>-5.2597817623217792E-17</v>
      </c>
    </row>
    <row r="176" spans="1:18" x14ac:dyDescent="0.35">
      <c r="A176">
        <v>2022</v>
      </c>
      <c r="B176" t="s">
        <v>45</v>
      </c>
      <c r="C176" t="s">
        <v>38</v>
      </c>
      <c r="D176" t="s">
        <v>26</v>
      </c>
      <c r="E176" t="s">
        <v>19</v>
      </c>
      <c r="F176" t="s">
        <v>20</v>
      </c>
      <c r="G176">
        <v>41089</v>
      </c>
      <c r="H176" t="s">
        <v>57</v>
      </c>
      <c r="I176">
        <v>880</v>
      </c>
      <c r="J176">
        <v>36158320</v>
      </c>
      <c r="K176">
        <v>77302</v>
      </c>
      <c r="L176">
        <v>36081018</v>
      </c>
      <c r="M176">
        <v>337</v>
      </c>
      <c r="N176">
        <v>0.97</v>
      </c>
      <c r="O176">
        <v>6.29</v>
      </c>
      <c r="P176">
        <v>1.2</v>
      </c>
      <c r="Q176">
        <v>8</v>
      </c>
      <c r="R176">
        <f>CORREL(BMW[units_sold],BMW[gdp_growth_percent])</f>
        <v>-5.2597817623217792E-17</v>
      </c>
    </row>
    <row r="177" spans="1:18" x14ac:dyDescent="0.35">
      <c r="A177">
        <v>2015</v>
      </c>
      <c r="B177" t="s">
        <v>44</v>
      </c>
      <c r="C177" t="s">
        <v>25</v>
      </c>
      <c r="D177" t="s">
        <v>34</v>
      </c>
      <c r="E177" t="s">
        <v>16</v>
      </c>
      <c r="F177" t="s">
        <v>20</v>
      </c>
      <c r="G177">
        <v>91548</v>
      </c>
      <c r="H177" t="s">
        <v>54</v>
      </c>
      <c r="I177">
        <v>887</v>
      </c>
      <c r="J177">
        <v>81203076</v>
      </c>
      <c r="K177">
        <v>454499</v>
      </c>
      <c r="L177">
        <v>80748577</v>
      </c>
      <c r="M177">
        <v>224</v>
      </c>
      <c r="N177">
        <v>0.97</v>
      </c>
      <c r="O177">
        <v>6.29</v>
      </c>
      <c r="P177">
        <v>1.2</v>
      </c>
      <c r="Q177">
        <v>8</v>
      </c>
      <c r="R177">
        <f>CORREL(BMW[units_sold],BMW[gdp_growth_percent])</f>
        <v>-5.2597817623217792E-17</v>
      </c>
    </row>
    <row r="178" spans="1:18" x14ac:dyDescent="0.35">
      <c r="A178">
        <v>2015</v>
      </c>
      <c r="B178" t="s">
        <v>47</v>
      </c>
      <c r="C178" t="s">
        <v>21</v>
      </c>
      <c r="D178" t="s">
        <v>26</v>
      </c>
      <c r="E178" t="s">
        <v>20</v>
      </c>
      <c r="F178" t="s">
        <v>23</v>
      </c>
      <c r="G178">
        <v>61123</v>
      </c>
      <c r="H178" t="s">
        <v>55</v>
      </c>
      <c r="I178">
        <v>788</v>
      </c>
      <c r="J178">
        <v>48164924</v>
      </c>
      <c r="K178">
        <v>212007</v>
      </c>
      <c r="L178">
        <v>47952917</v>
      </c>
      <c r="M178">
        <v>230</v>
      </c>
      <c r="N178">
        <v>0.97</v>
      </c>
      <c r="O178">
        <v>6.29</v>
      </c>
      <c r="P178">
        <v>1.2</v>
      </c>
      <c r="Q178">
        <v>1</v>
      </c>
      <c r="R178">
        <f>CORREL(BMW[units_sold],BMW[gdp_growth_percent])</f>
        <v>-5.2597817623217792E-17</v>
      </c>
    </row>
    <row r="179" spans="1:18" x14ac:dyDescent="0.35">
      <c r="A179">
        <v>2016</v>
      </c>
      <c r="B179" t="s">
        <v>52</v>
      </c>
      <c r="C179" t="s">
        <v>38</v>
      </c>
      <c r="D179" t="s">
        <v>22</v>
      </c>
      <c r="E179" t="s">
        <v>16</v>
      </c>
      <c r="F179" t="s">
        <v>23</v>
      </c>
      <c r="G179">
        <v>42797</v>
      </c>
      <c r="H179" t="s">
        <v>57</v>
      </c>
      <c r="I179">
        <v>1026</v>
      </c>
      <c r="J179">
        <v>43909722</v>
      </c>
      <c r="K179">
        <v>122534</v>
      </c>
      <c r="L179">
        <v>43787188</v>
      </c>
      <c r="M179">
        <v>398</v>
      </c>
      <c r="N179">
        <v>0.97</v>
      </c>
      <c r="O179">
        <v>6.29</v>
      </c>
      <c r="P179">
        <v>1.2</v>
      </c>
      <c r="Q179">
        <v>8</v>
      </c>
      <c r="R179">
        <f>CORREL(BMW[units_sold],BMW[gdp_growth_percent])</f>
        <v>-5.2597817623217792E-17</v>
      </c>
    </row>
    <row r="180" spans="1:18" x14ac:dyDescent="0.35">
      <c r="A180">
        <v>2016</v>
      </c>
      <c r="B180" t="s">
        <v>50</v>
      </c>
      <c r="C180" t="s">
        <v>14</v>
      </c>
      <c r="D180" t="s">
        <v>15</v>
      </c>
      <c r="E180" t="s">
        <v>16</v>
      </c>
      <c r="F180" t="s">
        <v>20</v>
      </c>
      <c r="G180">
        <v>85013</v>
      </c>
      <c r="H180" t="s">
        <v>54</v>
      </c>
      <c r="I180">
        <v>347</v>
      </c>
      <c r="J180">
        <v>29499511</v>
      </c>
      <c r="K180">
        <v>275414</v>
      </c>
      <c r="L180">
        <v>29224097</v>
      </c>
      <c r="M180">
        <v>51</v>
      </c>
      <c r="N180">
        <v>0.97</v>
      </c>
      <c r="O180">
        <v>6.29</v>
      </c>
      <c r="P180">
        <v>1.2</v>
      </c>
      <c r="Q180">
        <v>6</v>
      </c>
      <c r="R180">
        <f>CORREL(BMW[units_sold],BMW[gdp_growth_percent])</f>
        <v>-5.2597817623217792E-17</v>
      </c>
    </row>
    <row r="181" spans="1:18" x14ac:dyDescent="0.35">
      <c r="A181">
        <v>2020</v>
      </c>
      <c r="B181" t="s">
        <v>51</v>
      </c>
      <c r="C181" t="s">
        <v>30</v>
      </c>
      <c r="D181" t="s">
        <v>33</v>
      </c>
      <c r="E181" t="s">
        <v>19</v>
      </c>
      <c r="F181" t="s">
        <v>23</v>
      </c>
      <c r="G181">
        <v>43346</v>
      </c>
      <c r="H181" t="s">
        <v>57</v>
      </c>
      <c r="I181">
        <v>386</v>
      </c>
      <c r="J181">
        <v>16731556</v>
      </c>
      <c r="K181">
        <v>212696</v>
      </c>
      <c r="L181">
        <v>16518860</v>
      </c>
      <c r="M181">
        <v>144</v>
      </c>
      <c r="N181">
        <v>0.97</v>
      </c>
      <c r="O181">
        <v>6.29</v>
      </c>
      <c r="P181">
        <v>1.2</v>
      </c>
      <c r="Q181">
        <v>4</v>
      </c>
      <c r="R181">
        <f>CORREL(BMW[units_sold],BMW[gdp_growth_percent])</f>
        <v>-5.2597817623217792E-17</v>
      </c>
    </row>
    <row r="182" spans="1:18" x14ac:dyDescent="0.35">
      <c r="A182">
        <v>2021</v>
      </c>
      <c r="B182" t="s">
        <v>51</v>
      </c>
      <c r="C182" t="s">
        <v>28</v>
      </c>
      <c r="D182" t="s">
        <v>29</v>
      </c>
      <c r="E182" t="s">
        <v>20</v>
      </c>
      <c r="F182" t="s">
        <v>27</v>
      </c>
      <c r="G182">
        <v>68672</v>
      </c>
      <c r="H182" t="s">
        <v>55</v>
      </c>
      <c r="I182">
        <v>187</v>
      </c>
      <c r="J182">
        <v>12841664</v>
      </c>
      <c r="K182">
        <v>63440</v>
      </c>
      <c r="L182">
        <v>12778224</v>
      </c>
      <c r="M182">
        <v>51</v>
      </c>
      <c r="N182">
        <v>0.97</v>
      </c>
      <c r="O182">
        <v>6.29</v>
      </c>
      <c r="P182">
        <v>1.2</v>
      </c>
      <c r="Q182">
        <v>8</v>
      </c>
      <c r="R182">
        <f>CORREL(BMW[units_sold],BMW[gdp_growth_percent])</f>
        <v>-5.2597817623217792E-17</v>
      </c>
    </row>
    <row r="183" spans="1:18" x14ac:dyDescent="0.35">
      <c r="A183">
        <v>2019</v>
      </c>
      <c r="B183" t="s">
        <v>43</v>
      </c>
      <c r="C183" t="s">
        <v>35</v>
      </c>
      <c r="D183" t="s">
        <v>24</v>
      </c>
      <c r="E183" t="s">
        <v>20</v>
      </c>
      <c r="F183" t="s">
        <v>17</v>
      </c>
      <c r="G183">
        <v>52653</v>
      </c>
      <c r="H183" t="s">
        <v>55</v>
      </c>
      <c r="I183">
        <v>599</v>
      </c>
      <c r="J183">
        <v>31539147</v>
      </c>
      <c r="K183">
        <v>423145</v>
      </c>
      <c r="L183">
        <v>31116002</v>
      </c>
      <c r="M183">
        <v>173</v>
      </c>
      <c r="N183">
        <v>0.97</v>
      </c>
      <c r="O183">
        <v>6.29</v>
      </c>
      <c r="P183">
        <v>1.2</v>
      </c>
      <c r="Q183">
        <v>3</v>
      </c>
      <c r="R183">
        <f>CORREL(BMW[units_sold],BMW[gdp_growth_percent])</f>
        <v>-5.2597817623217792E-17</v>
      </c>
    </row>
    <row r="184" spans="1:18" x14ac:dyDescent="0.35">
      <c r="A184">
        <v>2015</v>
      </c>
      <c r="B184" t="s">
        <v>45</v>
      </c>
      <c r="C184" t="s">
        <v>37</v>
      </c>
      <c r="D184" t="s">
        <v>34</v>
      </c>
      <c r="E184" t="s">
        <v>16</v>
      </c>
      <c r="F184" t="s">
        <v>20</v>
      </c>
      <c r="G184">
        <v>84556</v>
      </c>
      <c r="H184" t="s">
        <v>54</v>
      </c>
      <c r="I184">
        <v>815</v>
      </c>
      <c r="J184">
        <v>68913140</v>
      </c>
      <c r="K184">
        <v>358645</v>
      </c>
      <c r="L184">
        <v>68554495</v>
      </c>
      <c r="M184">
        <v>370</v>
      </c>
      <c r="N184">
        <v>0.97</v>
      </c>
      <c r="O184">
        <v>6.29</v>
      </c>
      <c r="P184">
        <v>1.2</v>
      </c>
      <c r="Q184">
        <v>4</v>
      </c>
      <c r="R184">
        <f>CORREL(BMW[units_sold],BMW[gdp_growth_percent])</f>
        <v>-5.2597817623217792E-17</v>
      </c>
    </row>
    <row r="185" spans="1:18" x14ac:dyDescent="0.35">
      <c r="A185">
        <v>2015</v>
      </c>
      <c r="B185" t="s">
        <v>46</v>
      </c>
      <c r="C185" t="s">
        <v>35</v>
      </c>
      <c r="D185" t="s">
        <v>26</v>
      </c>
      <c r="E185" t="s">
        <v>20</v>
      </c>
      <c r="F185" t="s">
        <v>23</v>
      </c>
      <c r="G185">
        <v>61140</v>
      </c>
      <c r="H185" t="s">
        <v>55</v>
      </c>
      <c r="I185">
        <v>1044</v>
      </c>
      <c r="J185">
        <v>63830160</v>
      </c>
      <c r="K185">
        <v>444485</v>
      </c>
      <c r="L185">
        <v>63385675</v>
      </c>
      <c r="M185">
        <v>292</v>
      </c>
      <c r="N185">
        <v>0.97</v>
      </c>
      <c r="O185">
        <v>6.29</v>
      </c>
      <c r="P185">
        <v>1.2</v>
      </c>
      <c r="Q185">
        <v>6</v>
      </c>
      <c r="R185">
        <f>CORREL(BMW[units_sold],BMW[gdp_growth_percent])</f>
        <v>-5.2597817623217792E-17</v>
      </c>
    </row>
    <row r="186" spans="1:18" x14ac:dyDescent="0.35">
      <c r="A186">
        <v>2017</v>
      </c>
      <c r="B186" t="s">
        <v>46</v>
      </c>
      <c r="C186" t="s">
        <v>38</v>
      </c>
      <c r="D186" t="s">
        <v>39</v>
      </c>
      <c r="E186" t="s">
        <v>16</v>
      </c>
      <c r="F186" t="s">
        <v>27</v>
      </c>
      <c r="G186">
        <v>36184</v>
      </c>
      <c r="H186" t="s">
        <v>57</v>
      </c>
      <c r="I186">
        <v>536</v>
      </c>
      <c r="J186">
        <v>19394624</v>
      </c>
      <c r="K186">
        <v>320012</v>
      </c>
      <c r="L186">
        <v>19074612</v>
      </c>
      <c r="M186">
        <v>67</v>
      </c>
      <c r="N186">
        <v>0.97</v>
      </c>
      <c r="O186">
        <v>6.29</v>
      </c>
      <c r="P186">
        <v>1.2</v>
      </c>
      <c r="Q186">
        <v>7</v>
      </c>
      <c r="R186">
        <f>CORREL(BMW[units_sold],BMW[gdp_growth_percent])</f>
        <v>-5.2597817623217792E-17</v>
      </c>
    </row>
    <row r="187" spans="1:18" x14ac:dyDescent="0.35">
      <c r="A187">
        <v>2016</v>
      </c>
      <c r="B187" t="s">
        <v>49</v>
      </c>
      <c r="C187" t="s">
        <v>28</v>
      </c>
      <c r="D187" t="s">
        <v>22</v>
      </c>
      <c r="E187" t="s">
        <v>16</v>
      </c>
      <c r="F187" t="s">
        <v>20</v>
      </c>
      <c r="G187">
        <v>69493</v>
      </c>
      <c r="H187" t="s">
        <v>55</v>
      </c>
      <c r="I187">
        <v>967</v>
      </c>
      <c r="J187">
        <v>67199731</v>
      </c>
      <c r="K187">
        <v>211323</v>
      </c>
      <c r="L187">
        <v>66988408</v>
      </c>
      <c r="M187">
        <v>311</v>
      </c>
      <c r="N187">
        <v>0.97</v>
      </c>
      <c r="O187">
        <v>6.29</v>
      </c>
      <c r="P187">
        <v>1.2</v>
      </c>
      <c r="Q187">
        <v>4</v>
      </c>
      <c r="R187">
        <f>CORREL(BMW[units_sold],BMW[gdp_growth_percent])</f>
        <v>-5.2597817623217792E-17</v>
      </c>
    </row>
    <row r="188" spans="1:18" x14ac:dyDescent="0.35">
      <c r="A188">
        <v>2019</v>
      </c>
      <c r="B188" t="s">
        <v>48</v>
      </c>
      <c r="C188" t="s">
        <v>14</v>
      </c>
      <c r="D188" t="s">
        <v>33</v>
      </c>
      <c r="E188" t="s">
        <v>19</v>
      </c>
      <c r="F188" t="s">
        <v>23</v>
      </c>
      <c r="G188">
        <v>79148</v>
      </c>
      <c r="H188" t="s">
        <v>55</v>
      </c>
      <c r="I188">
        <v>744</v>
      </c>
      <c r="J188">
        <v>58886112</v>
      </c>
      <c r="K188">
        <v>390053</v>
      </c>
      <c r="L188">
        <v>58496059</v>
      </c>
      <c r="M188">
        <v>331</v>
      </c>
      <c r="N188">
        <v>0.97</v>
      </c>
      <c r="O188">
        <v>6.29</v>
      </c>
      <c r="P188">
        <v>1.2</v>
      </c>
      <c r="Q188">
        <v>4</v>
      </c>
      <c r="R188">
        <f>CORREL(BMW[units_sold],BMW[gdp_growth_percent])</f>
        <v>-5.2597817623217792E-17</v>
      </c>
    </row>
    <row r="189" spans="1:18" x14ac:dyDescent="0.35">
      <c r="A189">
        <v>2024</v>
      </c>
      <c r="B189" t="s">
        <v>52</v>
      </c>
      <c r="C189" t="s">
        <v>32</v>
      </c>
      <c r="D189" t="s">
        <v>33</v>
      </c>
      <c r="E189" t="s">
        <v>19</v>
      </c>
      <c r="F189" t="s">
        <v>20</v>
      </c>
      <c r="G189">
        <v>59846</v>
      </c>
      <c r="H189" t="s">
        <v>55</v>
      </c>
      <c r="I189">
        <v>341</v>
      </c>
      <c r="J189">
        <v>20407486</v>
      </c>
      <c r="K189">
        <v>134523</v>
      </c>
      <c r="L189">
        <v>20272963</v>
      </c>
      <c r="M189">
        <v>34</v>
      </c>
      <c r="N189">
        <v>0.97</v>
      </c>
      <c r="O189">
        <v>6.29</v>
      </c>
      <c r="P189">
        <v>1.2</v>
      </c>
      <c r="Q189">
        <v>7</v>
      </c>
      <c r="R189">
        <f>CORREL(BMW[units_sold],BMW[gdp_growth_percent])</f>
        <v>-5.2597817623217792E-17</v>
      </c>
    </row>
    <row r="190" spans="1:18" x14ac:dyDescent="0.35">
      <c r="A190">
        <v>2020</v>
      </c>
      <c r="B190" t="s">
        <v>46</v>
      </c>
      <c r="C190" t="s">
        <v>21</v>
      </c>
      <c r="D190" t="s">
        <v>24</v>
      </c>
      <c r="E190" t="s">
        <v>19</v>
      </c>
      <c r="F190" t="s">
        <v>23</v>
      </c>
      <c r="G190">
        <v>57195</v>
      </c>
      <c r="H190" t="s">
        <v>55</v>
      </c>
      <c r="I190">
        <v>511</v>
      </c>
      <c r="J190">
        <v>29226645</v>
      </c>
      <c r="K190">
        <v>219801</v>
      </c>
      <c r="L190">
        <v>29006844</v>
      </c>
      <c r="M190">
        <v>82</v>
      </c>
      <c r="N190">
        <v>0.97</v>
      </c>
      <c r="O190">
        <v>6.29</v>
      </c>
      <c r="P190">
        <v>1.2</v>
      </c>
      <c r="Q190">
        <v>6</v>
      </c>
      <c r="R190">
        <f>CORREL(BMW[units_sold],BMW[gdp_growth_percent])</f>
        <v>-5.2597817623217792E-17</v>
      </c>
    </row>
    <row r="191" spans="1:18" x14ac:dyDescent="0.35">
      <c r="A191">
        <v>2021</v>
      </c>
      <c r="B191" t="s">
        <v>43</v>
      </c>
      <c r="C191" t="s">
        <v>28</v>
      </c>
      <c r="D191" t="s">
        <v>29</v>
      </c>
      <c r="E191" t="s">
        <v>16</v>
      </c>
      <c r="F191" t="s">
        <v>20</v>
      </c>
      <c r="G191">
        <v>40606</v>
      </c>
      <c r="H191" t="s">
        <v>57</v>
      </c>
      <c r="I191">
        <v>790</v>
      </c>
      <c r="J191">
        <v>32078740</v>
      </c>
      <c r="K191">
        <v>65734</v>
      </c>
      <c r="L191">
        <v>32013006</v>
      </c>
      <c r="M191">
        <v>382</v>
      </c>
      <c r="N191">
        <v>0.97</v>
      </c>
      <c r="O191">
        <v>6.29</v>
      </c>
      <c r="P191">
        <v>1.2</v>
      </c>
      <c r="Q191">
        <v>8</v>
      </c>
      <c r="R191">
        <f>CORREL(BMW[units_sold],BMW[gdp_growth_percent])</f>
        <v>-5.2597817623217792E-17</v>
      </c>
    </row>
    <row r="192" spans="1:18" x14ac:dyDescent="0.35">
      <c r="A192">
        <v>2018</v>
      </c>
      <c r="B192" t="s">
        <v>50</v>
      </c>
      <c r="C192" t="s">
        <v>30</v>
      </c>
      <c r="D192" t="s">
        <v>18</v>
      </c>
      <c r="E192" t="s">
        <v>20</v>
      </c>
      <c r="F192" t="s">
        <v>27</v>
      </c>
      <c r="G192">
        <v>38956</v>
      </c>
      <c r="H192" t="s">
        <v>57</v>
      </c>
      <c r="I192">
        <v>457</v>
      </c>
      <c r="J192">
        <v>17802892</v>
      </c>
      <c r="K192">
        <v>223501</v>
      </c>
      <c r="L192">
        <v>17579391</v>
      </c>
      <c r="M192">
        <v>138</v>
      </c>
      <c r="N192">
        <v>0.97</v>
      </c>
      <c r="O192">
        <v>6.29</v>
      </c>
      <c r="P192">
        <v>1.2</v>
      </c>
      <c r="Q192">
        <v>1</v>
      </c>
      <c r="R192">
        <f>CORREL(BMW[units_sold],BMW[gdp_growth_percent])</f>
        <v>-5.2597817623217792E-17</v>
      </c>
    </row>
    <row r="193" spans="1:18" x14ac:dyDescent="0.35">
      <c r="A193">
        <v>2021</v>
      </c>
      <c r="B193" t="s">
        <v>45</v>
      </c>
      <c r="C193" t="s">
        <v>25</v>
      </c>
      <c r="D193" t="s">
        <v>39</v>
      </c>
      <c r="E193" t="s">
        <v>19</v>
      </c>
      <c r="F193" t="s">
        <v>27</v>
      </c>
      <c r="G193">
        <v>51555</v>
      </c>
      <c r="H193" t="s">
        <v>55</v>
      </c>
      <c r="I193">
        <v>245</v>
      </c>
      <c r="J193">
        <v>12630975</v>
      </c>
      <c r="K193">
        <v>222409</v>
      </c>
      <c r="L193">
        <v>12408566</v>
      </c>
      <c r="M193">
        <v>96</v>
      </c>
      <c r="N193">
        <v>0.97</v>
      </c>
      <c r="O193">
        <v>6.29</v>
      </c>
      <c r="P193">
        <v>1.2</v>
      </c>
      <c r="Q193">
        <v>10</v>
      </c>
      <c r="R193">
        <f>CORREL(BMW[units_sold],BMW[gdp_growth_percent])</f>
        <v>-5.2597817623217792E-17</v>
      </c>
    </row>
    <row r="194" spans="1:18" x14ac:dyDescent="0.35">
      <c r="A194">
        <v>2022</v>
      </c>
      <c r="B194" t="s">
        <v>47</v>
      </c>
      <c r="C194" t="s">
        <v>14</v>
      </c>
      <c r="D194" t="s">
        <v>24</v>
      </c>
      <c r="E194" t="s">
        <v>20</v>
      </c>
      <c r="F194" t="s">
        <v>17</v>
      </c>
      <c r="G194">
        <v>53690</v>
      </c>
      <c r="H194" t="s">
        <v>55</v>
      </c>
      <c r="I194">
        <v>818</v>
      </c>
      <c r="J194">
        <v>43918420</v>
      </c>
      <c r="K194">
        <v>483541</v>
      </c>
      <c r="L194">
        <v>43434879</v>
      </c>
      <c r="M194">
        <v>339</v>
      </c>
      <c r="N194">
        <v>0.97</v>
      </c>
      <c r="O194">
        <v>6.29</v>
      </c>
      <c r="P194">
        <v>1.2</v>
      </c>
      <c r="Q194">
        <v>7</v>
      </c>
      <c r="R194">
        <f>CORREL(BMW[units_sold],BMW[gdp_growth_percent])</f>
        <v>-5.2597817623217792E-17</v>
      </c>
    </row>
    <row r="195" spans="1:18" x14ac:dyDescent="0.35">
      <c r="A195">
        <v>2015</v>
      </c>
      <c r="B195" t="s">
        <v>49</v>
      </c>
      <c r="C195" t="s">
        <v>21</v>
      </c>
      <c r="D195" t="s">
        <v>26</v>
      </c>
      <c r="E195" t="s">
        <v>19</v>
      </c>
      <c r="F195" t="s">
        <v>20</v>
      </c>
      <c r="G195">
        <v>93502</v>
      </c>
      <c r="H195" t="s">
        <v>54</v>
      </c>
      <c r="I195">
        <v>596</v>
      </c>
      <c r="J195">
        <v>55727192</v>
      </c>
      <c r="K195">
        <v>395744</v>
      </c>
      <c r="L195">
        <v>55331448</v>
      </c>
      <c r="M195">
        <v>162</v>
      </c>
      <c r="N195">
        <v>0.97</v>
      </c>
      <c r="O195">
        <v>6.29</v>
      </c>
      <c r="P195">
        <v>1.2</v>
      </c>
      <c r="Q195">
        <v>7</v>
      </c>
      <c r="R195">
        <f>CORREL(BMW[units_sold],BMW[gdp_growth_percent])</f>
        <v>-5.2597817623217792E-17</v>
      </c>
    </row>
    <row r="196" spans="1:18" x14ac:dyDescent="0.35">
      <c r="A196">
        <v>2020</v>
      </c>
      <c r="B196" t="s">
        <v>43</v>
      </c>
      <c r="C196" t="s">
        <v>37</v>
      </c>
      <c r="D196" t="s">
        <v>15</v>
      </c>
      <c r="E196" t="s">
        <v>19</v>
      </c>
      <c r="F196" t="s">
        <v>17</v>
      </c>
      <c r="G196">
        <v>83849</v>
      </c>
      <c r="H196" t="s">
        <v>54</v>
      </c>
      <c r="I196">
        <v>396</v>
      </c>
      <c r="J196">
        <v>33204204</v>
      </c>
      <c r="K196">
        <v>320577</v>
      </c>
      <c r="L196">
        <v>32883627</v>
      </c>
      <c r="M196">
        <v>191</v>
      </c>
      <c r="N196">
        <v>0.97</v>
      </c>
      <c r="O196">
        <v>6.29</v>
      </c>
      <c r="P196">
        <v>1.2</v>
      </c>
      <c r="Q196">
        <v>7</v>
      </c>
      <c r="R196">
        <f>CORREL(BMW[units_sold],BMW[gdp_growth_percent])</f>
        <v>-5.2597817623217792E-17</v>
      </c>
    </row>
    <row r="197" spans="1:18" x14ac:dyDescent="0.35">
      <c r="A197">
        <v>2022</v>
      </c>
      <c r="B197" t="s">
        <v>42</v>
      </c>
      <c r="C197" t="s">
        <v>25</v>
      </c>
      <c r="D197" t="s">
        <v>31</v>
      </c>
      <c r="E197" t="s">
        <v>16</v>
      </c>
      <c r="F197" t="s">
        <v>20</v>
      </c>
      <c r="G197">
        <v>61347</v>
      </c>
      <c r="H197" t="s">
        <v>55</v>
      </c>
      <c r="I197">
        <v>523</v>
      </c>
      <c r="J197">
        <v>32084481</v>
      </c>
      <c r="K197">
        <v>190183</v>
      </c>
      <c r="L197">
        <v>31894298</v>
      </c>
      <c r="M197">
        <v>134</v>
      </c>
      <c r="N197">
        <v>0.97</v>
      </c>
      <c r="O197">
        <v>6.29</v>
      </c>
      <c r="P197">
        <v>1.2</v>
      </c>
      <c r="Q197">
        <v>7</v>
      </c>
      <c r="R197">
        <f>CORREL(BMW[units_sold],BMW[gdp_growth_percent])</f>
        <v>-5.2597817623217792E-17</v>
      </c>
    </row>
    <row r="198" spans="1:18" x14ac:dyDescent="0.35">
      <c r="A198">
        <v>2019</v>
      </c>
      <c r="B198" t="s">
        <v>41</v>
      </c>
      <c r="C198" t="s">
        <v>38</v>
      </c>
      <c r="D198" t="s">
        <v>18</v>
      </c>
      <c r="E198" t="s">
        <v>19</v>
      </c>
      <c r="F198" t="s">
        <v>23</v>
      </c>
      <c r="G198">
        <v>84056</v>
      </c>
      <c r="H198" t="s">
        <v>54</v>
      </c>
      <c r="I198">
        <v>419</v>
      </c>
      <c r="J198">
        <v>35219464</v>
      </c>
      <c r="K198">
        <v>153986</v>
      </c>
      <c r="L198">
        <v>35065478</v>
      </c>
      <c r="M198">
        <v>76</v>
      </c>
      <c r="N198">
        <v>0.97</v>
      </c>
      <c r="O198">
        <v>6.29</v>
      </c>
      <c r="P198">
        <v>1.2</v>
      </c>
      <c r="Q198">
        <v>10</v>
      </c>
      <c r="R198">
        <f>CORREL(BMW[units_sold],BMW[gdp_growth_percent])</f>
        <v>-5.2597817623217792E-17</v>
      </c>
    </row>
    <row r="199" spans="1:18" x14ac:dyDescent="0.35">
      <c r="A199">
        <v>2018</v>
      </c>
      <c r="B199" t="s">
        <v>47</v>
      </c>
      <c r="C199" t="s">
        <v>28</v>
      </c>
      <c r="D199" t="s">
        <v>29</v>
      </c>
      <c r="E199" t="s">
        <v>19</v>
      </c>
      <c r="F199" t="s">
        <v>23</v>
      </c>
      <c r="G199">
        <v>98851</v>
      </c>
      <c r="H199" t="s">
        <v>54</v>
      </c>
      <c r="I199">
        <v>173</v>
      </c>
      <c r="J199">
        <v>17101223</v>
      </c>
      <c r="K199">
        <v>375897</v>
      </c>
      <c r="L199">
        <v>16725326</v>
      </c>
      <c r="M199">
        <v>15</v>
      </c>
      <c r="N199">
        <v>0.97</v>
      </c>
      <c r="O199">
        <v>6.29</v>
      </c>
      <c r="P199">
        <v>1.2</v>
      </c>
      <c r="Q199">
        <v>10</v>
      </c>
      <c r="R199">
        <f>CORREL(BMW[units_sold],BMW[gdp_growth_percent])</f>
        <v>-5.2597817623217792E-17</v>
      </c>
    </row>
    <row r="200" spans="1:18" x14ac:dyDescent="0.35">
      <c r="A200">
        <v>2016</v>
      </c>
      <c r="B200" t="s">
        <v>42</v>
      </c>
      <c r="C200" t="s">
        <v>21</v>
      </c>
      <c r="D200" t="s">
        <v>22</v>
      </c>
      <c r="E200" t="s">
        <v>16</v>
      </c>
      <c r="F200" t="s">
        <v>17</v>
      </c>
      <c r="G200">
        <v>116502</v>
      </c>
      <c r="H200" t="s">
        <v>54</v>
      </c>
      <c r="I200">
        <v>393</v>
      </c>
      <c r="J200">
        <v>45785286</v>
      </c>
      <c r="K200">
        <v>163783</v>
      </c>
      <c r="L200">
        <v>45621503</v>
      </c>
      <c r="M200">
        <v>134</v>
      </c>
      <c r="N200">
        <v>0.97</v>
      </c>
      <c r="O200">
        <v>6.29</v>
      </c>
      <c r="P200">
        <v>1.2</v>
      </c>
      <c r="Q200">
        <v>8</v>
      </c>
      <c r="R200">
        <f>CORREL(BMW[units_sold],BMW[gdp_growth_percent])</f>
        <v>-5.2597817623217792E-17</v>
      </c>
    </row>
    <row r="201" spans="1:18" x14ac:dyDescent="0.35">
      <c r="A201">
        <v>2020</v>
      </c>
      <c r="B201" t="s">
        <v>44</v>
      </c>
      <c r="C201" t="s">
        <v>36</v>
      </c>
      <c r="D201" t="s">
        <v>18</v>
      </c>
      <c r="E201" t="s">
        <v>20</v>
      </c>
      <c r="F201" t="s">
        <v>20</v>
      </c>
      <c r="G201">
        <v>116418</v>
      </c>
      <c r="H201" t="s">
        <v>54</v>
      </c>
      <c r="I201">
        <v>654</v>
      </c>
      <c r="J201">
        <v>76137372</v>
      </c>
      <c r="K201">
        <v>261655</v>
      </c>
      <c r="L201">
        <v>75875717</v>
      </c>
      <c r="M201">
        <v>323</v>
      </c>
      <c r="N201">
        <v>0.97</v>
      </c>
      <c r="O201">
        <v>6.29</v>
      </c>
      <c r="P201">
        <v>1.2</v>
      </c>
      <c r="Q201">
        <v>9</v>
      </c>
      <c r="R201">
        <f>CORREL(BMW[units_sold],BMW[gdp_growth_percent])</f>
        <v>-5.2597817623217792E-17</v>
      </c>
    </row>
    <row r="202" spans="1:18" x14ac:dyDescent="0.35">
      <c r="A202">
        <v>2020</v>
      </c>
      <c r="B202" t="s">
        <v>51</v>
      </c>
      <c r="C202" t="s">
        <v>32</v>
      </c>
      <c r="D202" t="s">
        <v>34</v>
      </c>
      <c r="E202" t="s">
        <v>19</v>
      </c>
      <c r="F202" t="s">
        <v>17</v>
      </c>
      <c r="G202">
        <v>105211</v>
      </c>
      <c r="H202" t="s">
        <v>54</v>
      </c>
      <c r="I202">
        <v>773</v>
      </c>
      <c r="J202">
        <v>81328103</v>
      </c>
      <c r="K202">
        <v>333895</v>
      </c>
      <c r="L202">
        <v>80994208</v>
      </c>
      <c r="M202">
        <v>335</v>
      </c>
      <c r="N202">
        <v>0.97</v>
      </c>
      <c r="O202">
        <v>6.29</v>
      </c>
      <c r="P202">
        <v>1.2</v>
      </c>
      <c r="Q202">
        <v>9</v>
      </c>
      <c r="R202">
        <f>CORREL(BMW[units_sold],BMW[gdp_growth_percent])</f>
        <v>-5.2597817623217792E-17</v>
      </c>
    </row>
    <row r="203" spans="1:18" x14ac:dyDescent="0.35">
      <c r="A203">
        <v>2015</v>
      </c>
      <c r="B203" t="s">
        <v>41</v>
      </c>
      <c r="C203" t="s">
        <v>32</v>
      </c>
      <c r="D203" t="s">
        <v>29</v>
      </c>
      <c r="E203" t="s">
        <v>16</v>
      </c>
      <c r="F203" t="s">
        <v>27</v>
      </c>
      <c r="G203">
        <v>76850</v>
      </c>
      <c r="H203" t="s">
        <v>55</v>
      </c>
      <c r="I203">
        <v>211</v>
      </c>
      <c r="J203">
        <v>16215350</v>
      </c>
      <c r="K203">
        <v>197525</v>
      </c>
      <c r="L203">
        <v>16017825</v>
      </c>
      <c r="M203">
        <v>62</v>
      </c>
      <c r="N203">
        <v>0.97</v>
      </c>
      <c r="O203">
        <v>6.29</v>
      </c>
      <c r="P203">
        <v>1.2</v>
      </c>
      <c r="Q203">
        <v>2</v>
      </c>
      <c r="R203">
        <f>CORREL(BMW[units_sold],BMW[gdp_growth_percent])</f>
        <v>-5.2597817623217792E-17</v>
      </c>
    </row>
    <row r="204" spans="1:18" x14ac:dyDescent="0.35">
      <c r="A204">
        <v>2023</v>
      </c>
      <c r="B204" t="s">
        <v>52</v>
      </c>
      <c r="C204" t="s">
        <v>14</v>
      </c>
      <c r="D204" t="s">
        <v>15</v>
      </c>
      <c r="E204" t="s">
        <v>19</v>
      </c>
      <c r="F204" t="s">
        <v>17</v>
      </c>
      <c r="G204">
        <v>113545</v>
      </c>
      <c r="H204" t="s">
        <v>54</v>
      </c>
      <c r="I204">
        <v>375</v>
      </c>
      <c r="J204">
        <v>42579375</v>
      </c>
      <c r="K204">
        <v>266916</v>
      </c>
      <c r="L204">
        <v>42312459</v>
      </c>
      <c r="M204">
        <v>75</v>
      </c>
      <c r="N204">
        <v>0.97</v>
      </c>
      <c r="O204">
        <v>6.29</v>
      </c>
      <c r="P204">
        <v>1.2</v>
      </c>
      <c r="Q204">
        <v>7</v>
      </c>
      <c r="R204">
        <f>CORREL(BMW[units_sold],BMW[gdp_growth_percent])</f>
        <v>-5.2597817623217792E-17</v>
      </c>
    </row>
    <row r="205" spans="1:18" x14ac:dyDescent="0.35">
      <c r="A205">
        <v>2020</v>
      </c>
      <c r="B205" t="s">
        <v>50</v>
      </c>
      <c r="C205" t="s">
        <v>37</v>
      </c>
      <c r="D205" t="s">
        <v>34</v>
      </c>
      <c r="E205" t="s">
        <v>16</v>
      </c>
      <c r="F205" t="s">
        <v>17</v>
      </c>
      <c r="G205">
        <v>62843</v>
      </c>
      <c r="H205" t="s">
        <v>55</v>
      </c>
      <c r="I205">
        <v>975</v>
      </c>
      <c r="J205">
        <v>61271925</v>
      </c>
      <c r="K205">
        <v>482184</v>
      </c>
      <c r="L205">
        <v>60789741</v>
      </c>
      <c r="M205">
        <v>323</v>
      </c>
      <c r="N205">
        <v>0.97</v>
      </c>
      <c r="O205">
        <v>6.29</v>
      </c>
      <c r="P205">
        <v>1.2</v>
      </c>
      <c r="Q205">
        <v>7</v>
      </c>
      <c r="R205">
        <f>CORREL(BMW[units_sold],BMW[gdp_growth_percent])</f>
        <v>-5.2597817623217792E-17</v>
      </c>
    </row>
    <row r="206" spans="1:18" x14ac:dyDescent="0.35">
      <c r="A206">
        <v>2017</v>
      </c>
      <c r="B206" t="s">
        <v>41</v>
      </c>
      <c r="C206" t="s">
        <v>14</v>
      </c>
      <c r="D206" t="s">
        <v>18</v>
      </c>
      <c r="E206" t="s">
        <v>20</v>
      </c>
      <c r="F206" t="s">
        <v>23</v>
      </c>
      <c r="G206">
        <v>97320</v>
      </c>
      <c r="H206" t="s">
        <v>54</v>
      </c>
      <c r="I206">
        <v>396</v>
      </c>
      <c r="J206">
        <v>38538720</v>
      </c>
      <c r="K206">
        <v>211149</v>
      </c>
      <c r="L206">
        <v>38327571</v>
      </c>
      <c r="M206">
        <v>91</v>
      </c>
      <c r="N206">
        <v>0.97</v>
      </c>
      <c r="O206">
        <v>6.29</v>
      </c>
      <c r="P206">
        <v>1.2</v>
      </c>
      <c r="Q206">
        <v>4</v>
      </c>
      <c r="R206">
        <f>CORREL(BMW[units_sold],BMW[gdp_growth_percent])</f>
        <v>-5.2597817623217792E-17</v>
      </c>
    </row>
    <row r="207" spans="1:18" x14ac:dyDescent="0.35">
      <c r="A207">
        <v>2018</v>
      </c>
      <c r="B207" t="s">
        <v>48</v>
      </c>
      <c r="C207" t="s">
        <v>36</v>
      </c>
      <c r="D207" t="s">
        <v>31</v>
      </c>
      <c r="E207" t="s">
        <v>20</v>
      </c>
      <c r="F207" t="s">
        <v>17</v>
      </c>
      <c r="G207">
        <v>64793</v>
      </c>
      <c r="H207" t="s">
        <v>55</v>
      </c>
      <c r="I207">
        <v>500</v>
      </c>
      <c r="J207">
        <v>32396500</v>
      </c>
      <c r="K207">
        <v>289654</v>
      </c>
      <c r="L207">
        <v>32106846</v>
      </c>
      <c r="M207">
        <v>96</v>
      </c>
      <c r="N207">
        <v>0.97</v>
      </c>
      <c r="O207">
        <v>6.29</v>
      </c>
      <c r="P207">
        <v>1.2</v>
      </c>
      <c r="Q207">
        <v>9</v>
      </c>
      <c r="R207">
        <f>CORREL(BMW[units_sold],BMW[gdp_growth_percent])</f>
        <v>-5.2597817623217792E-17</v>
      </c>
    </row>
    <row r="208" spans="1:18" x14ac:dyDescent="0.35">
      <c r="A208">
        <v>2018</v>
      </c>
      <c r="B208" t="s">
        <v>42</v>
      </c>
      <c r="C208" t="s">
        <v>30</v>
      </c>
      <c r="D208" t="s">
        <v>31</v>
      </c>
      <c r="E208" t="s">
        <v>16</v>
      </c>
      <c r="F208" t="s">
        <v>20</v>
      </c>
      <c r="G208">
        <v>74516</v>
      </c>
      <c r="H208" t="s">
        <v>55</v>
      </c>
      <c r="I208">
        <v>142</v>
      </c>
      <c r="J208">
        <v>10581272</v>
      </c>
      <c r="K208">
        <v>477991</v>
      </c>
      <c r="L208">
        <v>10103281</v>
      </c>
      <c r="M208">
        <v>11</v>
      </c>
      <c r="N208">
        <v>0.97</v>
      </c>
      <c r="O208">
        <v>6.29</v>
      </c>
      <c r="P208">
        <v>1.2</v>
      </c>
      <c r="Q208">
        <v>8</v>
      </c>
      <c r="R208">
        <f>CORREL(BMW[units_sold],BMW[gdp_growth_percent])</f>
        <v>-5.2597817623217792E-17</v>
      </c>
    </row>
    <row r="209" spans="1:18" x14ac:dyDescent="0.35">
      <c r="A209">
        <v>2017</v>
      </c>
      <c r="B209" t="s">
        <v>52</v>
      </c>
      <c r="C209" t="s">
        <v>37</v>
      </c>
      <c r="D209" t="s">
        <v>15</v>
      </c>
      <c r="E209" t="s">
        <v>16</v>
      </c>
      <c r="F209" t="s">
        <v>23</v>
      </c>
      <c r="G209">
        <v>52857</v>
      </c>
      <c r="H209" t="s">
        <v>55</v>
      </c>
      <c r="I209">
        <v>523</v>
      </c>
      <c r="J209">
        <v>27644211</v>
      </c>
      <c r="K209">
        <v>239216</v>
      </c>
      <c r="L209">
        <v>27404995</v>
      </c>
      <c r="M209">
        <v>213</v>
      </c>
      <c r="N209">
        <v>0.97</v>
      </c>
      <c r="O209">
        <v>6.29</v>
      </c>
      <c r="P209">
        <v>1.2</v>
      </c>
      <c r="Q209">
        <v>1</v>
      </c>
      <c r="R209">
        <f>CORREL(BMW[units_sold],BMW[gdp_growth_percent])</f>
        <v>-5.2597817623217792E-17</v>
      </c>
    </row>
    <row r="210" spans="1:18" x14ac:dyDescent="0.35">
      <c r="A210">
        <v>2024</v>
      </c>
      <c r="B210" t="s">
        <v>48</v>
      </c>
      <c r="C210" t="s">
        <v>35</v>
      </c>
      <c r="D210" t="s">
        <v>33</v>
      </c>
      <c r="E210" t="s">
        <v>16</v>
      </c>
      <c r="F210" t="s">
        <v>17</v>
      </c>
      <c r="G210">
        <v>54627</v>
      </c>
      <c r="H210" t="s">
        <v>55</v>
      </c>
      <c r="I210">
        <v>697</v>
      </c>
      <c r="J210">
        <v>38075019</v>
      </c>
      <c r="K210">
        <v>360714</v>
      </c>
      <c r="L210">
        <v>37714305</v>
      </c>
      <c r="M210">
        <v>159</v>
      </c>
      <c r="N210">
        <v>0.97</v>
      </c>
      <c r="O210">
        <v>6.29</v>
      </c>
      <c r="P210">
        <v>1.2</v>
      </c>
      <c r="Q210">
        <v>2</v>
      </c>
      <c r="R210">
        <f>CORREL(BMW[units_sold],BMW[gdp_growth_percent])</f>
        <v>-5.2597817623217792E-17</v>
      </c>
    </row>
    <row r="211" spans="1:18" x14ac:dyDescent="0.35">
      <c r="A211">
        <v>2017</v>
      </c>
      <c r="B211" t="s">
        <v>51</v>
      </c>
      <c r="C211" t="s">
        <v>30</v>
      </c>
      <c r="D211" t="s">
        <v>39</v>
      </c>
      <c r="E211" t="s">
        <v>20</v>
      </c>
      <c r="F211" t="s">
        <v>27</v>
      </c>
      <c r="G211">
        <v>96822</v>
      </c>
      <c r="H211" t="s">
        <v>54</v>
      </c>
      <c r="I211">
        <v>941</v>
      </c>
      <c r="J211">
        <v>91109502</v>
      </c>
      <c r="K211">
        <v>227169</v>
      </c>
      <c r="L211">
        <v>90882333</v>
      </c>
      <c r="M211">
        <v>302</v>
      </c>
      <c r="N211">
        <v>0.97</v>
      </c>
      <c r="O211">
        <v>6.29</v>
      </c>
      <c r="P211">
        <v>1.2</v>
      </c>
      <c r="Q211">
        <v>2</v>
      </c>
      <c r="R211">
        <f>CORREL(BMW[units_sold],BMW[gdp_growth_percent])</f>
        <v>-5.2597817623217792E-17</v>
      </c>
    </row>
    <row r="212" spans="1:18" x14ac:dyDescent="0.35">
      <c r="A212">
        <v>2017</v>
      </c>
      <c r="B212" t="s">
        <v>48</v>
      </c>
      <c r="C212" t="s">
        <v>37</v>
      </c>
      <c r="D212" t="s">
        <v>22</v>
      </c>
      <c r="E212" t="s">
        <v>19</v>
      </c>
      <c r="F212" t="s">
        <v>17</v>
      </c>
      <c r="G212">
        <v>119101</v>
      </c>
      <c r="H212" t="s">
        <v>54</v>
      </c>
      <c r="I212">
        <v>446</v>
      </c>
      <c r="J212">
        <v>53119046</v>
      </c>
      <c r="K212">
        <v>336647</v>
      </c>
      <c r="L212">
        <v>52782399</v>
      </c>
      <c r="M212">
        <v>112</v>
      </c>
      <c r="N212">
        <v>0.97</v>
      </c>
      <c r="O212">
        <v>6.29</v>
      </c>
      <c r="P212">
        <v>1.2</v>
      </c>
      <c r="Q212">
        <v>8</v>
      </c>
      <c r="R212">
        <f>CORREL(BMW[units_sold],BMW[gdp_growth_percent])</f>
        <v>-5.2597817623217792E-17</v>
      </c>
    </row>
    <row r="213" spans="1:18" x14ac:dyDescent="0.35">
      <c r="A213">
        <v>2018</v>
      </c>
      <c r="B213" t="s">
        <v>49</v>
      </c>
      <c r="C213" t="s">
        <v>37</v>
      </c>
      <c r="D213" t="s">
        <v>33</v>
      </c>
      <c r="E213" t="s">
        <v>20</v>
      </c>
      <c r="F213" t="s">
        <v>17</v>
      </c>
      <c r="G213">
        <v>87248</v>
      </c>
      <c r="H213" t="s">
        <v>54</v>
      </c>
      <c r="I213">
        <v>477</v>
      </c>
      <c r="J213">
        <v>41617296</v>
      </c>
      <c r="K213">
        <v>183851</v>
      </c>
      <c r="L213">
        <v>41433445</v>
      </c>
      <c r="M213">
        <v>33</v>
      </c>
      <c r="N213">
        <v>0.97</v>
      </c>
      <c r="O213">
        <v>6.29</v>
      </c>
      <c r="P213">
        <v>1.2</v>
      </c>
      <c r="Q213">
        <v>1</v>
      </c>
      <c r="R213">
        <f>CORREL(BMW[units_sold],BMW[gdp_growth_percent])</f>
        <v>-5.2597817623217792E-17</v>
      </c>
    </row>
    <row r="214" spans="1:18" x14ac:dyDescent="0.35">
      <c r="A214">
        <v>2021</v>
      </c>
      <c r="B214" t="s">
        <v>49</v>
      </c>
      <c r="C214" t="s">
        <v>36</v>
      </c>
      <c r="D214" t="s">
        <v>31</v>
      </c>
      <c r="E214" t="s">
        <v>16</v>
      </c>
      <c r="F214" t="s">
        <v>17</v>
      </c>
      <c r="G214">
        <v>90798</v>
      </c>
      <c r="H214" t="s">
        <v>54</v>
      </c>
      <c r="I214">
        <v>1008</v>
      </c>
      <c r="J214">
        <v>91524384</v>
      </c>
      <c r="K214">
        <v>398984</v>
      </c>
      <c r="L214">
        <v>91125400</v>
      </c>
      <c r="M214">
        <v>377</v>
      </c>
      <c r="N214">
        <v>0.97</v>
      </c>
      <c r="O214">
        <v>6.29</v>
      </c>
      <c r="P214">
        <v>1.2</v>
      </c>
      <c r="Q214">
        <v>4</v>
      </c>
      <c r="R214">
        <f>CORREL(BMW[units_sold],BMW[gdp_growth_percent])</f>
        <v>-5.2597817623217792E-17</v>
      </c>
    </row>
    <row r="215" spans="1:18" x14ac:dyDescent="0.35">
      <c r="A215">
        <v>2018</v>
      </c>
      <c r="B215" t="s">
        <v>44</v>
      </c>
      <c r="C215" t="s">
        <v>38</v>
      </c>
      <c r="D215" t="s">
        <v>31</v>
      </c>
      <c r="E215" t="s">
        <v>16</v>
      </c>
      <c r="F215" t="s">
        <v>23</v>
      </c>
      <c r="G215">
        <v>79116</v>
      </c>
      <c r="H215" t="s">
        <v>55</v>
      </c>
      <c r="I215">
        <v>781</v>
      </c>
      <c r="J215">
        <v>61789596</v>
      </c>
      <c r="K215">
        <v>181827</v>
      </c>
      <c r="L215">
        <v>61607769</v>
      </c>
      <c r="M215">
        <v>221</v>
      </c>
      <c r="N215">
        <v>0.97</v>
      </c>
      <c r="O215">
        <v>6.29</v>
      </c>
      <c r="P215">
        <v>1.2</v>
      </c>
      <c r="Q215">
        <v>10</v>
      </c>
      <c r="R215">
        <f>CORREL(BMW[units_sold],BMW[gdp_growth_percent])</f>
        <v>-5.2597817623217792E-17</v>
      </c>
    </row>
    <row r="216" spans="1:18" x14ac:dyDescent="0.35">
      <c r="A216">
        <v>2023</v>
      </c>
      <c r="B216" t="s">
        <v>45</v>
      </c>
      <c r="C216" t="s">
        <v>36</v>
      </c>
      <c r="D216" t="s">
        <v>26</v>
      </c>
      <c r="E216" t="s">
        <v>20</v>
      </c>
      <c r="F216" t="s">
        <v>20</v>
      </c>
      <c r="G216">
        <v>110318</v>
      </c>
      <c r="H216" t="s">
        <v>54</v>
      </c>
      <c r="I216">
        <v>532</v>
      </c>
      <c r="J216">
        <v>58689176</v>
      </c>
      <c r="K216">
        <v>351407</v>
      </c>
      <c r="L216">
        <v>58337769</v>
      </c>
      <c r="M216">
        <v>74</v>
      </c>
      <c r="N216">
        <v>0.97</v>
      </c>
      <c r="O216">
        <v>6.29</v>
      </c>
      <c r="P216">
        <v>1.2</v>
      </c>
      <c r="Q216">
        <v>5</v>
      </c>
      <c r="R216">
        <f>CORREL(BMW[units_sold],BMW[gdp_growth_percent])</f>
        <v>-5.2597817623217792E-17</v>
      </c>
    </row>
    <row r="217" spans="1:18" x14ac:dyDescent="0.35">
      <c r="A217">
        <v>2015</v>
      </c>
      <c r="B217" t="s">
        <v>47</v>
      </c>
      <c r="C217" t="s">
        <v>37</v>
      </c>
      <c r="D217" t="s">
        <v>34</v>
      </c>
      <c r="E217" t="s">
        <v>16</v>
      </c>
      <c r="F217" t="s">
        <v>27</v>
      </c>
      <c r="G217">
        <v>63557</v>
      </c>
      <c r="H217" t="s">
        <v>55</v>
      </c>
      <c r="I217">
        <v>542</v>
      </c>
      <c r="J217">
        <v>34447894</v>
      </c>
      <c r="K217">
        <v>420635</v>
      </c>
      <c r="L217">
        <v>34027259</v>
      </c>
      <c r="M217">
        <v>218</v>
      </c>
      <c r="N217">
        <v>0.97</v>
      </c>
      <c r="O217">
        <v>6.29</v>
      </c>
      <c r="P217">
        <v>1.2</v>
      </c>
      <c r="Q217">
        <v>9</v>
      </c>
      <c r="R217">
        <f>CORREL(BMW[units_sold],BMW[gdp_growth_percent])</f>
        <v>-5.2597817623217792E-17</v>
      </c>
    </row>
    <row r="218" spans="1:18" x14ac:dyDescent="0.35">
      <c r="A218">
        <v>2022</v>
      </c>
      <c r="B218" t="s">
        <v>47</v>
      </c>
      <c r="C218" t="s">
        <v>21</v>
      </c>
      <c r="D218" t="s">
        <v>18</v>
      </c>
      <c r="E218" t="s">
        <v>20</v>
      </c>
      <c r="F218" t="s">
        <v>17</v>
      </c>
      <c r="G218">
        <v>106334</v>
      </c>
      <c r="H218" t="s">
        <v>54</v>
      </c>
      <c r="I218">
        <v>796</v>
      </c>
      <c r="J218">
        <v>84641864</v>
      </c>
      <c r="K218">
        <v>367231</v>
      </c>
      <c r="L218">
        <v>84274633</v>
      </c>
      <c r="M218">
        <v>260</v>
      </c>
      <c r="N218">
        <v>0.97</v>
      </c>
      <c r="O218">
        <v>6.29</v>
      </c>
      <c r="P218">
        <v>1.2</v>
      </c>
      <c r="Q218">
        <v>7</v>
      </c>
      <c r="R218">
        <f>CORREL(BMW[units_sold],BMW[gdp_growth_percent])</f>
        <v>-5.2597817623217792E-17</v>
      </c>
    </row>
    <row r="219" spans="1:18" x14ac:dyDescent="0.35">
      <c r="A219">
        <v>2021</v>
      </c>
      <c r="B219" t="s">
        <v>52</v>
      </c>
      <c r="C219" t="s">
        <v>30</v>
      </c>
      <c r="D219" t="s">
        <v>22</v>
      </c>
      <c r="E219" t="s">
        <v>16</v>
      </c>
      <c r="F219" t="s">
        <v>20</v>
      </c>
      <c r="G219">
        <v>110163</v>
      </c>
      <c r="H219" t="s">
        <v>54</v>
      </c>
      <c r="I219">
        <v>1237</v>
      </c>
      <c r="J219">
        <v>136271631</v>
      </c>
      <c r="K219">
        <v>485497</v>
      </c>
      <c r="L219">
        <v>135786134</v>
      </c>
      <c r="M219">
        <v>394</v>
      </c>
      <c r="N219">
        <v>0.97</v>
      </c>
      <c r="O219">
        <v>6.29</v>
      </c>
      <c r="P219">
        <v>1.2</v>
      </c>
      <c r="Q219">
        <v>8</v>
      </c>
      <c r="R219">
        <f>CORREL(BMW[units_sold],BMW[gdp_growth_percent])</f>
        <v>-5.2597817623217792E-17</v>
      </c>
    </row>
    <row r="220" spans="1:18" x14ac:dyDescent="0.35">
      <c r="A220">
        <v>2016</v>
      </c>
      <c r="B220" t="s">
        <v>51</v>
      </c>
      <c r="C220" t="s">
        <v>36</v>
      </c>
      <c r="D220" t="s">
        <v>15</v>
      </c>
      <c r="E220" t="s">
        <v>19</v>
      </c>
      <c r="F220" t="s">
        <v>20</v>
      </c>
      <c r="G220">
        <v>113002</v>
      </c>
      <c r="H220" t="s">
        <v>54</v>
      </c>
      <c r="I220">
        <v>318</v>
      </c>
      <c r="J220">
        <v>35934636</v>
      </c>
      <c r="K220">
        <v>101482</v>
      </c>
      <c r="L220">
        <v>35833154</v>
      </c>
      <c r="M220">
        <v>126</v>
      </c>
      <c r="N220">
        <v>0.97</v>
      </c>
      <c r="O220">
        <v>6.29</v>
      </c>
      <c r="P220">
        <v>1.2</v>
      </c>
      <c r="Q220">
        <v>9</v>
      </c>
      <c r="R220">
        <f>CORREL(BMW[units_sold],BMW[gdp_growth_percent])</f>
        <v>-5.2597817623217792E-17</v>
      </c>
    </row>
    <row r="221" spans="1:18" x14ac:dyDescent="0.35">
      <c r="A221">
        <v>2022</v>
      </c>
      <c r="B221" t="s">
        <v>46</v>
      </c>
      <c r="C221" t="s">
        <v>38</v>
      </c>
      <c r="D221" t="s">
        <v>18</v>
      </c>
      <c r="E221" t="s">
        <v>19</v>
      </c>
      <c r="F221" t="s">
        <v>23</v>
      </c>
      <c r="G221">
        <v>77614</v>
      </c>
      <c r="H221" t="s">
        <v>55</v>
      </c>
      <c r="I221">
        <v>592</v>
      </c>
      <c r="J221">
        <v>45947488</v>
      </c>
      <c r="K221">
        <v>498073</v>
      </c>
      <c r="L221">
        <v>45449415</v>
      </c>
      <c r="M221">
        <v>125</v>
      </c>
      <c r="N221">
        <v>0.97</v>
      </c>
      <c r="O221">
        <v>6.29</v>
      </c>
      <c r="P221">
        <v>1.2</v>
      </c>
      <c r="Q221">
        <v>7</v>
      </c>
      <c r="R221">
        <f>CORREL(BMW[units_sold],BMW[gdp_growth_percent])</f>
        <v>-5.2597817623217792E-17</v>
      </c>
    </row>
    <row r="222" spans="1:18" x14ac:dyDescent="0.35">
      <c r="A222">
        <v>2015</v>
      </c>
      <c r="B222" t="s">
        <v>44</v>
      </c>
      <c r="C222" t="s">
        <v>28</v>
      </c>
      <c r="D222" t="s">
        <v>26</v>
      </c>
      <c r="E222" t="s">
        <v>16</v>
      </c>
      <c r="F222" t="s">
        <v>27</v>
      </c>
      <c r="G222">
        <v>47720</v>
      </c>
      <c r="H222" t="s">
        <v>57</v>
      </c>
      <c r="I222">
        <v>677</v>
      </c>
      <c r="J222">
        <v>32306440</v>
      </c>
      <c r="K222">
        <v>172989</v>
      </c>
      <c r="L222">
        <v>32133451</v>
      </c>
      <c r="M222">
        <v>246</v>
      </c>
      <c r="N222">
        <v>0.97</v>
      </c>
      <c r="O222">
        <v>6.29</v>
      </c>
      <c r="P222">
        <v>1.2</v>
      </c>
      <c r="Q222">
        <v>5</v>
      </c>
      <c r="R222">
        <f>CORREL(BMW[units_sold],BMW[gdp_growth_percent])</f>
        <v>-5.2597817623217792E-17</v>
      </c>
    </row>
    <row r="223" spans="1:18" x14ac:dyDescent="0.35">
      <c r="A223">
        <v>2023</v>
      </c>
      <c r="B223" t="s">
        <v>49</v>
      </c>
      <c r="C223" t="s">
        <v>14</v>
      </c>
      <c r="D223" t="s">
        <v>31</v>
      </c>
      <c r="E223" t="s">
        <v>20</v>
      </c>
      <c r="F223" t="s">
        <v>23</v>
      </c>
      <c r="G223">
        <v>92608</v>
      </c>
      <c r="H223" t="s">
        <v>54</v>
      </c>
      <c r="I223">
        <v>551</v>
      </c>
      <c r="J223">
        <v>51027008</v>
      </c>
      <c r="K223">
        <v>460616</v>
      </c>
      <c r="L223">
        <v>50566392</v>
      </c>
      <c r="M223">
        <v>114</v>
      </c>
      <c r="N223">
        <v>0.97</v>
      </c>
      <c r="O223">
        <v>6.29</v>
      </c>
      <c r="P223">
        <v>1.2</v>
      </c>
      <c r="Q223">
        <v>5</v>
      </c>
      <c r="R223">
        <f>CORREL(BMW[units_sold],BMW[gdp_growth_percent])</f>
        <v>-5.2597817623217792E-17</v>
      </c>
    </row>
    <row r="224" spans="1:18" x14ac:dyDescent="0.35">
      <c r="A224">
        <v>2023</v>
      </c>
      <c r="B224" t="s">
        <v>52</v>
      </c>
      <c r="C224" t="s">
        <v>37</v>
      </c>
      <c r="D224" t="s">
        <v>15</v>
      </c>
      <c r="E224" t="s">
        <v>19</v>
      </c>
      <c r="F224" t="s">
        <v>20</v>
      </c>
      <c r="G224">
        <v>107095</v>
      </c>
      <c r="H224" t="s">
        <v>54</v>
      </c>
      <c r="I224">
        <v>924</v>
      </c>
      <c r="J224">
        <v>98955780</v>
      </c>
      <c r="K224">
        <v>352259</v>
      </c>
      <c r="L224">
        <v>98603521</v>
      </c>
      <c r="M224">
        <v>268</v>
      </c>
      <c r="N224">
        <v>0.97</v>
      </c>
      <c r="O224">
        <v>6.29</v>
      </c>
      <c r="P224">
        <v>1.2</v>
      </c>
      <c r="Q224">
        <v>10</v>
      </c>
      <c r="R224">
        <f>CORREL(BMW[units_sold],BMW[gdp_growth_percent])</f>
        <v>-5.2597817623217792E-17</v>
      </c>
    </row>
    <row r="225" spans="1:18" x14ac:dyDescent="0.35">
      <c r="A225">
        <v>2016</v>
      </c>
      <c r="B225" t="s">
        <v>46</v>
      </c>
      <c r="C225" t="s">
        <v>35</v>
      </c>
      <c r="D225" t="s">
        <v>31</v>
      </c>
      <c r="E225" t="s">
        <v>20</v>
      </c>
      <c r="F225" t="s">
        <v>20</v>
      </c>
      <c r="G225">
        <v>119694</v>
      </c>
      <c r="H225" t="s">
        <v>54</v>
      </c>
      <c r="I225">
        <v>536</v>
      </c>
      <c r="J225">
        <v>64155984</v>
      </c>
      <c r="K225">
        <v>326393</v>
      </c>
      <c r="L225">
        <v>63829591</v>
      </c>
      <c r="M225">
        <v>55</v>
      </c>
      <c r="N225">
        <v>0.97</v>
      </c>
      <c r="O225">
        <v>6.29</v>
      </c>
      <c r="P225">
        <v>1.2</v>
      </c>
      <c r="Q225">
        <v>6</v>
      </c>
      <c r="R225">
        <f>CORREL(BMW[units_sold],BMW[gdp_growth_percent])</f>
        <v>-5.2597817623217792E-17</v>
      </c>
    </row>
    <row r="226" spans="1:18" x14ac:dyDescent="0.35">
      <c r="A226">
        <v>2021</v>
      </c>
      <c r="B226" t="s">
        <v>47</v>
      </c>
      <c r="C226" t="s">
        <v>28</v>
      </c>
      <c r="D226" t="s">
        <v>22</v>
      </c>
      <c r="E226" t="s">
        <v>16</v>
      </c>
      <c r="F226" t="s">
        <v>20</v>
      </c>
      <c r="G226">
        <v>70892</v>
      </c>
      <c r="H226" t="s">
        <v>55</v>
      </c>
      <c r="I226">
        <v>1099</v>
      </c>
      <c r="J226">
        <v>77910308</v>
      </c>
      <c r="K226">
        <v>294255</v>
      </c>
      <c r="L226">
        <v>77616053</v>
      </c>
      <c r="M226">
        <v>320</v>
      </c>
      <c r="N226">
        <v>0.97</v>
      </c>
      <c r="O226">
        <v>6.29</v>
      </c>
      <c r="P226">
        <v>1.2</v>
      </c>
      <c r="Q226">
        <v>5</v>
      </c>
      <c r="R226">
        <f>CORREL(BMW[units_sold],BMW[gdp_growth_percent])</f>
        <v>-5.2597817623217792E-17</v>
      </c>
    </row>
    <row r="227" spans="1:18" x14ac:dyDescent="0.35">
      <c r="A227">
        <v>2024</v>
      </c>
      <c r="B227" t="s">
        <v>45</v>
      </c>
      <c r="C227" t="s">
        <v>32</v>
      </c>
      <c r="D227" t="s">
        <v>34</v>
      </c>
      <c r="E227" t="s">
        <v>20</v>
      </c>
      <c r="F227" t="s">
        <v>23</v>
      </c>
      <c r="G227">
        <v>112242</v>
      </c>
      <c r="H227" t="s">
        <v>54</v>
      </c>
      <c r="I227">
        <v>894</v>
      </c>
      <c r="J227">
        <v>100344348</v>
      </c>
      <c r="K227">
        <v>490041</v>
      </c>
      <c r="L227">
        <v>99854307</v>
      </c>
      <c r="M227">
        <v>340</v>
      </c>
      <c r="N227">
        <v>0.97</v>
      </c>
      <c r="O227">
        <v>6.29</v>
      </c>
      <c r="P227">
        <v>1.2</v>
      </c>
      <c r="Q227">
        <v>9</v>
      </c>
      <c r="R227">
        <f>CORREL(BMW[units_sold],BMW[gdp_growth_percent])</f>
        <v>-5.2597817623217792E-17</v>
      </c>
    </row>
    <row r="228" spans="1:18" x14ac:dyDescent="0.35">
      <c r="A228">
        <v>2017</v>
      </c>
      <c r="B228" t="s">
        <v>48</v>
      </c>
      <c r="C228" t="s">
        <v>25</v>
      </c>
      <c r="D228" t="s">
        <v>18</v>
      </c>
      <c r="E228" t="s">
        <v>19</v>
      </c>
      <c r="F228" t="s">
        <v>27</v>
      </c>
      <c r="G228">
        <v>112606</v>
      </c>
      <c r="H228" t="s">
        <v>54</v>
      </c>
      <c r="I228">
        <v>665</v>
      </c>
      <c r="J228">
        <v>74882990</v>
      </c>
      <c r="K228">
        <v>160361</v>
      </c>
      <c r="L228">
        <v>74722629</v>
      </c>
      <c r="M228">
        <v>225</v>
      </c>
      <c r="N228">
        <v>0.97</v>
      </c>
      <c r="O228">
        <v>6.29</v>
      </c>
      <c r="P228">
        <v>1.2</v>
      </c>
      <c r="Q228">
        <v>3</v>
      </c>
      <c r="R228">
        <f>CORREL(BMW[units_sold],BMW[gdp_growth_percent])</f>
        <v>-5.2597817623217792E-17</v>
      </c>
    </row>
    <row r="229" spans="1:18" x14ac:dyDescent="0.35">
      <c r="A229">
        <v>2021</v>
      </c>
      <c r="B229" t="s">
        <v>49</v>
      </c>
      <c r="C229" t="s">
        <v>38</v>
      </c>
      <c r="D229" t="s">
        <v>18</v>
      </c>
      <c r="E229" t="s">
        <v>20</v>
      </c>
      <c r="F229" t="s">
        <v>17</v>
      </c>
      <c r="G229">
        <v>35924</v>
      </c>
      <c r="H229" t="s">
        <v>57</v>
      </c>
      <c r="I229">
        <v>830</v>
      </c>
      <c r="J229">
        <v>29816920</v>
      </c>
      <c r="K229">
        <v>336744</v>
      </c>
      <c r="L229">
        <v>29480176</v>
      </c>
      <c r="M229">
        <v>310</v>
      </c>
      <c r="N229">
        <v>0.97</v>
      </c>
      <c r="O229">
        <v>6.29</v>
      </c>
      <c r="P229">
        <v>1.2</v>
      </c>
      <c r="Q229">
        <v>3</v>
      </c>
      <c r="R229">
        <f>CORREL(BMW[units_sold],BMW[gdp_growth_percent])</f>
        <v>-5.2597817623217792E-17</v>
      </c>
    </row>
    <row r="230" spans="1:18" x14ac:dyDescent="0.35">
      <c r="A230">
        <v>2024</v>
      </c>
      <c r="B230" t="s">
        <v>52</v>
      </c>
      <c r="C230" t="s">
        <v>35</v>
      </c>
      <c r="D230" t="s">
        <v>33</v>
      </c>
      <c r="E230" t="s">
        <v>20</v>
      </c>
      <c r="F230" t="s">
        <v>23</v>
      </c>
      <c r="G230">
        <v>86322</v>
      </c>
      <c r="H230" t="s">
        <v>54</v>
      </c>
      <c r="I230">
        <v>705</v>
      </c>
      <c r="J230">
        <v>60857010</v>
      </c>
      <c r="K230">
        <v>349850</v>
      </c>
      <c r="L230">
        <v>60507160</v>
      </c>
      <c r="M230">
        <v>342</v>
      </c>
      <c r="N230">
        <v>0.97</v>
      </c>
      <c r="O230">
        <v>6.29</v>
      </c>
      <c r="P230">
        <v>1.2</v>
      </c>
      <c r="Q230">
        <v>7</v>
      </c>
      <c r="R230">
        <f>CORREL(BMW[units_sold],BMW[gdp_growth_percent])</f>
        <v>-5.2597817623217792E-17</v>
      </c>
    </row>
    <row r="231" spans="1:18" x14ac:dyDescent="0.35">
      <c r="A231">
        <v>2023</v>
      </c>
      <c r="B231" t="s">
        <v>41</v>
      </c>
      <c r="C231" t="s">
        <v>25</v>
      </c>
      <c r="D231" t="s">
        <v>15</v>
      </c>
      <c r="E231" t="s">
        <v>16</v>
      </c>
      <c r="F231" t="s">
        <v>20</v>
      </c>
      <c r="G231">
        <v>61478</v>
      </c>
      <c r="H231" t="s">
        <v>55</v>
      </c>
      <c r="I231">
        <v>360</v>
      </c>
      <c r="J231">
        <v>22132080</v>
      </c>
      <c r="K231">
        <v>331366</v>
      </c>
      <c r="L231">
        <v>21800714</v>
      </c>
      <c r="M231">
        <v>33</v>
      </c>
      <c r="N231">
        <v>0.97</v>
      </c>
      <c r="O231">
        <v>6.29</v>
      </c>
      <c r="P231">
        <v>1.2</v>
      </c>
      <c r="Q231">
        <v>7</v>
      </c>
      <c r="R231">
        <f>CORREL(BMW[units_sold],BMW[gdp_growth_percent])</f>
        <v>-5.2597817623217792E-17</v>
      </c>
    </row>
    <row r="232" spans="1:18" x14ac:dyDescent="0.35">
      <c r="A232">
        <v>2018</v>
      </c>
      <c r="B232" t="s">
        <v>46</v>
      </c>
      <c r="C232" t="s">
        <v>38</v>
      </c>
      <c r="D232" t="s">
        <v>39</v>
      </c>
      <c r="E232" t="s">
        <v>16</v>
      </c>
      <c r="F232" t="s">
        <v>23</v>
      </c>
      <c r="G232">
        <v>106042</v>
      </c>
      <c r="H232" t="s">
        <v>54</v>
      </c>
      <c r="I232">
        <v>152</v>
      </c>
      <c r="J232">
        <v>16118384</v>
      </c>
      <c r="K232">
        <v>411185</v>
      </c>
      <c r="L232">
        <v>15707199</v>
      </c>
      <c r="M232">
        <v>44</v>
      </c>
      <c r="N232">
        <v>0.97</v>
      </c>
      <c r="O232">
        <v>6.29</v>
      </c>
      <c r="P232">
        <v>1.2</v>
      </c>
      <c r="Q232">
        <v>6</v>
      </c>
      <c r="R232">
        <f>CORREL(BMW[units_sold],BMW[gdp_growth_percent])</f>
        <v>-5.2597817623217792E-17</v>
      </c>
    </row>
    <row r="233" spans="1:18" x14ac:dyDescent="0.35">
      <c r="A233">
        <v>2015</v>
      </c>
      <c r="B233" t="s">
        <v>48</v>
      </c>
      <c r="C233" t="s">
        <v>21</v>
      </c>
      <c r="D233" t="s">
        <v>26</v>
      </c>
      <c r="E233" t="s">
        <v>16</v>
      </c>
      <c r="F233" t="s">
        <v>20</v>
      </c>
      <c r="G233">
        <v>81418</v>
      </c>
      <c r="H233" t="s">
        <v>54</v>
      </c>
      <c r="I233">
        <v>162</v>
      </c>
      <c r="J233">
        <v>13189716</v>
      </c>
      <c r="K233">
        <v>416648</v>
      </c>
      <c r="L233">
        <v>12773068</v>
      </c>
      <c r="M233">
        <v>33</v>
      </c>
      <c r="N233">
        <v>0.97</v>
      </c>
      <c r="O233">
        <v>6.29</v>
      </c>
      <c r="P233">
        <v>1.2</v>
      </c>
      <c r="Q233">
        <v>3</v>
      </c>
      <c r="R233">
        <f>CORREL(BMW[units_sold],BMW[gdp_growth_percent])</f>
        <v>-5.2597817623217792E-17</v>
      </c>
    </row>
    <row r="234" spans="1:18" x14ac:dyDescent="0.35">
      <c r="A234">
        <v>2016</v>
      </c>
      <c r="B234" t="s">
        <v>49</v>
      </c>
      <c r="C234" t="s">
        <v>14</v>
      </c>
      <c r="D234" t="s">
        <v>39</v>
      </c>
      <c r="E234" t="s">
        <v>19</v>
      </c>
      <c r="F234" t="s">
        <v>17</v>
      </c>
      <c r="G234">
        <v>97217</v>
      </c>
      <c r="H234" t="s">
        <v>54</v>
      </c>
      <c r="I234">
        <v>411</v>
      </c>
      <c r="J234">
        <v>39956187</v>
      </c>
      <c r="K234">
        <v>91139</v>
      </c>
      <c r="L234">
        <v>39865048</v>
      </c>
      <c r="M234">
        <v>37</v>
      </c>
      <c r="N234">
        <v>0.97</v>
      </c>
      <c r="O234">
        <v>6.29</v>
      </c>
      <c r="P234">
        <v>1.2</v>
      </c>
      <c r="Q234">
        <v>7</v>
      </c>
      <c r="R234">
        <f>CORREL(BMW[units_sold],BMW[gdp_growth_percent])</f>
        <v>-5.2597817623217792E-17</v>
      </c>
    </row>
    <row r="235" spans="1:18" x14ac:dyDescent="0.35">
      <c r="A235">
        <v>2015</v>
      </c>
      <c r="B235" t="s">
        <v>47</v>
      </c>
      <c r="C235" t="s">
        <v>28</v>
      </c>
      <c r="D235" t="s">
        <v>33</v>
      </c>
      <c r="E235" t="s">
        <v>19</v>
      </c>
      <c r="F235" t="s">
        <v>17</v>
      </c>
      <c r="G235">
        <v>115846</v>
      </c>
      <c r="H235" t="s">
        <v>54</v>
      </c>
      <c r="I235">
        <v>359</v>
      </c>
      <c r="J235">
        <v>41588714</v>
      </c>
      <c r="K235">
        <v>164919</v>
      </c>
      <c r="L235">
        <v>41423795</v>
      </c>
      <c r="M235">
        <v>25</v>
      </c>
      <c r="N235">
        <v>0.97</v>
      </c>
      <c r="O235">
        <v>6.29</v>
      </c>
      <c r="P235">
        <v>1.2</v>
      </c>
      <c r="Q235">
        <v>5</v>
      </c>
      <c r="R235">
        <f>CORREL(BMW[units_sold],BMW[gdp_growth_percent])</f>
        <v>-5.2597817623217792E-17</v>
      </c>
    </row>
    <row r="236" spans="1:18" x14ac:dyDescent="0.35">
      <c r="A236">
        <v>2019</v>
      </c>
      <c r="B236" t="s">
        <v>43</v>
      </c>
      <c r="C236" t="s">
        <v>30</v>
      </c>
      <c r="D236" t="s">
        <v>22</v>
      </c>
      <c r="E236" t="s">
        <v>16</v>
      </c>
      <c r="F236" t="s">
        <v>27</v>
      </c>
      <c r="G236">
        <v>108762</v>
      </c>
      <c r="H236" t="s">
        <v>54</v>
      </c>
      <c r="I236">
        <v>367</v>
      </c>
      <c r="J236">
        <v>39915654</v>
      </c>
      <c r="K236">
        <v>297677</v>
      </c>
      <c r="L236">
        <v>39617977</v>
      </c>
      <c r="M236">
        <v>68</v>
      </c>
      <c r="N236">
        <v>0.97</v>
      </c>
      <c r="O236">
        <v>6.29</v>
      </c>
      <c r="P236">
        <v>1.2</v>
      </c>
      <c r="Q236">
        <v>7</v>
      </c>
      <c r="R236">
        <f>CORREL(BMW[units_sold],BMW[gdp_growth_percent])</f>
        <v>-5.2597817623217792E-17</v>
      </c>
    </row>
    <row r="237" spans="1:18" x14ac:dyDescent="0.35">
      <c r="A237">
        <v>2019</v>
      </c>
      <c r="B237" t="s">
        <v>51</v>
      </c>
      <c r="C237" t="s">
        <v>38</v>
      </c>
      <c r="D237" t="s">
        <v>26</v>
      </c>
      <c r="E237" t="s">
        <v>16</v>
      </c>
      <c r="F237" t="s">
        <v>20</v>
      </c>
      <c r="G237">
        <v>46781</v>
      </c>
      <c r="H237" t="s">
        <v>57</v>
      </c>
      <c r="I237">
        <v>644</v>
      </c>
      <c r="J237">
        <v>30126964</v>
      </c>
      <c r="K237">
        <v>353446</v>
      </c>
      <c r="L237">
        <v>29773518</v>
      </c>
      <c r="M237">
        <v>252</v>
      </c>
      <c r="N237">
        <v>0.97</v>
      </c>
      <c r="O237">
        <v>6.29</v>
      </c>
      <c r="P237">
        <v>1.2</v>
      </c>
      <c r="Q237">
        <v>2</v>
      </c>
      <c r="R237">
        <f>CORREL(BMW[units_sold],BMW[gdp_growth_percent])</f>
        <v>-5.2597817623217792E-17</v>
      </c>
    </row>
    <row r="238" spans="1:18" x14ac:dyDescent="0.35">
      <c r="A238">
        <v>2021</v>
      </c>
      <c r="B238" t="s">
        <v>46</v>
      </c>
      <c r="C238" t="s">
        <v>30</v>
      </c>
      <c r="D238" t="s">
        <v>34</v>
      </c>
      <c r="E238" t="s">
        <v>19</v>
      </c>
      <c r="F238" t="s">
        <v>27</v>
      </c>
      <c r="G238">
        <v>40515</v>
      </c>
      <c r="H238" t="s">
        <v>57</v>
      </c>
      <c r="I238">
        <v>530</v>
      </c>
      <c r="J238">
        <v>21472950</v>
      </c>
      <c r="K238">
        <v>275756</v>
      </c>
      <c r="L238">
        <v>21197194</v>
      </c>
      <c r="M238">
        <v>216</v>
      </c>
      <c r="N238">
        <v>0.97</v>
      </c>
      <c r="O238">
        <v>6.29</v>
      </c>
      <c r="P238">
        <v>1.2</v>
      </c>
      <c r="Q238">
        <v>6</v>
      </c>
      <c r="R238">
        <f>CORREL(BMW[units_sold],BMW[gdp_growth_percent])</f>
        <v>-5.2597817623217792E-17</v>
      </c>
    </row>
    <row r="239" spans="1:18" x14ac:dyDescent="0.35">
      <c r="A239">
        <v>2023</v>
      </c>
      <c r="B239" t="s">
        <v>47</v>
      </c>
      <c r="C239" t="s">
        <v>14</v>
      </c>
      <c r="D239" t="s">
        <v>39</v>
      </c>
      <c r="E239" t="s">
        <v>19</v>
      </c>
      <c r="F239" t="s">
        <v>27</v>
      </c>
      <c r="G239">
        <v>71133</v>
      </c>
      <c r="H239" t="s">
        <v>55</v>
      </c>
      <c r="I239">
        <v>899</v>
      </c>
      <c r="J239">
        <v>63948567</v>
      </c>
      <c r="K239">
        <v>399982</v>
      </c>
      <c r="L239">
        <v>63548585</v>
      </c>
      <c r="M239">
        <v>280</v>
      </c>
      <c r="N239">
        <v>0.97</v>
      </c>
      <c r="O239">
        <v>6.29</v>
      </c>
      <c r="P239">
        <v>1.2</v>
      </c>
      <c r="Q239">
        <v>8</v>
      </c>
      <c r="R239">
        <f>CORREL(BMW[units_sold],BMW[gdp_growth_percent])</f>
        <v>-5.2597817623217792E-17</v>
      </c>
    </row>
    <row r="240" spans="1:18" x14ac:dyDescent="0.35">
      <c r="A240">
        <v>2023</v>
      </c>
      <c r="B240" t="s">
        <v>49</v>
      </c>
      <c r="C240" t="s">
        <v>37</v>
      </c>
      <c r="D240" t="s">
        <v>34</v>
      </c>
      <c r="E240" t="s">
        <v>19</v>
      </c>
      <c r="F240" t="s">
        <v>17</v>
      </c>
      <c r="G240">
        <v>117508</v>
      </c>
      <c r="H240" t="s">
        <v>54</v>
      </c>
      <c r="I240">
        <v>550</v>
      </c>
      <c r="J240">
        <v>64629400</v>
      </c>
      <c r="K240">
        <v>189718</v>
      </c>
      <c r="L240">
        <v>64439682</v>
      </c>
      <c r="M240">
        <v>258</v>
      </c>
      <c r="N240">
        <v>0.97</v>
      </c>
      <c r="O240">
        <v>6.29</v>
      </c>
      <c r="P240">
        <v>1.2</v>
      </c>
      <c r="Q240">
        <v>1</v>
      </c>
      <c r="R240">
        <f>CORREL(BMW[units_sold],BMW[gdp_growth_percent])</f>
        <v>-5.2597817623217792E-17</v>
      </c>
    </row>
    <row r="241" spans="1:18" x14ac:dyDescent="0.35">
      <c r="A241">
        <v>2017</v>
      </c>
      <c r="B241" t="s">
        <v>46</v>
      </c>
      <c r="C241" t="s">
        <v>32</v>
      </c>
      <c r="D241" t="s">
        <v>39</v>
      </c>
      <c r="E241" t="s">
        <v>19</v>
      </c>
      <c r="F241" t="s">
        <v>23</v>
      </c>
      <c r="G241">
        <v>111946</v>
      </c>
      <c r="H241" t="s">
        <v>54</v>
      </c>
      <c r="I241">
        <v>903</v>
      </c>
      <c r="J241">
        <v>101087238</v>
      </c>
      <c r="K241">
        <v>194615</v>
      </c>
      <c r="L241">
        <v>100892623</v>
      </c>
      <c r="M241">
        <v>276</v>
      </c>
      <c r="N241">
        <v>0.97</v>
      </c>
      <c r="O241">
        <v>6.29</v>
      </c>
      <c r="P241">
        <v>1.2</v>
      </c>
      <c r="Q241">
        <v>4</v>
      </c>
      <c r="R241">
        <f>CORREL(BMW[units_sold],BMW[gdp_growth_percent])</f>
        <v>-5.2597817623217792E-17</v>
      </c>
    </row>
    <row r="242" spans="1:18" x14ac:dyDescent="0.35">
      <c r="A242">
        <v>2017</v>
      </c>
      <c r="B242" t="s">
        <v>44</v>
      </c>
      <c r="C242" t="s">
        <v>28</v>
      </c>
      <c r="D242" t="s">
        <v>34</v>
      </c>
      <c r="E242" t="s">
        <v>16</v>
      </c>
      <c r="F242" t="s">
        <v>23</v>
      </c>
      <c r="G242">
        <v>44095</v>
      </c>
      <c r="H242" t="s">
        <v>57</v>
      </c>
      <c r="I242">
        <v>860</v>
      </c>
      <c r="J242">
        <v>37921700</v>
      </c>
      <c r="K242">
        <v>275568</v>
      </c>
      <c r="L242">
        <v>37646132</v>
      </c>
      <c r="M242">
        <v>202</v>
      </c>
      <c r="N242">
        <v>0.97</v>
      </c>
      <c r="O242">
        <v>6.29</v>
      </c>
      <c r="P242">
        <v>1.2</v>
      </c>
      <c r="Q242">
        <v>1</v>
      </c>
      <c r="R242">
        <f>CORREL(BMW[units_sold],BMW[gdp_growth_percent])</f>
        <v>-5.2597817623217792E-17</v>
      </c>
    </row>
    <row r="243" spans="1:18" x14ac:dyDescent="0.35">
      <c r="A243">
        <v>2017</v>
      </c>
      <c r="B243" t="s">
        <v>48</v>
      </c>
      <c r="C243" t="s">
        <v>14</v>
      </c>
      <c r="D243" t="s">
        <v>39</v>
      </c>
      <c r="E243" t="s">
        <v>19</v>
      </c>
      <c r="F243" t="s">
        <v>27</v>
      </c>
      <c r="G243">
        <v>55470</v>
      </c>
      <c r="H243" t="s">
        <v>55</v>
      </c>
      <c r="I243">
        <v>1012</v>
      </c>
      <c r="J243">
        <v>56135640</v>
      </c>
      <c r="K243">
        <v>203857</v>
      </c>
      <c r="L243">
        <v>55931783</v>
      </c>
      <c r="M243">
        <v>344</v>
      </c>
      <c r="N243">
        <v>0.97</v>
      </c>
      <c r="O243">
        <v>6.29</v>
      </c>
      <c r="P243">
        <v>1.2</v>
      </c>
      <c r="Q243">
        <v>1</v>
      </c>
      <c r="R243">
        <f>CORREL(BMW[units_sold],BMW[gdp_growth_percent])</f>
        <v>-5.2597817623217792E-17</v>
      </c>
    </row>
    <row r="244" spans="1:18" x14ac:dyDescent="0.35">
      <c r="A244">
        <v>2018</v>
      </c>
      <c r="B244" t="s">
        <v>49</v>
      </c>
      <c r="C244" t="s">
        <v>14</v>
      </c>
      <c r="D244" t="s">
        <v>34</v>
      </c>
      <c r="E244" t="s">
        <v>16</v>
      </c>
      <c r="F244" t="s">
        <v>17</v>
      </c>
      <c r="G244">
        <v>78129</v>
      </c>
      <c r="H244" t="s">
        <v>55</v>
      </c>
      <c r="I244">
        <v>538</v>
      </c>
      <c r="J244">
        <v>42033402</v>
      </c>
      <c r="K244">
        <v>390497</v>
      </c>
      <c r="L244">
        <v>41642905</v>
      </c>
      <c r="M244">
        <v>227</v>
      </c>
      <c r="N244">
        <v>0.97</v>
      </c>
      <c r="O244">
        <v>6.29</v>
      </c>
      <c r="P244">
        <v>1.2</v>
      </c>
      <c r="Q244">
        <v>10</v>
      </c>
      <c r="R244">
        <f>CORREL(BMW[units_sold],BMW[gdp_growth_percent])</f>
        <v>-5.2597817623217792E-17</v>
      </c>
    </row>
    <row r="245" spans="1:18" x14ac:dyDescent="0.35">
      <c r="A245">
        <v>2022</v>
      </c>
      <c r="B245" t="s">
        <v>44</v>
      </c>
      <c r="C245" t="s">
        <v>21</v>
      </c>
      <c r="D245" t="s">
        <v>33</v>
      </c>
      <c r="E245" t="s">
        <v>20</v>
      </c>
      <c r="F245" t="s">
        <v>20</v>
      </c>
      <c r="G245">
        <v>43531</v>
      </c>
      <c r="H245" t="s">
        <v>57</v>
      </c>
      <c r="I245">
        <v>516</v>
      </c>
      <c r="J245">
        <v>22461996</v>
      </c>
      <c r="K245">
        <v>474622</v>
      </c>
      <c r="L245">
        <v>21987374</v>
      </c>
      <c r="M245">
        <v>124</v>
      </c>
      <c r="N245">
        <v>0.97</v>
      </c>
      <c r="O245">
        <v>6.29</v>
      </c>
      <c r="P245">
        <v>1.2</v>
      </c>
      <c r="Q245">
        <v>8</v>
      </c>
      <c r="R245">
        <f>CORREL(BMW[units_sold],BMW[gdp_growth_percent])</f>
        <v>-5.2597817623217792E-17</v>
      </c>
    </row>
    <row r="246" spans="1:18" x14ac:dyDescent="0.35">
      <c r="A246">
        <v>2020</v>
      </c>
      <c r="B246" t="s">
        <v>42</v>
      </c>
      <c r="C246" t="s">
        <v>25</v>
      </c>
      <c r="D246" t="s">
        <v>29</v>
      </c>
      <c r="E246" t="s">
        <v>20</v>
      </c>
      <c r="F246" t="s">
        <v>23</v>
      </c>
      <c r="G246">
        <v>72038</v>
      </c>
      <c r="H246" t="s">
        <v>55</v>
      </c>
      <c r="I246">
        <v>407</v>
      </c>
      <c r="J246">
        <v>29319466</v>
      </c>
      <c r="K246">
        <v>401136</v>
      </c>
      <c r="L246">
        <v>28918330</v>
      </c>
      <c r="M246">
        <v>77</v>
      </c>
      <c r="N246">
        <v>0.97</v>
      </c>
      <c r="O246">
        <v>6.29</v>
      </c>
      <c r="P246">
        <v>1.2</v>
      </c>
      <c r="Q246">
        <v>7</v>
      </c>
      <c r="R246">
        <f>CORREL(BMW[units_sold],BMW[gdp_growth_percent])</f>
        <v>-5.2597817623217792E-17</v>
      </c>
    </row>
    <row r="247" spans="1:18" x14ac:dyDescent="0.35">
      <c r="A247">
        <v>2022</v>
      </c>
      <c r="B247" t="s">
        <v>52</v>
      </c>
      <c r="C247" t="s">
        <v>32</v>
      </c>
      <c r="D247" t="s">
        <v>26</v>
      </c>
      <c r="E247" t="s">
        <v>19</v>
      </c>
      <c r="F247" t="s">
        <v>27</v>
      </c>
      <c r="G247">
        <v>77674</v>
      </c>
      <c r="H247" t="s">
        <v>55</v>
      </c>
      <c r="I247">
        <v>925</v>
      </c>
      <c r="J247">
        <v>71848450</v>
      </c>
      <c r="K247">
        <v>363572</v>
      </c>
      <c r="L247">
        <v>71484878</v>
      </c>
      <c r="M247">
        <v>308</v>
      </c>
      <c r="N247">
        <v>0.97</v>
      </c>
      <c r="O247">
        <v>6.29</v>
      </c>
      <c r="P247">
        <v>1.2</v>
      </c>
      <c r="Q247">
        <v>10</v>
      </c>
      <c r="R247">
        <f>CORREL(BMW[units_sold],BMW[gdp_growth_percent])</f>
        <v>-5.2597817623217792E-17</v>
      </c>
    </row>
    <row r="248" spans="1:18" x14ac:dyDescent="0.35">
      <c r="A248">
        <v>2015</v>
      </c>
      <c r="B248" t="s">
        <v>43</v>
      </c>
      <c r="C248" t="s">
        <v>28</v>
      </c>
      <c r="D248" t="s">
        <v>15</v>
      </c>
      <c r="E248" t="s">
        <v>20</v>
      </c>
      <c r="F248" t="s">
        <v>23</v>
      </c>
      <c r="G248">
        <v>117476</v>
      </c>
      <c r="H248" t="s">
        <v>54</v>
      </c>
      <c r="I248">
        <v>1025</v>
      </c>
      <c r="J248">
        <v>120412900</v>
      </c>
      <c r="K248">
        <v>73777</v>
      </c>
      <c r="L248">
        <v>120339123</v>
      </c>
      <c r="M248">
        <v>334</v>
      </c>
      <c r="N248">
        <v>0.97</v>
      </c>
      <c r="O248">
        <v>6.29</v>
      </c>
      <c r="P248">
        <v>1.2</v>
      </c>
      <c r="Q248">
        <v>1</v>
      </c>
      <c r="R248">
        <f>CORREL(BMW[units_sold],BMW[gdp_growth_percent])</f>
        <v>-5.2597817623217792E-17</v>
      </c>
    </row>
    <row r="249" spans="1:18" x14ac:dyDescent="0.35">
      <c r="A249">
        <v>2022</v>
      </c>
      <c r="B249" t="s">
        <v>48</v>
      </c>
      <c r="C249" t="s">
        <v>37</v>
      </c>
      <c r="D249" t="s">
        <v>22</v>
      </c>
      <c r="E249" t="s">
        <v>20</v>
      </c>
      <c r="F249" t="s">
        <v>23</v>
      </c>
      <c r="G249">
        <v>64831</v>
      </c>
      <c r="H249" t="s">
        <v>55</v>
      </c>
      <c r="I249">
        <v>450</v>
      </c>
      <c r="J249">
        <v>29173950</v>
      </c>
      <c r="K249">
        <v>107939</v>
      </c>
      <c r="L249">
        <v>29066011</v>
      </c>
      <c r="M249">
        <v>84</v>
      </c>
      <c r="N249">
        <v>0.97</v>
      </c>
      <c r="O249">
        <v>6.29</v>
      </c>
      <c r="P249">
        <v>1.2</v>
      </c>
      <c r="Q249">
        <v>2</v>
      </c>
      <c r="R249">
        <f>CORREL(BMW[units_sold],BMW[gdp_growth_percent])</f>
        <v>-5.2597817623217792E-17</v>
      </c>
    </row>
    <row r="250" spans="1:18" x14ac:dyDescent="0.35">
      <c r="A250">
        <v>2018</v>
      </c>
      <c r="B250" t="s">
        <v>46</v>
      </c>
      <c r="C250" t="s">
        <v>37</v>
      </c>
      <c r="D250" t="s">
        <v>24</v>
      </c>
      <c r="E250" t="s">
        <v>20</v>
      </c>
      <c r="F250" t="s">
        <v>20</v>
      </c>
      <c r="G250">
        <v>92174</v>
      </c>
      <c r="H250" t="s">
        <v>54</v>
      </c>
      <c r="I250">
        <v>543</v>
      </c>
      <c r="J250">
        <v>50050482</v>
      </c>
      <c r="K250">
        <v>496242</v>
      </c>
      <c r="L250">
        <v>49554240</v>
      </c>
      <c r="M250">
        <v>112</v>
      </c>
      <c r="N250">
        <v>0.97</v>
      </c>
      <c r="O250">
        <v>6.29</v>
      </c>
      <c r="P250">
        <v>1.2</v>
      </c>
      <c r="Q250">
        <v>4</v>
      </c>
      <c r="R250">
        <f>CORREL(BMW[units_sold],BMW[gdp_growth_percent])</f>
        <v>-5.2597817623217792E-17</v>
      </c>
    </row>
    <row r="251" spans="1:18" x14ac:dyDescent="0.35">
      <c r="A251">
        <v>2015</v>
      </c>
      <c r="B251" t="s">
        <v>51</v>
      </c>
      <c r="C251" t="s">
        <v>36</v>
      </c>
      <c r="D251" t="s">
        <v>31</v>
      </c>
      <c r="E251" t="s">
        <v>19</v>
      </c>
      <c r="F251" t="s">
        <v>17</v>
      </c>
      <c r="G251">
        <v>46279</v>
      </c>
      <c r="H251" t="s">
        <v>57</v>
      </c>
      <c r="I251">
        <v>999</v>
      </c>
      <c r="J251">
        <v>46232721</v>
      </c>
      <c r="K251">
        <v>398594</v>
      </c>
      <c r="L251">
        <v>45834127</v>
      </c>
      <c r="M251">
        <v>306</v>
      </c>
      <c r="N251">
        <v>0.97</v>
      </c>
      <c r="O251">
        <v>6.29</v>
      </c>
      <c r="P251">
        <v>1.2</v>
      </c>
      <c r="Q251">
        <v>1</v>
      </c>
      <c r="R251">
        <f>CORREL(BMW[units_sold],BMW[gdp_growth_percent])</f>
        <v>-5.2597817623217792E-17</v>
      </c>
    </row>
    <row r="252" spans="1:18" x14ac:dyDescent="0.35">
      <c r="A252">
        <v>2022</v>
      </c>
      <c r="B252" t="s">
        <v>47</v>
      </c>
      <c r="C252" t="s">
        <v>14</v>
      </c>
      <c r="D252" t="s">
        <v>15</v>
      </c>
      <c r="E252" t="s">
        <v>19</v>
      </c>
      <c r="F252" t="s">
        <v>20</v>
      </c>
      <c r="G252">
        <v>73220</v>
      </c>
      <c r="H252" t="s">
        <v>55</v>
      </c>
      <c r="I252">
        <v>811</v>
      </c>
      <c r="J252">
        <v>59381420</v>
      </c>
      <c r="K252">
        <v>472769</v>
      </c>
      <c r="L252">
        <v>58908651</v>
      </c>
      <c r="M252">
        <v>187</v>
      </c>
      <c r="N252">
        <v>0.97</v>
      </c>
      <c r="O252">
        <v>6.29</v>
      </c>
      <c r="P252">
        <v>1.2</v>
      </c>
      <c r="Q252">
        <v>3</v>
      </c>
      <c r="R252">
        <f>CORREL(BMW[units_sold],BMW[gdp_growth_percent])</f>
        <v>-5.2597817623217792E-17</v>
      </c>
    </row>
    <row r="253" spans="1:18" x14ac:dyDescent="0.35">
      <c r="A253">
        <v>2018</v>
      </c>
      <c r="B253" t="s">
        <v>41</v>
      </c>
      <c r="C253" t="s">
        <v>38</v>
      </c>
      <c r="D253" t="s">
        <v>31</v>
      </c>
      <c r="E253" t="s">
        <v>20</v>
      </c>
      <c r="F253" t="s">
        <v>17</v>
      </c>
      <c r="G253">
        <v>95610</v>
      </c>
      <c r="H253" t="s">
        <v>54</v>
      </c>
      <c r="I253">
        <v>685</v>
      </c>
      <c r="J253">
        <v>65492850</v>
      </c>
      <c r="K253">
        <v>73548</v>
      </c>
      <c r="L253">
        <v>65419302</v>
      </c>
      <c r="M253">
        <v>224</v>
      </c>
      <c r="N253">
        <v>0.97</v>
      </c>
      <c r="O253">
        <v>6.29</v>
      </c>
      <c r="P253">
        <v>1.2</v>
      </c>
      <c r="Q253">
        <v>8</v>
      </c>
      <c r="R253">
        <f>CORREL(BMW[units_sold],BMW[gdp_growth_percent])</f>
        <v>-5.2597817623217792E-17</v>
      </c>
    </row>
    <row r="254" spans="1:18" x14ac:dyDescent="0.35">
      <c r="A254">
        <v>2020</v>
      </c>
      <c r="B254" t="s">
        <v>47</v>
      </c>
      <c r="C254" t="s">
        <v>21</v>
      </c>
      <c r="D254" t="s">
        <v>26</v>
      </c>
      <c r="E254" t="s">
        <v>16</v>
      </c>
      <c r="F254" t="s">
        <v>23</v>
      </c>
      <c r="G254">
        <v>87719</v>
      </c>
      <c r="H254" t="s">
        <v>54</v>
      </c>
      <c r="I254">
        <v>847</v>
      </c>
      <c r="J254">
        <v>74297993</v>
      </c>
      <c r="K254">
        <v>480481</v>
      </c>
      <c r="L254">
        <v>73817512</v>
      </c>
      <c r="M254">
        <v>324</v>
      </c>
      <c r="N254">
        <v>0.97</v>
      </c>
      <c r="O254">
        <v>6.29</v>
      </c>
      <c r="P254">
        <v>1.2</v>
      </c>
      <c r="Q254">
        <v>8</v>
      </c>
      <c r="R254">
        <f>CORREL(BMW[units_sold],BMW[gdp_growth_percent])</f>
        <v>-5.2597817623217792E-17</v>
      </c>
    </row>
    <row r="255" spans="1:18" x14ac:dyDescent="0.35">
      <c r="A255">
        <v>2022</v>
      </c>
      <c r="B255" t="s">
        <v>46</v>
      </c>
      <c r="C255" t="s">
        <v>32</v>
      </c>
      <c r="D255" t="s">
        <v>15</v>
      </c>
      <c r="E255" t="s">
        <v>20</v>
      </c>
      <c r="F255" t="s">
        <v>27</v>
      </c>
      <c r="G255">
        <v>88051</v>
      </c>
      <c r="H255" t="s">
        <v>54</v>
      </c>
      <c r="I255">
        <v>209</v>
      </c>
      <c r="J255">
        <v>18402659</v>
      </c>
      <c r="K255">
        <v>175549</v>
      </c>
      <c r="L255">
        <v>18227110</v>
      </c>
      <c r="M255">
        <v>48</v>
      </c>
      <c r="N255">
        <v>0.97</v>
      </c>
      <c r="O255">
        <v>6.29</v>
      </c>
      <c r="P255">
        <v>1.2</v>
      </c>
      <c r="Q255">
        <v>8</v>
      </c>
      <c r="R255">
        <f>CORREL(BMW[units_sold],BMW[gdp_growth_percent])</f>
        <v>-5.2597817623217792E-17</v>
      </c>
    </row>
    <row r="256" spans="1:18" x14ac:dyDescent="0.35">
      <c r="A256">
        <v>2018</v>
      </c>
      <c r="B256" t="s">
        <v>43</v>
      </c>
      <c r="C256" t="s">
        <v>37</v>
      </c>
      <c r="D256" t="s">
        <v>34</v>
      </c>
      <c r="E256" t="s">
        <v>19</v>
      </c>
      <c r="F256" t="s">
        <v>20</v>
      </c>
      <c r="G256">
        <v>107013</v>
      </c>
      <c r="H256" t="s">
        <v>54</v>
      </c>
      <c r="I256">
        <v>840</v>
      </c>
      <c r="J256">
        <v>89890920</v>
      </c>
      <c r="K256">
        <v>483917</v>
      </c>
      <c r="L256">
        <v>89407003</v>
      </c>
      <c r="M256">
        <v>268</v>
      </c>
      <c r="N256">
        <v>0.97</v>
      </c>
      <c r="O256">
        <v>6.29</v>
      </c>
      <c r="P256">
        <v>1.2</v>
      </c>
      <c r="Q256">
        <v>6</v>
      </c>
      <c r="R256">
        <f>CORREL(BMW[units_sold],BMW[gdp_growth_percent])</f>
        <v>-5.2597817623217792E-17</v>
      </c>
    </row>
    <row r="257" spans="1:18" x14ac:dyDescent="0.35">
      <c r="A257">
        <v>2017</v>
      </c>
      <c r="B257" t="s">
        <v>47</v>
      </c>
      <c r="C257" t="s">
        <v>28</v>
      </c>
      <c r="D257" t="s">
        <v>34</v>
      </c>
      <c r="E257" t="s">
        <v>19</v>
      </c>
      <c r="F257" t="s">
        <v>17</v>
      </c>
      <c r="G257">
        <v>91652</v>
      </c>
      <c r="H257" t="s">
        <v>54</v>
      </c>
      <c r="I257">
        <v>725</v>
      </c>
      <c r="J257">
        <v>66447700</v>
      </c>
      <c r="K257">
        <v>494503</v>
      </c>
      <c r="L257">
        <v>65953197</v>
      </c>
      <c r="M257">
        <v>213</v>
      </c>
      <c r="N257">
        <v>0.97</v>
      </c>
      <c r="O257">
        <v>6.29</v>
      </c>
      <c r="P257">
        <v>1.2</v>
      </c>
      <c r="Q257">
        <v>6</v>
      </c>
      <c r="R257">
        <f>CORREL(BMW[units_sold],BMW[gdp_growth_percent])</f>
        <v>-5.2597817623217792E-17</v>
      </c>
    </row>
    <row r="258" spans="1:18" x14ac:dyDescent="0.35">
      <c r="A258">
        <v>2023</v>
      </c>
      <c r="B258" t="s">
        <v>52</v>
      </c>
      <c r="C258" t="s">
        <v>36</v>
      </c>
      <c r="D258" t="s">
        <v>24</v>
      </c>
      <c r="E258" t="s">
        <v>19</v>
      </c>
      <c r="F258" t="s">
        <v>23</v>
      </c>
      <c r="G258">
        <v>100524</v>
      </c>
      <c r="H258" t="s">
        <v>54</v>
      </c>
      <c r="I258">
        <v>344</v>
      </c>
      <c r="J258">
        <v>34580256</v>
      </c>
      <c r="K258">
        <v>187799</v>
      </c>
      <c r="L258">
        <v>34392457</v>
      </c>
      <c r="M258">
        <v>16</v>
      </c>
      <c r="N258">
        <v>0.97</v>
      </c>
      <c r="O258">
        <v>6.29</v>
      </c>
      <c r="P258">
        <v>1.2</v>
      </c>
      <c r="Q258">
        <v>5</v>
      </c>
      <c r="R258">
        <f>CORREL(BMW[units_sold],BMW[gdp_growth_percent])</f>
        <v>-5.2597817623217792E-17</v>
      </c>
    </row>
    <row r="259" spans="1:18" x14ac:dyDescent="0.35">
      <c r="A259">
        <v>2017</v>
      </c>
      <c r="B259" t="s">
        <v>43</v>
      </c>
      <c r="C259" t="s">
        <v>28</v>
      </c>
      <c r="D259" t="s">
        <v>31</v>
      </c>
      <c r="E259" t="s">
        <v>20</v>
      </c>
      <c r="F259" t="s">
        <v>17</v>
      </c>
      <c r="G259">
        <v>117936</v>
      </c>
      <c r="H259" t="s">
        <v>54</v>
      </c>
      <c r="I259">
        <v>441</v>
      </c>
      <c r="J259">
        <v>52009776</v>
      </c>
      <c r="K259">
        <v>291532</v>
      </c>
      <c r="L259">
        <v>51718244</v>
      </c>
      <c r="M259">
        <v>58</v>
      </c>
      <c r="N259">
        <v>0.97</v>
      </c>
      <c r="O259">
        <v>6.29</v>
      </c>
      <c r="P259">
        <v>1.2</v>
      </c>
      <c r="Q259">
        <v>9</v>
      </c>
      <c r="R259">
        <f>CORREL(BMW[units_sold],BMW[gdp_growth_percent])</f>
        <v>-5.2597817623217792E-17</v>
      </c>
    </row>
    <row r="260" spans="1:18" x14ac:dyDescent="0.35">
      <c r="A260">
        <v>2023</v>
      </c>
      <c r="B260" t="s">
        <v>49</v>
      </c>
      <c r="C260" t="s">
        <v>21</v>
      </c>
      <c r="D260" t="s">
        <v>22</v>
      </c>
      <c r="E260" t="s">
        <v>16</v>
      </c>
      <c r="F260" t="s">
        <v>17</v>
      </c>
      <c r="G260">
        <v>41470</v>
      </c>
      <c r="H260" t="s">
        <v>57</v>
      </c>
      <c r="I260">
        <v>281</v>
      </c>
      <c r="J260">
        <v>11653070</v>
      </c>
      <c r="K260">
        <v>231789</v>
      </c>
      <c r="L260">
        <v>11421281</v>
      </c>
      <c r="M260">
        <v>35</v>
      </c>
      <c r="N260">
        <v>0.97</v>
      </c>
      <c r="O260">
        <v>6.29</v>
      </c>
      <c r="P260">
        <v>1.2</v>
      </c>
      <c r="Q260">
        <v>4</v>
      </c>
      <c r="R260">
        <f>CORREL(BMW[units_sold],BMW[gdp_growth_percent])</f>
        <v>-5.2597817623217792E-17</v>
      </c>
    </row>
    <row r="261" spans="1:18" x14ac:dyDescent="0.35">
      <c r="A261">
        <v>2016</v>
      </c>
      <c r="B261" t="s">
        <v>44</v>
      </c>
      <c r="C261" t="s">
        <v>38</v>
      </c>
      <c r="D261" t="s">
        <v>26</v>
      </c>
      <c r="E261" t="s">
        <v>19</v>
      </c>
      <c r="F261" t="s">
        <v>17</v>
      </c>
      <c r="G261">
        <v>102598</v>
      </c>
      <c r="H261" t="s">
        <v>54</v>
      </c>
      <c r="I261">
        <v>625</v>
      </c>
      <c r="J261">
        <v>64123750</v>
      </c>
      <c r="K261">
        <v>475643</v>
      </c>
      <c r="L261">
        <v>63648107</v>
      </c>
      <c r="M261">
        <v>170</v>
      </c>
      <c r="N261">
        <v>0.97</v>
      </c>
      <c r="O261">
        <v>6.29</v>
      </c>
      <c r="P261">
        <v>1.2</v>
      </c>
      <c r="Q261">
        <v>10</v>
      </c>
      <c r="R261">
        <f>CORREL(BMW[units_sold],BMW[gdp_growth_percent])</f>
        <v>-5.2597817623217792E-17</v>
      </c>
    </row>
    <row r="262" spans="1:18" x14ac:dyDescent="0.35">
      <c r="A262">
        <v>2016</v>
      </c>
      <c r="B262" t="s">
        <v>41</v>
      </c>
      <c r="C262" t="s">
        <v>36</v>
      </c>
      <c r="D262" t="s">
        <v>34</v>
      </c>
      <c r="E262" t="s">
        <v>19</v>
      </c>
      <c r="F262" t="s">
        <v>23</v>
      </c>
      <c r="G262">
        <v>76798</v>
      </c>
      <c r="H262" t="s">
        <v>55</v>
      </c>
      <c r="I262">
        <v>1104</v>
      </c>
      <c r="J262">
        <v>84784992</v>
      </c>
      <c r="K262">
        <v>197764</v>
      </c>
      <c r="L262">
        <v>84587228</v>
      </c>
      <c r="M262">
        <v>366</v>
      </c>
      <c r="N262">
        <v>0.97</v>
      </c>
      <c r="O262">
        <v>6.29</v>
      </c>
      <c r="P262">
        <v>1.2</v>
      </c>
      <c r="Q262">
        <v>7</v>
      </c>
      <c r="R262">
        <f>CORREL(BMW[units_sold],BMW[gdp_growth_percent])</f>
        <v>-5.2597817623217792E-17</v>
      </c>
    </row>
    <row r="263" spans="1:18" x14ac:dyDescent="0.35">
      <c r="A263">
        <v>2016</v>
      </c>
      <c r="B263" t="s">
        <v>50</v>
      </c>
      <c r="C263" t="s">
        <v>36</v>
      </c>
      <c r="D263" t="s">
        <v>29</v>
      </c>
      <c r="E263" t="s">
        <v>20</v>
      </c>
      <c r="F263" t="s">
        <v>27</v>
      </c>
      <c r="G263">
        <v>88473</v>
      </c>
      <c r="H263" t="s">
        <v>54</v>
      </c>
      <c r="I263">
        <v>540</v>
      </c>
      <c r="J263">
        <v>47775420</v>
      </c>
      <c r="K263">
        <v>81625</v>
      </c>
      <c r="L263">
        <v>47693795</v>
      </c>
      <c r="M263">
        <v>185</v>
      </c>
      <c r="N263">
        <v>0.97</v>
      </c>
      <c r="O263">
        <v>6.29</v>
      </c>
      <c r="P263">
        <v>1.2</v>
      </c>
      <c r="Q263">
        <v>1</v>
      </c>
      <c r="R263">
        <f>CORREL(BMW[units_sold],BMW[gdp_growth_percent])</f>
        <v>-5.2597817623217792E-17</v>
      </c>
    </row>
    <row r="264" spans="1:18" x14ac:dyDescent="0.35">
      <c r="A264">
        <v>2020</v>
      </c>
      <c r="B264" t="s">
        <v>46</v>
      </c>
      <c r="C264" t="s">
        <v>25</v>
      </c>
      <c r="D264" t="s">
        <v>33</v>
      </c>
      <c r="E264" t="s">
        <v>16</v>
      </c>
      <c r="F264" t="s">
        <v>27</v>
      </c>
      <c r="G264">
        <v>54880</v>
      </c>
      <c r="H264" t="s">
        <v>55</v>
      </c>
      <c r="I264">
        <v>457</v>
      </c>
      <c r="J264">
        <v>25080160</v>
      </c>
      <c r="K264">
        <v>337062</v>
      </c>
      <c r="L264">
        <v>24743098</v>
      </c>
      <c r="M264">
        <v>88</v>
      </c>
      <c r="N264">
        <v>0.97</v>
      </c>
      <c r="O264">
        <v>6.29</v>
      </c>
      <c r="P264">
        <v>1.2</v>
      </c>
      <c r="Q264">
        <v>9</v>
      </c>
      <c r="R264">
        <f>CORREL(BMW[units_sold],BMW[gdp_growth_percent])</f>
        <v>-5.2597817623217792E-17</v>
      </c>
    </row>
    <row r="265" spans="1:18" x14ac:dyDescent="0.35">
      <c r="A265">
        <v>2017</v>
      </c>
      <c r="B265" t="s">
        <v>45</v>
      </c>
      <c r="C265" t="s">
        <v>32</v>
      </c>
      <c r="D265" t="s">
        <v>33</v>
      </c>
      <c r="E265" t="s">
        <v>20</v>
      </c>
      <c r="F265" t="s">
        <v>27</v>
      </c>
      <c r="G265">
        <v>79439</v>
      </c>
      <c r="H265" t="s">
        <v>55</v>
      </c>
      <c r="I265">
        <v>420</v>
      </c>
      <c r="J265">
        <v>33364380</v>
      </c>
      <c r="K265">
        <v>484352</v>
      </c>
      <c r="L265">
        <v>32880028</v>
      </c>
      <c r="M265">
        <v>11</v>
      </c>
      <c r="N265">
        <v>0.97</v>
      </c>
      <c r="O265">
        <v>6.29</v>
      </c>
      <c r="P265">
        <v>1.2</v>
      </c>
      <c r="Q265">
        <v>7</v>
      </c>
      <c r="R265">
        <f>CORREL(BMW[units_sold],BMW[gdp_growth_percent])</f>
        <v>-5.2597817623217792E-17</v>
      </c>
    </row>
    <row r="266" spans="1:18" x14ac:dyDescent="0.35">
      <c r="A266">
        <v>2023</v>
      </c>
      <c r="B266" t="s">
        <v>50</v>
      </c>
      <c r="C266" t="s">
        <v>36</v>
      </c>
      <c r="D266" t="s">
        <v>39</v>
      </c>
      <c r="E266" t="s">
        <v>19</v>
      </c>
      <c r="F266" t="s">
        <v>17</v>
      </c>
      <c r="G266">
        <v>49308</v>
      </c>
      <c r="H266" t="s">
        <v>57</v>
      </c>
      <c r="I266">
        <v>897</v>
      </c>
      <c r="J266">
        <v>44229276</v>
      </c>
      <c r="K266">
        <v>426970</v>
      </c>
      <c r="L266">
        <v>43802306</v>
      </c>
      <c r="M266">
        <v>392</v>
      </c>
      <c r="N266">
        <v>0.97</v>
      </c>
      <c r="O266">
        <v>6.29</v>
      </c>
      <c r="P266">
        <v>1.2</v>
      </c>
      <c r="Q266">
        <v>10</v>
      </c>
      <c r="R266">
        <f>CORREL(BMW[units_sold],BMW[gdp_growth_percent])</f>
        <v>-5.2597817623217792E-17</v>
      </c>
    </row>
    <row r="267" spans="1:18" x14ac:dyDescent="0.35">
      <c r="A267">
        <v>2018</v>
      </c>
      <c r="B267" t="s">
        <v>47</v>
      </c>
      <c r="C267" t="s">
        <v>25</v>
      </c>
      <c r="D267" t="s">
        <v>22</v>
      </c>
      <c r="E267" t="s">
        <v>16</v>
      </c>
      <c r="F267" t="s">
        <v>23</v>
      </c>
      <c r="G267">
        <v>70081</v>
      </c>
      <c r="H267" t="s">
        <v>55</v>
      </c>
      <c r="I267">
        <v>529</v>
      </c>
      <c r="J267">
        <v>37072849</v>
      </c>
      <c r="K267">
        <v>164881</v>
      </c>
      <c r="L267">
        <v>36907968</v>
      </c>
      <c r="M267">
        <v>141</v>
      </c>
      <c r="N267">
        <v>0.97</v>
      </c>
      <c r="O267">
        <v>6.29</v>
      </c>
      <c r="P267">
        <v>1.2</v>
      </c>
      <c r="Q267">
        <v>9</v>
      </c>
      <c r="R267">
        <f>CORREL(BMW[units_sold],BMW[gdp_growth_percent])</f>
        <v>-5.2597817623217792E-17</v>
      </c>
    </row>
    <row r="268" spans="1:18" x14ac:dyDescent="0.35">
      <c r="A268">
        <v>2015</v>
      </c>
      <c r="B268" t="s">
        <v>46</v>
      </c>
      <c r="C268" t="s">
        <v>25</v>
      </c>
      <c r="D268" t="s">
        <v>33</v>
      </c>
      <c r="E268" t="s">
        <v>16</v>
      </c>
      <c r="F268" t="s">
        <v>17</v>
      </c>
      <c r="G268">
        <v>110242</v>
      </c>
      <c r="H268" t="s">
        <v>54</v>
      </c>
      <c r="I268">
        <v>943</v>
      </c>
      <c r="J268">
        <v>103958206</v>
      </c>
      <c r="K268">
        <v>495625</v>
      </c>
      <c r="L268">
        <v>103462581</v>
      </c>
      <c r="M268">
        <v>285</v>
      </c>
      <c r="N268">
        <v>0.97</v>
      </c>
      <c r="O268">
        <v>6.29</v>
      </c>
      <c r="P268">
        <v>1.2</v>
      </c>
      <c r="Q268">
        <v>7</v>
      </c>
      <c r="R268">
        <f>CORREL(BMW[units_sold],BMW[gdp_growth_percent])</f>
        <v>-5.2597817623217792E-17</v>
      </c>
    </row>
    <row r="269" spans="1:18" x14ac:dyDescent="0.35">
      <c r="A269">
        <v>2018</v>
      </c>
      <c r="B269" t="s">
        <v>44</v>
      </c>
      <c r="C269" t="s">
        <v>21</v>
      </c>
      <c r="D269" t="s">
        <v>39</v>
      </c>
      <c r="E269" t="s">
        <v>19</v>
      </c>
      <c r="F269" t="s">
        <v>27</v>
      </c>
      <c r="G269">
        <v>85383</v>
      </c>
      <c r="H269" t="s">
        <v>54</v>
      </c>
      <c r="I269">
        <v>634</v>
      </c>
      <c r="J269">
        <v>54132822</v>
      </c>
      <c r="K269">
        <v>327721</v>
      </c>
      <c r="L269">
        <v>53805101</v>
      </c>
      <c r="M269">
        <v>126</v>
      </c>
      <c r="N269">
        <v>0.97</v>
      </c>
      <c r="O269">
        <v>6.29</v>
      </c>
      <c r="P269">
        <v>1.2</v>
      </c>
      <c r="Q269">
        <v>2</v>
      </c>
      <c r="R269">
        <f>CORREL(BMW[units_sold],BMW[gdp_growth_percent])</f>
        <v>-5.2597817623217792E-17</v>
      </c>
    </row>
    <row r="270" spans="1:18" x14ac:dyDescent="0.35">
      <c r="A270">
        <v>2015</v>
      </c>
      <c r="B270" t="s">
        <v>42</v>
      </c>
      <c r="C270" t="s">
        <v>30</v>
      </c>
      <c r="D270" t="s">
        <v>31</v>
      </c>
      <c r="E270" t="s">
        <v>16</v>
      </c>
      <c r="F270" t="s">
        <v>27</v>
      </c>
      <c r="G270">
        <v>44837</v>
      </c>
      <c r="H270" t="s">
        <v>57</v>
      </c>
      <c r="I270">
        <v>670</v>
      </c>
      <c r="J270">
        <v>30040790</v>
      </c>
      <c r="K270">
        <v>397299</v>
      </c>
      <c r="L270">
        <v>29643491</v>
      </c>
      <c r="M270">
        <v>173</v>
      </c>
      <c r="N270">
        <v>0.97</v>
      </c>
      <c r="O270">
        <v>6.29</v>
      </c>
      <c r="P270">
        <v>1.2</v>
      </c>
      <c r="Q270">
        <v>6</v>
      </c>
      <c r="R270">
        <f>CORREL(BMW[units_sold],BMW[gdp_growth_percent])</f>
        <v>-5.2597817623217792E-17</v>
      </c>
    </row>
    <row r="271" spans="1:18" x14ac:dyDescent="0.35">
      <c r="A271">
        <v>2019</v>
      </c>
      <c r="B271" t="s">
        <v>44</v>
      </c>
      <c r="C271" t="s">
        <v>28</v>
      </c>
      <c r="D271" t="s">
        <v>34</v>
      </c>
      <c r="E271" t="s">
        <v>16</v>
      </c>
      <c r="F271" t="s">
        <v>23</v>
      </c>
      <c r="G271">
        <v>87151</v>
      </c>
      <c r="H271" t="s">
        <v>54</v>
      </c>
      <c r="I271">
        <v>1001</v>
      </c>
      <c r="J271">
        <v>87238151</v>
      </c>
      <c r="K271">
        <v>161776</v>
      </c>
      <c r="L271">
        <v>87076375</v>
      </c>
      <c r="M271">
        <v>297</v>
      </c>
      <c r="N271">
        <v>0.97</v>
      </c>
      <c r="O271">
        <v>6.29</v>
      </c>
      <c r="P271">
        <v>1.2</v>
      </c>
      <c r="Q271">
        <v>10</v>
      </c>
      <c r="R271">
        <f>CORREL(BMW[units_sold],BMW[gdp_growth_percent])</f>
        <v>-5.2597817623217792E-17</v>
      </c>
    </row>
    <row r="272" spans="1:18" x14ac:dyDescent="0.35">
      <c r="A272">
        <v>2018</v>
      </c>
      <c r="B272" t="s">
        <v>45</v>
      </c>
      <c r="C272" t="s">
        <v>38</v>
      </c>
      <c r="D272" t="s">
        <v>34</v>
      </c>
      <c r="E272" t="s">
        <v>20</v>
      </c>
      <c r="F272" t="s">
        <v>17</v>
      </c>
      <c r="G272">
        <v>71824</v>
      </c>
      <c r="H272" t="s">
        <v>55</v>
      </c>
      <c r="I272">
        <v>191</v>
      </c>
      <c r="J272">
        <v>13718384</v>
      </c>
      <c r="K272">
        <v>411390</v>
      </c>
      <c r="L272">
        <v>13306994</v>
      </c>
      <c r="M272">
        <v>37</v>
      </c>
      <c r="N272">
        <v>0.97</v>
      </c>
      <c r="O272">
        <v>6.29</v>
      </c>
      <c r="P272">
        <v>1.2</v>
      </c>
      <c r="Q272">
        <v>4</v>
      </c>
      <c r="R272">
        <f>CORREL(BMW[units_sold],BMW[gdp_growth_percent])</f>
        <v>-5.2597817623217792E-17</v>
      </c>
    </row>
    <row r="273" spans="1:18" x14ac:dyDescent="0.35">
      <c r="A273">
        <v>2022</v>
      </c>
      <c r="B273" t="s">
        <v>41</v>
      </c>
      <c r="C273" t="s">
        <v>35</v>
      </c>
      <c r="D273" t="s">
        <v>29</v>
      </c>
      <c r="E273" t="s">
        <v>19</v>
      </c>
      <c r="F273" t="s">
        <v>20</v>
      </c>
      <c r="G273">
        <v>68073</v>
      </c>
      <c r="H273" t="s">
        <v>55</v>
      </c>
      <c r="I273">
        <v>937</v>
      </c>
      <c r="J273">
        <v>63784401</v>
      </c>
      <c r="K273">
        <v>283996</v>
      </c>
      <c r="L273">
        <v>63500405</v>
      </c>
      <c r="M273">
        <v>342</v>
      </c>
      <c r="N273">
        <v>0.97</v>
      </c>
      <c r="O273">
        <v>6.29</v>
      </c>
      <c r="P273">
        <v>1.2</v>
      </c>
      <c r="Q273">
        <v>3</v>
      </c>
      <c r="R273">
        <f>CORREL(BMW[units_sold],BMW[gdp_growth_percent])</f>
        <v>-5.2597817623217792E-17</v>
      </c>
    </row>
    <row r="274" spans="1:18" x14ac:dyDescent="0.35">
      <c r="A274">
        <v>2022</v>
      </c>
      <c r="B274" t="s">
        <v>44</v>
      </c>
      <c r="C274" t="s">
        <v>28</v>
      </c>
      <c r="D274" t="s">
        <v>15</v>
      </c>
      <c r="E274" t="s">
        <v>19</v>
      </c>
      <c r="F274" t="s">
        <v>20</v>
      </c>
      <c r="G274">
        <v>61299</v>
      </c>
      <c r="H274" t="s">
        <v>55</v>
      </c>
      <c r="I274">
        <v>471</v>
      </c>
      <c r="J274">
        <v>28871829</v>
      </c>
      <c r="K274">
        <v>307831</v>
      </c>
      <c r="L274">
        <v>28563998</v>
      </c>
      <c r="M274">
        <v>10</v>
      </c>
      <c r="N274">
        <v>0.97</v>
      </c>
      <c r="O274">
        <v>6.29</v>
      </c>
      <c r="P274">
        <v>1.2</v>
      </c>
      <c r="Q274">
        <v>2</v>
      </c>
      <c r="R274">
        <f>CORREL(BMW[units_sold],BMW[gdp_growth_percent])</f>
        <v>-5.2597817623217792E-17</v>
      </c>
    </row>
    <row r="275" spans="1:18" x14ac:dyDescent="0.35">
      <c r="A275">
        <v>2021</v>
      </c>
      <c r="B275" t="s">
        <v>51</v>
      </c>
      <c r="C275" t="s">
        <v>36</v>
      </c>
      <c r="D275" t="s">
        <v>33</v>
      </c>
      <c r="E275" t="s">
        <v>19</v>
      </c>
      <c r="F275" t="s">
        <v>27</v>
      </c>
      <c r="G275">
        <v>93861</v>
      </c>
      <c r="H275" t="s">
        <v>54</v>
      </c>
      <c r="I275">
        <v>615</v>
      </c>
      <c r="J275">
        <v>57724515</v>
      </c>
      <c r="K275">
        <v>262803</v>
      </c>
      <c r="L275">
        <v>57461712</v>
      </c>
      <c r="M275">
        <v>197</v>
      </c>
      <c r="N275">
        <v>0.97</v>
      </c>
      <c r="O275">
        <v>6.29</v>
      </c>
      <c r="P275">
        <v>1.2</v>
      </c>
      <c r="Q275">
        <v>6</v>
      </c>
      <c r="R275">
        <f>CORREL(BMW[units_sold],BMW[gdp_growth_percent])</f>
        <v>-5.2597817623217792E-17</v>
      </c>
    </row>
    <row r="276" spans="1:18" x14ac:dyDescent="0.35">
      <c r="A276">
        <v>2017</v>
      </c>
      <c r="B276" t="s">
        <v>42</v>
      </c>
      <c r="C276" t="s">
        <v>38</v>
      </c>
      <c r="D276" t="s">
        <v>31</v>
      </c>
      <c r="E276" t="s">
        <v>19</v>
      </c>
      <c r="F276" t="s">
        <v>23</v>
      </c>
      <c r="G276">
        <v>65063</v>
      </c>
      <c r="H276" t="s">
        <v>55</v>
      </c>
      <c r="I276">
        <v>245</v>
      </c>
      <c r="J276">
        <v>15940435</v>
      </c>
      <c r="K276">
        <v>208761</v>
      </c>
      <c r="L276">
        <v>15731674</v>
      </c>
      <c r="M276">
        <v>65</v>
      </c>
      <c r="N276">
        <v>0.97</v>
      </c>
      <c r="O276">
        <v>6.29</v>
      </c>
      <c r="P276">
        <v>1.2</v>
      </c>
      <c r="Q276">
        <v>8</v>
      </c>
      <c r="R276">
        <f>CORREL(BMW[units_sold],BMW[gdp_growth_percent])</f>
        <v>-5.2597817623217792E-17</v>
      </c>
    </row>
    <row r="277" spans="1:18" x14ac:dyDescent="0.35">
      <c r="A277">
        <v>2015</v>
      </c>
      <c r="B277" t="s">
        <v>50</v>
      </c>
      <c r="C277" t="s">
        <v>37</v>
      </c>
      <c r="D277" t="s">
        <v>18</v>
      </c>
      <c r="E277" t="s">
        <v>19</v>
      </c>
      <c r="F277" t="s">
        <v>17</v>
      </c>
      <c r="G277">
        <v>104453</v>
      </c>
      <c r="H277" t="s">
        <v>54</v>
      </c>
      <c r="I277">
        <v>265</v>
      </c>
      <c r="J277">
        <v>27680045</v>
      </c>
      <c r="K277">
        <v>192226</v>
      </c>
      <c r="L277">
        <v>27487819</v>
      </c>
      <c r="M277">
        <v>44</v>
      </c>
      <c r="N277">
        <v>0.97</v>
      </c>
      <c r="O277">
        <v>6.29</v>
      </c>
      <c r="P277">
        <v>1.2</v>
      </c>
      <c r="Q277">
        <v>6</v>
      </c>
      <c r="R277">
        <f>CORREL(BMW[units_sold],BMW[gdp_growth_percent])</f>
        <v>-5.2597817623217792E-17</v>
      </c>
    </row>
    <row r="278" spans="1:18" x14ac:dyDescent="0.35">
      <c r="A278">
        <v>2015</v>
      </c>
      <c r="B278" t="s">
        <v>49</v>
      </c>
      <c r="C278" t="s">
        <v>30</v>
      </c>
      <c r="D278" t="s">
        <v>33</v>
      </c>
      <c r="E278" t="s">
        <v>16</v>
      </c>
      <c r="F278" t="s">
        <v>17</v>
      </c>
      <c r="G278">
        <v>103472</v>
      </c>
      <c r="H278" t="s">
        <v>54</v>
      </c>
      <c r="I278">
        <v>313</v>
      </c>
      <c r="J278">
        <v>32386736</v>
      </c>
      <c r="K278">
        <v>407092</v>
      </c>
      <c r="L278">
        <v>31979644</v>
      </c>
      <c r="M278">
        <v>121</v>
      </c>
      <c r="N278">
        <v>0.97</v>
      </c>
      <c r="O278">
        <v>6.29</v>
      </c>
      <c r="P278">
        <v>1.2</v>
      </c>
      <c r="Q278">
        <v>9</v>
      </c>
      <c r="R278">
        <f>CORREL(BMW[units_sold],BMW[gdp_growth_percent])</f>
        <v>-5.2597817623217792E-17</v>
      </c>
    </row>
    <row r="279" spans="1:18" x14ac:dyDescent="0.35">
      <c r="A279">
        <v>2017</v>
      </c>
      <c r="B279" t="s">
        <v>52</v>
      </c>
      <c r="C279" t="s">
        <v>37</v>
      </c>
      <c r="D279" t="s">
        <v>22</v>
      </c>
      <c r="E279" t="s">
        <v>20</v>
      </c>
      <c r="F279" t="s">
        <v>27</v>
      </c>
      <c r="G279">
        <v>49506</v>
      </c>
      <c r="H279" t="s">
        <v>57</v>
      </c>
      <c r="I279">
        <v>674</v>
      </c>
      <c r="J279">
        <v>33367044</v>
      </c>
      <c r="K279">
        <v>71341</v>
      </c>
      <c r="L279">
        <v>33295703</v>
      </c>
      <c r="M279">
        <v>295</v>
      </c>
      <c r="N279">
        <v>0.97</v>
      </c>
      <c r="O279">
        <v>6.29</v>
      </c>
      <c r="P279">
        <v>1.2</v>
      </c>
      <c r="Q279">
        <v>5</v>
      </c>
      <c r="R279">
        <f>CORREL(BMW[units_sold],BMW[gdp_growth_percent])</f>
        <v>-5.2597817623217792E-17</v>
      </c>
    </row>
    <row r="280" spans="1:18" x14ac:dyDescent="0.35">
      <c r="A280">
        <v>2020</v>
      </c>
      <c r="B280" t="s">
        <v>51</v>
      </c>
      <c r="C280" t="s">
        <v>37</v>
      </c>
      <c r="D280" t="s">
        <v>15</v>
      </c>
      <c r="E280" t="s">
        <v>19</v>
      </c>
      <c r="F280" t="s">
        <v>27</v>
      </c>
      <c r="G280">
        <v>114854</v>
      </c>
      <c r="H280" t="s">
        <v>54</v>
      </c>
      <c r="I280">
        <v>807</v>
      </c>
      <c r="J280">
        <v>92687178</v>
      </c>
      <c r="K280">
        <v>409698</v>
      </c>
      <c r="L280">
        <v>92277480</v>
      </c>
      <c r="M280">
        <v>319</v>
      </c>
      <c r="N280">
        <v>0.97</v>
      </c>
      <c r="O280">
        <v>6.29</v>
      </c>
      <c r="P280">
        <v>1.2</v>
      </c>
      <c r="Q280">
        <v>2</v>
      </c>
      <c r="R280">
        <f>CORREL(BMW[units_sold],BMW[gdp_growth_percent])</f>
        <v>-5.2597817623217792E-17</v>
      </c>
    </row>
    <row r="281" spans="1:18" x14ac:dyDescent="0.35">
      <c r="A281">
        <v>2021</v>
      </c>
      <c r="B281" t="s">
        <v>42</v>
      </c>
      <c r="C281" t="s">
        <v>32</v>
      </c>
      <c r="D281" t="s">
        <v>33</v>
      </c>
      <c r="E281" t="s">
        <v>20</v>
      </c>
      <c r="F281" t="s">
        <v>17</v>
      </c>
      <c r="G281">
        <v>61026</v>
      </c>
      <c r="H281" t="s">
        <v>55</v>
      </c>
      <c r="I281">
        <v>201</v>
      </c>
      <c r="J281">
        <v>12266226</v>
      </c>
      <c r="K281">
        <v>255753</v>
      </c>
      <c r="L281">
        <v>12010473</v>
      </c>
      <c r="M281">
        <v>45</v>
      </c>
      <c r="N281">
        <v>0.97</v>
      </c>
      <c r="O281">
        <v>6.29</v>
      </c>
      <c r="P281">
        <v>1.2</v>
      </c>
      <c r="Q281">
        <v>8</v>
      </c>
      <c r="R281">
        <f>CORREL(BMW[units_sold],BMW[gdp_growth_percent])</f>
        <v>-5.2597817623217792E-17</v>
      </c>
    </row>
    <row r="282" spans="1:18" x14ac:dyDescent="0.35">
      <c r="A282">
        <v>2020</v>
      </c>
      <c r="B282" t="s">
        <v>49</v>
      </c>
      <c r="C282" t="s">
        <v>28</v>
      </c>
      <c r="D282" t="s">
        <v>31</v>
      </c>
      <c r="E282" t="s">
        <v>20</v>
      </c>
      <c r="F282" t="s">
        <v>17</v>
      </c>
      <c r="G282">
        <v>62672</v>
      </c>
      <c r="H282" t="s">
        <v>55</v>
      </c>
      <c r="I282">
        <v>848</v>
      </c>
      <c r="J282">
        <v>53145856</v>
      </c>
      <c r="K282">
        <v>419942</v>
      </c>
      <c r="L282">
        <v>52725914</v>
      </c>
      <c r="M282">
        <v>226</v>
      </c>
      <c r="N282">
        <v>0.97</v>
      </c>
      <c r="O282">
        <v>6.29</v>
      </c>
      <c r="P282">
        <v>1.2</v>
      </c>
      <c r="Q282">
        <v>9</v>
      </c>
      <c r="R282">
        <f>CORREL(BMW[units_sold],BMW[gdp_growth_percent])</f>
        <v>-5.2597817623217792E-17</v>
      </c>
    </row>
    <row r="283" spans="1:18" x14ac:dyDescent="0.35">
      <c r="A283">
        <v>2020</v>
      </c>
      <c r="B283" t="s">
        <v>49</v>
      </c>
      <c r="C283" t="s">
        <v>35</v>
      </c>
      <c r="D283" t="s">
        <v>33</v>
      </c>
      <c r="E283" t="s">
        <v>16</v>
      </c>
      <c r="F283" t="s">
        <v>27</v>
      </c>
      <c r="G283">
        <v>73417</v>
      </c>
      <c r="H283" t="s">
        <v>55</v>
      </c>
      <c r="I283">
        <v>447</v>
      </c>
      <c r="J283">
        <v>32817399</v>
      </c>
      <c r="K283">
        <v>358474</v>
      </c>
      <c r="L283">
        <v>32458925</v>
      </c>
      <c r="M283">
        <v>89</v>
      </c>
      <c r="N283">
        <v>0.97</v>
      </c>
      <c r="O283">
        <v>6.29</v>
      </c>
      <c r="P283">
        <v>1.2</v>
      </c>
      <c r="Q283">
        <v>10</v>
      </c>
      <c r="R283">
        <f>CORREL(BMW[units_sold],BMW[gdp_growth_percent])</f>
        <v>-5.2597817623217792E-17</v>
      </c>
    </row>
    <row r="284" spans="1:18" x14ac:dyDescent="0.35">
      <c r="A284">
        <v>2020</v>
      </c>
      <c r="B284" t="s">
        <v>46</v>
      </c>
      <c r="C284" t="s">
        <v>21</v>
      </c>
      <c r="D284" t="s">
        <v>22</v>
      </c>
      <c r="E284" t="s">
        <v>19</v>
      </c>
      <c r="F284" t="s">
        <v>17</v>
      </c>
      <c r="G284">
        <v>87413</v>
      </c>
      <c r="H284" t="s">
        <v>54</v>
      </c>
      <c r="I284">
        <v>1051</v>
      </c>
      <c r="J284">
        <v>91871063</v>
      </c>
      <c r="K284">
        <v>299141</v>
      </c>
      <c r="L284">
        <v>91571922</v>
      </c>
      <c r="M284">
        <v>323</v>
      </c>
      <c r="N284">
        <v>0.97</v>
      </c>
      <c r="O284">
        <v>6.29</v>
      </c>
      <c r="P284">
        <v>1.2</v>
      </c>
      <c r="Q284">
        <v>4</v>
      </c>
      <c r="R284">
        <f>CORREL(BMW[units_sold],BMW[gdp_growth_percent])</f>
        <v>-5.2597817623217792E-17</v>
      </c>
    </row>
    <row r="285" spans="1:18" x14ac:dyDescent="0.35">
      <c r="A285">
        <v>2017</v>
      </c>
      <c r="B285" t="s">
        <v>42</v>
      </c>
      <c r="C285" t="s">
        <v>35</v>
      </c>
      <c r="D285" t="s">
        <v>18</v>
      </c>
      <c r="E285" t="s">
        <v>16</v>
      </c>
      <c r="F285" t="s">
        <v>20</v>
      </c>
      <c r="G285">
        <v>100066</v>
      </c>
      <c r="H285" t="s">
        <v>54</v>
      </c>
      <c r="I285">
        <v>436</v>
      </c>
      <c r="J285">
        <v>43628776</v>
      </c>
      <c r="K285">
        <v>399903</v>
      </c>
      <c r="L285">
        <v>43228873</v>
      </c>
      <c r="M285">
        <v>92</v>
      </c>
      <c r="N285">
        <v>0.97</v>
      </c>
      <c r="O285">
        <v>6.29</v>
      </c>
      <c r="P285">
        <v>1.2</v>
      </c>
      <c r="Q285">
        <v>6</v>
      </c>
      <c r="R285">
        <f>CORREL(BMW[units_sold],BMW[gdp_growth_percent])</f>
        <v>-5.2597817623217792E-17</v>
      </c>
    </row>
    <row r="286" spans="1:18" x14ac:dyDescent="0.35">
      <c r="A286">
        <v>2020</v>
      </c>
      <c r="B286" t="s">
        <v>41</v>
      </c>
      <c r="C286" t="s">
        <v>37</v>
      </c>
      <c r="D286" t="s">
        <v>26</v>
      </c>
      <c r="E286" t="s">
        <v>19</v>
      </c>
      <c r="F286" t="s">
        <v>27</v>
      </c>
      <c r="G286">
        <v>94213</v>
      </c>
      <c r="H286" t="s">
        <v>54</v>
      </c>
      <c r="I286">
        <v>197</v>
      </c>
      <c r="J286">
        <v>18559961</v>
      </c>
      <c r="K286">
        <v>249488</v>
      </c>
      <c r="L286">
        <v>18310473</v>
      </c>
      <c r="M286">
        <v>74</v>
      </c>
      <c r="N286">
        <v>0.97</v>
      </c>
      <c r="O286">
        <v>6.29</v>
      </c>
      <c r="P286">
        <v>1.2</v>
      </c>
      <c r="Q286">
        <v>10</v>
      </c>
      <c r="R286">
        <f>CORREL(BMW[units_sold],BMW[gdp_growth_percent])</f>
        <v>-5.2597817623217792E-17</v>
      </c>
    </row>
    <row r="287" spans="1:18" x14ac:dyDescent="0.35">
      <c r="A287">
        <v>2022</v>
      </c>
      <c r="B287" t="s">
        <v>47</v>
      </c>
      <c r="C287" t="s">
        <v>36</v>
      </c>
      <c r="D287" t="s">
        <v>24</v>
      </c>
      <c r="E287" t="s">
        <v>16</v>
      </c>
      <c r="F287" t="s">
        <v>17</v>
      </c>
      <c r="G287">
        <v>85971</v>
      </c>
      <c r="H287" t="s">
        <v>54</v>
      </c>
      <c r="I287">
        <v>1021</v>
      </c>
      <c r="J287">
        <v>87776391</v>
      </c>
      <c r="K287">
        <v>306139</v>
      </c>
      <c r="L287">
        <v>87470252</v>
      </c>
      <c r="M287">
        <v>334</v>
      </c>
      <c r="N287">
        <v>0.97</v>
      </c>
      <c r="O287">
        <v>6.29</v>
      </c>
      <c r="P287">
        <v>1.2</v>
      </c>
      <c r="Q287">
        <v>8</v>
      </c>
      <c r="R287">
        <f>CORREL(BMW[units_sold],BMW[gdp_growth_percent])</f>
        <v>-5.2597817623217792E-17</v>
      </c>
    </row>
    <row r="288" spans="1:18" x14ac:dyDescent="0.35">
      <c r="A288">
        <v>2016</v>
      </c>
      <c r="B288" t="s">
        <v>45</v>
      </c>
      <c r="C288" t="s">
        <v>30</v>
      </c>
      <c r="D288" t="s">
        <v>18</v>
      </c>
      <c r="E288" t="s">
        <v>20</v>
      </c>
      <c r="F288" t="s">
        <v>27</v>
      </c>
      <c r="G288">
        <v>62281</v>
      </c>
      <c r="H288" t="s">
        <v>55</v>
      </c>
      <c r="I288">
        <v>640</v>
      </c>
      <c r="J288">
        <v>39859840</v>
      </c>
      <c r="K288">
        <v>398951</v>
      </c>
      <c r="L288">
        <v>39460889</v>
      </c>
      <c r="M288">
        <v>137</v>
      </c>
      <c r="N288">
        <v>0.97</v>
      </c>
      <c r="O288">
        <v>6.29</v>
      </c>
      <c r="P288">
        <v>1.2</v>
      </c>
      <c r="Q288">
        <v>9</v>
      </c>
      <c r="R288">
        <f>CORREL(BMW[units_sold],BMW[gdp_growth_percent])</f>
        <v>-5.2597817623217792E-17</v>
      </c>
    </row>
    <row r="289" spans="1:18" x14ac:dyDescent="0.35">
      <c r="A289">
        <v>2019</v>
      </c>
      <c r="B289" t="s">
        <v>45</v>
      </c>
      <c r="C289" t="s">
        <v>14</v>
      </c>
      <c r="D289" t="s">
        <v>39</v>
      </c>
      <c r="E289" t="s">
        <v>19</v>
      </c>
      <c r="F289" t="s">
        <v>23</v>
      </c>
      <c r="G289">
        <v>63091</v>
      </c>
      <c r="H289" t="s">
        <v>55</v>
      </c>
      <c r="I289">
        <v>1081</v>
      </c>
      <c r="J289">
        <v>68201371</v>
      </c>
      <c r="K289">
        <v>345457</v>
      </c>
      <c r="L289">
        <v>67855914</v>
      </c>
      <c r="M289">
        <v>316</v>
      </c>
      <c r="N289">
        <v>0.97</v>
      </c>
      <c r="O289">
        <v>6.29</v>
      </c>
      <c r="P289">
        <v>1.2</v>
      </c>
      <c r="Q289">
        <v>5</v>
      </c>
      <c r="R289">
        <f>CORREL(BMW[units_sold],BMW[gdp_growth_percent])</f>
        <v>-5.2597817623217792E-17</v>
      </c>
    </row>
    <row r="290" spans="1:18" x14ac:dyDescent="0.35">
      <c r="A290">
        <v>2015</v>
      </c>
      <c r="B290" t="s">
        <v>50</v>
      </c>
      <c r="C290" t="s">
        <v>35</v>
      </c>
      <c r="D290" t="s">
        <v>33</v>
      </c>
      <c r="E290" t="s">
        <v>20</v>
      </c>
      <c r="F290" t="s">
        <v>27</v>
      </c>
      <c r="G290">
        <v>85494</v>
      </c>
      <c r="H290" t="s">
        <v>54</v>
      </c>
      <c r="I290">
        <v>100</v>
      </c>
      <c r="J290">
        <v>8549400</v>
      </c>
      <c r="K290">
        <v>359044</v>
      </c>
      <c r="L290">
        <v>8190356</v>
      </c>
      <c r="M290">
        <v>31</v>
      </c>
      <c r="N290">
        <v>0.97</v>
      </c>
      <c r="O290">
        <v>6.29</v>
      </c>
      <c r="P290">
        <v>1.2</v>
      </c>
      <c r="Q290">
        <v>6</v>
      </c>
      <c r="R290">
        <f>CORREL(BMW[units_sold],BMW[gdp_growth_percent])</f>
        <v>-5.2597817623217792E-17</v>
      </c>
    </row>
    <row r="291" spans="1:18" x14ac:dyDescent="0.35">
      <c r="A291">
        <v>2015</v>
      </c>
      <c r="B291" t="s">
        <v>50</v>
      </c>
      <c r="C291" t="s">
        <v>37</v>
      </c>
      <c r="D291" t="s">
        <v>34</v>
      </c>
      <c r="E291" t="s">
        <v>20</v>
      </c>
      <c r="F291" t="s">
        <v>27</v>
      </c>
      <c r="G291">
        <v>53610</v>
      </c>
      <c r="H291" t="s">
        <v>55</v>
      </c>
      <c r="I291">
        <v>675</v>
      </c>
      <c r="J291">
        <v>36186750</v>
      </c>
      <c r="K291">
        <v>128840</v>
      </c>
      <c r="L291">
        <v>36057910</v>
      </c>
      <c r="M291">
        <v>225</v>
      </c>
      <c r="N291">
        <v>0.97</v>
      </c>
      <c r="O291">
        <v>6.29</v>
      </c>
      <c r="P291">
        <v>1.2</v>
      </c>
      <c r="Q291">
        <v>4</v>
      </c>
      <c r="R291">
        <f>CORREL(BMW[units_sold],BMW[gdp_growth_percent])</f>
        <v>-5.2597817623217792E-17</v>
      </c>
    </row>
    <row r="292" spans="1:18" x14ac:dyDescent="0.35">
      <c r="A292">
        <v>2019</v>
      </c>
      <c r="B292" t="s">
        <v>45</v>
      </c>
      <c r="C292" t="s">
        <v>30</v>
      </c>
      <c r="D292" t="s">
        <v>29</v>
      </c>
      <c r="E292" t="s">
        <v>16</v>
      </c>
      <c r="F292" t="s">
        <v>23</v>
      </c>
      <c r="G292">
        <v>36079</v>
      </c>
      <c r="H292" t="s">
        <v>57</v>
      </c>
      <c r="I292">
        <v>351</v>
      </c>
      <c r="J292">
        <v>12663729</v>
      </c>
      <c r="K292">
        <v>215767</v>
      </c>
      <c r="L292">
        <v>12447962</v>
      </c>
      <c r="M292">
        <v>116</v>
      </c>
      <c r="N292">
        <v>0.97</v>
      </c>
      <c r="O292">
        <v>6.29</v>
      </c>
      <c r="P292">
        <v>1.2</v>
      </c>
      <c r="Q292">
        <v>5</v>
      </c>
      <c r="R292">
        <f>CORREL(BMW[units_sold],BMW[gdp_growth_percent])</f>
        <v>-5.2597817623217792E-17</v>
      </c>
    </row>
    <row r="293" spans="1:18" x14ac:dyDescent="0.35">
      <c r="A293">
        <v>2017</v>
      </c>
      <c r="B293" t="s">
        <v>44</v>
      </c>
      <c r="C293" t="s">
        <v>38</v>
      </c>
      <c r="D293" t="s">
        <v>34</v>
      </c>
      <c r="E293" t="s">
        <v>19</v>
      </c>
      <c r="F293" t="s">
        <v>20</v>
      </c>
      <c r="G293">
        <v>81751</v>
      </c>
      <c r="H293" t="s">
        <v>54</v>
      </c>
      <c r="I293">
        <v>355</v>
      </c>
      <c r="J293">
        <v>29021605</v>
      </c>
      <c r="K293">
        <v>211297</v>
      </c>
      <c r="L293">
        <v>28810308</v>
      </c>
      <c r="M293">
        <v>118</v>
      </c>
      <c r="N293">
        <v>0.97</v>
      </c>
      <c r="O293">
        <v>6.29</v>
      </c>
      <c r="P293">
        <v>1.2</v>
      </c>
      <c r="Q293">
        <v>7</v>
      </c>
      <c r="R293">
        <f>CORREL(BMW[units_sold],BMW[gdp_growth_percent])</f>
        <v>-5.2597817623217792E-17</v>
      </c>
    </row>
    <row r="294" spans="1:18" x14ac:dyDescent="0.35">
      <c r="A294">
        <v>2018</v>
      </c>
      <c r="B294" t="s">
        <v>41</v>
      </c>
      <c r="C294" t="s">
        <v>28</v>
      </c>
      <c r="D294" t="s">
        <v>18</v>
      </c>
      <c r="E294" t="s">
        <v>20</v>
      </c>
      <c r="F294" t="s">
        <v>17</v>
      </c>
      <c r="G294">
        <v>90432</v>
      </c>
      <c r="H294" t="s">
        <v>54</v>
      </c>
      <c r="I294">
        <v>1195</v>
      </c>
      <c r="J294">
        <v>108066240</v>
      </c>
      <c r="K294">
        <v>398216</v>
      </c>
      <c r="L294">
        <v>107668024</v>
      </c>
      <c r="M294">
        <v>381</v>
      </c>
      <c r="N294">
        <v>0.97</v>
      </c>
      <c r="O294">
        <v>6.29</v>
      </c>
      <c r="P294">
        <v>1.2</v>
      </c>
      <c r="Q294">
        <v>9</v>
      </c>
      <c r="R294">
        <f>CORREL(BMW[units_sold],BMW[gdp_growth_percent])</f>
        <v>-5.2597817623217792E-17</v>
      </c>
    </row>
    <row r="295" spans="1:18" x14ac:dyDescent="0.35">
      <c r="A295">
        <v>2017</v>
      </c>
      <c r="B295" t="s">
        <v>44</v>
      </c>
      <c r="C295" t="s">
        <v>25</v>
      </c>
      <c r="D295" t="s">
        <v>34</v>
      </c>
      <c r="E295" t="s">
        <v>16</v>
      </c>
      <c r="F295" t="s">
        <v>23</v>
      </c>
      <c r="G295">
        <v>65951</v>
      </c>
      <c r="H295" t="s">
        <v>55</v>
      </c>
      <c r="I295">
        <v>811</v>
      </c>
      <c r="J295">
        <v>53486261</v>
      </c>
      <c r="K295">
        <v>408511</v>
      </c>
      <c r="L295">
        <v>53077750</v>
      </c>
      <c r="M295">
        <v>366</v>
      </c>
      <c r="N295">
        <v>0.97</v>
      </c>
      <c r="O295">
        <v>6.29</v>
      </c>
      <c r="P295">
        <v>1.2</v>
      </c>
      <c r="Q295">
        <v>10</v>
      </c>
      <c r="R295">
        <f>CORREL(BMW[units_sold],BMW[gdp_growth_percent])</f>
        <v>-5.2597817623217792E-17</v>
      </c>
    </row>
    <row r="296" spans="1:18" x14ac:dyDescent="0.35">
      <c r="A296">
        <v>2015</v>
      </c>
      <c r="B296" t="s">
        <v>44</v>
      </c>
      <c r="C296" t="s">
        <v>32</v>
      </c>
      <c r="D296" t="s">
        <v>31</v>
      </c>
      <c r="E296" t="s">
        <v>19</v>
      </c>
      <c r="F296" t="s">
        <v>27</v>
      </c>
      <c r="G296">
        <v>115863</v>
      </c>
      <c r="H296" t="s">
        <v>54</v>
      </c>
      <c r="I296">
        <v>473</v>
      </c>
      <c r="J296">
        <v>54803199</v>
      </c>
      <c r="K296">
        <v>99156</v>
      </c>
      <c r="L296">
        <v>54704043</v>
      </c>
      <c r="M296">
        <v>190</v>
      </c>
      <c r="N296">
        <v>0.97</v>
      </c>
      <c r="O296">
        <v>6.29</v>
      </c>
      <c r="P296">
        <v>1.2</v>
      </c>
      <c r="Q296">
        <v>6</v>
      </c>
      <c r="R296">
        <f>CORREL(BMW[units_sold],BMW[gdp_growth_percent])</f>
        <v>-5.2597817623217792E-17</v>
      </c>
    </row>
    <row r="297" spans="1:18" x14ac:dyDescent="0.35">
      <c r="A297">
        <v>2015</v>
      </c>
      <c r="B297" t="s">
        <v>52</v>
      </c>
      <c r="C297" t="s">
        <v>30</v>
      </c>
      <c r="D297" t="s">
        <v>34</v>
      </c>
      <c r="E297" t="s">
        <v>19</v>
      </c>
      <c r="F297" t="s">
        <v>17</v>
      </c>
      <c r="G297">
        <v>113291</v>
      </c>
      <c r="H297" t="s">
        <v>54</v>
      </c>
      <c r="I297">
        <v>1027</v>
      </c>
      <c r="J297">
        <v>116349857</v>
      </c>
      <c r="K297">
        <v>258281</v>
      </c>
      <c r="L297">
        <v>116091576</v>
      </c>
      <c r="M297">
        <v>365</v>
      </c>
      <c r="N297">
        <v>0.97</v>
      </c>
      <c r="O297">
        <v>6.29</v>
      </c>
      <c r="P297">
        <v>1.2</v>
      </c>
      <c r="Q297">
        <v>6</v>
      </c>
      <c r="R297">
        <f>CORREL(BMW[units_sold],BMW[gdp_growth_percent])</f>
        <v>-5.2597817623217792E-17</v>
      </c>
    </row>
    <row r="298" spans="1:18" x14ac:dyDescent="0.35">
      <c r="A298">
        <v>2019</v>
      </c>
      <c r="B298" t="s">
        <v>48</v>
      </c>
      <c r="C298" t="s">
        <v>36</v>
      </c>
      <c r="D298" t="s">
        <v>15</v>
      </c>
      <c r="E298" t="s">
        <v>20</v>
      </c>
      <c r="F298" t="s">
        <v>23</v>
      </c>
      <c r="G298">
        <v>94872</v>
      </c>
      <c r="H298" t="s">
        <v>54</v>
      </c>
      <c r="I298">
        <v>505</v>
      </c>
      <c r="J298">
        <v>47910360</v>
      </c>
      <c r="K298">
        <v>137453</v>
      </c>
      <c r="L298">
        <v>47772907</v>
      </c>
      <c r="M298">
        <v>173</v>
      </c>
      <c r="N298">
        <v>0.97</v>
      </c>
      <c r="O298">
        <v>6.29</v>
      </c>
      <c r="P298">
        <v>1.2</v>
      </c>
      <c r="Q298">
        <v>8</v>
      </c>
      <c r="R298">
        <f>CORREL(BMW[units_sold],BMW[gdp_growth_percent])</f>
        <v>-5.2597817623217792E-17</v>
      </c>
    </row>
    <row r="299" spans="1:18" x14ac:dyDescent="0.35">
      <c r="A299">
        <v>2020</v>
      </c>
      <c r="B299" t="s">
        <v>47</v>
      </c>
      <c r="C299" t="s">
        <v>36</v>
      </c>
      <c r="D299" t="s">
        <v>26</v>
      </c>
      <c r="E299" t="s">
        <v>19</v>
      </c>
      <c r="F299" t="s">
        <v>17</v>
      </c>
      <c r="G299">
        <v>42235</v>
      </c>
      <c r="H299" t="s">
        <v>57</v>
      </c>
      <c r="I299">
        <v>369</v>
      </c>
      <c r="J299">
        <v>15584715</v>
      </c>
      <c r="K299">
        <v>208901</v>
      </c>
      <c r="L299">
        <v>15375814</v>
      </c>
      <c r="M299">
        <v>77</v>
      </c>
      <c r="N299">
        <v>0.97</v>
      </c>
      <c r="O299">
        <v>6.29</v>
      </c>
      <c r="P299">
        <v>1.2</v>
      </c>
      <c r="Q299">
        <v>4</v>
      </c>
      <c r="R299">
        <f>CORREL(BMW[units_sold],BMW[gdp_growth_percent])</f>
        <v>-5.2597817623217792E-17</v>
      </c>
    </row>
    <row r="300" spans="1:18" x14ac:dyDescent="0.35">
      <c r="A300">
        <v>2017</v>
      </c>
      <c r="B300" t="s">
        <v>52</v>
      </c>
      <c r="C300" t="s">
        <v>30</v>
      </c>
      <c r="D300" t="s">
        <v>33</v>
      </c>
      <c r="E300" t="s">
        <v>20</v>
      </c>
      <c r="F300" t="s">
        <v>17</v>
      </c>
      <c r="G300">
        <v>117733</v>
      </c>
      <c r="H300" t="s">
        <v>54</v>
      </c>
      <c r="I300">
        <v>782</v>
      </c>
      <c r="J300">
        <v>92067206</v>
      </c>
      <c r="K300">
        <v>75938</v>
      </c>
      <c r="L300">
        <v>91991268</v>
      </c>
      <c r="M300">
        <v>301</v>
      </c>
      <c r="N300">
        <v>0.97</v>
      </c>
      <c r="O300">
        <v>6.29</v>
      </c>
      <c r="P300">
        <v>1.2</v>
      </c>
      <c r="Q300">
        <v>3</v>
      </c>
      <c r="R300">
        <f>CORREL(BMW[units_sold],BMW[gdp_growth_percent])</f>
        <v>-5.2597817623217792E-17</v>
      </c>
    </row>
    <row r="301" spans="1:18" x14ac:dyDescent="0.35">
      <c r="A301">
        <v>2023</v>
      </c>
      <c r="B301" t="s">
        <v>46</v>
      </c>
      <c r="C301" t="s">
        <v>36</v>
      </c>
      <c r="D301" t="s">
        <v>34</v>
      </c>
      <c r="E301" t="s">
        <v>19</v>
      </c>
      <c r="F301" t="s">
        <v>23</v>
      </c>
      <c r="G301">
        <v>97712</v>
      </c>
      <c r="H301" t="s">
        <v>54</v>
      </c>
      <c r="I301">
        <v>432</v>
      </c>
      <c r="J301">
        <v>42211584</v>
      </c>
      <c r="K301">
        <v>109164</v>
      </c>
      <c r="L301">
        <v>42102420</v>
      </c>
      <c r="M301">
        <v>189</v>
      </c>
      <c r="N301">
        <v>0.97</v>
      </c>
      <c r="O301">
        <v>6.29</v>
      </c>
      <c r="P301">
        <v>1.2</v>
      </c>
      <c r="Q301">
        <v>7</v>
      </c>
      <c r="R301">
        <f>CORREL(BMW[units_sold],BMW[gdp_growth_percent])</f>
        <v>-5.2597817623217792E-17</v>
      </c>
    </row>
    <row r="302" spans="1:18" x14ac:dyDescent="0.35">
      <c r="A302">
        <v>2019</v>
      </c>
      <c r="B302" t="s">
        <v>48</v>
      </c>
      <c r="C302" t="s">
        <v>28</v>
      </c>
      <c r="D302" t="s">
        <v>22</v>
      </c>
      <c r="E302" t="s">
        <v>16</v>
      </c>
      <c r="F302" t="s">
        <v>17</v>
      </c>
      <c r="G302">
        <v>56473</v>
      </c>
      <c r="H302" t="s">
        <v>55</v>
      </c>
      <c r="I302">
        <v>773</v>
      </c>
      <c r="J302">
        <v>43653629</v>
      </c>
      <c r="K302">
        <v>497746</v>
      </c>
      <c r="L302">
        <v>43155883</v>
      </c>
      <c r="M302">
        <v>190</v>
      </c>
      <c r="N302">
        <v>0.97</v>
      </c>
      <c r="O302">
        <v>6.29</v>
      </c>
      <c r="P302">
        <v>1.2</v>
      </c>
      <c r="Q302">
        <v>5</v>
      </c>
      <c r="R302">
        <f>CORREL(BMW[units_sold],BMW[gdp_growth_percent])</f>
        <v>-5.2597817623217792E-17</v>
      </c>
    </row>
    <row r="303" spans="1:18" x14ac:dyDescent="0.35">
      <c r="A303">
        <v>2022</v>
      </c>
      <c r="B303" t="s">
        <v>48</v>
      </c>
      <c r="C303" t="s">
        <v>36</v>
      </c>
      <c r="D303" t="s">
        <v>26</v>
      </c>
      <c r="E303" t="s">
        <v>20</v>
      </c>
      <c r="F303" t="s">
        <v>20</v>
      </c>
      <c r="G303">
        <v>102567</v>
      </c>
      <c r="H303" t="s">
        <v>54</v>
      </c>
      <c r="I303">
        <v>554</v>
      </c>
      <c r="J303">
        <v>56822118</v>
      </c>
      <c r="K303">
        <v>249271</v>
      </c>
      <c r="L303">
        <v>56572847</v>
      </c>
      <c r="M303">
        <v>178</v>
      </c>
      <c r="N303">
        <v>0.97</v>
      </c>
      <c r="O303">
        <v>6.29</v>
      </c>
      <c r="P303">
        <v>1.2</v>
      </c>
      <c r="Q303">
        <v>2</v>
      </c>
      <c r="R303">
        <f>CORREL(BMW[units_sold],BMW[gdp_growth_percent])</f>
        <v>-5.2597817623217792E-17</v>
      </c>
    </row>
    <row r="304" spans="1:18" x14ac:dyDescent="0.35">
      <c r="A304">
        <v>2015</v>
      </c>
      <c r="B304" t="s">
        <v>42</v>
      </c>
      <c r="C304" t="s">
        <v>35</v>
      </c>
      <c r="D304" t="s">
        <v>26</v>
      </c>
      <c r="E304" t="s">
        <v>20</v>
      </c>
      <c r="F304" t="s">
        <v>23</v>
      </c>
      <c r="G304">
        <v>114823</v>
      </c>
      <c r="H304" t="s">
        <v>54</v>
      </c>
      <c r="I304">
        <v>398</v>
      </c>
      <c r="J304">
        <v>45699554</v>
      </c>
      <c r="K304">
        <v>110282</v>
      </c>
      <c r="L304">
        <v>45589272</v>
      </c>
      <c r="M304">
        <v>31</v>
      </c>
      <c r="N304">
        <v>0.97</v>
      </c>
      <c r="O304">
        <v>6.29</v>
      </c>
      <c r="P304">
        <v>1.2</v>
      </c>
      <c r="Q304">
        <v>2</v>
      </c>
      <c r="R304">
        <f>CORREL(BMW[units_sold],BMW[gdp_growth_percent])</f>
        <v>-5.2597817623217792E-17</v>
      </c>
    </row>
    <row r="305" spans="1:18" x14ac:dyDescent="0.35">
      <c r="A305">
        <v>2019</v>
      </c>
      <c r="B305" t="s">
        <v>41</v>
      </c>
      <c r="C305" t="s">
        <v>25</v>
      </c>
      <c r="D305" t="s">
        <v>34</v>
      </c>
      <c r="E305" t="s">
        <v>19</v>
      </c>
      <c r="F305" t="s">
        <v>20</v>
      </c>
      <c r="G305">
        <v>67230</v>
      </c>
      <c r="H305" t="s">
        <v>55</v>
      </c>
      <c r="I305">
        <v>424</v>
      </c>
      <c r="J305">
        <v>28505520</v>
      </c>
      <c r="K305">
        <v>359945</v>
      </c>
      <c r="L305">
        <v>28145575</v>
      </c>
      <c r="M305">
        <v>75</v>
      </c>
      <c r="N305">
        <v>0.97</v>
      </c>
      <c r="O305">
        <v>6.29</v>
      </c>
      <c r="P305">
        <v>1.2</v>
      </c>
      <c r="Q305">
        <v>6</v>
      </c>
      <c r="R305">
        <f>CORREL(BMW[units_sold],BMW[gdp_growth_percent])</f>
        <v>-5.2597817623217792E-17</v>
      </c>
    </row>
    <row r="306" spans="1:18" x14ac:dyDescent="0.35">
      <c r="A306">
        <v>2017</v>
      </c>
      <c r="B306" t="s">
        <v>41</v>
      </c>
      <c r="C306" t="s">
        <v>36</v>
      </c>
      <c r="D306" t="s">
        <v>26</v>
      </c>
      <c r="E306" t="s">
        <v>19</v>
      </c>
      <c r="F306" t="s">
        <v>27</v>
      </c>
      <c r="G306">
        <v>119573</v>
      </c>
      <c r="H306" t="s">
        <v>54</v>
      </c>
      <c r="I306">
        <v>67</v>
      </c>
      <c r="J306">
        <v>8011391</v>
      </c>
      <c r="K306">
        <v>452681</v>
      </c>
      <c r="L306">
        <v>7558710</v>
      </c>
      <c r="M306">
        <v>30</v>
      </c>
      <c r="N306">
        <v>0.97</v>
      </c>
      <c r="O306">
        <v>6.29</v>
      </c>
      <c r="P306">
        <v>1.2</v>
      </c>
      <c r="Q306">
        <v>8</v>
      </c>
      <c r="R306">
        <f>CORREL(BMW[units_sold],BMW[gdp_growth_percent])</f>
        <v>-5.2597817623217792E-17</v>
      </c>
    </row>
    <row r="307" spans="1:18" x14ac:dyDescent="0.35">
      <c r="A307">
        <v>2015</v>
      </c>
      <c r="B307" t="s">
        <v>48</v>
      </c>
      <c r="C307" t="s">
        <v>25</v>
      </c>
      <c r="D307" t="s">
        <v>29</v>
      </c>
      <c r="E307" t="s">
        <v>20</v>
      </c>
      <c r="F307" t="s">
        <v>17</v>
      </c>
      <c r="G307">
        <v>103876</v>
      </c>
      <c r="H307" t="s">
        <v>54</v>
      </c>
      <c r="I307">
        <v>540</v>
      </c>
      <c r="J307">
        <v>56093040</v>
      </c>
      <c r="K307">
        <v>315470</v>
      </c>
      <c r="L307">
        <v>55777570</v>
      </c>
      <c r="M307">
        <v>109</v>
      </c>
      <c r="N307">
        <v>0.97</v>
      </c>
      <c r="O307">
        <v>6.29</v>
      </c>
      <c r="P307">
        <v>1.2</v>
      </c>
      <c r="Q307">
        <v>1</v>
      </c>
      <c r="R307">
        <f>CORREL(BMW[units_sold],BMW[gdp_growth_percent])</f>
        <v>-5.2597817623217792E-17</v>
      </c>
    </row>
    <row r="308" spans="1:18" x14ac:dyDescent="0.35">
      <c r="A308">
        <v>2018</v>
      </c>
      <c r="B308" t="s">
        <v>44</v>
      </c>
      <c r="C308" t="s">
        <v>37</v>
      </c>
      <c r="D308" t="s">
        <v>34</v>
      </c>
      <c r="E308" t="s">
        <v>19</v>
      </c>
      <c r="F308" t="s">
        <v>27</v>
      </c>
      <c r="G308">
        <v>75644</v>
      </c>
      <c r="H308" t="s">
        <v>55</v>
      </c>
      <c r="I308">
        <v>887</v>
      </c>
      <c r="J308">
        <v>67096228</v>
      </c>
      <c r="K308">
        <v>446875</v>
      </c>
      <c r="L308">
        <v>66649353</v>
      </c>
      <c r="M308">
        <v>393</v>
      </c>
      <c r="N308">
        <v>0.97</v>
      </c>
      <c r="O308">
        <v>6.29</v>
      </c>
      <c r="P308">
        <v>1.2</v>
      </c>
      <c r="Q308">
        <v>6</v>
      </c>
      <c r="R308">
        <f>CORREL(BMW[units_sold],BMW[gdp_growth_percent])</f>
        <v>-5.2597817623217792E-17</v>
      </c>
    </row>
    <row r="309" spans="1:18" x14ac:dyDescent="0.35">
      <c r="A309">
        <v>2019</v>
      </c>
      <c r="B309" t="s">
        <v>42</v>
      </c>
      <c r="C309" t="s">
        <v>21</v>
      </c>
      <c r="D309" t="s">
        <v>31</v>
      </c>
      <c r="E309" t="s">
        <v>16</v>
      </c>
      <c r="F309" t="s">
        <v>27</v>
      </c>
      <c r="G309">
        <v>83664</v>
      </c>
      <c r="H309" t="s">
        <v>54</v>
      </c>
      <c r="I309">
        <v>687</v>
      </c>
      <c r="J309">
        <v>57477168</v>
      </c>
      <c r="K309">
        <v>208666</v>
      </c>
      <c r="L309">
        <v>57268502</v>
      </c>
      <c r="M309">
        <v>309</v>
      </c>
      <c r="N309">
        <v>0.97</v>
      </c>
      <c r="O309">
        <v>6.29</v>
      </c>
      <c r="P309">
        <v>1.2</v>
      </c>
      <c r="Q309">
        <v>2</v>
      </c>
      <c r="R309">
        <f>CORREL(BMW[units_sold],BMW[gdp_growth_percent])</f>
        <v>-5.2597817623217792E-17</v>
      </c>
    </row>
    <row r="310" spans="1:18" x14ac:dyDescent="0.35">
      <c r="A310">
        <v>2021</v>
      </c>
      <c r="B310" t="s">
        <v>47</v>
      </c>
      <c r="C310" t="s">
        <v>28</v>
      </c>
      <c r="D310" t="s">
        <v>18</v>
      </c>
      <c r="E310" t="s">
        <v>19</v>
      </c>
      <c r="F310" t="s">
        <v>17</v>
      </c>
      <c r="G310">
        <v>80203</v>
      </c>
      <c r="H310" t="s">
        <v>54</v>
      </c>
      <c r="I310">
        <v>514</v>
      </c>
      <c r="J310">
        <v>41224342</v>
      </c>
      <c r="K310">
        <v>165819</v>
      </c>
      <c r="L310">
        <v>41058523</v>
      </c>
      <c r="M310">
        <v>112</v>
      </c>
      <c r="N310">
        <v>0.97</v>
      </c>
      <c r="O310">
        <v>6.29</v>
      </c>
      <c r="P310">
        <v>1.2</v>
      </c>
      <c r="Q310">
        <v>2</v>
      </c>
      <c r="R310">
        <f>CORREL(BMW[units_sold],BMW[gdp_growth_percent])</f>
        <v>-5.2597817623217792E-17</v>
      </c>
    </row>
    <row r="311" spans="1:18" x14ac:dyDescent="0.35">
      <c r="A311">
        <v>2015</v>
      </c>
      <c r="B311" t="s">
        <v>48</v>
      </c>
      <c r="C311" t="s">
        <v>21</v>
      </c>
      <c r="D311" t="s">
        <v>15</v>
      </c>
      <c r="E311" t="s">
        <v>16</v>
      </c>
      <c r="F311" t="s">
        <v>23</v>
      </c>
      <c r="G311">
        <v>101677</v>
      </c>
      <c r="H311" t="s">
        <v>54</v>
      </c>
      <c r="I311">
        <v>255</v>
      </c>
      <c r="J311">
        <v>25927635</v>
      </c>
      <c r="K311">
        <v>316907</v>
      </c>
      <c r="L311">
        <v>25610728</v>
      </c>
      <c r="M311">
        <v>56</v>
      </c>
      <c r="N311">
        <v>0.97</v>
      </c>
      <c r="O311">
        <v>6.29</v>
      </c>
      <c r="P311">
        <v>1.2</v>
      </c>
      <c r="Q311">
        <v>7</v>
      </c>
      <c r="R311">
        <f>CORREL(BMW[units_sold],BMW[gdp_growth_percent])</f>
        <v>-5.2597817623217792E-17</v>
      </c>
    </row>
    <row r="312" spans="1:18" x14ac:dyDescent="0.35">
      <c r="A312">
        <v>2017</v>
      </c>
      <c r="B312" t="s">
        <v>51</v>
      </c>
      <c r="C312" t="s">
        <v>37</v>
      </c>
      <c r="D312" t="s">
        <v>24</v>
      </c>
      <c r="E312" t="s">
        <v>16</v>
      </c>
      <c r="F312" t="s">
        <v>17</v>
      </c>
      <c r="G312">
        <v>60425</v>
      </c>
      <c r="H312" t="s">
        <v>55</v>
      </c>
      <c r="I312">
        <v>302</v>
      </c>
      <c r="J312">
        <v>18248350</v>
      </c>
      <c r="K312">
        <v>191900</v>
      </c>
      <c r="L312">
        <v>18056450</v>
      </c>
      <c r="M312">
        <v>48</v>
      </c>
      <c r="N312">
        <v>0.97</v>
      </c>
      <c r="O312">
        <v>6.29</v>
      </c>
      <c r="P312">
        <v>1.2</v>
      </c>
      <c r="Q312">
        <v>10</v>
      </c>
      <c r="R312">
        <f>CORREL(BMW[units_sold],BMW[gdp_growth_percent])</f>
        <v>-5.2597817623217792E-17</v>
      </c>
    </row>
    <row r="313" spans="1:18" x14ac:dyDescent="0.35">
      <c r="A313">
        <v>2016</v>
      </c>
      <c r="B313" t="s">
        <v>50</v>
      </c>
      <c r="C313" t="s">
        <v>28</v>
      </c>
      <c r="D313" t="s">
        <v>39</v>
      </c>
      <c r="E313" t="s">
        <v>16</v>
      </c>
      <c r="F313" t="s">
        <v>27</v>
      </c>
      <c r="G313">
        <v>119817</v>
      </c>
      <c r="H313" t="s">
        <v>54</v>
      </c>
      <c r="I313">
        <v>730</v>
      </c>
      <c r="J313">
        <v>87466410</v>
      </c>
      <c r="K313">
        <v>359732</v>
      </c>
      <c r="L313">
        <v>87106678</v>
      </c>
      <c r="M313">
        <v>294</v>
      </c>
      <c r="N313">
        <v>0.97</v>
      </c>
      <c r="O313">
        <v>6.29</v>
      </c>
      <c r="P313">
        <v>1.2</v>
      </c>
      <c r="Q313">
        <v>1</v>
      </c>
      <c r="R313">
        <f>CORREL(BMW[units_sold],BMW[gdp_growth_percent])</f>
        <v>-5.2597817623217792E-17</v>
      </c>
    </row>
    <row r="314" spans="1:18" x14ac:dyDescent="0.35">
      <c r="A314">
        <v>2023</v>
      </c>
      <c r="B314" t="s">
        <v>50</v>
      </c>
      <c r="C314" t="s">
        <v>30</v>
      </c>
      <c r="D314" t="s">
        <v>26</v>
      </c>
      <c r="E314" t="s">
        <v>16</v>
      </c>
      <c r="F314" t="s">
        <v>27</v>
      </c>
      <c r="G314">
        <v>104806</v>
      </c>
      <c r="H314" t="s">
        <v>54</v>
      </c>
      <c r="I314">
        <v>847</v>
      </c>
      <c r="J314">
        <v>88770682</v>
      </c>
      <c r="K314">
        <v>323365</v>
      </c>
      <c r="L314">
        <v>88447317</v>
      </c>
      <c r="M314">
        <v>319</v>
      </c>
      <c r="N314">
        <v>0.97</v>
      </c>
      <c r="O314">
        <v>6.29</v>
      </c>
      <c r="P314">
        <v>1.2</v>
      </c>
      <c r="Q314">
        <v>6</v>
      </c>
      <c r="R314">
        <f>CORREL(BMW[units_sold],BMW[gdp_growth_percent])</f>
        <v>-5.2597817623217792E-17</v>
      </c>
    </row>
    <row r="315" spans="1:18" x14ac:dyDescent="0.35">
      <c r="A315">
        <v>2024</v>
      </c>
      <c r="B315" t="s">
        <v>52</v>
      </c>
      <c r="C315" t="s">
        <v>30</v>
      </c>
      <c r="D315" t="s">
        <v>31</v>
      </c>
      <c r="E315" t="s">
        <v>16</v>
      </c>
      <c r="F315" t="s">
        <v>23</v>
      </c>
      <c r="G315">
        <v>77814</v>
      </c>
      <c r="H315" t="s">
        <v>55</v>
      </c>
      <c r="I315">
        <v>498</v>
      </c>
      <c r="J315">
        <v>38751372</v>
      </c>
      <c r="K315">
        <v>454427</v>
      </c>
      <c r="L315">
        <v>38296945</v>
      </c>
      <c r="M315">
        <v>99</v>
      </c>
      <c r="N315">
        <v>0.97</v>
      </c>
      <c r="O315">
        <v>6.29</v>
      </c>
      <c r="P315">
        <v>1.2</v>
      </c>
      <c r="Q315">
        <v>7</v>
      </c>
      <c r="R315">
        <f>CORREL(BMW[units_sold],BMW[gdp_growth_percent])</f>
        <v>-5.2597817623217792E-17</v>
      </c>
    </row>
    <row r="316" spans="1:18" x14ac:dyDescent="0.35">
      <c r="A316">
        <v>2020</v>
      </c>
      <c r="B316" t="s">
        <v>46</v>
      </c>
      <c r="C316" t="s">
        <v>25</v>
      </c>
      <c r="D316" t="s">
        <v>33</v>
      </c>
      <c r="E316" t="s">
        <v>19</v>
      </c>
      <c r="F316" t="s">
        <v>17</v>
      </c>
      <c r="G316">
        <v>105219</v>
      </c>
      <c r="H316" t="s">
        <v>54</v>
      </c>
      <c r="I316">
        <v>176</v>
      </c>
      <c r="J316">
        <v>18518544</v>
      </c>
      <c r="K316">
        <v>63569</v>
      </c>
      <c r="L316">
        <v>18454975</v>
      </c>
      <c r="M316">
        <v>94</v>
      </c>
      <c r="N316">
        <v>0.97</v>
      </c>
      <c r="O316">
        <v>6.29</v>
      </c>
      <c r="P316">
        <v>1.2</v>
      </c>
      <c r="Q316">
        <v>8</v>
      </c>
      <c r="R316">
        <f>CORREL(BMW[units_sold],BMW[gdp_growth_percent])</f>
        <v>-5.2597817623217792E-17</v>
      </c>
    </row>
    <row r="317" spans="1:18" x14ac:dyDescent="0.35">
      <c r="A317">
        <v>2024</v>
      </c>
      <c r="B317" t="s">
        <v>43</v>
      </c>
      <c r="C317" t="s">
        <v>37</v>
      </c>
      <c r="D317" t="s">
        <v>33</v>
      </c>
      <c r="E317" t="s">
        <v>16</v>
      </c>
      <c r="F317" t="s">
        <v>27</v>
      </c>
      <c r="G317">
        <v>84646</v>
      </c>
      <c r="H317" t="s">
        <v>54</v>
      </c>
      <c r="I317">
        <v>736</v>
      </c>
      <c r="J317">
        <v>62299456</v>
      </c>
      <c r="K317">
        <v>277966</v>
      </c>
      <c r="L317">
        <v>62021490</v>
      </c>
      <c r="M317">
        <v>282</v>
      </c>
      <c r="N317">
        <v>0.97</v>
      </c>
      <c r="O317">
        <v>6.29</v>
      </c>
      <c r="P317">
        <v>1.2</v>
      </c>
      <c r="Q317">
        <v>7</v>
      </c>
      <c r="R317">
        <f>CORREL(BMW[units_sold],BMW[gdp_growth_percent])</f>
        <v>-5.2597817623217792E-17</v>
      </c>
    </row>
    <row r="318" spans="1:18" x14ac:dyDescent="0.35">
      <c r="A318">
        <v>2017</v>
      </c>
      <c r="B318" t="s">
        <v>43</v>
      </c>
      <c r="C318" t="s">
        <v>25</v>
      </c>
      <c r="D318" t="s">
        <v>39</v>
      </c>
      <c r="E318" t="s">
        <v>19</v>
      </c>
      <c r="F318" t="s">
        <v>20</v>
      </c>
      <c r="G318">
        <v>74884</v>
      </c>
      <c r="H318" t="s">
        <v>55</v>
      </c>
      <c r="I318">
        <v>836</v>
      </c>
      <c r="J318">
        <v>62603024</v>
      </c>
      <c r="K318">
        <v>87860</v>
      </c>
      <c r="L318">
        <v>62515164</v>
      </c>
      <c r="M318">
        <v>345</v>
      </c>
      <c r="N318">
        <v>0.97</v>
      </c>
      <c r="O318">
        <v>6.29</v>
      </c>
      <c r="P318">
        <v>1.2</v>
      </c>
      <c r="Q318">
        <v>6</v>
      </c>
      <c r="R318">
        <f>CORREL(BMW[units_sold],BMW[gdp_growth_percent])</f>
        <v>-5.2597817623217792E-17</v>
      </c>
    </row>
    <row r="319" spans="1:18" x14ac:dyDescent="0.35">
      <c r="A319">
        <v>2022</v>
      </c>
      <c r="B319" t="s">
        <v>50</v>
      </c>
      <c r="C319" t="s">
        <v>32</v>
      </c>
      <c r="D319" t="s">
        <v>15</v>
      </c>
      <c r="E319" t="s">
        <v>16</v>
      </c>
      <c r="F319" t="s">
        <v>27</v>
      </c>
      <c r="G319">
        <v>104322</v>
      </c>
      <c r="H319" t="s">
        <v>54</v>
      </c>
      <c r="I319">
        <v>609</v>
      </c>
      <c r="J319">
        <v>63532098</v>
      </c>
      <c r="K319">
        <v>252630</v>
      </c>
      <c r="L319">
        <v>63279468</v>
      </c>
      <c r="M319">
        <v>197</v>
      </c>
      <c r="N319">
        <v>0.97</v>
      </c>
      <c r="O319">
        <v>6.29</v>
      </c>
      <c r="P319">
        <v>1.2</v>
      </c>
      <c r="Q319">
        <v>9</v>
      </c>
      <c r="R319">
        <f>CORREL(BMW[units_sold],BMW[gdp_growth_percent])</f>
        <v>-5.2597817623217792E-17</v>
      </c>
    </row>
    <row r="320" spans="1:18" x14ac:dyDescent="0.35">
      <c r="A320">
        <v>2022</v>
      </c>
      <c r="B320" t="s">
        <v>49</v>
      </c>
      <c r="C320" t="s">
        <v>36</v>
      </c>
      <c r="D320" t="s">
        <v>26</v>
      </c>
      <c r="E320" t="s">
        <v>20</v>
      </c>
      <c r="F320" t="s">
        <v>27</v>
      </c>
      <c r="G320">
        <v>56650</v>
      </c>
      <c r="H320" t="s">
        <v>55</v>
      </c>
      <c r="I320">
        <v>753</v>
      </c>
      <c r="J320">
        <v>42657450</v>
      </c>
      <c r="K320">
        <v>357481</v>
      </c>
      <c r="L320">
        <v>42299969</v>
      </c>
      <c r="M320">
        <v>168</v>
      </c>
      <c r="N320">
        <v>0.97</v>
      </c>
      <c r="O320">
        <v>6.29</v>
      </c>
      <c r="P320">
        <v>1.2</v>
      </c>
      <c r="Q320">
        <v>3</v>
      </c>
      <c r="R320">
        <f>CORREL(BMW[units_sold],BMW[gdp_growth_percent])</f>
        <v>-5.2597817623217792E-17</v>
      </c>
    </row>
    <row r="321" spans="1:18" x14ac:dyDescent="0.35">
      <c r="A321">
        <v>2016</v>
      </c>
      <c r="B321" t="s">
        <v>52</v>
      </c>
      <c r="C321" t="s">
        <v>14</v>
      </c>
      <c r="D321" t="s">
        <v>29</v>
      </c>
      <c r="E321" t="s">
        <v>16</v>
      </c>
      <c r="F321" t="s">
        <v>23</v>
      </c>
      <c r="G321">
        <v>44190</v>
      </c>
      <c r="H321" t="s">
        <v>57</v>
      </c>
      <c r="I321">
        <v>632</v>
      </c>
      <c r="J321">
        <v>27928080</v>
      </c>
      <c r="K321">
        <v>495527</v>
      </c>
      <c r="L321">
        <v>27432553</v>
      </c>
      <c r="M321">
        <v>252</v>
      </c>
      <c r="N321">
        <v>0.97</v>
      </c>
      <c r="O321">
        <v>6.29</v>
      </c>
      <c r="P321">
        <v>1.2</v>
      </c>
      <c r="Q321">
        <v>6</v>
      </c>
      <c r="R321">
        <f>CORREL(BMW[units_sold],BMW[gdp_growth_percent])</f>
        <v>-5.2597817623217792E-17</v>
      </c>
    </row>
    <row r="322" spans="1:18" x14ac:dyDescent="0.35">
      <c r="A322">
        <v>2020</v>
      </c>
      <c r="B322" t="s">
        <v>43</v>
      </c>
      <c r="C322" t="s">
        <v>32</v>
      </c>
      <c r="D322" t="s">
        <v>39</v>
      </c>
      <c r="E322" t="s">
        <v>20</v>
      </c>
      <c r="F322" t="s">
        <v>20</v>
      </c>
      <c r="G322">
        <v>73196</v>
      </c>
      <c r="H322" t="s">
        <v>55</v>
      </c>
      <c r="I322">
        <v>531</v>
      </c>
      <c r="J322">
        <v>38867076</v>
      </c>
      <c r="K322">
        <v>194587</v>
      </c>
      <c r="L322">
        <v>38672489</v>
      </c>
      <c r="M322">
        <v>82</v>
      </c>
      <c r="N322">
        <v>0.97</v>
      </c>
      <c r="O322">
        <v>6.29</v>
      </c>
      <c r="P322">
        <v>1.2</v>
      </c>
      <c r="Q322">
        <v>4</v>
      </c>
      <c r="R322">
        <f>CORREL(BMW[units_sold],BMW[gdp_growth_percent])</f>
        <v>-5.2597817623217792E-17</v>
      </c>
    </row>
    <row r="323" spans="1:18" x14ac:dyDescent="0.35">
      <c r="A323">
        <v>2021</v>
      </c>
      <c r="B323" t="s">
        <v>50</v>
      </c>
      <c r="C323" t="s">
        <v>36</v>
      </c>
      <c r="D323" t="s">
        <v>15</v>
      </c>
      <c r="E323" t="s">
        <v>16</v>
      </c>
      <c r="F323" t="s">
        <v>27</v>
      </c>
      <c r="G323">
        <v>74449</v>
      </c>
      <c r="H323" t="s">
        <v>55</v>
      </c>
      <c r="I323">
        <v>542</v>
      </c>
      <c r="J323">
        <v>40351358</v>
      </c>
      <c r="K323">
        <v>121695</v>
      </c>
      <c r="L323">
        <v>40229663</v>
      </c>
      <c r="M323">
        <v>58</v>
      </c>
      <c r="N323">
        <v>0.97</v>
      </c>
      <c r="O323">
        <v>6.29</v>
      </c>
      <c r="P323">
        <v>1.2</v>
      </c>
      <c r="Q323">
        <v>2</v>
      </c>
      <c r="R323">
        <f>CORREL(BMW[units_sold],BMW[gdp_growth_percent])</f>
        <v>-5.2597817623217792E-17</v>
      </c>
    </row>
    <row r="324" spans="1:18" x14ac:dyDescent="0.35">
      <c r="A324">
        <v>2016</v>
      </c>
      <c r="B324" t="s">
        <v>46</v>
      </c>
      <c r="C324" t="s">
        <v>28</v>
      </c>
      <c r="D324" t="s">
        <v>26</v>
      </c>
      <c r="E324" t="s">
        <v>16</v>
      </c>
      <c r="F324" t="s">
        <v>27</v>
      </c>
      <c r="G324">
        <v>74661</v>
      </c>
      <c r="H324" t="s">
        <v>55</v>
      </c>
      <c r="I324">
        <v>529</v>
      </c>
      <c r="J324">
        <v>39495669</v>
      </c>
      <c r="K324">
        <v>303078</v>
      </c>
      <c r="L324">
        <v>39192591</v>
      </c>
      <c r="M324">
        <v>110</v>
      </c>
      <c r="N324">
        <v>0.97</v>
      </c>
      <c r="O324">
        <v>6.29</v>
      </c>
      <c r="P324">
        <v>1.2</v>
      </c>
      <c r="Q324">
        <v>1</v>
      </c>
      <c r="R324">
        <f>CORREL(BMW[units_sold],BMW[gdp_growth_percent])</f>
        <v>-5.2597817623217792E-17</v>
      </c>
    </row>
    <row r="325" spans="1:18" x14ac:dyDescent="0.35">
      <c r="A325">
        <v>2024</v>
      </c>
      <c r="B325" t="s">
        <v>43</v>
      </c>
      <c r="C325" t="s">
        <v>25</v>
      </c>
      <c r="D325" t="s">
        <v>31</v>
      </c>
      <c r="E325" t="s">
        <v>16</v>
      </c>
      <c r="F325" t="s">
        <v>20</v>
      </c>
      <c r="G325">
        <v>64709</v>
      </c>
      <c r="H325" t="s">
        <v>55</v>
      </c>
      <c r="I325">
        <v>130</v>
      </c>
      <c r="J325">
        <v>8412170</v>
      </c>
      <c r="K325">
        <v>292599</v>
      </c>
      <c r="L325">
        <v>8119571</v>
      </c>
      <c r="M325">
        <v>11</v>
      </c>
      <c r="N325">
        <v>0.97</v>
      </c>
      <c r="O325">
        <v>6.29</v>
      </c>
      <c r="P325">
        <v>1.2</v>
      </c>
      <c r="Q325">
        <v>1</v>
      </c>
      <c r="R325">
        <f>CORREL(BMW[units_sold],BMW[gdp_growth_percent])</f>
        <v>-5.2597817623217792E-17</v>
      </c>
    </row>
    <row r="326" spans="1:18" x14ac:dyDescent="0.35">
      <c r="A326">
        <v>2016</v>
      </c>
      <c r="B326" t="s">
        <v>44</v>
      </c>
      <c r="C326" t="s">
        <v>28</v>
      </c>
      <c r="D326" t="s">
        <v>18</v>
      </c>
      <c r="E326" t="s">
        <v>20</v>
      </c>
      <c r="F326" t="s">
        <v>17</v>
      </c>
      <c r="G326">
        <v>115428</v>
      </c>
      <c r="H326" t="s">
        <v>54</v>
      </c>
      <c r="I326">
        <v>533</v>
      </c>
      <c r="J326">
        <v>61523124</v>
      </c>
      <c r="K326">
        <v>418893</v>
      </c>
      <c r="L326">
        <v>61104231</v>
      </c>
      <c r="M326">
        <v>253</v>
      </c>
      <c r="N326">
        <v>0.97</v>
      </c>
      <c r="O326">
        <v>6.29</v>
      </c>
      <c r="P326">
        <v>1.2</v>
      </c>
      <c r="Q326">
        <v>10</v>
      </c>
      <c r="R326">
        <f>CORREL(BMW[units_sold],BMW[gdp_growth_percent])</f>
        <v>-5.2597817623217792E-17</v>
      </c>
    </row>
    <row r="327" spans="1:18" x14ac:dyDescent="0.35">
      <c r="A327">
        <v>2024</v>
      </c>
      <c r="B327" t="s">
        <v>44</v>
      </c>
      <c r="C327" t="s">
        <v>28</v>
      </c>
      <c r="D327" t="s">
        <v>29</v>
      </c>
      <c r="E327" t="s">
        <v>20</v>
      </c>
      <c r="F327" t="s">
        <v>17</v>
      </c>
      <c r="G327">
        <v>110179</v>
      </c>
      <c r="H327" t="s">
        <v>54</v>
      </c>
      <c r="I327">
        <v>430</v>
      </c>
      <c r="J327">
        <v>47376970</v>
      </c>
      <c r="K327">
        <v>205976</v>
      </c>
      <c r="L327">
        <v>47170994</v>
      </c>
      <c r="M327">
        <v>185</v>
      </c>
      <c r="N327">
        <v>0.97</v>
      </c>
      <c r="O327">
        <v>6.29</v>
      </c>
      <c r="P327">
        <v>1.2</v>
      </c>
      <c r="Q327">
        <v>3</v>
      </c>
      <c r="R327">
        <f>CORREL(BMW[units_sold],BMW[gdp_growth_percent])</f>
        <v>-5.2597817623217792E-17</v>
      </c>
    </row>
    <row r="328" spans="1:18" x14ac:dyDescent="0.35">
      <c r="A328">
        <v>2015</v>
      </c>
      <c r="B328" t="s">
        <v>41</v>
      </c>
      <c r="C328" t="s">
        <v>36</v>
      </c>
      <c r="D328" t="s">
        <v>24</v>
      </c>
      <c r="E328" t="s">
        <v>16</v>
      </c>
      <c r="F328" t="s">
        <v>27</v>
      </c>
      <c r="G328">
        <v>44943</v>
      </c>
      <c r="H328" t="s">
        <v>57</v>
      </c>
      <c r="I328">
        <v>647</v>
      </c>
      <c r="J328">
        <v>29078121</v>
      </c>
      <c r="K328">
        <v>241007</v>
      </c>
      <c r="L328">
        <v>28837114</v>
      </c>
      <c r="M328">
        <v>247</v>
      </c>
      <c r="N328">
        <v>0.97</v>
      </c>
      <c r="O328">
        <v>6.29</v>
      </c>
      <c r="P328">
        <v>1.2</v>
      </c>
      <c r="Q328">
        <v>4</v>
      </c>
      <c r="R328">
        <f>CORREL(BMW[units_sold],BMW[gdp_growth_percent])</f>
        <v>-5.2597817623217792E-17</v>
      </c>
    </row>
    <row r="329" spans="1:18" x14ac:dyDescent="0.35">
      <c r="A329">
        <v>2022</v>
      </c>
      <c r="B329" t="s">
        <v>41</v>
      </c>
      <c r="C329" t="s">
        <v>37</v>
      </c>
      <c r="D329" t="s">
        <v>33</v>
      </c>
      <c r="E329" t="s">
        <v>19</v>
      </c>
      <c r="F329" t="s">
        <v>27</v>
      </c>
      <c r="G329">
        <v>78240</v>
      </c>
      <c r="H329" t="s">
        <v>55</v>
      </c>
      <c r="I329">
        <v>520</v>
      </c>
      <c r="J329">
        <v>40684800</v>
      </c>
      <c r="K329">
        <v>355934</v>
      </c>
      <c r="L329">
        <v>40328866</v>
      </c>
      <c r="M329">
        <v>68</v>
      </c>
      <c r="N329">
        <v>0.97</v>
      </c>
      <c r="O329">
        <v>6.29</v>
      </c>
      <c r="P329">
        <v>1.2</v>
      </c>
      <c r="Q329">
        <v>2</v>
      </c>
      <c r="R329">
        <f>CORREL(BMW[units_sold],BMW[gdp_growth_percent])</f>
        <v>-5.2597817623217792E-17</v>
      </c>
    </row>
    <row r="330" spans="1:18" x14ac:dyDescent="0.35">
      <c r="A330">
        <v>2015</v>
      </c>
      <c r="B330" t="s">
        <v>47</v>
      </c>
      <c r="C330" t="s">
        <v>36</v>
      </c>
      <c r="D330" t="s">
        <v>22</v>
      </c>
      <c r="E330" t="s">
        <v>16</v>
      </c>
      <c r="F330" t="s">
        <v>17</v>
      </c>
      <c r="G330">
        <v>80760</v>
      </c>
      <c r="H330" t="s">
        <v>54</v>
      </c>
      <c r="I330">
        <v>961</v>
      </c>
      <c r="J330">
        <v>77610360</v>
      </c>
      <c r="K330">
        <v>380724</v>
      </c>
      <c r="L330">
        <v>77229636</v>
      </c>
      <c r="M330">
        <v>362</v>
      </c>
      <c r="N330">
        <v>0.97</v>
      </c>
      <c r="O330">
        <v>6.29</v>
      </c>
      <c r="P330">
        <v>1.2</v>
      </c>
      <c r="Q330">
        <v>1</v>
      </c>
      <c r="R330">
        <f>CORREL(BMW[units_sold],BMW[gdp_growth_percent])</f>
        <v>-5.2597817623217792E-17</v>
      </c>
    </row>
    <row r="331" spans="1:18" x14ac:dyDescent="0.35">
      <c r="A331">
        <v>2023</v>
      </c>
      <c r="B331" t="s">
        <v>48</v>
      </c>
      <c r="C331" t="s">
        <v>38</v>
      </c>
      <c r="D331" t="s">
        <v>31</v>
      </c>
      <c r="E331" t="s">
        <v>20</v>
      </c>
      <c r="F331" t="s">
        <v>23</v>
      </c>
      <c r="G331">
        <v>56042</v>
      </c>
      <c r="H331" t="s">
        <v>55</v>
      </c>
      <c r="I331">
        <v>552</v>
      </c>
      <c r="J331">
        <v>30935184</v>
      </c>
      <c r="K331">
        <v>55636</v>
      </c>
      <c r="L331">
        <v>30879548</v>
      </c>
      <c r="M331">
        <v>108</v>
      </c>
      <c r="N331">
        <v>0.97</v>
      </c>
      <c r="O331">
        <v>6.29</v>
      </c>
      <c r="P331">
        <v>1.2</v>
      </c>
      <c r="Q331">
        <v>4</v>
      </c>
      <c r="R331">
        <f>CORREL(BMW[units_sold],BMW[gdp_growth_percent])</f>
        <v>-5.2597817623217792E-17</v>
      </c>
    </row>
    <row r="332" spans="1:18" x14ac:dyDescent="0.35">
      <c r="A332">
        <v>2020</v>
      </c>
      <c r="B332" t="s">
        <v>51</v>
      </c>
      <c r="C332" t="s">
        <v>30</v>
      </c>
      <c r="D332" t="s">
        <v>33</v>
      </c>
      <c r="E332" t="s">
        <v>16</v>
      </c>
      <c r="F332" t="s">
        <v>20</v>
      </c>
      <c r="G332">
        <v>78894</v>
      </c>
      <c r="H332" t="s">
        <v>55</v>
      </c>
      <c r="I332">
        <v>1150</v>
      </c>
      <c r="J332">
        <v>90728100</v>
      </c>
      <c r="K332">
        <v>311578</v>
      </c>
      <c r="L332">
        <v>90416522</v>
      </c>
      <c r="M332">
        <v>368</v>
      </c>
      <c r="N332">
        <v>0.97</v>
      </c>
      <c r="O332">
        <v>6.29</v>
      </c>
      <c r="P332">
        <v>1.2</v>
      </c>
      <c r="Q332">
        <v>7</v>
      </c>
      <c r="R332">
        <f>CORREL(BMW[units_sold],BMW[gdp_growth_percent])</f>
        <v>-5.2597817623217792E-17</v>
      </c>
    </row>
    <row r="333" spans="1:18" x14ac:dyDescent="0.35">
      <c r="A333">
        <v>2021</v>
      </c>
      <c r="B333" t="s">
        <v>41</v>
      </c>
      <c r="C333" t="s">
        <v>30</v>
      </c>
      <c r="D333" t="s">
        <v>34</v>
      </c>
      <c r="E333" t="s">
        <v>20</v>
      </c>
      <c r="F333" t="s">
        <v>20</v>
      </c>
      <c r="G333">
        <v>41869</v>
      </c>
      <c r="H333" t="s">
        <v>57</v>
      </c>
      <c r="I333">
        <v>361</v>
      </c>
      <c r="J333">
        <v>15114709</v>
      </c>
      <c r="K333">
        <v>389273</v>
      </c>
      <c r="L333">
        <v>14725436</v>
      </c>
      <c r="M333">
        <v>11</v>
      </c>
      <c r="N333">
        <v>0.97</v>
      </c>
      <c r="O333">
        <v>6.29</v>
      </c>
      <c r="P333">
        <v>1.2</v>
      </c>
      <c r="Q333">
        <v>10</v>
      </c>
      <c r="R333">
        <f>CORREL(BMW[units_sold],BMW[gdp_growth_percent])</f>
        <v>-5.2597817623217792E-17</v>
      </c>
    </row>
    <row r="334" spans="1:18" x14ac:dyDescent="0.35">
      <c r="A334">
        <v>2024</v>
      </c>
      <c r="B334" t="s">
        <v>43</v>
      </c>
      <c r="C334" t="s">
        <v>32</v>
      </c>
      <c r="D334" t="s">
        <v>22</v>
      </c>
      <c r="E334" t="s">
        <v>20</v>
      </c>
      <c r="F334" t="s">
        <v>23</v>
      </c>
      <c r="G334">
        <v>96078</v>
      </c>
      <c r="H334" t="s">
        <v>54</v>
      </c>
      <c r="I334">
        <v>630</v>
      </c>
      <c r="J334">
        <v>60529140</v>
      </c>
      <c r="K334">
        <v>446108</v>
      </c>
      <c r="L334">
        <v>60083032</v>
      </c>
      <c r="M334">
        <v>252</v>
      </c>
      <c r="N334">
        <v>0.97</v>
      </c>
      <c r="O334">
        <v>6.29</v>
      </c>
      <c r="P334">
        <v>1.2</v>
      </c>
      <c r="Q334">
        <v>6</v>
      </c>
      <c r="R334">
        <f>CORREL(BMW[units_sold],BMW[gdp_growth_percent])</f>
        <v>-5.2597817623217792E-17</v>
      </c>
    </row>
    <row r="335" spans="1:18" x14ac:dyDescent="0.35">
      <c r="A335">
        <v>2021</v>
      </c>
      <c r="B335" t="s">
        <v>42</v>
      </c>
      <c r="C335" t="s">
        <v>30</v>
      </c>
      <c r="D335" t="s">
        <v>33</v>
      </c>
      <c r="E335" t="s">
        <v>20</v>
      </c>
      <c r="F335" t="s">
        <v>23</v>
      </c>
      <c r="G335">
        <v>91759</v>
      </c>
      <c r="H335" t="s">
        <v>54</v>
      </c>
      <c r="I335">
        <v>876</v>
      </c>
      <c r="J335">
        <v>80380884</v>
      </c>
      <c r="K335">
        <v>333816</v>
      </c>
      <c r="L335">
        <v>80047068</v>
      </c>
      <c r="M335">
        <v>306</v>
      </c>
      <c r="N335">
        <v>0.97</v>
      </c>
      <c r="O335">
        <v>6.29</v>
      </c>
      <c r="P335">
        <v>1.2</v>
      </c>
      <c r="Q335">
        <v>6</v>
      </c>
      <c r="R335">
        <f>CORREL(BMW[units_sold],BMW[gdp_growth_percent])</f>
        <v>-5.2597817623217792E-17</v>
      </c>
    </row>
    <row r="336" spans="1:18" x14ac:dyDescent="0.35">
      <c r="A336">
        <v>2024</v>
      </c>
      <c r="B336" t="s">
        <v>50</v>
      </c>
      <c r="C336" t="s">
        <v>36</v>
      </c>
      <c r="D336" t="s">
        <v>15</v>
      </c>
      <c r="E336" t="s">
        <v>16</v>
      </c>
      <c r="F336" t="s">
        <v>23</v>
      </c>
      <c r="G336">
        <v>79306</v>
      </c>
      <c r="H336" t="s">
        <v>55</v>
      </c>
      <c r="I336">
        <v>525</v>
      </c>
      <c r="J336">
        <v>41635650</v>
      </c>
      <c r="K336">
        <v>317956</v>
      </c>
      <c r="L336">
        <v>41317694</v>
      </c>
      <c r="M336">
        <v>220</v>
      </c>
      <c r="N336">
        <v>0.97</v>
      </c>
      <c r="O336">
        <v>6.29</v>
      </c>
      <c r="P336">
        <v>1.2</v>
      </c>
      <c r="Q336">
        <v>9</v>
      </c>
      <c r="R336">
        <f>CORREL(BMW[units_sold],BMW[gdp_growth_percent])</f>
        <v>-5.2597817623217792E-17</v>
      </c>
    </row>
    <row r="337" spans="1:18" x14ac:dyDescent="0.35">
      <c r="A337">
        <v>2017</v>
      </c>
      <c r="B337" t="s">
        <v>42</v>
      </c>
      <c r="C337" t="s">
        <v>35</v>
      </c>
      <c r="D337" t="s">
        <v>29</v>
      </c>
      <c r="E337" t="s">
        <v>20</v>
      </c>
      <c r="F337" t="s">
        <v>23</v>
      </c>
      <c r="G337">
        <v>90371</v>
      </c>
      <c r="H337" t="s">
        <v>54</v>
      </c>
      <c r="I337">
        <v>718</v>
      </c>
      <c r="J337">
        <v>64886378</v>
      </c>
      <c r="K337">
        <v>277693</v>
      </c>
      <c r="L337">
        <v>64608685</v>
      </c>
      <c r="M337">
        <v>132</v>
      </c>
      <c r="N337">
        <v>0.97</v>
      </c>
      <c r="O337">
        <v>6.29</v>
      </c>
      <c r="P337">
        <v>1.2</v>
      </c>
      <c r="Q337">
        <v>2</v>
      </c>
      <c r="R337">
        <f>CORREL(BMW[units_sold],BMW[gdp_growth_percent])</f>
        <v>-5.2597817623217792E-17</v>
      </c>
    </row>
    <row r="338" spans="1:18" x14ac:dyDescent="0.35">
      <c r="A338">
        <v>2016</v>
      </c>
      <c r="B338" t="s">
        <v>46</v>
      </c>
      <c r="C338" t="s">
        <v>25</v>
      </c>
      <c r="D338" t="s">
        <v>33</v>
      </c>
      <c r="E338" t="s">
        <v>20</v>
      </c>
      <c r="F338" t="s">
        <v>23</v>
      </c>
      <c r="G338">
        <v>55918</v>
      </c>
      <c r="H338" t="s">
        <v>55</v>
      </c>
      <c r="I338">
        <v>680</v>
      </c>
      <c r="J338">
        <v>38024240</v>
      </c>
      <c r="K338">
        <v>50654</v>
      </c>
      <c r="L338">
        <v>37973586</v>
      </c>
      <c r="M338">
        <v>238</v>
      </c>
      <c r="N338">
        <v>0.97</v>
      </c>
      <c r="O338">
        <v>6.29</v>
      </c>
      <c r="P338">
        <v>1.2</v>
      </c>
      <c r="Q338">
        <v>4</v>
      </c>
      <c r="R338">
        <f>CORREL(BMW[units_sold],BMW[gdp_growth_percent])</f>
        <v>-5.2597817623217792E-17</v>
      </c>
    </row>
    <row r="339" spans="1:18" x14ac:dyDescent="0.35">
      <c r="A339">
        <v>2023</v>
      </c>
      <c r="B339" t="s">
        <v>41</v>
      </c>
      <c r="C339" t="s">
        <v>36</v>
      </c>
      <c r="D339" t="s">
        <v>24</v>
      </c>
      <c r="E339" t="s">
        <v>16</v>
      </c>
      <c r="F339" t="s">
        <v>23</v>
      </c>
      <c r="G339">
        <v>63379</v>
      </c>
      <c r="H339" t="s">
        <v>55</v>
      </c>
      <c r="I339">
        <v>466</v>
      </c>
      <c r="J339">
        <v>29534614</v>
      </c>
      <c r="K339">
        <v>104633</v>
      </c>
      <c r="L339">
        <v>29429981</v>
      </c>
      <c r="M339">
        <v>91</v>
      </c>
      <c r="N339">
        <v>0.97</v>
      </c>
      <c r="O339">
        <v>6.29</v>
      </c>
      <c r="P339">
        <v>1.2</v>
      </c>
      <c r="Q339">
        <v>5</v>
      </c>
      <c r="R339">
        <f>CORREL(BMW[units_sold],BMW[gdp_growth_percent])</f>
        <v>-5.2597817623217792E-17</v>
      </c>
    </row>
    <row r="340" spans="1:18" x14ac:dyDescent="0.35">
      <c r="A340">
        <v>2022</v>
      </c>
      <c r="B340" t="s">
        <v>51</v>
      </c>
      <c r="C340" t="s">
        <v>36</v>
      </c>
      <c r="D340" t="s">
        <v>18</v>
      </c>
      <c r="E340" t="s">
        <v>20</v>
      </c>
      <c r="F340" t="s">
        <v>20</v>
      </c>
      <c r="G340">
        <v>118232</v>
      </c>
      <c r="H340" t="s">
        <v>54</v>
      </c>
      <c r="I340">
        <v>497</v>
      </c>
      <c r="J340">
        <v>58761304</v>
      </c>
      <c r="K340">
        <v>67143</v>
      </c>
      <c r="L340">
        <v>58694161</v>
      </c>
      <c r="M340">
        <v>153</v>
      </c>
      <c r="N340">
        <v>0.97</v>
      </c>
      <c r="O340">
        <v>6.29</v>
      </c>
      <c r="P340">
        <v>1.2</v>
      </c>
      <c r="Q340">
        <v>1</v>
      </c>
      <c r="R340">
        <f>CORREL(BMW[units_sold],BMW[gdp_growth_percent])</f>
        <v>-5.2597817623217792E-17</v>
      </c>
    </row>
    <row r="341" spans="1:18" x14ac:dyDescent="0.35">
      <c r="A341">
        <v>2024</v>
      </c>
      <c r="B341" t="s">
        <v>46</v>
      </c>
      <c r="C341" t="s">
        <v>14</v>
      </c>
      <c r="D341" t="s">
        <v>15</v>
      </c>
      <c r="E341" t="s">
        <v>16</v>
      </c>
      <c r="F341" t="s">
        <v>23</v>
      </c>
      <c r="G341">
        <v>37962</v>
      </c>
      <c r="H341" t="s">
        <v>57</v>
      </c>
      <c r="I341">
        <v>893</v>
      </c>
      <c r="J341">
        <v>33900066</v>
      </c>
      <c r="K341">
        <v>105934</v>
      </c>
      <c r="L341">
        <v>33794132</v>
      </c>
      <c r="M341">
        <v>397</v>
      </c>
      <c r="N341">
        <v>0.97</v>
      </c>
      <c r="O341">
        <v>6.29</v>
      </c>
      <c r="P341">
        <v>1.2</v>
      </c>
      <c r="Q341">
        <v>8</v>
      </c>
      <c r="R341">
        <f>CORREL(BMW[units_sold],BMW[gdp_growth_percent])</f>
        <v>-5.2597817623217792E-17</v>
      </c>
    </row>
    <row r="342" spans="1:18" x14ac:dyDescent="0.35">
      <c r="A342">
        <v>2021</v>
      </c>
      <c r="B342" t="s">
        <v>49</v>
      </c>
      <c r="C342" t="s">
        <v>25</v>
      </c>
      <c r="D342" t="s">
        <v>31</v>
      </c>
      <c r="E342" t="s">
        <v>20</v>
      </c>
      <c r="F342" t="s">
        <v>17</v>
      </c>
      <c r="G342">
        <v>48851</v>
      </c>
      <c r="H342" t="s">
        <v>57</v>
      </c>
      <c r="I342">
        <v>347</v>
      </c>
      <c r="J342">
        <v>16951297</v>
      </c>
      <c r="K342">
        <v>379478</v>
      </c>
      <c r="L342">
        <v>16571819</v>
      </c>
      <c r="M342">
        <v>149</v>
      </c>
      <c r="N342">
        <v>0.97</v>
      </c>
      <c r="O342">
        <v>6.29</v>
      </c>
      <c r="P342">
        <v>1.2</v>
      </c>
      <c r="Q342">
        <v>8</v>
      </c>
      <c r="R342">
        <f>CORREL(BMW[units_sold],BMW[gdp_growth_percent])</f>
        <v>-5.2597817623217792E-17</v>
      </c>
    </row>
    <row r="343" spans="1:18" x14ac:dyDescent="0.35">
      <c r="A343">
        <v>2023</v>
      </c>
      <c r="B343" t="s">
        <v>49</v>
      </c>
      <c r="C343" t="s">
        <v>38</v>
      </c>
      <c r="D343" t="s">
        <v>31</v>
      </c>
      <c r="E343" t="s">
        <v>19</v>
      </c>
      <c r="F343" t="s">
        <v>23</v>
      </c>
      <c r="G343">
        <v>80747</v>
      </c>
      <c r="H343" t="s">
        <v>54</v>
      </c>
      <c r="I343">
        <v>158</v>
      </c>
      <c r="J343">
        <v>12758026</v>
      </c>
      <c r="K343">
        <v>153463</v>
      </c>
      <c r="L343">
        <v>12604563</v>
      </c>
      <c r="M343">
        <v>38</v>
      </c>
      <c r="N343">
        <v>0.97</v>
      </c>
      <c r="O343">
        <v>6.29</v>
      </c>
      <c r="P343">
        <v>1.2</v>
      </c>
      <c r="Q343">
        <v>6</v>
      </c>
      <c r="R343">
        <f>CORREL(BMW[units_sold],BMW[gdp_growth_percent])</f>
        <v>-5.2597817623217792E-17</v>
      </c>
    </row>
    <row r="344" spans="1:18" x14ac:dyDescent="0.35">
      <c r="A344">
        <v>2018</v>
      </c>
      <c r="B344" t="s">
        <v>42</v>
      </c>
      <c r="C344" t="s">
        <v>30</v>
      </c>
      <c r="D344" t="s">
        <v>31</v>
      </c>
      <c r="E344" t="s">
        <v>19</v>
      </c>
      <c r="F344" t="s">
        <v>23</v>
      </c>
      <c r="G344">
        <v>87349</v>
      </c>
      <c r="H344" t="s">
        <v>54</v>
      </c>
      <c r="I344">
        <v>701</v>
      </c>
      <c r="J344">
        <v>61231649</v>
      </c>
      <c r="K344">
        <v>175851</v>
      </c>
      <c r="L344">
        <v>61055798</v>
      </c>
      <c r="M344">
        <v>279</v>
      </c>
      <c r="N344">
        <v>0.97</v>
      </c>
      <c r="O344">
        <v>6.29</v>
      </c>
      <c r="P344">
        <v>1.2</v>
      </c>
      <c r="Q344">
        <v>5</v>
      </c>
      <c r="R344">
        <f>CORREL(BMW[units_sold],BMW[gdp_growth_percent])</f>
        <v>-5.2597817623217792E-17</v>
      </c>
    </row>
    <row r="345" spans="1:18" x14ac:dyDescent="0.35">
      <c r="A345">
        <v>2018</v>
      </c>
      <c r="B345" t="s">
        <v>48</v>
      </c>
      <c r="C345" t="s">
        <v>25</v>
      </c>
      <c r="D345" t="s">
        <v>31</v>
      </c>
      <c r="E345" t="s">
        <v>20</v>
      </c>
      <c r="F345" t="s">
        <v>20</v>
      </c>
      <c r="G345">
        <v>105832</v>
      </c>
      <c r="H345" t="s">
        <v>54</v>
      </c>
      <c r="I345">
        <v>657</v>
      </c>
      <c r="J345">
        <v>69531624</v>
      </c>
      <c r="K345">
        <v>79087</v>
      </c>
      <c r="L345">
        <v>69452537</v>
      </c>
      <c r="M345">
        <v>256</v>
      </c>
      <c r="N345">
        <v>0.97</v>
      </c>
      <c r="O345">
        <v>6.29</v>
      </c>
      <c r="P345">
        <v>1.2</v>
      </c>
      <c r="Q345">
        <v>8</v>
      </c>
      <c r="R345">
        <f>CORREL(BMW[units_sold],BMW[gdp_growth_percent])</f>
        <v>-5.2597817623217792E-17</v>
      </c>
    </row>
    <row r="346" spans="1:18" x14ac:dyDescent="0.35">
      <c r="A346">
        <v>2015</v>
      </c>
      <c r="B346" t="s">
        <v>52</v>
      </c>
      <c r="C346" t="s">
        <v>30</v>
      </c>
      <c r="D346" t="s">
        <v>18</v>
      </c>
      <c r="E346" t="s">
        <v>19</v>
      </c>
      <c r="F346" t="s">
        <v>20</v>
      </c>
      <c r="G346">
        <v>91356</v>
      </c>
      <c r="H346" t="s">
        <v>54</v>
      </c>
      <c r="I346">
        <v>306</v>
      </c>
      <c r="J346">
        <v>27954936</v>
      </c>
      <c r="K346">
        <v>192690</v>
      </c>
      <c r="L346">
        <v>27762246</v>
      </c>
      <c r="M346">
        <v>21</v>
      </c>
      <c r="N346">
        <v>0.97</v>
      </c>
      <c r="O346">
        <v>6.29</v>
      </c>
      <c r="P346">
        <v>1.2</v>
      </c>
      <c r="Q346">
        <v>3</v>
      </c>
      <c r="R346">
        <f>CORREL(BMW[units_sold],BMW[gdp_growth_percent])</f>
        <v>-5.2597817623217792E-17</v>
      </c>
    </row>
    <row r="347" spans="1:18" x14ac:dyDescent="0.35">
      <c r="A347">
        <v>2022</v>
      </c>
      <c r="B347" t="s">
        <v>48</v>
      </c>
      <c r="C347" t="s">
        <v>32</v>
      </c>
      <c r="D347" t="s">
        <v>33</v>
      </c>
      <c r="E347" t="s">
        <v>16</v>
      </c>
      <c r="F347" t="s">
        <v>23</v>
      </c>
      <c r="G347">
        <v>49745</v>
      </c>
      <c r="H347" t="s">
        <v>57</v>
      </c>
      <c r="I347">
        <v>958</v>
      </c>
      <c r="J347">
        <v>47655710</v>
      </c>
      <c r="K347">
        <v>320590</v>
      </c>
      <c r="L347">
        <v>47335120</v>
      </c>
      <c r="M347">
        <v>364</v>
      </c>
      <c r="N347">
        <v>0.97</v>
      </c>
      <c r="O347">
        <v>6.29</v>
      </c>
      <c r="P347">
        <v>1.2</v>
      </c>
      <c r="Q347">
        <v>3</v>
      </c>
      <c r="R347">
        <f>CORREL(BMW[units_sold],BMW[gdp_growth_percent])</f>
        <v>-5.2597817623217792E-17</v>
      </c>
    </row>
    <row r="348" spans="1:18" x14ac:dyDescent="0.35">
      <c r="A348">
        <v>2017</v>
      </c>
      <c r="B348" t="s">
        <v>43</v>
      </c>
      <c r="C348" t="s">
        <v>25</v>
      </c>
      <c r="D348" t="s">
        <v>26</v>
      </c>
      <c r="E348" t="s">
        <v>19</v>
      </c>
      <c r="F348" t="s">
        <v>20</v>
      </c>
      <c r="G348">
        <v>40730</v>
      </c>
      <c r="H348" t="s">
        <v>57</v>
      </c>
      <c r="I348">
        <v>1096</v>
      </c>
      <c r="J348">
        <v>44640080</v>
      </c>
      <c r="K348">
        <v>414271</v>
      </c>
      <c r="L348">
        <v>44225809</v>
      </c>
      <c r="M348">
        <v>398</v>
      </c>
      <c r="N348">
        <v>0.97</v>
      </c>
      <c r="O348">
        <v>6.29</v>
      </c>
      <c r="P348">
        <v>1.2</v>
      </c>
      <c r="Q348">
        <v>2</v>
      </c>
      <c r="R348">
        <f>CORREL(BMW[units_sold],BMW[gdp_growth_percent])</f>
        <v>-5.2597817623217792E-17</v>
      </c>
    </row>
    <row r="349" spans="1:18" x14ac:dyDescent="0.35">
      <c r="A349">
        <v>2021</v>
      </c>
      <c r="B349" t="s">
        <v>44</v>
      </c>
      <c r="C349" t="s">
        <v>30</v>
      </c>
      <c r="D349" t="s">
        <v>33</v>
      </c>
      <c r="E349" t="s">
        <v>20</v>
      </c>
      <c r="F349" t="s">
        <v>27</v>
      </c>
      <c r="G349">
        <v>48921</v>
      </c>
      <c r="H349" t="s">
        <v>57</v>
      </c>
      <c r="I349">
        <v>1086</v>
      </c>
      <c r="J349">
        <v>53128206</v>
      </c>
      <c r="K349">
        <v>361011</v>
      </c>
      <c r="L349">
        <v>52767195</v>
      </c>
      <c r="M349">
        <v>346</v>
      </c>
      <c r="N349">
        <v>0.97</v>
      </c>
      <c r="O349">
        <v>6.29</v>
      </c>
      <c r="P349">
        <v>1.2</v>
      </c>
      <c r="Q349">
        <v>5</v>
      </c>
      <c r="R349">
        <f>CORREL(BMW[units_sold],BMW[gdp_growth_percent])</f>
        <v>-5.2597817623217792E-17</v>
      </c>
    </row>
    <row r="350" spans="1:18" x14ac:dyDescent="0.35">
      <c r="A350">
        <v>2016</v>
      </c>
      <c r="B350" t="s">
        <v>47</v>
      </c>
      <c r="C350" t="s">
        <v>38</v>
      </c>
      <c r="D350" t="s">
        <v>34</v>
      </c>
      <c r="E350" t="s">
        <v>20</v>
      </c>
      <c r="F350" t="s">
        <v>20</v>
      </c>
      <c r="G350">
        <v>106138</v>
      </c>
      <c r="H350" t="s">
        <v>54</v>
      </c>
      <c r="I350">
        <v>647</v>
      </c>
      <c r="J350">
        <v>68671286</v>
      </c>
      <c r="K350">
        <v>494244</v>
      </c>
      <c r="L350">
        <v>68177042</v>
      </c>
      <c r="M350">
        <v>115</v>
      </c>
      <c r="N350">
        <v>0.97</v>
      </c>
      <c r="O350">
        <v>6.29</v>
      </c>
      <c r="P350">
        <v>1.2</v>
      </c>
      <c r="Q350">
        <v>3</v>
      </c>
      <c r="R350">
        <f>CORREL(BMW[units_sold],BMW[gdp_growth_percent])</f>
        <v>-5.2597817623217792E-17</v>
      </c>
    </row>
    <row r="351" spans="1:18" x14ac:dyDescent="0.35">
      <c r="A351">
        <v>2016</v>
      </c>
      <c r="B351" t="s">
        <v>48</v>
      </c>
      <c r="C351" t="s">
        <v>21</v>
      </c>
      <c r="D351" t="s">
        <v>29</v>
      </c>
      <c r="E351" t="s">
        <v>16</v>
      </c>
      <c r="F351" t="s">
        <v>20</v>
      </c>
      <c r="G351">
        <v>118111</v>
      </c>
      <c r="H351" t="s">
        <v>54</v>
      </c>
      <c r="I351">
        <v>290</v>
      </c>
      <c r="J351">
        <v>34252190</v>
      </c>
      <c r="K351">
        <v>372245</v>
      </c>
      <c r="L351">
        <v>33879945</v>
      </c>
      <c r="M351">
        <v>41</v>
      </c>
      <c r="N351">
        <v>0.97</v>
      </c>
      <c r="O351">
        <v>6.29</v>
      </c>
      <c r="P351">
        <v>1.2</v>
      </c>
      <c r="Q351">
        <v>3</v>
      </c>
      <c r="R351">
        <f>CORREL(BMW[units_sold],BMW[gdp_growth_percent])</f>
        <v>-5.2597817623217792E-17</v>
      </c>
    </row>
    <row r="352" spans="1:18" x14ac:dyDescent="0.35">
      <c r="A352">
        <v>2021</v>
      </c>
      <c r="B352" t="s">
        <v>47</v>
      </c>
      <c r="C352" t="s">
        <v>28</v>
      </c>
      <c r="D352" t="s">
        <v>22</v>
      </c>
      <c r="E352" t="s">
        <v>20</v>
      </c>
      <c r="F352" t="s">
        <v>20</v>
      </c>
      <c r="G352">
        <v>54023</v>
      </c>
      <c r="H352" t="s">
        <v>55</v>
      </c>
      <c r="I352">
        <v>475</v>
      </c>
      <c r="J352">
        <v>25660925</v>
      </c>
      <c r="K352">
        <v>208272</v>
      </c>
      <c r="L352">
        <v>25452653</v>
      </c>
      <c r="M352">
        <v>83</v>
      </c>
      <c r="N352">
        <v>0.97</v>
      </c>
      <c r="O352">
        <v>6.29</v>
      </c>
      <c r="P352">
        <v>1.2</v>
      </c>
      <c r="Q352">
        <v>6</v>
      </c>
      <c r="R352">
        <f>CORREL(BMW[units_sold],BMW[gdp_growth_percent])</f>
        <v>-5.2597817623217792E-17</v>
      </c>
    </row>
    <row r="353" spans="1:18" x14ac:dyDescent="0.35">
      <c r="A353">
        <v>2020</v>
      </c>
      <c r="B353" t="s">
        <v>47</v>
      </c>
      <c r="C353" t="s">
        <v>28</v>
      </c>
      <c r="D353" t="s">
        <v>26</v>
      </c>
      <c r="E353" t="s">
        <v>16</v>
      </c>
      <c r="F353" t="s">
        <v>20</v>
      </c>
      <c r="G353">
        <v>80349</v>
      </c>
      <c r="H353" t="s">
        <v>54</v>
      </c>
      <c r="I353">
        <v>521</v>
      </c>
      <c r="J353">
        <v>41861829</v>
      </c>
      <c r="K353">
        <v>276179</v>
      </c>
      <c r="L353">
        <v>41585650</v>
      </c>
      <c r="M353">
        <v>180</v>
      </c>
      <c r="N353">
        <v>0.97</v>
      </c>
      <c r="O353">
        <v>6.29</v>
      </c>
      <c r="P353">
        <v>1.2</v>
      </c>
      <c r="Q353">
        <v>8</v>
      </c>
      <c r="R353">
        <f>CORREL(BMW[units_sold],BMW[gdp_growth_percent])</f>
        <v>-5.2597817623217792E-17</v>
      </c>
    </row>
    <row r="354" spans="1:18" x14ac:dyDescent="0.35">
      <c r="A354">
        <v>2017</v>
      </c>
      <c r="B354" t="s">
        <v>51</v>
      </c>
      <c r="C354" t="s">
        <v>38</v>
      </c>
      <c r="D354" t="s">
        <v>26</v>
      </c>
      <c r="E354" t="s">
        <v>19</v>
      </c>
      <c r="F354" t="s">
        <v>17</v>
      </c>
      <c r="G354">
        <v>116533</v>
      </c>
      <c r="H354" t="s">
        <v>54</v>
      </c>
      <c r="I354">
        <v>1019</v>
      </c>
      <c r="J354">
        <v>118747127</v>
      </c>
      <c r="K354">
        <v>400218</v>
      </c>
      <c r="L354">
        <v>118346909</v>
      </c>
      <c r="M354">
        <v>346</v>
      </c>
      <c r="N354">
        <v>0.97</v>
      </c>
      <c r="O354">
        <v>6.29</v>
      </c>
      <c r="P354">
        <v>1.2</v>
      </c>
      <c r="Q354">
        <v>2</v>
      </c>
      <c r="R354">
        <f>CORREL(BMW[units_sold],BMW[gdp_growth_percent])</f>
        <v>-5.2597817623217792E-17</v>
      </c>
    </row>
    <row r="355" spans="1:18" x14ac:dyDescent="0.35">
      <c r="A355">
        <v>2023</v>
      </c>
      <c r="B355" t="s">
        <v>41</v>
      </c>
      <c r="C355" t="s">
        <v>14</v>
      </c>
      <c r="D355" t="s">
        <v>33</v>
      </c>
      <c r="E355" t="s">
        <v>19</v>
      </c>
      <c r="F355" t="s">
        <v>17</v>
      </c>
      <c r="G355">
        <v>118286</v>
      </c>
      <c r="H355" t="s">
        <v>54</v>
      </c>
      <c r="I355">
        <v>421</v>
      </c>
      <c r="J355">
        <v>49798406</v>
      </c>
      <c r="K355">
        <v>242537</v>
      </c>
      <c r="L355">
        <v>49555869</v>
      </c>
      <c r="M355">
        <v>78</v>
      </c>
      <c r="N355">
        <v>0.97</v>
      </c>
      <c r="O355">
        <v>6.29</v>
      </c>
      <c r="P355">
        <v>1.2</v>
      </c>
      <c r="Q355">
        <v>4</v>
      </c>
      <c r="R355">
        <f>CORREL(BMW[units_sold],BMW[gdp_growth_percent])</f>
        <v>-5.2597817623217792E-17</v>
      </c>
    </row>
    <row r="356" spans="1:18" x14ac:dyDescent="0.35">
      <c r="A356">
        <v>2024</v>
      </c>
      <c r="B356" t="s">
        <v>51</v>
      </c>
      <c r="C356" t="s">
        <v>21</v>
      </c>
      <c r="D356" t="s">
        <v>26</v>
      </c>
      <c r="E356" t="s">
        <v>16</v>
      </c>
      <c r="F356" t="s">
        <v>17</v>
      </c>
      <c r="G356">
        <v>76979</v>
      </c>
      <c r="H356" t="s">
        <v>55</v>
      </c>
      <c r="I356">
        <v>630</v>
      </c>
      <c r="J356">
        <v>48496770</v>
      </c>
      <c r="K356">
        <v>267508</v>
      </c>
      <c r="L356">
        <v>48229262</v>
      </c>
      <c r="M356">
        <v>310</v>
      </c>
      <c r="N356">
        <v>0.97</v>
      </c>
      <c r="O356">
        <v>6.29</v>
      </c>
      <c r="P356">
        <v>1.2</v>
      </c>
      <c r="Q356">
        <v>7</v>
      </c>
      <c r="R356">
        <f>CORREL(BMW[units_sold],BMW[gdp_growth_percent])</f>
        <v>-5.2597817623217792E-17</v>
      </c>
    </row>
    <row r="357" spans="1:18" x14ac:dyDescent="0.35">
      <c r="A357">
        <v>2020</v>
      </c>
      <c r="B357" t="s">
        <v>47</v>
      </c>
      <c r="C357" t="s">
        <v>32</v>
      </c>
      <c r="D357" t="s">
        <v>39</v>
      </c>
      <c r="E357" t="s">
        <v>16</v>
      </c>
      <c r="F357" t="s">
        <v>23</v>
      </c>
      <c r="G357">
        <v>57837</v>
      </c>
      <c r="H357" t="s">
        <v>55</v>
      </c>
      <c r="I357">
        <v>811</v>
      </c>
      <c r="J357">
        <v>46905807</v>
      </c>
      <c r="K357">
        <v>168422</v>
      </c>
      <c r="L357">
        <v>46737385</v>
      </c>
      <c r="M357">
        <v>371</v>
      </c>
      <c r="N357">
        <v>0.97</v>
      </c>
      <c r="O357">
        <v>6.29</v>
      </c>
      <c r="P357">
        <v>1.2</v>
      </c>
      <c r="Q357">
        <v>1</v>
      </c>
      <c r="R357">
        <f>CORREL(BMW[units_sold],BMW[gdp_growth_percent])</f>
        <v>-5.2597817623217792E-17</v>
      </c>
    </row>
    <row r="358" spans="1:18" x14ac:dyDescent="0.35">
      <c r="A358">
        <v>2024</v>
      </c>
      <c r="B358" t="s">
        <v>46</v>
      </c>
      <c r="C358" t="s">
        <v>38</v>
      </c>
      <c r="D358" t="s">
        <v>39</v>
      </c>
      <c r="E358" t="s">
        <v>20</v>
      </c>
      <c r="F358" t="s">
        <v>23</v>
      </c>
      <c r="G358">
        <v>49997</v>
      </c>
      <c r="H358" t="s">
        <v>57</v>
      </c>
      <c r="I358">
        <v>465</v>
      </c>
      <c r="J358">
        <v>23248605</v>
      </c>
      <c r="K358">
        <v>400036</v>
      </c>
      <c r="L358">
        <v>22848569</v>
      </c>
      <c r="M358">
        <v>146</v>
      </c>
      <c r="N358">
        <v>0.97</v>
      </c>
      <c r="O358">
        <v>6.29</v>
      </c>
      <c r="P358">
        <v>1.2</v>
      </c>
      <c r="Q358">
        <v>1</v>
      </c>
      <c r="R358">
        <f>CORREL(BMW[units_sold],BMW[gdp_growth_percent])</f>
        <v>-5.2597817623217792E-17</v>
      </c>
    </row>
    <row r="359" spans="1:18" x14ac:dyDescent="0.35">
      <c r="A359">
        <v>2024</v>
      </c>
      <c r="B359" t="s">
        <v>49</v>
      </c>
      <c r="C359" t="s">
        <v>28</v>
      </c>
      <c r="D359" t="s">
        <v>34</v>
      </c>
      <c r="E359" t="s">
        <v>19</v>
      </c>
      <c r="F359" t="s">
        <v>27</v>
      </c>
      <c r="G359">
        <v>80039</v>
      </c>
      <c r="H359" t="s">
        <v>54</v>
      </c>
      <c r="I359">
        <v>542</v>
      </c>
      <c r="J359">
        <v>43381138</v>
      </c>
      <c r="K359">
        <v>269631</v>
      </c>
      <c r="L359">
        <v>43111507</v>
      </c>
      <c r="M359">
        <v>109</v>
      </c>
      <c r="N359">
        <v>0.97</v>
      </c>
      <c r="O359">
        <v>6.29</v>
      </c>
      <c r="P359">
        <v>1.2</v>
      </c>
      <c r="Q359">
        <v>10</v>
      </c>
      <c r="R359">
        <f>CORREL(BMW[units_sold],BMW[gdp_growth_percent])</f>
        <v>-5.2597817623217792E-17</v>
      </c>
    </row>
    <row r="360" spans="1:18" x14ac:dyDescent="0.35">
      <c r="A360">
        <v>2020</v>
      </c>
      <c r="B360" t="s">
        <v>47</v>
      </c>
      <c r="C360" t="s">
        <v>28</v>
      </c>
      <c r="D360" t="s">
        <v>22</v>
      </c>
      <c r="E360" t="s">
        <v>16</v>
      </c>
      <c r="F360" t="s">
        <v>17</v>
      </c>
      <c r="G360">
        <v>55923</v>
      </c>
      <c r="H360" t="s">
        <v>55</v>
      </c>
      <c r="I360">
        <v>395</v>
      </c>
      <c r="J360">
        <v>22089585</v>
      </c>
      <c r="K360">
        <v>432188</v>
      </c>
      <c r="L360">
        <v>21657397</v>
      </c>
      <c r="M360">
        <v>155</v>
      </c>
      <c r="N360">
        <v>0.97</v>
      </c>
      <c r="O360">
        <v>6.29</v>
      </c>
      <c r="P360">
        <v>1.2</v>
      </c>
      <c r="Q360">
        <v>7</v>
      </c>
      <c r="R360">
        <f>CORREL(BMW[units_sold],BMW[gdp_growth_percent])</f>
        <v>-5.2597817623217792E-17</v>
      </c>
    </row>
    <row r="361" spans="1:18" x14ac:dyDescent="0.35">
      <c r="A361">
        <v>2015</v>
      </c>
      <c r="B361" t="s">
        <v>51</v>
      </c>
      <c r="C361" t="s">
        <v>28</v>
      </c>
      <c r="D361" t="s">
        <v>24</v>
      </c>
      <c r="E361" t="s">
        <v>19</v>
      </c>
      <c r="F361" t="s">
        <v>23</v>
      </c>
      <c r="G361">
        <v>43876</v>
      </c>
      <c r="H361" t="s">
        <v>57</v>
      </c>
      <c r="I361">
        <v>467</v>
      </c>
      <c r="J361">
        <v>20490092</v>
      </c>
      <c r="K361">
        <v>89148</v>
      </c>
      <c r="L361">
        <v>20400944</v>
      </c>
      <c r="M361">
        <v>18</v>
      </c>
      <c r="N361">
        <v>0.97</v>
      </c>
      <c r="O361">
        <v>6.29</v>
      </c>
      <c r="P361">
        <v>1.2</v>
      </c>
      <c r="Q361">
        <v>7</v>
      </c>
      <c r="R361">
        <f>CORREL(BMW[units_sold],BMW[gdp_growth_percent])</f>
        <v>-5.2597817623217792E-17</v>
      </c>
    </row>
    <row r="362" spans="1:18" x14ac:dyDescent="0.35">
      <c r="A362">
        <v>2018</v>
      </c>
      <c r="B362" t="s">
        <v>46</v>
      </c>
      <c r="C362" t="s">
        <v>37</v>
      </c>
      <c r="D362" t="s">
        <v>18</v>
      </c>
      <c r="E362" t="s">
        <v>16</v>
      </c>
      <c r="F362" t="s">
        <v>20</v>
      </c>
      <c r="G362">
        <v>95973</v>
      </c>
      <c r="H362" t="s">
        <v>54</v>
      </c>
      <c r="I362">
        <v>536</v>
      </c>
      <c r="J362">
        <v>51441528</v>
      </c>
      <c r="K362">
        <v>395072</v>
      </c>
      <c r="L362">
        <v>51046456</v>
      </c>
      <c r="M362">
        <v>71</v>
      </c>
      <c r="N362">
        <v>0.97</v>
      </c>
      <c r="O362">
        <v>6.29</v>
      </c>
      <c r="P362">
        <v>1.2</v>
      </c>
      <c r="Q362">
        <v>1</v>
      </c>
      <c r="R362">
        <f>CORREL(BMW[units_sold],BMW[gdp_growth_percent])</f>
        <v>-5.2597817623217792E-17</v>
      </c>
    </row>
    <row r="363" spans="1:18" x14ac:dyDescent="0.35">
      <c r="A363">
        <v>2024</v>
      </c>
      <c r="B363" t="s">
        <v>51</v>
      </c>
      <c r="C363" t="s">
        <v>38</v>
      </c>
      <c r="D363" t="s">
        <v>33</v>
      </c>
      <c r="E363" t="s">
        <v>19</v>
      </c>
      <c r="F363" t="s">
        <v>20</v>
      </c>
      <c r="G363">
        <v>37887</v>
      </c>
      <c r="H363" t="s">
        <v>57</v>
      </c>
      <c r="I363">
        <v>571</v>
      </c>
      <c r="J363">
        <v>21633477</v>
      </c>
      <c r="K363">
        <v>201770</v>
      </c>
      <c r="L363">
        <v>21431707</v>
      </c>
      <c r="M363">
        <v>194</v>
      </c>
      <c r="N363">
        <v>0.97</v>
      </c>
      <c r="O363">
        <v>6.29</v>
      </c>
      <c r="P363">
        <v>1.2</v>
      </c>
      <c r="Q363">
        <v>1</v>
      </c>
      <c r="R363">
        <f>CORREL(BMW[units_sold],BMW[gdp_growth_percent])</f>
        <v>-5.2597817623217792E-17</v>
      </c>
    </row>
    <row r="364" spans="1:18" x14ac:dyDescent="0.35">
      <c r="A364">
        <v>2020</v>
      </c>
      <c r="B364" t="s">
        <v>48</v>
      </c>
      <c r="C364" t="s">
        <v>36</v>
      </c>
      <c r="D364" t="s">
        <v>18</v>
      </c>
      <c r="E364" t="s">
        <v>20</v>
      </c>
      <c r="F364" t="s">
        <v>17</v>
      </c>
      <c r="G364">
        <v>98723</v>
      </c>
      <c r="H364" t="s">
        <v>54</v>
      </c>
      <c r="I364">
        <v>206</v>
      </c>
      <c r="J364">
        <v>20336938</v>
      </c>
      <c r="K364">
        <v>485686</v>
      </c>
      <c r="L364">
        <v>19851252</v>
      </c>
      <c r="M364">
        <v>38</v>
      </c>
      <c r="N364">
        <v>0.97</v>
      </c>
      <c r="O364">
        <v>6.29</v>
      </c>
      <c r="P364">
        <v>1.2</v>
      </c>
      <c r="Q364">
        <v>4</v>
      </c>
      <c r="R364">
        <f>CORREL(BMW[units_sold],BMW[gdp_growth_percent])</f>
        <v>-5.2597817623217792E-17</v>
      </c>
    </row>
    <row r="365" spans="1:18" x14ac:dyDescent="0.35">
      <c r="A365">
        <v>2020</v>
      </c>
      <c r="B365" t="s">
        <v>50</v>
      </c>
      <c r="C365" t="s">
        <v>32</v>
      </c>
      <c r="D365" t="s">
        <v>24</v>
      </c>
      <c r="E365" t="s">
        <v>19</v>
      </c>
      <c r="F365" t="s">
        <v>27</v>
      </c>
      <c r="G365">
        <v>77422</v>
      </c>
      <c r="H365" t="s">
        <v>55</v>
      </c>
      <c r="I365">
        <v>1135</v>
      </c>
      <c r="J365">
        <v>87873970</v>
      </c>
      <c r="K365">
        <v>363804</v>
      </c>
      <c r="L365">
        <v>87510166</v>
      </c>
      <c r="M365">
        <v>390</v>
      </c>
      <c r="N365">
        <v>0.97</v>
      </c>
      <c r="O365">
        <v>6.29</v>
      </c>
      <c r="P365">
        <v>1.2</v>
      </c>
      <c r="Q365">
        <v>5</v>
      </c>
      <c r="R365">
        <f>CORREL(BMW[units_sold],BMW[gdp_growth_percent])</f>
        <v>-5.2597817623217792E-17</v>
      </c>
    </row>
    <row r="366" spans="1:18" x14ac:dyDescent="0.35">
      <c r="A366">
        <v>2019</v>
      </c>
      <c r="B366" t="s">
        <v>42</v>
      </c>
      <c r="C366" t="s">
        <v>28</v>
      </c>
      <c r="D366" t="s">
        <v>33</v>
      </c>
      <c r="E366" t="s">
        <v>19</v>
      </c>
      <c r="F366" t="s">
        <v>27</v>
      </c>
      <c r="G366">
        <v>86413</v>
      </c>
      <c r="H366" t="s">
        <v>54</v>
      </c>
      <c r="I366">
        <v>453</v>
      </c>
      <c r="J366">
        <v>39145089</v>
      </c>
      <c r="K366">
        <v>497126</v>
      </c>
      <c r="L366">
        <v>38647963</v>
      </c>
      <c r="M366">
        <v>123</v>
      </c>
      <c r="N366">
        <v>0.97</v>
      </c>
      <c r="O366">
        <v>6.29</v>
      </c>
      <c r="P366">
        <v>1.2</v>
      </c>
      <c r="Q366">
        <v>5</v>
      </c>
      <c r="R366">
        <f>CORREL(BMW[units_sold],BMW[gdp_growth_percent])</f>
        <v>-5.2597817623217792E-17</v>
      </c>
    </row>
    <row r="367" spans="1:18" x14ac:dyDescent="0.35">
      <c r="A367">
        <v>2015</v>
      </c>
      <c r="B367" t="s">
        <v>52</v>
      </c>
      <c r="C367" t="s">
        <v>30</v>
      </c>
      <c r="D367" t="s">
        <v>33</v>
      </c>
      <c r="E367" t="s">
        <v>19</v>
      </c>
      <c r="F367" t="s">
        <v>20</v>
      </c>
      <c r="G367">
        <v>37841</v>
      </c>
      <c r="H367" t="s">
        <v>57</v>
      </c>
      <c r="I367">
        <v>517</v>
      </c>
      <c r="J367">
        <v>19563797</v>
      </c>
      <c r="K367">
        <v>347594</v>
      </c>
      <c r="L367">
        <v>19216203</v>
      </c>
      <c r="M367">
        <v>152</v>
      </c>
      <c r="N367">
        <v>0.97</v>
      </c>
      <c r="O367">
        <v>6.29</v>
      </c>
      <c r="P367">
        <v>1.2</v>
      </c>
      <c r="Q367">
        <v>4</v>
      </c>
      <c r="R367">
        <f>CORREL(BMW[units_sold],BMW[gdp_growth_percent])</f>
        <v>-5.2597817623217792E-17</v>
      </c>
    </row>
    <row r="368" spans="1:18" x14ac:dyDescent="0.35">
      <c r="A368">
        <v>2022</v>
      </c>
      <c r="B368" t="s">
        <v>44</v>
      </c>
      <c r="C368" t="s">
        <v>38</v>
      </c>
      <c r="D368" t="s">
        <v>22</v>
      </c>
      <c r="E368" t="s">
        <v>19</v>
      </c>
      <c r="F368" t="s">
        <v>27</v>
      </c>
      <c r="G368">
        <v>63756</v>
      </c>
      <c r="H368" t="s">
        <v>55</v>
      </c>
      <c r="I368">
        <v>1137</v>
      </c>
      <c r="J368">
        <v>72490572</v>
      </c>
      <c r="K368">
        <v>237535</v>
      </c>
      <c r="L368">
        <v>72253037</v>
      </c>
      <c r="M368">
        <v>399</v>
      </c>
      <c r="N368">
        <v>0.97</v>
      </c>
      <c r="O368">
        <v>6.29</v>
      </c>
      <c r="P368">
        <v>1.2</v>
      </c>
      <c r="Q368">
        <v>8</v>
      </c>
      <c r="R368">
        <f>CORREL(BMW[units_sold],BMW[gdp_growth_percent])</f>
        <v>-5.2597817623217792E-17</v>
      </c>
    </row>
    <row r="369" spans="1:18" x14ac:dyDescent="0.35">
      <c r="A369">
        <v>2019</v>
      </c>
      <c r="B369" t="s">
        <v>51</v>
      </c>
      <c r="C369" t="s">
        <v>37</v>
      </c>
      <c r="D369" t="s">
        <v>18</v>
      </c>
      <c r="E369" t="s">
        <v>19</v>
      </c>
      <c r="F369" t="s">
        <v>17</v>
      </c>
      <c r="G369">
        <v>106576</v>
      </c>
      <c r="H369" t="s">
        <v>54</v>
      </c>
      <c r="I369">
        <v>539</v>
      </c>
      <c r="J369">
        <v>57444464</v>
      </c>
      <c r="K369">
        <v>345901</v>
      </c>
      <c r="L369">
        <v>57098563</v>
      </c>
      <c r="M369">
        <v>129</v>
      </c>
      <c r="N369">
        <v>0.97</v>
      </c>
      <c r="O369">
        <v>6.29</v>
      </c>
      <c r="P369">
        <v>1.2</v>
      </c>
      <c r="Q369">
        <v>7</v>
      </c>
      <c r="R369">
        <f>CORREL(BMW[units_sold],BMW[gdp_growth_percent])</f>
        <v>-5.2597817623217792E-17</v>
      </c>
    </row>
    <row r="370" spans="1:18" x14ac:dyDescent="0.35">
      <c r="A370">
        <v>2019</v>
      </c>
      <c r="B370" t="s">
        <v>52</v>
      </c>
      <c r="C370" t="s">
        <v>38</v>
      </c>
      <c r="D370" t="s">
        <v>39</v>
      </c>
      <c r="E370" t="s">
        <v>20</v>
      </c>
      <c r="F370" t="s">
        <v>20</v>
      </c>
      <c r="G370">
        <v>45304</v>
      </c>
      <c r="H370" t="s">
        <v>57</v>
      </c>
      <c r="I370">
        <v>613</v>
      </c>
      <c r="J370">
        <v>27771352</v>
      </c>
      <c r="K370">
        <v>128012</v>
      </c>
      <c r="L370">
        <v>27643340</v>
      </c>
      <c r="M370">
        <v>179</v>
      </c>
      <c r="N370">
        <v>0.97</v>
      </c>
      <c r="O370">
        <v>6.29</v>
      </c>
      <c r="P370">
        <v>1.2</v>
      </c>
      <c r="Q370">
        <v>9</v>
      </c>
      <c r="R370">
        <f>CORREL(BMW[units_sold],BMW[gdp_growth_percent])</f>
        <v>-5.2597817623217792E-17</v>
      </c>
    </row>
    <row r="371" spans="1:18" x14ac:dyDescent="0.35">
      <c r="A371">
        <v>2021</v>
      </c>
      <c r="B371" t="s">
        <v>45</v>
      </c>
      <c r="C371" t="s">
        <v>32</v>
      </c>
      <c r="D371" t="s">
        <v>31</v>
      </c>
      <c r="E371" t="s">
        <v>16</v>
      </c>
      <c r="F371" t="s">
        <v>23</v>
      </c>
      <c r="G371">
        <v>65341</v>
      </c>
      <c r="H371" t="s">
        <v>55</v>
      </c>
      <c r="I371">
        <v>730</v>
      </c>
      <c r="J371">
        <v>47698930</v>
      </c>
      <c r="K371">
        <v>418894</v>
      </c>
      <c r="L371">
        <v>47280036</v>
      </c>
      <c r="M371">
        <v>166</v>
      </c>
      <c r="N371">
        <v>0.97</v>
      </c>
      <c r="O371">
        <v>6.29</v>
      </c>
      <c r="P371">
        <v>1.2</v>
      </c>
      <c r="Q371">
        <v>7</v>
      </c>
      <c r="R371">
        <f>CORREL(BMW[units_sold],BMW[gdp_growth_percent])</f>
        <v>-5.2597817623217792E-17</v>
      </c>
    </row>
    <row r="372" spans="1:18" x14ac:dyDescent="0.35">
      <c r="A372">
        <v>2018</v>
      </c>
      <c r="B372" t="s">
        <v>51</v>
      </c>
      <c r="C372" t="s">
        <v>37</v>
      </c>
      <c r="D372" t="s">
        <v>18</v>
      </c>
      <c r="E372" t="s">
        <v>19</v>
      </c>
      <c r="F372" t="s">
        <v>23</v>
      </c>
      <c r="G372">
        <v>39758</v>
      </c>
      <c r="H372" t="s">
        <v>57</v>
      </c>
      <c r="I372">
        <v>934</v>
      </c>
      <c r="J372">
        <v>37133972</v>
      </c>
      <c r="K372">
        <v>439187</v>
      </c>
      <c r="L372">
        <v>36694785</v>
      </c>
      <c r="M372">
        <v>344</v>
      </c>
      <c r="N372">
        <v>0.97</v>
      </c>
      <c r="O372">
        <v>6.29</v>
      </c>
      <c r="P372">
        <v>1.2</v>
      </c>
      <c r="Q372">
        <v>10</v>
      </c>
      <c r="R372">
        <f>CORREL(BMW[units_sold],BMW[gdp_growth_percent])</f>
        <v>-5.2597817623217792E-17</v>
      </c>
    </row>
    <row r="373" spans="1:18" x14ac:dyDescent="0.35">
      <c r="A373">
        <v>2020</v>
      </c>
      <c r="B373" t="s">
        <v>50</v>
      </c>
      <c r="C373" t="s">
        <v>32</v>
      </c>
      <c r="D373" t="s">
        <v>29</v>
      </c>
      <c r="E373" t="s">
        <v>20</v>
      </c>
      <c r="F373" t="s">
        <v>27</v>
      </c>
      <c r="G373">
        <v>52010</v>
      </c>
      <c r="H373" t="s">
        <v>55</v>
      </c>
      <c r="I373">
        <v>980</v>
      </c>
      <c r="J373">
        <v>50969800</v>
      </c>
      <c r="K373">
        <v>474606</v>
      </c>
      <c r="L373">
        <v>50495194</v>
      </c>
      <c r="M373">
        <v>358</v>
      </c>
      <c r="N373">
        <v>0.97</v>
      </c>
      <c r="O373">
        <v>6.29</v>
      </c>
      <c r="P373">
        <v>1.2</v>
      </c>
      <c r="Q373">
        <v>1</v>
      </c>
      <c r="R373">
        <f>CORREL(BMW[units_sold],BMW[gdp_growth_percent])</f>
        <v>-5.2597817623217792E-17</v>
      </c>
    </row>
    <row r="374" spans="1:18" x14ac:dyDescent="0.35">
      <c r="A374">
        <v>2018</v>
      </c>
      <c r="B374" t="s">
        <v>52</v>
      </c>
      <c r="C374" t="s">
        <v>38</v>
      </c>
      <c r="D374" t="s">
        <v>29</v>
      </c>
      <c r="E374" t="s">
        <v>19</v>
      </c>
      <c r="F374" t="s">
        <v>20</v>
      </c>
      <c r="G374">
        <v>95758</v>
      </c>
      <c r="H374" t="s">
        <v>54</v>
      </c>
      <c r="I374">
        <v>725</v>
      </c>
      <c r="J374">
        <v>69424550</v>
      </c>
      <c r="K374">
        <v>106116</v>
      </c>
      <c r="L374">
        <v>69318434</v>
      </c>
      <c r="M374">
        <v>269</v>
      </c>
      <c r="N374">
        <v>0.97</v>
      </c>
      <c r="O374">
        <v>6.29</v>
      </c>
      <c r="P374">
        <v>1.2</v>
      </c>
      <c r="Q374">
        <v>7</v>
      </c>
      <c r="R374">
        <f>CORREL(BMW[units_sold],BMW[gdp_growth_percent])</f>
        <v>-5.2597817623217792E-17</v>
      </c>
    </row>
    <row r="375" spans="1:18" x14ac:dyDescent="0.35">
      <c r="A375">
        <v>2017</v>
      </c>
      <c r="B375" t="s">
        <v>44</v>
      </c>
      <c r="C375" t="s">
        <v>36</v>
      </c>
      <c r="D375" t="s">
        <v>33</v>
      </c>
      <c r="E375" t="s">
        <v>19</v>
      </c>
      <c r="F375" t="s">
        <v>20</v>
      </c>
      <c r="G375">
        <v>66658</v>
      </c>
      <c r="H375" t="s">
        <v>55</v>
      </c>
      <c r="I375">
        <v>499</v>
      </c>
      <c r="J375">
        <v>33262342</v>
      </c>
      <c r="K375">
        <v>194233</v>
      </c>
      <c r="L375">
        <v>33068109</v>
      </c>
      <c r="M375">
        <v>91</v>
      </c>
      <c r="N375">
        <v>0.97</v>
      </c>
      <c r="O375">
        <v>6.29</v>
      </c>
      <c r="P375">
        <v>1.2</v>
      </c>
      <c r="Q375">
        <v>1</v>
      </c>
      <c r="R375">
        <f>CORREL(BMW[units_sold],BMW[gdp_growth_percent])</f>
        <v>-5.2597817623217792E-17</v>
      </c>
    </row>
    <row r="376" spans="1:18" x14ac:dyDescent="0.35">
      <c r="A376">
        <v>2021</v>
      </c>
      <c r="B376" t="s">
        <v>47</v>
      </c>
      <c r="C376" t="s">
        <v>32</v>
      </c>
      <c r="D376" t="s">
        <v>31</v>
      </c>
      <c r="E376" t="s">
        <v>16</v>
      </c>
      <c r="F376" t="s">
        <v>23</v>
      </c>
      <c r="G376">
        <v>84002</v>
      </c>
      <c r="H376" t="s">
        <v>54</v>
      </c>
      <c r="I376">
        <v>662</v>
      </c>
      <c r="J376">
        <v>55609324</v>
      </c>
      <c r="K376">
        <v>82152</v>
      </c>
      <c r="L376">
        <v>55527172</v>
      </c>
      <c r="M376">
        <v>251</v>
      </c>
      <c r="N376">
        <v>0.97</v>
      </c>
      <c r="O376">
        <v>6.29</v>
      </c>
      <c r="P376">
        <v>1.2</v>
      </c>
      <c r="Q376">
        <v>7</v>
      </c>
      <c r="R376">
        <f>CORREL(BMW[units_sold],BMW[gdp_growth_percent])</f>
        <v>-5.2597817623217792E-17</v>
      </c>
    </row>
    <row r="377" spans="1:18" x14ac:dyDescent="0.35">
      <c r="A377">
        <v>2022</v>
      </c>
      <c r="B377" t="s">
        <v>51</v>
      </c>
      <c r="C377" t="s">
        <v>37</v>
      </c>
      <c r="D377" t="s">
        <v>15</v>
      </c>
      <c r="E377" t="s">
        <v>19</v>
      </c>
      <c r="F377" t="s">
        <v>20</v>
      </c>
      <c r="G377">
        <v>36375</v>
      </c>
      <c r="H377" t="s">
        <v>57</v>
      </c>
      <c r="I377">
        <v>608</v>
      </c>
      <c r="J377">
        <v>22116000</v>
      </c>
      <c r="K377">
        <v>156379</v>
      </c>
      <c r="L377">
        <v>21959621</v>
      </c>
      <c r="M377">
        <v>181</v>
      </c>
      <c r="N377">
        <v>0.97</v>
      </c>
      <c r="O377">
        <v>6.29</v>
      </c>
      <c r="P377">
        <v>1.2</v>
      </c>
      <c r="Q377">
        <v>10</v>
      </c>
      <c r="R377">
        <f>CORREL(BMW[units_sold],BMW[gdp_growth_percent])</f>
        <v>-5.2597817623217792E-17</v>
      </c>
    </row>
    <row r="378" spans="1:18" x14ac:dyDescent="0.35">
      <c r="A378">
        <v>2018</v>
      </c>
      <c r="B378" t="s">
        <v>41</v>
      </c>
      <c r="C378" t="s">
        <v>37</v>
      </c>
      <c r="D378" t="s">
        <v>24</v>
      </c>
      <c r="E378" t="s">
        <v>20</v>
      </c>
      <c r="F378" t="s">
        <v>20</v>
      </c>
      <c r="G378">
        <v>57092</v>
      </c>
      <c r="H378" t="s">
        <v>55</v>
      </c>
      <c r="I378">
        <v>719</v>
      </c>
      <c r="J378">
        <v>41049148</v>
      </c>
      <c r="K378">
        <v>276905</v>
      </c>
      <c r="L378">
        <v>40772243</v>
      </c>
      <c r="M378">
        <v>240</v>
      </c>
      <c r="N378">
        <v>0.97</v>
      </c>
      <c r="O378">
        <v>6.29</v>
      </c>
      <c r="P378">
        <v>1.2</v>
      </c>
      <c r="Q378">
        <v>8</v>
      </c>
      <c r="R378">
        <f>CORREL(BMW[units_sold],BMW[gdp_growth_percent])</f>
        <v>-5.2597817623217792E-17</v>
      </c>
    </row>
    <row r="379" spans="1:18" x14ac:dyDescent="0.35">
      <c r="A379">
        <v>2016</v>
      </c>
      <c r="B379" t="s">
        <v>42</v>
      </c>
      <c r="C379" t="s">
        <v>32</v>
      </c>
      <c r="D379" t="s">
        <v>34</v>
      </c>
      <c r="E379" t="s">
        <v>20</v>
      </c>
      <c r="F379" t="s">
        <v>20</v>
      </c>
      <c r="G379">
        <v>35490</v>
      </c>
      <c r="H379" t="s">
        <v>57</v>
      </c>
      <c r="I379">
        <v>450</v>
      </c>
      <c r="J379">
        <v>15970500</v>
      </c>
      <c r="K379">
        <v>70836</v>
      </c>
      <c r="L379">
        <v>15899664</v>
      </c>
      <c r="M379">
        <v>217</v>
      </c>
      <c r="N379">
        <v>0.97</v>
      </c>
      <c r="O379">
        <v>6.29</v>
      </c>
      <c r="P379">
        <v>1.2</v>
      </c>
      <c r="Q379">
        <v>9</v>
      </c>
      <c r="R379">
        <f>CORREL(BMW[units_sold],BMW[gdp_growth_percent])</f>
        <v>-5.2597817623217792E-17</v>
      </c>
    </row>
    <row r="380" spans="1:18" x14ac:dyDescent="0.35">
      <c r="A380">
        <v>2024</v>
      </c>
      <c r="B380" t="s">
        <v>50</v>
      </c>
      <c r="C380" t="s">
        <v>35</v>
      </c>
      <c r="D380" t="s">
        <v>31</v>
      </c>
      <c r="E380" t="s">
        <v>16</v>
      </c>
      <c r="F380" t="s">
        <v>27</v>
      </c>
      <c r="G380">
        <v>38729</v>
      </c>
      <c r="H380" t="s">
        <v>57</v>
      </c>
      <c r="I380">
        <v>257</v>
      </c>
      <c r="J380">
        <v>9953353</v>
      </c>
      <c r="K380">
        <v>271439</v>
      </c>
      <c r="L380">
        <v>9681914</v>
      </c>
      <c r="M380">
        <v>84</v>
      </c>
      <c r="N380">
        <v>0.97</v>
      </c>
      <c r="O380">
        <v>6.29</v>
      </c>
      <c r="P380">
        <v>1.2</v>
      </c>
      <c r="Q380">
        <v>3</v>
      </c>
      <c r="R380">
        <f>CORREL(BMW[units_sold],BMW[gdp_growth_percent])</f>
        <v>-5.2597817623217792E-17</v>
      </c>
    </row>
    <row r="381" spans="1:18" x14ac:dyDescent="0.35">
      <c r="A381">
        <v>2017</v>
      </c>
      <c r="B381" t="s">
        <v>43</v>
      </c>
      <c r="C381" t="s">
        <v>38</v>
      </c>
      <c r="D381" t="s">
        <v>34</v>
      </c>
      <c r="E381" t="s">
        <v>19</v>
      </c>
      <c r="F381" t="s">
        <v>20</v>
      </c>
      <c r="G381">
        <v>40974</v>
      </c>
      <c r="H381" t="s">
        <v>57</v>
      </c>
      <c r="I381">
        <v>699</v>
      </c>
      <c r="J381">
        <v>28640826</v>
      </c>
      <c r="K381">
        <v>236720</v>
      </c>
      <c r="L381">
        <v>28404106</v>
      </c>
      <c r="M381">
        <v>279</v>
      </c>
      <c r="N381">
        <v>0.97</v>
      </c>
      <c r="O381">
        <v>6.29</v>
      </c>
      <c r="P381">
        <v>1.2</v>
      </c>
      <c r="Q381">
        <v>4</v>
      </c>
      <c r="R381">
        <f>CORREL(BMW[units_sold],BMW[gdp_growth_percent])</f>
        <v>-5.2597817623217792E-17</v>
      </c>
    </row>
    <row r="382" spans="1:18" x14ac:dyDescent="0.35">
      <c r="A382">
        <v>2015</v>
      </c>
      <c r="B382" t="s">
        <v>43</v>
      </c>
      <c r="C382" t="s">
        <v>35</v>
      </c>
      <c r="D382" t="s">
        <v>18</v>
      </c>
      <c r="E382" t="s">
        <v>20</v>
      </c>
      <c r="F382" t="s">
        <v>17</v>
      </c>
      <c r="G382">
        <v>118860</v>
      </c>
      <c r="H382" t="s">
        <v>54</v>
      </c>
      <c r="I382">
        <v>1078</v>
      </c>
      <c r="J382">
        <v>128131080</v>
      </c>
      <c r="K382">
        <v>207403</v>
      </c>
      <c r="L382">
        <v>127923677</v>
      </c>
      <c r="M382">
        <v>396</v>
      </c>
      <c r="N382">
        <v>0.97</v>
      </c>
      <c r="O382">
        <v>6.29</v>
      </c>
      <c r="P382">
        <v>1.2</v>
      </c>
      <c r="Q382">
        <v>4</v>
      </c>
      <c r="R382">
        <f>CORREL(BMW[units_sold],BMW[gdp_growth_percent])</f>
        <v>-5.2597817623217792E-17</v>
      </c>
    </row>
    <row r="383" spans="1:18" x14ac:dyDescent="0.35">
      <c r="A383">
        <v>2022</v>
      </c>
      <c r="B383" t="s">
        <v>52</v>
      </c>
      <c r="C383" t="s">
        <v>14</v>
      </c>
      <c r="D383" t="s">
        <v>18</v>
      </c>
      <c r="E383" t="s">
        <v>19</v>
      </c>
      <c r="F383" t="s">
        <v>27</v>
      </c>
      <c r="G383">
        <v>56398</v>
      </c>
      <c r="H383" t="s">
        <v>55</v>
      </c>
      <c r="I383">
        <v>246</v>
      </c>
      <c r="J383">
        <v>13873908</v>
      </c>
      <c r="K383">
        <v>191835</v>
      </c>
      <c r="L383">
        <v>13682073</v>
      </c>
      <c r="M383">
        <v>123</v>
      </c>
      <c r="N383">
        <v>0.97</v>
      </c>
      <c r="O383">
        <v>6.29</v>
      </c>
      <c r="P383">
        <v>1.2</v>
      </c>
      <c r="Q383">
        <v>9</v>
      </c>
      <c r="R383">
        <f>CORREL(BMW[units_sold],BMW[gdp_growth_percent])</f>
        <v>-5.2597817623217792E-17</v>
      </c>
    </row>
    <row r="384" spans="1:18" x14ac:dyDescent="0.35">
      <c r="A384">
        <v>2017</v>
      </c>
      <c r="B384" t="s">
        <v>50</v>
      </c>
      <c r="C384" t="s">
        <v>38</v>
      </c>
      <c r="D384" t="s">
        <v>34</v>
      </c>
      <c r="E384" t="s">
        <v>19</v>
      </c>
      <c r="F384" t="s">
        <v>20</v>
      </c>
      <c r="G384">
        <v>69650</v>
      </c>
      <c r="H384" t="s">
        <v>55</v>
      </c>
      <c r="I384">
        <v>197</v>
      </c>
      <c r="J384">
        <v>13721050</v>
      </c>
      <c r="K384">
        <v>381588</v>
      </c>
      <c r="L384">
        <v>13339462</v>
      </c>
      <c r="M384">
        <v>71</v>
      </c>
      <c r="N384">
        <v>0.97</v>
      </c>
      <c r="O384">
        <v>6.29</v>
      </c>
      <c r="P384">
        <v>1.2</v>
      </c>
      <c r="Q384">
        <v>7</v>
      </c>
      <c r="R384">
        <f>CORREL(BMW[units_sold],BMW[gdp_growth_percent])</f>
        <v>-5.2597817623217792E-17</v>
      </c>
    </row>
    <row r="385" spans="1:18" x14ac:dyDescent="0.35">
      <c r="A385">
        <v>2024</v>
      </c>
      <c r="B385" t="s">
        <v>46</v>
      </c>
      <c r="C385" t="s">
        <v>32</v>
      </c>
      <c r="D385" t="s">
        <v>24</v>
      </c>
      <c r="E385" t="s">
        <v>19</v>
      </c>
      <c r="F385" t="s">
        <v>20</v>
      </c>
      <c r="G385">
        <v>56292</v>
      </c>
      <c r="H385" t="s">
        <v>55</v>
      </c>
      <c r="I385">
        <v>931</v>
      </c>
      <c r="J385">
        <v>52407852</v>
      </c>
      <c r="K385">
        <v>143109</v>
      </c>
      <c r="L385">
        <v>52264743</v>
      </c>
      <c r="M385">
        <v>371</v>
      </c>
      <c r="N385">
        <v>0.97</v>
      </c>
      <c r="O385">
        <v>6.29</v>
      </c>
      <c r="P385">
        <v>1.2</v>
      </c>
      <c r="Q385">
        <v>3</v>
      </c>
      <c r="R385">
        <f>CORREL(BMW[units_sold],BMW[gdp_growth_percent])</f>
        <v>-5.2597817623217792E-17</v>
      </c>
    </row>
    <row r="386" spans="1:18" x14ac:dyDescent="0.35">
      <c r="A386">
        <v>2021</v>
      </c>
      <c r="B386" t="s">
        <v>44</v>
      </c>
      <c r="C386" t="s">
        <v>21</v>
      </c>
      <c r="D386" t="s">
        <v>31</v>
      </c>
      <c r="E386" t="s">
        <v>16</v>
      </c>
      <c r="F386" t="s">
        <v>17</v>
      </c>
      <c r="G386">
        <v>38159</v>
      </c>
      <c r="H386" t="s">
        <v>57</v>
      </c>
      <c r="I386">
        <v>1013</v>
      </c>
      <c r="J386">
        <v>38655067</v>
      </c>
      <c r="K386">
        <v>200259</v>
      </c>
      <c r="L386">
        <v>38454808</v>
      </c>
      <c r="M386">
        <v>329</v>
      </c>
      <c r="N386">
        <v>0.97</v>
      </c>
      <c r="O386">
        <v>6.29</v>
      </c>
      <c r="P386">
        <v>1.2</v>
      </c>
      <c r="Q386">
        <v>10</v>
      </c>
      <c r="R386">
        <f>CORREL(BMW[units_sold],BMW[gdp_growth_percent])</f>
        <v>-5.2597817623217792E-17</v>
      </c>
    </row>
    <row r="387" spans="1:18" x14ac:dyDescent="0.35">
      <c r="A387">
        <v>2024</v>
      </c>
      <c r="B387" t="s">
        <v>42</v>
      </c>
      <c r="C387" t="s">
        <v>32</v>
      </c>
      <c r="D387" t="s">
        <v>15</v>
      </c>
      <c r="E387" t="s">
        <v>19</v>
      </c>
      <c r="F387" t="s">
        <v>27</v>
      </c>
      <c r="G387">
        <v>97766</v>
      </c>
      <c r="H387" t="s">
        <v>54</v>
      </c>
      <c r="I387">
        <v>499</v>
      </c>
      <c r="J387">
        <v>48785234</v>
      </c>
      <c r="K387">
        <v>193029</v>
      </c>
      <c r="L387">
        <v>48592205</v>
      </c>
      <c r="M387">
        <v>111</v>
      </c>
      <c r="N387">
        <v>0.97</v>
      </c>
      <c r="O387">
        <v>6.29</v>
      </c>
      <c r="P387">
        <v>1.2</v>
      </c>
      <c r="Q387">
        <v>5</v>
      </c>
      <c r="R387">
        <f>CORREL(BMW[units_sold],BMW[gdp_growth_percent])</f>
        <v>-5.2597817623217792E-17</v>
      </c>
    </row>
    <row r="388" spans="1:18" x14ac:dyDescent="0.35">
      <c r="A388">
        <v>2019</v>
      </c>
      <c r="B388" t="s">
        <v>47</v>
      </c>
      <c r="C388" t="s">
        <v>35</v>
      </c>
      <c r="D388" t="s">
        <v>33</v>
      </c>
      <c r="E388" t="s">
        <v>20</v>
      </c>
      <c r="F388" t="s">
        <v>23</v>
      </c>
      <c r="G388">
        <v>52065</v>
      </c>
      <c r="H388" t="s">
        <v>55</v>
      </c>
      <c r="I388">
        <v>977</v>
      </c>
      <c r="J388">
        <v>50867505</v>
      </c>
      <c r="K388">
        <v>447595</v>
      </c>
      <c r="L388">
        <v>50419910</v>
      </c>
      <c r="M388">
        <v>371</v>
      </c>
      <c r="N388">
        <v>0.97</v>
      </c>
      <c r="O388">
        <v>6.29</v>
      </c>
      <c r="P388">
        <v>1.2</v>
      </c>
      <c r="Q388">
        <v>7</v>
      </c>
      <c r="R388">
        <f>CORREL(BMW[units_sold],BMW[gdp_growth_percent])</f>
        <v>-5.2597817623217792E-17</v>
      </c>
    </row>
    <row r="389" spans="1:18" x14ac:dyDescent="0.35">
      <c r="A389">
        <v>2024</v>
      </c>
      <c r="B389" t="s">
        <v>51</v>
      </c>
      <c r="C389" t="s">
        <v>36</v>
      </c>
      <c r="D389" t="s">
        <v>22</v>
      </c>
      <c r="E389" t="s">
        <v>19</v>
      </c>
      <c r="F389" t="s">
        <v>23</v>
      </c>
      <c r="G389">
        <v>56638</v>
      </c>
      <c r="H389" t="s">
        <v>55</v>
      </c>
      <c r="I389">
        <v>790</v>
      </c>
      <c r="J389">
        <v>44744020</v>
      </c>
      <c r="K389">
        <v>471175</v>
      </c>
      <c r="L389">
        <v>44272845</v>
      </c>
      <c r="M389">
        <v>219</v>
      </c>
      <c r="N389">
        <v>0.97</v>
      </c>
      <c r="O389">
        <v>6.29</v>
      </c>
      <c r="P389">
        <v>1.2</v>
      </c>
      <c r="Q389">
        <v>8</v>
      </c>
      <c r="R389">
        <f>CORREL(BMW[units_sold],BMW[gdp_growth_percent])</f>
        <v>-5.2597817623217792E-17</v>
      </c>
    </row>
    <row r="390" spans="1:18" x14ac:dyDescent="0.35">
      <c r="A390">
        <v>2019</v>
      </c>
      <c r="B390" t="s">
        <v>51</v>
      </c>
      <c r="C390" t="s">
        <v>32</v>
      </c>
      <c r="D390" t="s">
        <v>18</v>
      </c>
      <c r="E390" t="s">
        <v>20</v>
      </c>
      <c r="F390" t="s">
        <v>27</v>
      </c>
      <c r="G390">
        <v>36073</v>
      </c>
      <c r="H390" t="s">
        <v>57</v>
      </c>
      <c r="I390">
        <v>880</v>
      </c>
      <c r="J390">
        <v>31744240</v>
      </c>
      <c r="K390">
        <v>132018</v>
      </c>
      <c r="L390">
        <v>31612222</v>
      </c>
      <c r="M390">
        <v>264</v>
      </c>
      <c r="N390">
        <v>0.97</v>
      </c>
      <c r="O390">
        <v>6.29</v>
      </c>
      <c r="P390">
        <v>1.2</v>
      </c>
      <c r="Q390">
        <v>1</v>
      </c>
      <c r="R390">
        <f>CORREL(BMW[units_sold],BMW[gdp_growth_percent])</f>
        <v>-5.2597817623217792E-17</v>
      </c>
    </row>
    <row r="391" spans="1:18" x14ac:dyDescent="0.35">
      <c r="A391">
        <v>2021</v>
      </c>
      <c r="B391" t="s">
        <v>43</v>
      </c>
      <c r="C391" t="s">
        <v>32</v>
      </c>
      <c r="D391" t="s">
        <v>29</v>
      </c>
      <c r="E391" t="s">
        <v>19</v>
      </c>
      <c r="F391" t="s">
        <v>20</v>
      </c>
      <c r="G391">
        <v>81511</v>
      </c>
      <c r="H391" t="s">
        <v>54</v>
      </c>
      <c r="I391">
        <v>346</v>
      </c>
      <c r="J391">
        <v>28202806</v>
      </c>
      <c r="K391">
        <v>173076</v>
      </c>
      <c r="L391">
        <v>28029730</v>
      </c>
      <c r="M391">
        <v>29</v>
      </c>
      <c r="N391">
        <v>0.97</v>
      </c>
      <c r="O391">
        <v>6.29</v>
      </c>
      <c r="P391">
        <v>1.2</v>
      </c>
      <c r="Q391">
        <v>2</v>
      </c>
      <c r="R391">
        <f>CORREL(BMW[units_sold],BMW[gdp_growth_percent])</f>
        <v>-5.2597817623217792E-17</v>
      </c>
    </row>
    <row r="392" spans="1:18" x14ac:dyDescent="0.35">
      <c r="A392">
        <v>2023</v>
      </c>
      <c r="B392" t="s">
        <v>51</v>
      </c>
      <c r="C392" t="s">
        <v>36</v>
      </c>
      <c r="D392" t="s">
        <v>24</v>
      </c>
      <c r="E392" t="s">
        <v>20</v>
      </c>
      <c r="F392" t="s">
        <v>20</v>
      </c>
      <c r="G392">
        <v>119307</v>
      </c>
      <c r="H392" t="s">
        <v>54</v>
      </c>
      <c r="I392">
        <v>353</v>
      </c>
      <c r="J392">
        <v>42115371</v>
      </c>
      <c r="K392">
        <v>208177</v>
      </c>
      <c r="L392">
        <v>41907194</v>
      </c>
      <c r="M392">
        <v>67</v>
      </c>
      <c r="N392">
        <v>0.97</v>
      </c>
      <c r="O392">
        <v>6.29</v>
      </c>
      <c r="P392">
        <v>1.2</v>
      </c>
      <c r="Q392">
        <v>7</v>
      </c>
      <c r="R392">
        <f>CORREL(BMW[units_sold],BMW[gdp_growth_percent])</f>
        <v>-5.2597817623217792E-17</v>
      </c>
    </row>
    <row r="393" spans="1:18" x14ac:dyDescent="0.35">
      <c r="A393">
        <v>2019</v>
      </c>
      <c r="B393" t="s">
        <v>42</v>
      </c>
      <c r="C393" t="s">
        <v>32</v>
      </c>
      <c r="D393" t="s">
        <v>22</v>
      </c>
      <c r="E393" t="s">
        <v>20</v>
      </c>
      <c r="F393" t="s">
        <v>23</v>
      </c>
      <c r="G393">
        <v>64320</v>
      </c>
      <c r="H393" t="s">
        <v>55</v>
      </c>
      <c r="I393">
        <v>620</v>
      </c>
      <c r="J393">
        <v>39878400</v>
      </c>
      <c r="K393">
        <v>444093</v>
      </c>
      <c r="L393">
        <v>39434307</v>
      </c>
      <c r="M393">
        <v>121</v>
      </c>
      <c r="N393">
        <v>0.97</v>
      </c>
      <c r="O393">
        <v>6.29</v>
      </c>
      <c r="P393">
        <v>1.2</v>
      </c>
      <c r="Q393">
        <v>2</v>
      </c>
      <c r="R393">
        <f>CORREL(BMW[units_sold],BMW[gdp_growth_percent])</f>
        <v>-5.2597817623217792E-17</v>
      </c>
    </row>
    <row r="394" spans="1:18" x14ac:dyDescent="0.35">
      <c r="A394">
        <v>2015</v>
      </c>
      <c r="B394" t="s">
        <v>41</v>
      </c>
      <c r="C394" t="s">
        <v>28</v>
      </c>
      <c r="D394" t="s">
        <v>15</v>
      </c>
      <c r="E394" t="s">
        <v>19</v>
      </c>
      <c r="F394" t="s">
        <v>23</v>
      </c>
      <c r="G394">
        <v>104876</v>
      </c>
      <c r="H394" t="s">
        <v>54</v>
      </c>
      <c r="I394">
        <v>675</v>
      </c>
      <c r="J394">
        <v>70791300</v>
      </c>
      <c r="K394">
        <v>229425</v>
      </c>
      <c r="L394">
        <v>70561875</v>
      </c>
      <c r="M394">
        <v>322</v>
      </c>
      <c r="N394">
        <v>0.97</v>
      </c>
      <c r="O394">
        <v>6.29</v>
      </c>
      <c r="P394">
        <v>1.2</v>
      </c>
      <c r="Q394">
        <v>7</v>
      </c>
      <c r="R394">
        <f>CORREL(BMW[units_sold],BMW[gdp_growth_percent])</f>
        <v>-5.2597817623217792E-17</v>
      </c>
    </row>
    <row r="395" spans="1:18" x14ac:dyDescent="0.35">
      <c r="A395">
        <v>2024</v>
      </c>
      <c r="B395" t="s">
        <v>45</v>
      </c>
      <c r="C395" t="s">
        <v>21</v>
      </c>
      <c r="D395" t="s">
        <v>26</v>
      </c>
      <c r="E395" t="s">
        <v>19</v>
      </c>
      <c r="F395" t="s">
        <v>23</v>
      </c>
      <c r="G395">
        <v>69924</v>
      </c>
      <c r="H395" t="s">
        <v>55</v>
      </c>
      <c r="I395">
        <v>667</v>
      </c>
      <c r="J395">
        <v>46639308</v>
      </c>
      <c r="K395">
        <v>395932</v>
      </c>
      <c r="L395">
        <v>46243376</v>
      </c>
      <c r="M395">
        <v>205</v>
      </c>
      <c r="N395">
        <v>0.97</v>
      </c>
      <c r="O395">
        <v>6.29</v>
      </c>
      <c r="P395">
        <v>1.2</v>
      </c>
      <c r="Q395">
        <v>9</v>
      </c>
      <c r="R395">
        <f>CORREL(BMW[units_sold],BMW[gdp_growth_percent])</f>
        <v>-5.2597817623217792E-17</v>
      </c>
    </row>
    <row r="396" spans="1:18" x14ac:dyDescent="0.35">
      <c r="A396">
        <v>2024</v>
      </c>
      <c r="B396" t="s">
        <v>49</v>
      </c>
      <c r="C396" t="s">
        <v>30</v>
      </c>
      <c r="D396" t="s">
        <v>33</v>
      </c>
      <c r="E396" t="s">
        <v>20</v>
      </c>
      <c r="F396" t="s">
        <v>17</v>
      </c>
      <c r="G396">
        <v>116720</v>
      </c>
      <c r="H396" t="s">
        <v>54</v>
      </c>
      <c r="I396">
        <v>868</v>
      </c>
      <c r="J396">
        <v>101312960</v>
      </c>
      <c r="K396">
        <v>409014</v>
      </c>
      <c r="L396">
        <v>100903946</v>
      </c>
      <c r="M396">
        <v>384</v>
      </c>
      <c r="N396">
        <v>0.97</v>
      </c>
      <c r="O396">
        <v>6.29</v>
      </c>
      <c r="P396">
        <v>1.2</v>
      </c>
      <c r="Q396">
        <v>2</v>
      </c>
      <c r="R396">
        <f>CORREL(BMW[units_sold],BMW[gdp_growth_percent])</f>
        <v>-5.2597817623217792E-17</v>
      </c>
    </row>
    <row r="397" spans="1:18" x14ac:dyDescent="0.35">
      <c r="A397">
        <v>2015</v>
      </c>
      <c r="B397" t="s">
        <v>48</v>
      </c>
      <c r="C397" t="s">
        <v>21</v>
      </c>
      <c r="D397" t="s">
        <v>18</v>
      </c>
      <c r="E397" t="s">
        <v>16</v>
      </c>
      <c r="F397" t="s">
        <v>23</v>
      </c>
      <c r="G397">
        <v>75734</v>
      </c>
      <c r="H397" t="s">
        <v>55</v>
      </c>
      <c r="I397">
        <v>836</v>
      </c>
      <c r="J397">
        <v>63313624</v>
      </c>
      <c r="K397">
        <v>265657</v>
      </c>
      <c r="L397">
        <v>63047967</v>
      </c>
      <c r="M397">
        <v>362</v>
      </c>
      <c r="N397">
        <v>0.97</v>
      </c>
      <c r="O397">
        <v>6.29</v>
      </c>
      <c r="P397">
        <v>1.2</v>
      </c>
      <c r="Q397">
        <v>7</v>
      </c>
      <c r="R397">
        <f>CORREL(BMW[units_sold],BMW[gdp_growth_percent])</f>
        <v>-5.2597817623217792E-17</v>
      </c>
    </row>
    <row r="398" spans="1:18" x14ac:dyDescent="0.35">
      <c r="A398">
        <v>2016</v>
      </c>
      <c r="B398" t="s">
        <v>52</v>
      </c>
      <c r="C398" t="s">
        <v>32</v>
      </c>
      <c r="D398" t="s">
        <v>33</v>
      </c>
      <c r="E398" t="s">
        <v>19</v>
      </c>
      <c r="F398" t="s">
        <v>17</v>
      </c>
      <c r="G398">
        <v>103116</v>
      </c>
      <c r="H398" t="s">
        <v>54</v>
      </c>
      <c r="I398">
        <v>231</v>
      </c>
      <c r="J398">
        <v>23819796</v>
      </c>
      <c r="K398">
        <v>395452</v>
      </c>
      <c r="L398">
        <v>23424344</v>
      </c>
      <c r="M398">
        <v>101</v>
      </c>
      <c r="N398">
        <v>0.97</v>
      </c>
      <c r="O398">
        <v>6.29</v>
      </c>
      <c r="P398">
        <v>1.2</v>
      </c>
      <c r="Q398">
        <v>4</v>
      </c>
      <c r="R398">
        <f>CORREL(BMW[units_sold],BMW[gdp_growth_percent])</f>
        <v>-5.2597817623217792E-17</v>
      </c>
    </row>
    <row r="399" spans="1:18" x14ac:dyDescent="0.35">
      <c r="A399">
        <v>2020</v>
      </c>
      <c r="B399" t="s">
        <v>41</v>
      </c>
      <c r="C399" t="s">
        <v>28</v>
      </c>
      <c r="D399" t="s">
        <v>22</v>
      </c>
      <c r="E399" t="s">
        <v>16</v>
      </c>
      <c r="F399" t="s">
        <v>27</v>
      </c>
      <c r="G399">
        <v>75025</v>
      </c>
      <c r="H399" t="s">
        <v>55</v>
      </c>
      <c r="I399">
        <v>567</v>
      </c>
      <c r="J399">
        <v>42539175</v>
      </c>
      <c r="K399">
        <v>494783</v>
      </c>
      <c r="L399">
        <v>42044392</v>
      </c>
      <c r="M399">
        <v>61</v>
      </c>
      <c r="N399">
        <v>0.97</v>
      </c>
      <c r="O399">
        <v>6.29</v>
      </c>
      <c r="P399">
        <v>1.2</v>
      </c>
      <c r="Q399">
        <v>2</v>
      </c>
      <c r="R399">
        <f>CORREL(BMW[units_sold],BMW[gdp_growth_percent])</f>
        <v>-5.2597817623217792E-17</v>
      </c>
    </row>
    <row r="400" spans="1:18" x14ac:dyDescent="0.35">
      <c r="A400">
        <v>2023</v>
      </c>
      <c r="B400" t="s">
        <v>47</v>
      </c>
      <c r="C400" t="s">
        <v>38</v>
      </c>
      <c r="D400" t="s">
        <v>33</v>
      </c>
      <c r="E400" t="s">
        <v>19</v>
      </c>
      <c r="F400" t="s">
        <v>20</v>
      </c>
      <c r="G400">
        <v>37159</v>
      </c>
      <c r="H400" t="s">
        <v>57</v>
      </c>
      <c r="I400">
        <v>1016</v>
      </c>
      <c r="J400">
        <v>37753544</v>
      </c>
      <c r="K400">
        <v>370057</v>
      </c>
      <c r="L400">
        <v>37383487</v>
      </c>
      <c r="M400">
        <v>302</v>
      </c>
      <c r="N400">
        <v>0.97</v>
      </c>
      <c r="O400">
        <v>6.29</v>
      </c>
      <c r="P400">
        <v>1.2</v>
      </c>
      <c r="Q400">
        <v>7</v>
      </c>
      <c r="R400">
        <f>CORREL(BMW[units_sold],BMW[gdp_growth_percent])</f>
        <v>-5.2597817623217792E-17</v>
      </c>
    </row>
    <row r="401" spans="1:18" x14ac:dyDescent="0.35">
      <c r="A401">
        <v>2022</v>
      </c>
      <c r="B401" t="s">
        <v>43</v>
      </c>
      <c r="C401" t="s">
        <v>32</v>
      </c>
      <c r="D401" t="s">
        <v>26</v>
      </c>
      <c r="E401" t="s">
        <v>19</v>
      </c>
      <c r="F401" t="s">
        <v>23</v>
      </c>
      <c r="G401">
        <v>83940</v>
      </c>
      <c r="H401" t="s">
        <v>54</v>
      </c>
      <c r="I401">
        <v>386</v>
      </c>
      <c r="J401">
        <v>32400840</v>
      </c>
      <c r="K401">
        <v>52637</v>
      </c>
      <c r="L401">
        <v>32348203</v>
      </c>
      <c r="M401">
        <v>17</v>
      </c>
      <c r="N401">
        <v>0.97</v>
      </c>
      <c r="O401">
        <v>6.29</v>
      </c>
      <c r="P401">
        <v>1.2</v>
      </c>
      <c r="Q401">
        <v>5</v>
      </c>
      <c r="R401">
        <f>CORREL(BMW[units_sold],BMW[gdp_growth_percent])</f>
        <v>-5.2597817623217792E-17</v>
      </c>
    </row>
    <row r="402" spans="1:18" x14ac:dyDescent="0.35">
      <c r="A402">
        <v>2019</v>
      </c>
      <c r="B402" t="s">
        <v>52</v>
      </c>
      <c r="C402" t="s">
        <v>35</v>
      </c>
      <c r="D402" t="s">
        <v>22</v>
      </c>
      <c r="E402" t="s">
        <v>19</v>
      </c>
      <c r="F402" t="s">
        <v>20</v>
      </c>
      <c r="G402">
        <v>114436</v>
      </c>
      <c r="H402" t="s">
        <v>54</v>
      </c>
      <c r="I402">
        <v>730</v>
      </c>
      <c r="J402">
        <v>83538280</v>
      </c>
      <c r="K402">
        <v>354169</v>
      </c>
      <c r="L402">
        <v>83184111</v>
      </c>
      <c r="M402">
        <v>309</v>
      </c>
      <c r="N402">
        <v>0.97</v>
      </c>
      <c r="O402">
        <v>6.29</v>
      </c>
      <c r="P402">
        <v>1.2</v>
      </c>
      <c r="Q402">
        <v>1</v>
      </c>
      <c r="R402">
        <f>CORREL(BMW[units_sold],BMW[gdp_growth_percent])</f>
        <v>-5.2597817623217792E-17</v>
      </c>
    </row>
    <row r="403" spans="1:18" x14ac:dyDescent="0.35">
      <c r="A403">
        <v>2015</v>
      </c>
      <c r="B403" t="s">
        <v>51</v>
      </c>
      <c r="C403" t="s">
        <v>28</v>
      </c>
      <c r="D403" t="s">
        <v>18</v>
      </c>
      <c r="E403" t="s">
        <v>19</v>
      </c>
      <c r="F403" t="s">
        <v>20</v>
      </c>
      <c r="G403">
        <v>111976</v>
      </c>
      <c r="H403" t="s">
        <v>54</v>
      </c>
      <c r="I403">
        <v>552</v>
      </c>
      <c r="J403">
        <v>61810752</v>
      </c>
      <c r="K403">
        <v>287989</v>
      </c>
      <c r="L403">
        <v>61522763</v>
      </c>
      <c r="M403">
        <v>107</v>
      </c>
      <c r="N403">
        <v>0.97</v>
      </c>
      <c r="O403">
        <v>6.29</v>
      </c>
      <c r="P403">
        <v>1.2</v>
      </c>
      <c r="Q403">
        <v>5</v>
      </c>
      <c r="R403">
        <f>CORREL(BMW[units_sold],BMW[gdp_growth_percent])</f>
        <v>-5.2597817623217792E-17</v>
      </c>
    </row>
    <row r="404" spans="1:18" x14ac:dyDescent="0.35">
      <c r="A404">
        <v>2021</v>
      </c>
      <c r="B404" t="s">
        <v>50</v>
      </c>
      <c r="C404" t="s">
        <v>36</v>
      </c>
      <c r="D404" t="s">
        <v>31</v>
      </c>
      <c r="E404" t="s">
        <v>16</v>
      </c>
      <c r="F404" t="s">
        <v>23</v>
      </c>
      <c r="G404">
        <v>49678</v>
      </c>
      <c r="H404" t="s">
        <v>57</v>
      </c>
      <c r="I404">
        <v>875</v>
      </c>
      <c r="J404">
        <v>43468250</v>
      </c>
      <c r="K404">
        <v>282259</v>
      </c>
      <c r="L404">
        <v>43185991</v>
      </c>
      <c r="M404">
        <v>245</v>
      </c>
      <c r="N404">
        <v>0.97</v>
      </c>
      <c r="O404">
        <v>6.29</v>
      </c>
      <c r="P404">
        <v>1.2</v>
      </c>
      <c r="Q404">
        <v>3</v>
      </c>
      <c r="R404">
        <f>CORREL(BMW[units_sold],BMW[gdp_growth_percent])</f>
        <v>-5.2597817623217792E-17</v>
      </c>
    </row>
    <row r="405" spans="1:18" x14ac:dyDescent="0.35">
      <c r="A405">
        <v>2019</v>
      </c>
      <c r="B405" t="s">
        <v>47</v>
      </c>
      <c r="C405" t="s">
        <v>28</v>
      </c>
      <c r="D405" t="s">
        <v>29</v>
      </c>
      <c r="E405" t="s">
        <v>19</v>
      </c>
      <c r="F405" t="s">
        <v>23</v>
      </c>
      <c r="G405">
        <v>96075</v>
      </c>
      <c r="H405" t="s">
        <v>54</v>
      </c>
      <c r="I405">
        <v>1083</v>
      </c>
      <c r="J405">
        <v>104049225</v>
      </c>
      <c r="K405">
        <v>411652</v>
      </c>
      <c r="L405">
        <v>103637573</v>
      </c>
      <c r="M405">
        <v>398</v>
      </c>
      <c r="N405">
        <v>0.97</v>
      </c>
      <c r="O405">
        <v>6.29</v>
      </c>
      <c r="P405">
        <v>1.2</v>
      </c>
      <c r="Q405">
        <v>7</v>
      </c>
      <c r="R405">
        <f>CORREL(BMW[units_sold],BMW[gdp_growth_percent])</f>
        <v>-5.2597817623217792E-17</v>
      </c>
    </row>
    <row r="406" spans="1:18" x14ac:dyDescent="0.35">
      <c r="A406">
        <v>2020</v>
      </c>
      <c r="B406" t="s">
        <v>52</v>
      </c>
      <c r="C406" t="s">
        <v>36</v>
      </c>
      <c r="D406" t="s">
        <v>22</v>
      </c>
      <c r="E406" t="s">
        <v>20</v>
      </c>
      <c r="F406" t="s">
        <v>27</v>
      </c>
      <c r="G406">
        <v>82204</v>
      </c>
      <c r="H406" t="s">
        <v>54</v>
      </c>
      <c r="I406">
        <v>978</v>
      </c>
      <c r="J406">
        <v>80395512</v>
      </c>
      <c r="K406">
        <v>132464</v>
      </c>
      <c r="L406">
        <v>80263048</v>
      </c>
      <c r="M406">
        <v>383</v>
      </c>
      <c r="N406">
        <v>0.97</v>
      </c>
      <c r="O406">
        <v>6.29</v>
      </c>
      <c r="P406">
        <v>1.2</v>
      </c>
      <c r="Q406">
        <v>6</v>
      </c>
      <c r="R406">
        <f>CORREL(BMW[units_sold],BMW[gdp_growth_percent])</f>
        <v>-5.2597817623217792E-17</v>
      </c>
    </row>
    <row r="407" spans="1:18" x14ac:dyDescent="0.35">
      <c r="A407">
        <v>2021</v>
      </c>
      <c r="B407" t="s">
        <v>44</v>
      </c>
      <c r="C407" t="s">
        <v>14</v>
      </c>
      <c r="D407" t="s">
        <v>39</v>
      </c>
      <c r="E407" t="s">
        <v>20</v>
      </c>
      <c r="F407" t="s">
        <v>17</v>
      </c>
      <c r="G407">
        <v>47021</v>
      </c>
      <c r="H407" t="s">
        <v>57</v>
      </c>
      <c r="I407">
        <v>248</v>
      </c>
      <c r="J407">
        <v>11661208</v>
      </c>
      <c r="K407">
        <v>340886</v>
      </c>
      <c r="L407">
        <v>11320322</v>
      </c>
      <c r="M407">
        <v>78</v>
      </c>
      <c r="N407">
        <v>0.97</v>
      </c>
      <c r="O407">
        <v>6.29</v>
      </c>
      <c r="P407">
        <v>1.2</v>
      </c>
      <c r="Q407">
        <v>8</v>
      </c>
      <c r="R407">
        <f>CORREL(BMW[units_sold],BMW[gdp_growth_percent])</f>
        <v>-5.2597817623217792E-17</v>
      </c>
    </row>
    <row r="408" spans="1:18" x14ac:dyDescent="0.35">
      <c r="A408">
        <v>2017</v>
      </c>
      <c r="B408" t="s">
        <v>51</v>
      </c>
      <c r="C408" t="s">
        <v>30</v>
      </c>
      <c r="D408" t="s">
        <v>26</v>
      </c>
      <c r="E408" t="s">
        <v>16</v>
      </c>
      <c r="F408" t="s">
        <v>17</v>
      </c>
      <c r="G408">
        <v>41772</v>
      </c>
      <c r="H408" t="s">
        <v>57</v>
      </c>
      <c r="I408">
        <v>351</v>
      </c>
      <c r="J408">
        <v>14661972</v>
      </c>
      <c r="K408">
        <v>61831</v>
      </c>
      <c r="L408">
        <v>14600141</v>
      </c>
      <c r="M408">
        <v>54</v>
      </c>
      <c r="N408">
        <v>0.97</v>
      </c>
      <c r="O408">
        <v>6.29</v>
      </c>
      <c r="P408">
        <v>1.2</v>
      </c>
      <c r="Q408">
        <v>5</v>
      </c>
      <c r="R408">
        <f>CORREL(BMW[units_sold],BMW[gdp_growth_percent])</f>
        <v>-5.2597817623217792E-17</v>
      </c>
    </row>
    <row r="409" spans="1:18" x14ac:dyDescent="0.35">
      <c r="A409">
        <v>2024</v>
      </c>
      <c r="B409" t="s">
        <v>52</v>
      </c>
      <c r="C409" t="s">
        <v>25</v>
      </c>
      <c r="D409" t="s">
        <v>22</v>
      </c>
      <c r="E409" t="s">
        <v>19</v>
      </c>
      <c r="F409" t="s">
        <v>20</v>
      </c>
      <c r="G409">
        <v>102163</v>
      </c>
      <c r="H409" t="s">
        <v>54</v>
      </c>
      <c r="I409">
        <v>556</v>
      </c>
      <c r="J409">
        <v>56802628</v>
      </c>
      <c r="K409">
        <v>163768</v>
      </c>
      <c r="L409">
        <v>56638860</v>
      </c>
      <c r="M409">
        <v>146</v>
      </c>
      <c r="N409">
        <v>0.97</v>
      </c>
      <c r="O409">
        <v>6.29</v>
      </c>
      <c r="P409">
        <v>1.2</v>
      </c>
      <c r="Q409">
        <v>2</v>
      </c>
      <c r="R409">
        <f>CORREL(BMW[units_sold],BMW[gdp_growth_percent])</f>
        <v>-5.2597817623217792E-17</v>
      </c>
    </row>
    <row r="410" spans="1:18" x14ac:dyDescent="0.35">
      <c r="A410">
        <v>2017</v>
      </c>
      <c r="B410" t="s">
        <v>50</v>
      </c>
      <c r="C410" t="s">
        <v>28</v>
      </c>
      <c r="D410" t="s">
        <v>22</v>
      </c>
      <c r="E410" t="s">
        <v>20</v>
      </c>
      <c r="F410" t="s">
        <v>23</v>
      </c>
      <c r="G410">
        <v>108755</v>
      </c>
      <c r="H410" t="s">
        <v>54</v>
      </c>
      <c r="I410">
        <v>578</v>
      </c>
      <c r="J410">
        <v>62860390</v>
      </c>
      <c r="K410">
        <v>296983</v>
      </c>
      <c r="L410">
        <v>62563407</v>
      </c>
      <c r="M410">
        <v>243</v>
      </c>
      <c r="N410">
        <v>0.97</v>
      </c>
      <c r="O410">
        <v>6.29</v>
      </c>
      <c r="P410">
        <v>1.2</v>
      </c>
      <c r="Q410">
        <v>9</v>
      </c>
      <c r="R410">
        <f>CORREL(BMW[units_sold],BMW[gdp_growth_percent])</f>
        <v>-5.2597817623217792E-17</v>
      </c>
    </row>
    <row r="411" spans="1:18" x14ac:dyDescent="0.35">
      <c r="A411">
        <v>2019</v>
      </c>
      <c r="B411" t="s">
        <v>44</v>
      </c>
      <c r="C411" t="s">
        <v>37</v>
      </c>
      <c r="D411" t="s">
        <v>39</v>
      </c>
      <c r="E411" t="s">
        <v>16</v>
      </c>
      <c r="F411" t="s">
        <v>27</v>
      </c>
      <c r="G411">
        <v>58464</v>
      </c>
      <c r="H411" t="s">
        <v>55</v>
      </c>
      <c r="I411">
        <v>147</v>
      </c>
      <c r="J411">
        <v>8594208</v>
      </c>
      <c r="K411">
        <v>397236</v>
      </c>
      <c r="L411">
        <v>8196972</v>
      </c>
      <c r="M411">
        <v>41</v>
      </c>
      <c r="N411">
        <v>0.97</v>
      </c>
      <c r="O411">
        <v>6.29</v>
      </c>
      <c r="P411">
        <v>1.2</v>
      </c>
      <c r="Q411">
        <v>8</v>
      </c>
      <c r="R411">
        <f>CORREL(BMW[units_sold],BMW[gdp_growth_percent])</f>
        <v>-5.2597817623217792E-17</v>
      </c>
    </row>
    <row r="412" spans="1:18" x14ac:dyDescent="0.35">
      <c r="A412">
        <v>2020</v>
      </c>
      <c r="B412" t="s">
        <v>51</v>
      </c>
      <c r="C412" t="s">
        <v>35</v>
      </c>
      <c r="D412" t="s">
        <v>18</v>
      </c>
      <c r="E412" t="s">
        <v>19</v>
      </c>
      <c r="F412" t="s">
        <v>27</v>
      </c>
      <c r="G412">
        <v>86137</v>
      </c>
      <c r="H412" t="s">
        <v>54</v>
      </c>
      <c r="I412">
        <v>886</v>
      </c>
      <c r="J412">
        <v>76317382</v>
      </c>
      <c r="K412">
        <v>403023</v>
      </c>
      <c r="L412">
        <v>75914359</v>
      </c>
      <c r="M412">
        <v>298</v>
      </c>
      <c r="N412">
        <v>0.97</v>
      </c>
      <c r="O412">
        <v>6.29</v>
      </c>
      <c r="P412">
        <v>1.2</v>
      </c>
      <c r="Q412">
        <v>6</v>
      </c>
      <c r="R412">
        <f>CORREL(BMW[units_sold],BMW[gdp_growth_percent])</f>
        <v>-5.2597817623217792E-17</v>
      </c>
    </row>
    <row r="413" spans="1:18" x14ac:dyDescent="0.35">
      <c r="A413">
        <v>2023</v>
      </c>
      <c r="B413" t="s">
        <v>45</v>
      </c>
      <c r="C413" t="s">
        <v>32</v>
      </c>
      <c r="D413" t="s">
        <v>22</v>
      </c>
      <c r="E413" t="s">
        <v>20</v>
      </c>
      <c r="F413" t="s">
        <v>27</v>
      </c>
      <c r="G413">
        <v>65232</v>
      </c>
      <c r="H413" t="s">
        <v>55</v>
      </c>
      <c r="I413">
        <v>319</v>
      </c>
      <c r="J413">
        <v>20809008</v>
      </c>
      <c r="K413">
        <v>400514</v>
      </c>
      <c r="L413">
        <v>20408494</v>
      </c>
      <c r="M413">
        <v>135</v>
      </c>
      <c r="N413">
        <v>0.97</v>
      </c>
      <c r="O413">
        <v>6.29</v>
      </c>
      <c r="P413">
        <v>1.2</v>
      </c>
      <c r="Q413">
        <v>10</v>
      </c>
      <c r="R413">
        <f>CORREL(BMW[units_sold],BMW[gdp_growth_percent])</f>
        <v>-5.2597817623217792E-17</v>
      </c>
    </row>
    <row r="414" spans="1:18" x14ac:dyDescent="0.35">
      <c r="A414">
        <v>2019</v>
      </c>
      <c r="B414" t="s">
        <v>41</v>
      </c>
      <c r="C414" t="s">
        <v>35</v>
      </c>
      <c r="D414" t="s">
        <v>29</v>
      </c>
      <c r="E414" t="s">
        <v>20</v>
      </c>
      <c r="F414" t="s">
        <v>27</v>
      </c>
      <c r="G414">
        <v>96497</v>
      </c>
      <c r="H414" t="s">
        <v>54</v>
      </c>
      <c r="I414">
        <v>369</v>
      </c>
      <c r="J414">
        <v>35607393</v>
      </c>
      <c r="K414">
        <v>438681</v>
      </c>
      <c r="L414">
        <v>35168712</v>
      </c>
      <c r="M414">
        <v>76</v>
      </c>
      <c r="N414">
        <v>0.97</v>
      </c>
      <c r="O414">
        <v>6.29</v>
      </c>
      <c r="P414">
        <v>1.2</v>
      </c>
      <c r="Q414">
        <v>7</v>
      </c>
      <c r="R414">
        <f>CORREL(BMW[units_sold],BMW[gdp_growth_percent])</f>
        <v>-5.2597817623217792E-17</v>
      </c>
    </row>
    <row r="415" spans="1:18" x14ac:dyDescent="0.35">
      <c r="A415">
        <v>2015</v>
      </c>
      <c r="B415" t="s">
        <v>46</v>
      </c>
      <c r="C415" t="s">
        <v>21</v>
      </c>
      <c r="D415" t="s">
        <v>33</v>
      </c>
      <c r="E415" t="s">
        <v>16</v>
      </c>
      <c r="F415" t="s">
        <v>27</v>
      </c>
      <c r="G415">
        <v>109024</v>
      </c>
      <c r="H415" t="s">
        <v>54</v>
      </c>
      <c r="I415">
        <v>493</v>
      </c>
      <c r="J415">
        <v>53748832</v>
      </c>
      <c r="K415">
        <v>489978</v>
      </c>
      <c r="L415">
        <v>53258854</v>
      </c>
      <c r="M415">
        <v>39</v>
      </c>
      <c r="N415">
        <v>0.97</v>
      </c>
      <c r="O415">
        <v>6.29</v>
      </c>
      <c r="P415">
        <v>1.2</v>
      </c>
      <c r="Q415">
        <v>9</v>
      </c>
      <c r="R415">
        <f>CORREL(BMW[units_sold],BMW[gdp_growth_percent])</f>
        <v>-5.2597817623217792E-17</v>
      </c>
    </row>
    <row r="416" spans="1:18" x14ac:dyDescent="0.35">
      <c r="A416">
        <v>2018</v>
      </c>
      <c r="B416" t="s">
        <v>43</v>
      </c>
      <c r="C416" t="s">
        <v>25</v>
      </c>
      <c r="D416" t="s">
        <v>18</v>
      </c>
      <c r="E416" t="s">
        <v>19</v>
      </c>
      <c r="F416" t="s">
        <v>17</v>
      </c>
      <c r="G416">
        <v>86448</v>
      </c>
      <c r="H416" t="s">
        <v>54</v>
      </c>
      <c r="I416">
        <v>581</v>
      </c>
      <c r="J416">
        <v>50226288</v>
      </c>
      <c r="K416">
        <v>154824</v>
      </c>
      <c r="L416">
        <v>50071464</v>
      </c>
      <c r="M416">
        <v>123</v>
      </c>
      <c r="N416">
        <v>0.97</v>
      </c>
      <c r="O416">
        <v>6.29</v>
      </c>
      <c r="P416">
        <v>1.2</v>
      </c>
      <c r="Q416">
        <v>7</v>
      </c>
      <c r="R416">
        <f>CORREL(BMW[units_sold],BMW[gdp_growth_percent])</f>
        <v>-5.2597817623217792E-17</v>
      </c>
    </row>
    <row r="417" spans="1:18" x14ac:dyDescent="0.35">
      <c r="A417">
        <v>2019</v>
      </c>
      <c r="B417" t="s">
        <v>48</v>
      </c>
      <c r="C417" t="s">
        <v>21</v>
      </c>
      <c r="D417" t="s">
        <v>29</v>
      </c>
      <c r="E417" t="s">
        <v>19</v>
      </c>
      <c r="F417" t="s">
        <v>17</v>
      </c>
      <c r="G417">
        <v>119517</v>
      </c>
      <c r="H417" t="s">
        <v>54</v>
      </c>
      <c r="I417">
        <v>517</v>
      </c>
      <c r="J417">
        <v>61790289</v>
      </c>
      <c r="K417">
        <v>138741</v>
      </c>
      <c r="L417">
        <v>61651548</v>
      </c>
      <c r="M417">
        <v>213</v>
      </c>
      <c r="N417">
        <v>0.97</v>
      </c>
      <c r="O417">
        <v>6.29</v>
      </c>
      <c r="P417">
        <v>1.2</v>
      </c>
      <c r="Q417">
        <v>3</v>
      </c>
      <c r="R417">
        <f>CORREL(BMW[units_sold],BMW[gdp_growth_percent])</f>
        <v>-5.2597817623217792E-17</v>
      </c>
    </row>
    <row r="418" spans="1:18" x14ac:dyDescent="0.35">
      <c r="A418">
        <v>2024</v>
      </c>
      <c r="B418" t="s">
        <v>42</v>
      </c>
      <c r="C418" t="s">
        <v>14</v>
      </c>
      <c r="D418" t="s">
        <v>18</v>
      </c>
      <c r="E418" t="s">
        <v>20</v>
      </c>
      <c r="F418" t="s">
        <v>17</v>
      </c>
      <c r="G418">
        <v>35901</v>
      </c>
      <c r="H418" t="s">
        <v>57</v>
      </c>
      <c r="I418">
        <v>207</v>
      </c>
      <c r="J418">
        <v>7431507</v>
      </c>
      <c r="K418">
        <v>68830</v>
      </c>
      <c r="L418">
        <v>7362677</v>
      </c>
      <c r="M418">
        <v>38</v>
      </c>
      <c r="N418">
        <v>0.97</v>
      </c>
      <c r="O418">
        <v>6.29</v>
      </c>
      <c r="P418">
        <v>1.2</v>
      </c>
      <c r="Q418">
        <v>6</v>
      </c>
      <c r="R418">
        <f>CORREL(BMW[units_sold],BMW[gdp_growth_percent])</f>
        <v>-5.2597817623217792E-17</v>
      </c>
    </row>
    <row r="419" spans="1:18" x14ac:dyDescent="0.35">
      <c r="A419">
        <v>2024</v>
      </c>
      <c r="B419" t="s">
        <v>43</v>
      </c>
      <c r="C419" t="s">
        <v>25</v>
      </c>
      <c r="D419" t="s">
        <v>29</v>
      </c>
      <c r="E419" t="s">
        <v>20</v>
      </c>
      <c r="F419" t="s">
        <v>23</v>
      </c>
      <c r="G419">
        <v>118597</v>
      </c>
      <c r="H419" t="s">
        <v>54</v>
      </c>
      <c r="I419">
        <v>281</v>
      </c>
      <c r="J419">
        <v>33325757</v>
      </c>
      <c r="K419">
        <v>367188</v>
      </c>
      <c r="L419">
        <v>32958569</v>
      </c>
      <c r="M419">
        <v>140</v>
      </c>
      <c r="N419">
        <v>0.97</v>
      </c>
      <c r="O419">
        <v>6.29</v>
      </c>
      <c r="P419">
        <v>1.2</v>
      </c>
      <c r="Q419">
        <v>7</v>
      </c>
      <c r="R419">
        <f>CORREL(BMW[units_sold],BMW[gdp_growth_percent])</f>
        <v>-5.2597817623217792E-17</v>
      </c>
    </row>
    <row r="420" spans="1:18" x14ac:dyDescent="0.35">
      <c r="A420">
        <v>2019</v>
      </c>
      <c r="B420" t="s">
        <v>48</v>
      </c>
      <c r="C420" t="s">
        <v>25</v>
      </c>
      <c r="D420" t="s">
        <v>26</v>
      </c>
      <c r="E420" t="s">
        <v>20</v>
      </c>
      <c r="F420" t="s">
        <v>20</v>
      </c>
      <c r="G420">
        <v>37881</v>
      </c>
      <c r="H420" t="s">
        <v>57</v>
      </c>
      <c r="I420">
        <v>775</v>
      </c>
      <c r="J420">
        <v>29357775</v>
      </c>
      <c r="K420">
        <v>386092</v>
      </c>
      <c r="L420">
        <v>28971683</v>
      </c>
      <c r="M420">
        <v>194</v>
      </c>
      <c r="N420">
        <v>0.97</v>
      </c>
      <c r="O420">
        <v>6.29</v>
      </c>
      <c r="P420">
        <v>1.2</v>
      </c>
      <c r="Q420">
        <v>2</v>
      </c>
      <c r="R420">
        <f>CORREL(BMW[units_sold],BMW[gdp_growth_percent])</f>
        <v>-5.2597817623217792E-17</v>
      </c>
    </row>
    <row r="421" spans="1:18" x14ac:dyDescent="0.35">
      <c r="A421">
        <v>2021</v>
      </c>
      <c r="B421" t="s">
        <v>47</v>
      </c>
      <c r="C421" t="s">
        <v>21</v>
      </c>
      <c r="D421" t="s">
        <v>29</v>
      </c>
      <c r="E421" t="s">
        <v>19</v>
      </c>
      <c r="F421" t="s">
        <v>27</v>
      </c>
      <c r="G421">
        <v>64863</v>
      </c>
      <c r="H421" t="s">
        <v>55</v>
      </c>
      <c r="I421">
        <v>724</v>
      </c>
      <c r="J421">
        <v>46960812</v>
      </c>
      <c r="K421">
        <v>119202</v>
      </c>
      <c r="L421">
        <v>46841610</v>
      </c>
      <c r="M421">
        <v>262</v>
      </c>
      <c r="N421">
        <v>0.97</v>
      </c>
      <c r="O421">
        <v>6.29</v>
      </c>
      <c r="P421">
        <v>1.2</v>
      </c>
      <c r="Q421">
        <v>3</v>
      </c>
      <c r="R421">
        <f>CORREL(BMW[units_sold],BMW[gdp_growth_percent])</f>
        <v>-5.2597817623217792E-17</v>
      </c>
    </row>
    <row r="422" spans="1:18" x14ac:dyDescent="0.35">
      <c r="A422">
        <v>2018</v>
      </c>
      <c r="B422" t="s">
        <v>48</v>
      </c>
      <c r="C422" t="s">
        <v>36</v>
      </c>
      <c r="D422" t="s">
        <v>34</v>
      </c>
      <c r="E422" t="s">
        <v>16</v>
      </c>
      <c r="F422" t="s">
        <v>23</v>
      </c>
      <c r="G422">
        <v>40622</v>
      </c>
      <c r="H422" t="s">
        <v>57</v>
      </c>
      <c r="I422">
        <v>664</v>
      </c>
      <c r="J422">
        <v>26973008</v>
      </c>
      <c r="K422">
        <v>349189</v>
      </c>
      <c r="L422">
        <v>26623819</v>
      </c>
      <c r="M422">
        <v>295</v>
      </c>
      <c r="N422">
        <v>0.97</v>
      </c>
      <c r="O422">
        <v>6.29</v>
      </c>
      <c r="P422">
        <v>1.2</v>
      </c>
      <c r="Q422">
        <v>4</v>
      </c>
      <c r="R422">
        <f>CORREL(BMW[units_sold],BMW[gdp_growth_percent])</f>
        <v>-5.2597817623217792E-17</v>
      </c>
    </row>
    <row r="423" spans="1:18" x14ac:dyDescent="0.35">
      <c r="A423">
        <v>2015</v>
      </c>
      <c r="B423" t="s">
        <v>51</v>
      </c>
      <c r="C423" t="s">
        <v>21</v>
      </c>
      <c r="D423" t="s">
        <v>29</v>
      </c>
      <c r="E423" t="s">
        <v>16</v>
      </c>
      <c r="F423" t="s">
        <v>27</v>
      </c>
      <c r="G423">
        <v>36378</v>
      </c>
      <c r="H423" t="s">
        <v>57</v>
      </c>
      <c r="I423">
        <v>953</v>
      </c>
      <c r="J423">
        <v>34668234</v>
      </c>
      <c r="K423">
        <v>267394</v>
      </c>
      <c r="L423">
        <v>34400840</v>
      </c>
      <c r="M423">
        <v>395</v>
      </c>
      <c r="N423">
        <v>0.97</v>
      </c>
      <c r="O423">
        <v>6.29</v>
      </c>
      <c r="P423">
        <v>1.2</v>
      </c>
      <c r="Q423">
        <v>10</v>
      </c>
      <c r="R423">
        <f>CORREL(BMW[units_sold],BMW[gdp_growth_percent])</f>
        <v>-5.2597817623217792E-17</v>
      </c>
    </row>
    <row r="424" spans="1:18" x14ac:dyDescent="0.35">
      <c r="A424">
        <v>2019</v>
      </c>
      <c r="B424" t="s">
        <v>45</v>
      </c>
      <c r="C424" t="s">
        <v>35</v>
      </c>
      <c r="D424" t="s">
        <v>31</v>
      </c>
      <c r="E424" t="s">
        <v>19</v>
      </c>
      <c r="F424" t="s">
        <v>17</v>
      </c>
      <c r="G424">
        <v>118168</v>
      </c>
      <c r="H424" t="s">
        <v>54</v>
      </c>
      <c r="I424">
        <v>187</v>
      </c>
      <c r="J424">
        <v>22097416</v>
      </c>
      <c r="K424">
        <v>252123</v>
      </c>
      <c r="L424">
        <v>21845293</v>
      </c>
      <c r="M424">
        <v>71</v>
      </c>
      <c r="N424">
        <v>0.97</v>
      </c>
      <c r="O424">
        <v>6.29</v>
      </c>
      <c r="P424">
        <v>1.2</v>
      </c>
      <c r="Q424">
        <v>6</v>
      </c>
      <c r="R424">
        <f>CORREL(BMW[units_sold],BMW[gdp_growth_percent])</f>
        <v>-5.2597817623217792E-17</v>
      </c>
    </row>
    <row r="425" spans="1:18" x14ac:dyDescent="0.35">
      <c r="A425">
        <v>2021</v>
      </c>
      <c r="B425" t="s">
        <v>46</v>
      </c>
      <c r="C425" t="s">
        <v>36</v>
      </c>
      <c r="D425" t="s">
        <v>31</v>
      </c>
      <c r="E425" t="s">
        <v>16</v>
      </c>
      <c r="F425" t="s">
        <v>23</v>
      </c>
      <c r="G425">
        <v>106186</v>
      </c>
      <c r="H425" t="s">
        <v>54</v>
      </c>
      <c r="I425">
        <v>305</v>
      </c>
      <c r="J425">
        <v>32386730</v>
      </c>
      <c r="K425">
        <v>419653</v>
      </c>
      <c r="L425">
        <v>31967077</v>
      </c>
      <c r="M425">
        <v>12</v>
      </c>
      <c r="N425">
        <v>0.97</v>
      </c>
      <c r="O425">
        <v>6.29</v>
      </c>
      <c r="P425">
        <v>1.2</v>
      </c>
      <c r="Q425">
        <v>1</v>
      </c>
      <c r="R425">
        <f>CORREL(BMW[units_sold],BMW[gdp_growth_percent])</f>
        <v>-5.2597817623217792E-17</v>
      </c>
    </row>
    <row r="426" spans="1:18" x14ac:dyDescent="0.35">
      <c r="A426">
        <v>2024</v>
      </c>
      <c r="B426" t="s">
        <v>41</v>
      </c>
      <c r="C426" t="s">
        <v>35</v>
      </c>
      <c r="D426" t="s">
        <v>24</v>
      </c>
      <c r="E426" t="s">
        <v>20</v>
      </c>
      <c r="F426" t="s">
        <v>17</v>
      </c>
      <c r="G426">
        <v>80201</v>
      </c>
      <c r="H426" t="s">
        <v>54</v>
      </c>
      <c r="I426">
        <v>525</v>
      </c>
      <c r="J426">
        <v>42105525</v>
      </c>
      <c r="K426">
        <v>207699</v>
      </c>
      <c r="L426">
        <v>41897826</v>
      </c>
      <c r="M426">
        <v>77</v>
      </c>
      <c r="N426">
        <v>0.97</v>
      </c>
      <c r="O426">
        <v>6.29</v>
      </c>
      <c r="P426">
        <v>1.2</v>
      </c>
      <c r="Q426">
        <v>9</v>
      </c>
      <c r="R426">
        <f>CORREL(BMW[units_sold],BMW[gdp_growth_percent])</f>
        <v>-5.2597817623217792E-17</v>
      </c>
    </row>
    <row r="427" spans="1:18" x14ac:dyDescent="0.35">
      <c r="A427">
        <v>2024</v>
      </c>
      <c r="B427" t="s">
        <v>41</v>
      </c>
      <c r="C427" t="s">
        <v>14</v>
      </c>
      <c r="D427" t="s">
        <v>34</v>
      </c>
      <c r="E427" t="s">
        <v>16</v>
      </c>
      <c r="F427" t="s">
        <v>27</v>
      </c>
      <c r="G427">
        <v>94251</v>
      </c>
      <c r="H427" t="s">
        <v>54</v>
      </c>
      <c r="I427">
        <v>451</v>
      </c>
      <c r="J427">
        <v>42507201</v>
      </c>
      <c r="K427">
        <v>327342</v>
      </c>
      <c r="L427">
        <v>42179859</v>
      </c>
      <c r="M427">
        <v>34</v>
      </c>
      <c r="N427">
        <v>0.97</v>
      </c>
      <c r="O427">
        <v>6.29</v>
      </c>
      <c r="P427">
        <v>1.2</v>
      </c>
      <c r="Q427">
        <v>5</v>
      </c>
      <c r="R427">
        <f>CORREL(BMW[units_sold],BMW[gdp_growth_percent])</f>
        <v>-5.2597817623217792E-17</v>
      </c>
    </row>
    <row r="428" spans="1:18" x14ac:dyDescent="0.35">
      <c r="A428">
        <v>2020</v>
      </c>
      <c r="B428" t="s">
        <v>50</v>
      </c>
      <c r="C428" t="s">
        <v>32</v>
      </c>
      <c r="D428" t="s">
        <v>34</v>
      </c>
      <c r="E428" t="s">
        <v>16</v>
      </c>
      <c r="F428" t="s">
        <v>27</v>
      </c>
      <c r="G428">
        <v>107572</v>
      </c>
      <c r="H428" t="s">
        <v>54</v>
      </c>
      <c r="I428">
        <v>813</v>
      </c>
      <c r="J428">
        <v>87456036</v>
      </c>
      <c r="K428">
        <v>381665</v>
      </c>
      <c r="L428">
        <v>87074371</v>
      </c>
      <c r="M428">
        <v>188</v>
      </c>
      <c r="N428">
        <v>0.97</v>
      </c>
      <c r="O428">
        <v>6.29</v>
      </c>
      <c r="P428">
        <v>1.2</v>
      </c>
      <c r="Q428">
        <v>7</v>
      </c>
      <c r="R428">
        <f>CORREL(BMW[units_sold],BMW[gdp_growth_percent])</f>
        <v>-5.2597817623217792E-17</v>
      </c>
    </row>
    <row r="429" spans="1:18" x14ac:dyDescent="0.35">
      <c r="A429">
        <v>2019</v>
      </c>
      <c r="B429" t="s">
        <v>42</v>
      </c>
      <c r="C429" t="s">
        <v>38</v>
      </c>
      <c r="D429" t="s">
        <v>33</v>
      </c>
      <c r="E429" t="s">
        <v>16</v>
      </c>
      <c r="F429" t="s">
        <v>20</v>
      </c>
      <c r="G429">
        <v>74255</v>
      </c>
      <c r="H429" t="s">
        <v>55</v>
      </c>
      <c r="I429">
        <v>552</v>
      </c>
      <c r="J429">
        <v>40988760</v>
      </c>
      <c r="K429">
        <v>156471</v>
      </c>
      <c r="L429">
        <v>40832289</v>
      </c>
      <c r="M429">
        <v>150</v>
      </c>
      <c r="N429">
        <v>0.97</v>
      </c>
      <c r="O429">
        <v>6.29</v>
      </c>
      <c r="P429">
        <v>1.2</v>
      </c>
      <c r="Q429">
        <v>9</v>
      </c>
      <c r="R429">
        <f>CORREL(BMW[units_sold],BMW[gdp_growth_percent])</f>
        <v>-5.2597817623217792E-17</v>
      </c>
    </row>
    <row r="430" spans="1:18" x14ac:dyDescent="0.35">
      <c r="A430">
        <v>2018</v>
      </c>
      <c r="B430" t="s">
        <v>52</v>
      </c>
      <c r="C430" t="s">
        <v>36</v>
      </c>
      <c r="D430" t="s">
        <v>34</v>
      </c>
      <c r="E430" t="s">
        <v>20</v>
      </c>
      <c r="F430" t="s">
        <v>27</v>
      </c>
      <c r="G430">
        <v>98212</v>
      </c>
      <c r="H430" t="s">
        <v>54</v>
      </c>
      <c r="I430">
        <v>911</v>
      </c>
      <c r="J430">
        <v>89471132</v>
      </c>
      <c r="K430">
        <v>341619</v>
      </c>
      <c r="L430">
        <v>89129513</v>
      </c>
      <c r="M430">
        <v>240</v>
      </c>
      <c r="N430">
        <v>0.97</v>
      </c>
      <c r="O430">
        <v>6.29</v>
      </c>
      <c r="P430">
        <v>1.2</v>
      </c>
      <c r="Q430">
        <v>9</v>
      </c>
      <c r="R430">
        <f>CORREL(BMW[units_sold],BMW[gdp_growth_percent])</f>
        <v>-5.2597817623217792E-17</v>
      </c>
    </row>
    <row r="431" spans="1:18" x14ac:dyDescent="0.35">
      <c r="A431">
        <v>2016</v>
      </c>
      <c r="B431" t="s">
        <v>45</v>
      </c>
      <c r="C431" t="s">
        <v>14</v>
      </c>
      <c r="D431" t="s">
        <v>33</v>
      </c>
      <c r="E431" t="s">
        <v>19</v>
      </c>
      <c r="F431" t="s">
        <v>17</v>
      </c>
      <c r="G431">
        <v>85210</v>
      </c>
      <c r="H431" t="s">
        <v>54</v>
      </c>
      <c r="I431">
        <v>865</v>
      </c>
      <c r="J431">
        <v>73706650</v>
      </c>
      <c r="K431">
        <v>286824</v>
      </c>
      <c r="L431">
        <v>73419826</v>
      </c>
      <c r="M431">
        <v>309</v>
      </c>
      <c r="N431">
        <v>0.97</v>
      </c>
      <c r="O431">
        <v>6.29</v>
      </c>
      <c r="P431">
        <v>1.2</v>
      </c>
      <c r="Q431">
        <v>1</v>
      </c>
      <c r="R431">
        <f>CORREL(BMW[units_sold],BMW[gdp_growth_percent])</f>
        <v>-5.2597817623217792E-17</v>
      </c>
    </row>
    <row r="432" spans="1:18" x14ac:dyDescent="0.35">
      <c r="A432">
        <v>2018</v>
      </c>
      <c r="B432" t="s">
        <v>52</v>
      </c>
      <c r="C432" t="s">
        <v>37</v>
      </c>
      <c r="D432" t="s">
        <v>24</v>
      </c>
      <c r="E432" t="s">
        <v>20</v>
      </c>
      <c r="F432" t="s">
        <v>27</v>
      </c>
      <c r="G432">
        <v>57499</v>
      </c>
      <c r="H432" t="s">
        <v>55</v>
      </c>
      <c r="I432">
        <v>765</v>
      </c>
      <c r="J432">
        <v>43986735</v>
      </c>
      <c r="K432">
        <v>69403</v>
      </c>
      <c r="L432">
        <v>43917332</v>
      </c>
      <c r="M432">
        <v>172</v>
      </c>
      <c r="N432">
        <v>0.97</v>
      </c>
      <c r="O432">
        <v>6.29</v>
      </c>
      <c r="P432">
        <v>1.2</v>
      </c>
      <c r="Q432">
        <v>1</v>
      </c>
      <c r="R432">
        <f>CORREL(BMW[units_sold],BMW[gdp_growth_percent])</f>
        <v>-5.2597817623217792E-17</v>
      </c>
    </row>
    <row r="433" spans="1:18" x14ac:dyDescent="0.35">
      <c r="A433">
        <v>2024</v>
      </c>
      <c r="B433" t="s">
        <v>46</v>
      </c>
      <c r="C433" t="s">
        <v>14</v>
      </c>
      <c r="D433" t="s">
        <v>24</v>
      </c>
      <c r="E433" t="s">
        <v>19</v>
      </c>
      <c r="F433" t="s">
        <v>20</v>
      </c>
      <c r="G433">
        <v>86628</v>
      </c>
      <c r="H433" t="s">
        <v>54</v>
      </c>
      <c r="I433">
        <v>638</v>
      </c>
      <c r="J433">
        <v>55268664</v>
      </c>
      <c r="K433">
        <v>53681</v>
      </c>
      <c r="L433">
        <v>55214983</v>
      </c>
      <c r="M433">
        <v>320</v>
      </c>
      <c r="N433">
        <v>0.97</v>
      </c>
      <c r="O433">
        <v>6.29</v>
      </c>
      <c r="P433">
        <v>1.2</v>
      </c>
      <c r="Q433">
        <v>3</v>
      </c>
      <c r="R433">
        <f>CORREL(BMW[units_sold],BMW[gdp_growth_percent])</f>
        <v>-5.2597817623217792E-17</v>
      </c>
    </row>
    <row r="434" spans="1:18" x14ac:dyDescent="0.35">
      <c r="A434">
        <v>2024</v>
      </c>
      <c r="B434" t="s">
        <v>48</v>
      </c>
      <c r="C434" t="s">
        <v>21</v>
      </c>
      <c r="D434" t="s">
        <v>26</v>
      </c>
      <c r="E434" t="s">
        <v>19</v>
      </c>
      <c r="F434" t="s">
        <v>20</v>
      </c>
      <c r="G434">
        <v>96360</v>
      </c>
      <c r="H434" t="s">
        <v>54</v>
      </c>
      <c r="I434">
        <v>313</v>
      </c>
      <c r="J434">
        <v>30160680</v>
      </c>
      <c r="K434">
        <v>403699</v>
      </c>
      <c r="L434">
        <v>29756981</v>
      </c>
      <c r="M434">
        <v>139</v>
      </c>
      <c r="N434">
        <v>0.97</v>
      </c>
      <c r="O434">
        <v>6.29</v>
      </c>
      <c r="P434">
        <v>1.2</v>
      </c>
      <c r="Q434">
        <v>6</v>
      </c>
      <c r="R434">
        <f>CORREL(BMW[units_sold],BMW[gdp_growth_percent])</f>
        <v>-5.2597817623217792E-17</v>
      </c>
    </row>
    <row r="435" spans="1:18" x14ac:dyDescent="0.35">
      <c r="A435">
        <v>2017</v>
      </c>
      <c r="B435" t="s">
        <v>41</v>
      </c>
      <c r="C435" t="s">
        <v>21</v>
      </c>
      <c r="D435" t="s">
        <v>31</v>
      </c>
      <c r="E435" t="s">
        <v>19</v>
      </c>
      <c r="F435" t="s">
        <v>17</v>
      </c>
      <c r="G435">
        <v>39603</v>
      </c>
      <c r="H435" t="s">
        <v>57</v>
      </c>
      <c r="I435">
        <v>778</v>
      </c>
      <c r="J435">
        <v>30811134</v>
      </c>
      <c r="K435">
        <v>431028</v>
      </c>
      <c r="L435">
        <v>30380106</v>
      </c>
      <c r="M435">
        <v>255</v>
      </c>
      <c r="N435">
        <v>0.97</v>
      </c>
      <c r="O435">
        <v>6.29</v>
      </c>
      <c r="P435">
        <v>1.2</v>
      </c>
      <c r="Q435">
        <v>2</v>
      </c>
      <c r="R435">
        <f>CORREL(BMW[units_sold],BMW[gdp_growth_percent])</f>
        <v>-5.2597817623217792E-17</v>
      </c>
    </row>
    <row r="436" spans="1:18" x14ac:dyDescent="0.35">
      <c r="A436">
        <v>2024</v>
      </c>
      <c r="B436" t="s">
        <v>46</v>
      </c>
      <c r="C436" t="s">
        <v>38</v>
      </c>
      <c r="D436" t="s">
        <v>29</v>
      </c>
      <c r="E436" t="s">
        <v>16</v>
      </c>
      <c r="F436" t="s">
        <v>23</v>
      </c>
      <c r="G436">
        <v>47632</v>
      </c>
      <c r="H436" t="s">
        <v>57</v>
      </c>
      <c r="I436">
        <v>947</v>
      </c>
      <c r="J436">
        <v>45107504</v>
      </c>
      <c r="K436">
        <v>405266</v>
      </c>
      <c r="L436">
        <v>44702238</v>
      </c>
      <c r="M436">
        <v>306</v>
      </c>
      <c r="N436">
        <v>0.97</v>
      </c>
      <c r="O436">
        <v>6.29</v>
      </c>
      <c r="P436">
        <v>1.2</v>
      </c>
      <c r="Q436">
        <v>10</v>
      </c>
      <c r="R436">
        <f>CORREL(BMW[units_sold],BMW[gdp_growth_percent])</f>
        <v>-5.2597817623217792E-17</v>
      </c>
    </row>
    <row r="437" spans="1:18" x14ac:dyDescent="0.35">
      <c r="A437">
        <v>2015</v>
      </c>
      <c r="B437" t="s">
        <v>48</v>
      </c>
      <c r="C437" t="s">
        <v>14</v>
      </c>
      <c r="D437" t="s">
        <v>29</v>
      </c>
      <c r="E437" t="s">
        <v>16</v>
      </c>
      <c r="F437" t="s">
        <v>27</v>
      </c>
      <c r="G437">
        <v>65607</v>
      </c>
      <c r="H437" t="s">
        <v>55</v>
      </c>
      <c r="I437">
        <v>588</v>
      </c>
      <c r="J437">
        <v>38576916</v>
      </c>
      <c r="K437">
        <v>165260</v>
      </c>
      <c r="L437">
        <v>38411656</v>
      </c>
      <c r="M437">
        <v>181</v>
      </c>
      <c r="N437">
        <v>0.97</v>
      </c>
      <c r="O437">
        <v>6.29</v>
      </c>
      <c r="P437">
        <v>1.2</v>
      </c>
      <c r="Q437">
        <v>1</v>
      </c>
      <c r="R437">
        <f>CORREL(BMW[units_sold],BMW[gdp_growth_percent])</f>
        <v>-5.2597817623217792E-17</v>
      </c>
    </row>
    <row r="438" spans="1:18" x14ac:dyDescent="0.35">
      <c r="A438">
        <v>2022</v>
      </c>
      <c r="B438" t="s">
        <v>41</v>
      </c>
      <c r="C438" t="s">
        <v>30</v>
      </c>
      <c r="D438" t="s">
        <v>39</v>
      </c>
      <c r="E438" t="s">
        <v>19</v>
      </c>
      <c r="F438" t="s">
        <v>20</v>
      </c>
      <c r="G438">
        <v>100756</v>
      </c>
      <c r="H438" t="s">
        <v>54</v>
      </c>
      <c r="I438">
        <v>517</v>
      </c>
      <c r="J438">
        <v>52090852</v>
      </c>
      <c r="K438">
        <v>223364</v>
      </c>
      <c r="L438">
        <v>51867488</v>
      </c>
      <c r="M438">
        <v>73</v>
      </c>
      <c r="N438">
        <v>0.97</v>
      </c>
      <c r="O438">
        <v>6.29</v>
      </c>
      <c r="P438">
        <v>1.2</v>
      </c>
      <c r="Q438">
        <v>1</v>
      </c>
      <c r="R438">
        <f>CORREL(BMW[units_sold],BMW[gdp_growth_percent])</f>
        <v>-5.2597817623217792E-17</v>
      </c>
    </row>
    <row r="439" spans="1:18" x14ac:dyDescent="0.35">
      <c r="A439">
        <v>2019</v>
      </c>
      <c r="B439" t="s">
        <v>48</v>
      </c>
      <c r="C439" t="s">
        <v>32</v>
      </c>
      <c r="D439" t="s">
        <v>39</v>
      </c>
      <c r="E439" t="s">
        <v>19</v>
      </c>
      <c r="F439" t="s">
        <v>27</v>
      </c>
      <c r="G439">
        <v>81994</v>
      </c>
      <c r="H439" t="s">
        <v>54</v>
      </c>
      <c r="I439">
        <v>192</v>
      </c>
      <c r="J439">
        <v>15742848</v>
      </c>
      <c r="K439">
        <v>155386</v>
      </c>
      <c r="L439">
        <v>15587462</v>
      </c>
      <c r="M439">
        <v>40</v>
      </c>
      <c r="N439">
        <v>0.97</v>
      </c>
      <c r="O439">
        <v>6.29</v>
      </c>
      <c r="P439">
        <v>1.2</v>
      </c>
      <c r="Q439">
        <v>5</v>
      </c>
      <c r="R439">
        <f>CORREL(BMW[units_sold],BMW[gdp_growth_percent])</f>
        <v>-5.2597817623217792E-17</v>
      </c>
    </row>
    <row r="440" spans="1:18" x14ac:dyDescent="0.35">
      <c r="A440">
        <v>2018</v>
      </c>
      <c r="B440" t="s">
        <v>42</v>
      </c>
      <c r="C440" t="s">
        <v>21</v>
      </c>
      <c r="D440" t="s">
        <v>15</v>
      </c>
      <c r="E440" t="s">
        <v>16</v>
      </c>
      <c r="F440" t="s">
        <v>27</v>
      </c>
      <c r="G440">
        <v>98382</v>
      </c>
      <c r="H440" t="s">
        <v>54</v>
      </c>
      <c r="I440">
        <v>400</v>
      </c>
      <c r="J440">
        <v>39352800</v>
      </c>
      <c r="K440">
        <v>283378</v>
      </c>
      <c r="L440">
        <v>39069422</v>
      </c>
      <c r="M440">
        <v>56</v>
      </c>
      <c r="N440">
        <v>0.97</v>
      </c>
      <c r="O440">
        <v>6.29</v>
      </c>
      <c r="P440">
        <v>1.2</v>
      </c>
      <c r="Q440">
        <v>4</v>
      </c>
      <c r="R440">
        <f>CORREL(BMW[units_sold],BMW[gdp_growth_percent])</f>
        <v>-5.2597817623217792E-17</v>
      </c>
    </row>
    <row r="441" spans="1:18" x14ac:dyDescent="0.35">
      <c r="A441">
        <v>2022</v>
      </c>
      <c r="B441" t="s">
        <v>45</v>
      </c>
      <c r="C441" t="s">
        <v>38</v>
      </c>
      <c r="D441" t="s">
        <v>18</v>
      </c>
      <c r="E441" t="s">
        <v>20</v>
      </c>
      <c r="F441" t="s">
        <v>23</v>
      </c>
      <c r="G441">
        <v>105354</v>
      </c>
      <c r="H441" t="s">
        <v>54</v>
      </c>
      <c r="I441">
        <v>469</v>
      </c>
      <c r="J441">
        <v>49411026</v>
      </c>
      <c r="K441">
        <v>448845</v>
      </c>
      <c r="L441">
        <v>48962181</v>
      </c>
      <c r="M441">
        <v>139</v>
      </c>
      <c r="N441">
        <v>0.97</v>
      </c>
      <c r="O441">
        <v>6.29</v>
      </c>
      <c r="P441">
        <v>1.2</v>
      </c>
      <c r="Q441">
        <v>1</v>
      </c>
      <c r="R441">
        <f>CORREL(BMW[units_sold],BMW[gdp_growth_percent])</f>
        <v>-5.2597817623217792E-17</v>
      </c>
    </row>
    <row r="442" spans="1:18" x14ac:dyDescent="0.35">
      <c r="A442">
        <v>2021</v>
      </c>
      <c r="B442" t="s">
        <v>43</v>
      </c>
      <c r="C442" t="s">
        <v>32</v>
      </c>
      <c r="D442" t="s">
        <v>26</v>
      </c>
      <c r="E442" t="s">
        <v>19</v>
      </c>
      <c r="F442" t="s">
        <v>20</v>
      </c>
      <c r="G442">
        <v>91344</v>
      </c>
      <c r="H442" t="s">
        <v>54</v>
      </c>
      <c r="I442">
        <v>884</v>
      </c>
      <c r="J442">
        <v>80748096</v>
      </c>
      <c r="K442">
        <v>143246</v>
      </c>
      <c r="L442">
        <v>80604850</v>
      </c>
      <c r="M442">
        <v>361</v>
      </c>
      <c r="N442">
        <v>0.97</v>
      </c>
      <c r="O442">
        <v>6.29</v>
      </c>
      <c r="P442">
        <v>1.2</v>
      </c>
      <c r="Q442">
        <v>4</v>
      </c>
      <c r="R442">
        <f>CORREL(BMW[units_sold],BMW[gdp_growth_percent])</f>
        <v>-5.2597817623217792E-17</v>
      </c>
    </row>
    <row r="443" spans="1:18" x14ac:dyDescent="0.35">
      <c r="A443">
        <v>2016</v>
      </c>
      <c r="B443" t="s">
        <v>44</v>
      </c>
      <c r="C443" t="s">
        <v>14</v>
      </c>
      <c r="D443" t="s">
        <v>15</v>
      </c>
      <c r="E443" t="s">
        <v>20</v>
      </c>
      <c r="F443" t="s">
        <v>27</v>
      </c>
      <c r="G443">
        <v>88775</v>
      </c>
      <c r="H443" t="s">
        <v>54</v>
      </c>
      <c r="I443">
        <v>910</v>
      </c>
      <c r="J443">
        <v>80785250</v>
      </c>
      <c r="K443">
        <v>145864</v>
      </c>
      <c r="L443">
        <v>80639386</v>
      </c>
      <c r="M443">
        <v>342</v>
      </c>
      <c r="N443">
        <v>0.97</v>
      </c>
      <c r="O443">
        <v>6.29</v>
      </c>
      <c r="P443">
        <v>1.2</v>
      </c>
      <c r="Q443">
        <v>3</v>
      </c>
      <c r="R443">
        <f>CORREL(BMW[units_sold],BMW[gdp_growth_percent])</f>
        <v>-5.2597817623217792E-17</v>
      </c>
    </row>
    <row r="444" spans="1:18" x14ac:dyDescent="0.35">
      <c r="A444">
        <v>2015</v>
      </c>
      <c r="B444" t="s">
        <v>47</v>
      </c>
      <c r="C444" t="s">
        <v>14</v>
      </c>
      <c r="D444" t="s">
        <v>15</v>
      </c>
      <c r="E444" t="s">
        <v>16</v>
      </c>
      <c r="F444" t="s">
        <v>20</v>
      </c>
      <c r="G444">
        <v>42349</v>
      </c>
      <c r="H444" t="s">
        <v>57</v>
      </c>
      <c r="I444">
        <v>372</v>
      </c>
      <c r="J444">
        <v>15753828</v>
      </c>
      <c r="K444">
        <v>258886</v>
      </c>
      <c r="L444">
        <v>15494942</v>
      </c>
      <c r="M444">
        <v>119</v>
      </c>
      <c r="N444">
        <v>0.97</v>
      </c>
      <c r="O444">
        <v>6.29</v>
      </c>
      <c r="P444">
        <v>1.2</v>
      </c>
      <c r="Q444">
        <v>2</v>
      </c>
      <c r="R444">
        <f>CORREL(BMW[units_sold],BMW[gdp_growth_percent])</f>
        <v>-5.2597817623217792E-17</v>
      </c>
    </row>
    <row r="445" spans="1:18" x14ac:dyDescent="0.35">
      <c r="A445">
        <v>2018</v>
      </c>
      <c r="B445" t="s">
        <v>46</v>
      </c>
      <c r="C445" t="s">
        <v>25</v>
      </c>
      <c r="D445" t="s">
        <v>22</v>
      </c>
      <c r="E445" t="s">
        <v>19</v>
      </c>
      <c r="F445" t="s">
        <v>17</v>
      </c>
      <c r="G445">
        <v>106154</v>
      </c>
      <c r="H445" t="s">
        <v>54</v>
      </c>
      <c r="I445">
        <v>305</v>
      </c>
      <c r="J445">
        <v>32376970</v>
      </c>
      <c r="K445">
        <v>320561</v>
      </c>
      <c r="L445">
        <v>32056409</v>
      </c>
      <c r="M445">
        <v>78</v>
      </c>
      <c r="N445">
        <v>0.97</v>
      </c>
      <c r="O445">
        <v>6.29</v>
      </c>
      <c r="P445">
        <v>1.2</v>
      </c>
      <c r="Q445">
        <v>9</v>
      </c>
      <c r="R445">
        <f>CORREL(BMW[units_sold],BMW[gdp_growth_percent])</f>
        <v>-5.2597817623217792E-17</v>
      </c>
    </row>
    <row r="446" spans="1:18" x14ac:dyDescent="0.35">
      <c r="A446">
        <v>2022</v>
      </c>
      <c r="B446" t="s">
        <v>46</v>
      </c>
      <c r="C446" t="s">
        <v>38</v>
      </c>
      <c r="D446" t="s">
        <v>22</v>
      </c>
      <c r="E446" t="s">
        <v>20</v>
      </c>
      <c r="F446" t="s">
        <v>17</v>
      </c>
      <c r="G446">
        <v>62464</v>
      </c>
      <c r="H446" t="s">
        <v>55</v>
      </c>
      <c r="I446">
        <v>636</v>
      </c>
      <c r="J446">
        <v>39727104</v>
      </c>
      <c r="K446">
        <v>431032</v>
      </c>
      <c r="L446">
        <v>39296072</v>
      </c>
      <c r="M446">
        <v>67</v>
      </c>
      <c r="N446">
        <v>0.97</v>
      </c>
      <c r="O446">
        <v>6.29</v>
      </c>
      <c r="P446">
        <v>1.2</v>
      </c>
      <c r="Q446">
        <v>1</v>
      </c>
      <c r="R446">
        <f>CORREL(BMW[units_sold],BMW[gdp_growth_percent])</f>
        <v>-5.2597817623217792E-17</v>
      </c>
    </row>
    <row r="447" spans="1:18" x14ac:dyDescent="0.35">
      <c r="A447">
        <v>2016</v>
      </c>
      <c r="B447" t="s">
        <v>44</v>
      </c>
      <c r="C447" t="s">
        <v>21</v>
      </c>
      <c r="D447" t="s">
        <v>15</v>
      </c>
      <c r="E447" t="s">
        <v>20</v>
      </c>
      <c r="F447" t="s">
        <v>27</v>
      </c>
      <c r="G447">
        <v>77624</v>
      </c>
      <c r="H447" t="s">
        <v>55</v>
      </c>
      <c r="I447">
        <v>433</v>
      </c>
      <c r="J447">
        <v>33611192</v>
      </c>
      <c r="K447">
        <v>215837</v>
      </c>
      <c r="L447">
        <v>33395355</v>
      </c>
      <c r="M447">
        <v>115</v>
      </c>
      <c r="N447">
        <v>0.97</v>
      </c>
      <c r="O447">
        <v>6.29</v>
      </c>
      <c r="P447">
        <v>1.2</v>
      </c>
      <c r="Q447">
        <v>7</v>
      </c>
      <c r="R447">
        <f>CORREL(BMW[units_sold],BMW[gdp_growth_percent])</f>
        <v>-5.2597817623217792E-17</v>
      </c>
    </row>
    <row r="448" spans="1:18" x14ac:dyDescent="0.35">
      <c r="A448">
        <v>2017</v>
      </c>
      <c r="B448" t="s">
        <v>43</v>
      </c>
      <c r="C448" t="s">
        <v>30</v>
      </c>
      <c r="D448" t="s">
        <v>34</v>
      </c>
      <c r="E448" t="s">
        <v>20</v>
      </c>
      <c r="F448" t="s">
        <v>20</v>
      </c>
      <c r="G448">
        <v>72344</v>
      </c>
      <c r="H448" t="s">
        <v>55</v>
      </c>
      <c r="I448">
        <v>931</v>
      </c>
      <c r="J448">
        <v>67352264</v>
      </c>
      <c r="K448">
        <v>386643</v>
      </c>
      <c r="L448">
        <v>66965621</v>
      </c>
      <c r="M448">
        <v>309</v>
      </c>
      <c r="N448">
        <v>0.97</v>
      </c>
      <c r="O448">
        <v>6.29</v>
      </c>
      <c r="P448">
        <v>1.2</v>
      </c>
      <c r="Q448">
        <v>4</v>
      </c>
      <c r="R448">
        <f>CORREL(BMW[units_sold],BMW[gdp_growth_percent])</f>
        <v>-5.2597817623217792E-17</v>
      </c>
    </row>
    <row r="449" spans="1:18" x14ac:dyDescent="0.35">
      <c r="A449">
        <v>2015</v>
      </c>
      <c r="B449" t="s">
        <v>49</v>
      </c>
      <c r="C449" t="s">
        <v>14</v>
      </c>
      <c r="D449" t="s">
        <v>18</v>
      </c>
      <c r="E449" t="s">
        <v>16</v>
      </c>
      <c r="F449" t="s">
        <v>27</v>
      </c>
      <c r="G449">
        <v>118791</v>
      </c>
      <c r="H449" t="s">
        <v>54</v>
      </c>
      <c r="I449">
        <v>751</v>
      </c>
      <c r="J449">
        <v>89212041</v>
      </c>
      <c r="K449">
        <v>443052</v>
      </c>
      <c r="L449">
        <v>88768989</v>
      </c>
      <c r="M449">
        <v>339</v>
      </c>
      <c r="N449">
        <v>0.97</v>
      </c>
      <c r="O449">
        <v>6.29</v>
      </c>
      <c r="P449">
        <v>1.2</v>
      </c>
      <c r="Q449">
        <v>5</v>
      </c>
      <c r="R449">
        <f>CORREL(BMW[units_sold],BMW[gdp_growth_percent])</f>
        <v>-5.2597817623217792E-17</v>
      </c>
    </row>
    <row r="450" spans="1:18" x14ac:dyDescent="0.35">
      <c r="A450">
        <v>2015</v>
      </c>
      <c r="B450" t="s">
        <v>51</v>
      </c>
      <c r="C450" t="s">
        <v>30</v>
      </c>
      <c r="D450" t="s">
        <v>26</v>
      </c>
      <c r="E450" t="s">
        <v>16</v>
      </c>
      <c r="F450" t="s">
        <v>20</v>
      </c>
      <c r="G450">
        <v>59299</v>
      </c>
      <c r="H450" t="s">
        <v>55</v>
      </c>
      <c r="I450">
        <v>904</v>
      </c>
      <c r="J450">
        <v>53606296</v>
      </c>
      <c r="K450">
        <v>295160</v>
      </c>
      <c r="L450">
        <v>53311136</v>
      </c>
      <c r="M450">
        <v>265</v>
      </c>
      <c r="N450">
        <v>0.97</v>
      </c>
      <c r="O450">
        <v>6.29</v>
      </c>
      <c r="P450">
        <v>1.2</v>
      </c>
      <c r="Q450">
        <v>10</v>
      </c>
      <c r="R450">
        <f>CORREL(BMW[units_sold],BMW[gdp_growth_percent])</f>
        <v>-5.2597817623217792E-17</v>
      </c>
    </row>
    <row r="451" spans="1:18" x14ac:dyDescent="0.35">
      <c r="A451">
        <v>2017</v>
      </c>
      <c r="B451" t="s">
        <v>42</v>
      </c>
      <c r="C451" t="s">
        <v>14</v>
      </c>
      <c r="D451" t="s">
        <v>15</v>
      </c>
      <c r="E451" t="s">
        <v>20</v>
      </c>
      <c r="F451" t="s">
        <v>20</v>
      </c>
      <c r="G451">
        <v>82975</v>
      </c>
      <c r="H451" t="s">
        <v>54</v>
      </c>
      <c r="I451">
        <v>652</v>
      </c>
      <c r="J451">
        <v>54099700</v>
      </c>
      <c r="K451">
        <v>237646</v>
      </c>
      <c r="L451">
        <v>53862054</v>
      </c>
      <c r="M451">
        <v>321</v>
      </c>
      <c r="N451">
        <v>0.97</v>
      </c>
      <c r="O451">
        <v>6.29</v>
      </c>
      <c r="P451">
        <v>1.2</v>
      </c>
      <c r="Q451">
        <v>5</v>
      </c>
      <c r="R451">
        <f>CORREL(BMW[units_sold],BMW[gdp_growth_percent])</f>
        <v>-5.2597817623217792E-17</v>
      </c>
    </row>
    <row r="452" spans="1:18" x14ac:dyDescent="0.35">
      <c r="A452">
        <v>2019</v>
      </c>
      <c r="B452" t="s">
        <v>42</v>
      </c>
      <c r="C452" t="s">
        <v>21</v>
      </c>
      <c r="D452" t="s">
        <v>29</v>
      </c>
      <c r="E452" t="s">
        <v>20</v>
      </c>
      <c r="F452" t="s">
        <v>23</v>
      </c>
      <c r="G452">
        <v>36462</v>
      </c>
      <c r="H452" t="s">
        <v>57</v>
      </c>
      <c r="I452">
        <v>573</v>
      </c>
      <c r="J452">
        <v>20892726</v>
      </c>
      <c r="K452">
        <v>309278</v>
      </c>
      <c r="L452">
        <v>20583448</v>
      </c>
      <c r="M452">
        <v>180</v>
      </c>
      <c r="N452">
        <v>0.97</v>
      </c>
      <c r="O452">
        <v>6.29</v>
      </c>
      <c r="P452">
        <v>1.2</v>
      </c>
      <c r="Q452">
        <v>1</v>
      </c>
      <c r="R452">
        <f>CORREL(BMW[units_sold],BMW[gdp_growth_percent])</f>
        <v>-5.2597817623217792E-17</v>
      </c>
    </row>
    <row r="453" spans="1:18" x14ac:dyDescent="0.35">
      <c r="A453">
        <v>2017</v>
      </c>
      <c r="B453" t="s">
        <v>44</v>
      </c>
      <c r="C453" t="s">
        <v>32</v>
      </c>
      <c r="D453" t="s">
        <v>18</v>
      </c>
      <c r="E453" t="s">
        <v>16</v>
      </c>
      <c r="F453" t="s">
        <v>23</v>
      </c>
      <c r="G453">
        <v>116441</v>
      </c>
      <c r="H453" t="s">
        <v>54</v>
      </c>
      <c r="I453">
        <v>1027</v>
      </c>
      <c r="J453">
        <v>119584907</v>
      </c>
      <c r="K453">
        <v>339819</v>
      </c>
      <c r="L453">
        <v>119245088</v>
      </c>
      <c r="M453">
        <v>392</v>
      </c>
      <c r="N453">
        <v>0.97</v>
      </c>
      <c r="O453">
        <v>6.29</v>
      </c>
      <c r="P453">
        <v>1.2</v>
      </c>
      <c r="Q453">
        <v>6</v>
      </c>
      <c r="R453">
        <f>CORREL(BMW[units_sold],BMW[gdp_growth_percent])</f>
        <v>-5.2597817623217792E-17</v>
      </c>
    </row>
    <row r="454" spans="1:18" x14ac:dyDescent="0.35">
      <c r="A454">
        <v>2015</v>
      </c>
      <c r="B454" t="s">
        <v>52</v>
      </c>
      <c r="C454" t="s">
        <v>28</v>
      </c>
      <c r="D454" t="s">
        <v>22</v>
      </c>
      <c r="E454" t="s">
        <v>20</v>
      </c>
      <c r="F454" t="s">
        <v>23</v>
      </c>
      <c r="G454">
        <v>116788</v>
      </c>
      <c r="H454" t="s">
        <v>54</v>
      </c>
      <c r="I454">
        <v>575</v>
      </c>
      <c r="J454">
        <v>67153100</v>
      </c>
      <c r="K454">
        <v>306681</v>
      </c>
      <c r="L454">
        <v>66846419</v>
      </c>
      <c r="M454">
        <v>171</v>
      </c>
      <c r="N454">
        <v>0.97</v>
      </c>
      <c r="O454">
        <v>6.29</v>
      </c>
      <c r="P454">
        <v>1.2</v>
      </c>
      <c r="Q454">
        <v>9</v>
      </c>
      <c r="R454">
        <f>CORREL(BMW[units_sold],BMW[gdp_growth_percent])</f>
        <v>-5.2597817623217792E-17</v>
      </c>
    </row>
    <row r="455" spans="1:18" x14ac:dyDescent="0.35">
      <c r="A455">
        <v>2015</v>
      </c>
      <c r="B455" t="s">
        <v>48</v>
      </c>
      <c r="C455" t="s">
        <v>32</v>
      </c>
      <c r="D455" t="s">
        <v>29</v>
      </c>
      <c r="E455" t="s">
        <v>20</v>
      </c>
      <c r="F455" t="s">
        <v>27</v>
      </c>
      <c r="G455">
        <v>75581</v>
      </c>
      <c r="H455" t="s">
        <v>55</v>
      </c>
      <c r="I455">
        <v>848</v>
      </c>
      <c r="J455">
        <v>64092688</v>
      </c>
      <c r="K455">
        <v>221635</v>
      </c>
      <c r="L455">
        <v>63871053</v>
      </c>
      <c r="M455">
        <v>295</v>
      </c>
      <c r="N455">
        <v>0.97</v>
      </c>
      <c r="O455">
        <v>6.29</v>
      </c>
      <c r="P455">
        <v>1.2</v>
      </c>
      <c r="Q455">
        <v>2</v>
      </c>
      <c r="R455">
        <f>CORREL(BMW[units_sold],BMW[gdp_growth_percent])</f>
        <v>-5.2597817623217792E-17</v>
      </c>
    </row>
    <row r="456" spans="1:18" x14ac:dyDescent="0.35">
      <c r="A456">
        <v>2022</v>
      </c>
      <c r="B456" t="s">
        <v>51</v>
      </c>
      <c r="C456" t="s">
        <v>14</v>
      </c>
      <c r="D456" t="s">
        <v>22</v>
      </c>
      <c r="E456" t="s">
        <v>16</v>
      </c>
      <c r="F456" t="s">
        <v>23</v>
      </c>
      <c r="G456">
        <v>106289</v>
      </c>
      <c r="H456" t="s">
        <v>54</v>
      </c>
      <c r="I456">
        <v>432</v>
      </c>
      <c r="J456">
        <v>45916848</v>
      </c>
      <c r="K456">
        <v>61332</v>
      </c>
      <c r="L456">
        <v>45855516</v>
      </c>
      <c r="M456">
        <v>80</v>
      </c>
      <c r="N456">
        <v>0.97</v>
      </c>
      <c r="O456">
        <v>6.29</v>
      </c>
      <c r="P456">
        <v>1.2</v>
      </c>
      <c r="Q456">
        <v>7</v>
      </c>
      <c r="R456">
        <f>CORREL(BMW[units_sold],BMW[gdp_growth_percent])</f>
        <v>-5.2597817623217792E-17</v>
      </c>
    </row>
    <row r="457" spans="1:18" x14ac:dyDescent="0.35">
      <c r="A457">
        <v>2024</v>
      </c>
      <c r="B457" t="s">
        <v>45</v>
      </c>
      <c r="C457" t="s">
        <v>35</v>
      </c>
      <c r="D457" t="s">
        <v>22</v>
      </c>
      <c r="E457" t="s">
        <v>20</v>
      </c>
      <c r="F457" t="s">
        <v>23</v>
      </c>
      <c r="G457">
        <v>49175</v>
      </c>
      <c r="H457" t="s">
        <v>57</v>
      </c>
      <c r="I457">
        <v>918</v>
      </c>
      <c r="J457">
        <v>45142650</v>
      </c>
      <c r="K457">
        <v>304817</v>
      </c>
      <c r="L457">
        <v>44837833</v>
      </c>
      <c r="M457">
        <v>264</v>
      </c>
      <c r="N457">
        <v>0.97</v>
      </c>
      <c r="O457">
        <v>6.29</v>
      </c>
      <c r="P457">
        <v>1.2</v>
      </c>
      <c r="Q457">
        <v>6</v>
      </c>
      <c r="R457">
        <f>CORREL(BMW[units_sold],BMW[gdp_growth_percent])</f>
        <v>-5.2597817623217792E-17</v>
      </c>
    </row>
    <row r="458" spans="1:18" x14ac:dyDescent="0.35">
      <c r="A458">
        <v>2016</v>
      </c>
      <c r="B458" t="s">
        <v>45</v>
      </c>
      <c r="C458" t="s">
        <v>28</v>
      </c>
      <c r="D458" t="s">
        <v>18</v>
      </c>
      <c r="E458" t="s">
        <v>20</v>
      </c>
      <c r="F458" t="s">
        <v>17</v>
      </c>
      <c r="G458">
        <v>41191</v>
      </c>
      <c r="H458" t="s">
        <v>57</v>
      </c>
      <c r="I458">
        <v>1197</v>
      </c>
      <c r="J458">
        <v>49305627</v>
      </c>
      <c r="K458">
        <v>331321</v>
      </c>
      <c r="L458">
        <v>48974306</v>
      </c>
      <c r="M458">
        <v>383</v>
      </c>
      <c r="N458">
        <v>0.97</v>
      </c>
      <c r="O458">
        <v>6.29</v>
      </c>
      <c r="P458">
        <v>1.2</v>
      </c>
      <c r="Q458">
        <v>5</v>
      </c>
      <c r="R458">
        <f>CORREL(BMW[units_sold],BMW[gdp_growth_percent])</f>
        <v>-5.2597817623217792E-17</v>
      </c>
    </row>
    <row r="459" spans="1:18" x14ac:dyDescent="0.35">
      <c r="A459">
        <v>2017</v>
      </c>
      <c r="B459" t="s">
        <v>44</v>
      </c>
      <c r="C459" t="s">
        <v>28</v>
      </c>
      <c r="D459" t="s">
        <v>22</v>
      </c>
      <c r="E459" t="s">
        <v>20</v>
      </c>
      <c r="F459" t="s">
        <v>20</v>
      </c>
      <c r="G459">
        <v>118434</v>
      </c>
      <c r="H459" t="s">
        <v>54</v>
      </c>
      <c r="I459">
        <v>216</v>
      </c>
      <c r="J459">
        <v>25581744</v>
      </c>
      <c r="K459">
        <v>442704</v>
      </c>
      <c r="L459">
        <v>25139040</v>
      </c>
      <c r="M459">
        <v>64</v>
      </c>
      <c r="N459">
        <v>0.97</v>
      </c>
      <c r="O459">
        <v>6.29</v>
      </c>
      <c r="P459">
        <v>1.2</v>
      </c>
      <c r="Q459">
        <v>4</v>
      </c>
      <c r="R459">
        <f>CORREL(BMW[units_sold],BMW[gdp_growth_percent])</f>
        <v>-5.2597817623217792E-17</v>
      </c>
    </row>
    <row r="460" spans="1:18" x14ac:dyDescent="0.35">
      <c r="A460">
        <v>2016</v>
      </c>
      <c r="B460" t="s">
        <v>42</v>
      </c>
      <c r="C460" t="s">
        <v>30</v>
      </c>
      <c r="D460" t="s">
        <v>24</v>
      </c>
      <c r="E460" t="s">
        <v>16</v>
      </c>
      <c r="F460" t="s">
        <v>20</v>
      </c>
      <c r="G460">
        <v>119518</v>
      </c>
      <c r="H460" t="s">
        <v>54</v>
      </c>
      <c r="I460">
        <v>847</v>
      </c>
      <c r="J460">
        <v>101231746</v>
      </c>
      <c r="K460">
        <v>270326</v>
      </c>
      <c r="L460">
        <v>100961420</v>
      </c>
      <c r="M460">
        <v>332</v>
      </c>
      <c r="N460">
        <v>0.97</v>
      </c>
      <c r="O460">
        <v>6.29</v>
      </c>
      <c r="P460">
        <v>1.2</v>
      </c>
      <c r="Q460">
        <v>4</v>
      </c>
      <c r="R460">
        <f>CORREL(BMW[units_sold],BMW[gdp_growth_percent])</f>
        <v>-5.2597817623217792E-17</v>
      </c>
    </row>
    <row r="461" spans="1:18" x14ac:dyDescent="0.35">
      <c r="A461">
        <v>2017</v>
      </c>
      <c r="B461" t="s">
        <v>45</v>
      </c>
      <c r="C461" t="s">
        <v>38</v>
      </c>
      <c r="D461" t="s">
        <v>31</v>
      </c>
      <c r="E461" t="s">
        <v>20</v>
      </c>
      <c r="F461" t="s">
        <v>23</v>
      </c>
      <c r="G461">
        <v>115158</v>
      </c>
      <c r="H461" t="s">
        <v>54</v>
      </c>
      <c r="I461">
        <v>72</v>
      </c>
      <c r="J461">
        <v>8291376</v>
      </c>
      <c r="K461">
        <v>249519</v>
      </c>
      <c r="L461">
        <v>8041857</v>
      </c>
      <c r="M461">
        <v>12</v>
      </c>
      <c r="N461">
        <v>0.97</v>
      </c>
      <c r="O461">
        <v>6.29</v>
      </c>
      <c r="P461">
        <v>1.2</v>
      </c>
      <c r="Q461">
        <v>6</v>
      </c>
      <c r="R461">
        <f>CORREL(BMW[units_sold],BMW[gdp_growth_percent])</f>
        <v>-5.2597817623217792E-17</v>
      </c>
    </row>
    <row r="462" spans="1:18" x14ac:dyDescent="0.35">
      <c r="A462">
        <v>2021</v>
      </c>
      <c r="B462" t="s">
        <v>49</v>
      </c>
      <c r="C462" t="s">
        <v>30</v>
      </c>
      <c r="D462" t="s">
        <v>24</v>
      </c>
      <c r="E462" t="s">
        <v>16</v>
      </c>
      <c r="F462" t="s">
        <v>20</v>
      </c>
      <c r="G462">
        <v>101537</v>
      </c>
      <c r="H462" t="s">
        <v>54</v>
      </c>
      <c r="I462">
        <v>416</v>
      </c>
      <c r="J462">
        <v>42239392</v>
      </c>
      <c r="K462">
        <v>311849</v>
      </c>
      <c r="L462">
        <v>41927543</v>
      </c>
      <c r="M462">
        <v>35</v>
      </c>
      <c r="N462">
        <v>0.97</v>
      </c>
      <c r="O462">
        <v>6.29</v>
      </c>
      <c r="P462">
        <v>1.2</v>
      </c>
      <c r="Q462">
        <v>4</v>
      </c>
      <c r="R462">
        <f>CORREL(BMW[units_sold],BMW[gdp_growth_percent])</f>
        <v>-5.2597817623217792E-17</v>
      </c>
    </row>
    <row r="463" spans="1:18" x14ac:dyDescent="0.35">
      <c r="A463">
        <v>2015</v>
      </c>
      <c r="B463" t="s">
        <v>46</v>
      </c>
      <c r="C463" t="s">
        <v>30</v>
      </c>
      <c r="D463" t="s">
        <v>31</v>
      </c>
      <c r="E463" t="s">
        <v>16</v>
      </c>
      <c r="F463" t="s">
        <v>17</v>
      </c>
      <c r="G463">
        <v>82645</v>
      </c>
      <c r="H463" t="s">
        <v>54</v>
      </c>
      <c r="I463">
        <v>827</v>
      </c>
      <c r="J463">
        <v>68347415</v>
      </c>
      <c r="K463">
        <v>369248</v>
      </c>
      <c r="L463">
        <v>67978167</v>
      </c>
      <c r="M463">
        <v>322</v>
      </c>
      <c r="N463">
        <v>0.97</v>
      </c>
      <c r="O463">
        <v>6.29</v>
      </c>
      <c r="P463">
        <v>1.2</v>
      </c>
      <c r="Q463">
        <v>5</v>
      </c>
      <c r="R463">
        <f>CORREL(BMW[units_sold],BMW[gdp_growth_percent])</f>
        <v>-5.2597817623217792E-17</v>
      </c>
    </row>
    <row r="464" spans="1:18" x14ac:dyDescent="0.35">
      <c r="A464">
        <v>2024</v>
      </c>
      <c r="B464" t="s">
        <v>50</v>
      </c>
      <c r="C464" t="s">
        <v>35</v>
      </c>
      <c r="D464" t="s">
        <v>39</v>
      </c>
      <c r="E464" t="s">
        <v>19</v>
      </c>
      <c r="F464" t="s">
        <v>17</v>
      </c>
      <c r="G464">
        <v>58283</v>
      </c>
      <c r="H464" t="s">
        <v>55</v>
      </c>
      <c r="I464">
        <v>355</v>
      </c>
      <c r="J464">
        <v>20690465</v>
      </c>
      <c r="K464">
        <v>396479</v>
      </c>
      <c r="L464">
        <v>20293986</v>
      </c>
      <c r="M464">
        <v>135</v>
      </c>
      <c r="N464">
        <v>0.97</v>
      </c>
      <c r="O464">
        <v>6.29</v>
      </c>
      <c r="P464">
        <v>1.2</v>
      </c>
      <c r="Q464">
        <v>6</v>
      </c>
      <c r="R464">
        <f>CORREL(BMW[units_sold],BMW[gdp_growth_percent])</f>
        <v>-5.2597817623217792E-17</v>
      </c>
    </row>
    <row r="465" spans="1:18" x14ac:dyDescent="0.35">
      <c r="A465">
        <v>2022</v>
      </c>
      <c r="B465" t="s">
        <v>47</v>
      </c>
      <c r="C465" t="s">
        <v>32</v>
      </c>
      <c r="D465" t="s">
        <v>39</v>
      </c>
      <c r="E465" t="s">
        <v>19</v>
      </c>
      <c r="F465" t="s">
        <v>23</v>
      </c>
      <c r="G465">
        <v>94123</v>
      </c>
      <c r="H465" t="s">
        <v>54</v>
      </c>
      <c r="I465">
        <v>254</v>
      </c>
      <c r="J465">
        <v>23907242</v>
      </c>
      <c r="K465">
        <v>427082</v>
      </c>
      <c r="L465">
        <v>23480160</v>
      </c>
      <c r="M465">
        <v>62</v>
      </c>
      <c r="N465">
        <v>0.97</v>
      </c>
      <c r="O465">
        <v>6.29</v>
      </c>
      <c r="P465">
        <v>1.2</v>
      </c>
      <c r="Q465">
        <v>5</v>
      </c>
      <c r="R465">
        <f>CORREL(BMW[units_sold],BMW[gdp_growth_percent])</f>
        <v>-5.2597817623217792E-17</v>
      </c>
    </row>
    <row r="466" spans="1:18" x14ac:dyDescent="0.35">
      <c r="A466">
        <v>2024</v>
      </c>
      <c r="B466" t="s">
        <v>44</v>
      </c>
      <c r="C466" t="s">
        <v>32</v>
      </c>
      <c r="D466" t="s">
        <v>22</v>
      </c>
      <c r="E466" t="s">
        <v>20</v>
      </c>
      <c r="F466" t="s">
        <v>17</v>
      </c>
      <c r="G466">
        <v>65024</v>
      </c>
      <c r="H466" t="s">
        <v>55</v>
      </c>
      <c r="I466">
        <v>626</v>
      </c>
      <c r="J466">
        <v>40705024</v>
      </c>
      <c r="K466">
        <v>130730</v>
      </c>
      <c r="L466">
        <v>40574294</v>
      </c>
      <c r="M466">
        <v>207</v>
      </c>
      <c r="N466">
        <v>0.97</v>
      </c>
      <c r="O466">
        <v>6.29</v>
      </c>
      <c r="P466">
        <v>1.2</v>
      </c>
      <c r="Q466">
        <v>7</v>
      </c>
      <c r="R466">
        <f>CORREL(BMW[units_sold],BMW[gdp_growth_percent])</f>
        <v>-5.2597817623217792E-17</v>
      </c>
    </row>
    <row r="467" spans="1:18" x14ac:dyDescent="0.35">
      <c r="A467">
        <v>2024</v>
      </c>
      <c r="B467" t="s">
        <v>52</v>
      </c>
      <c r="C467" t="s">
        <v>37</v>
      </c>
      <c r="D467" t="s">
        <v>26</v>
      </c>
      <c r="E467" t="s">
        <v>16</v>
      </c>
      <c r="F467" t="s">
        <v>20</v>
      </c>
      <c r="G467">
        <v>84630</v>
      </c>
      <c r="H467" t="s">
        <v>54</v>
      </c>
      <c r="I467">
        <v>862</v>
      </c>
      <c r="J467">
        <v>72951060</v>
      </c>
      <c r="K467">
        <v>448167</v>
      </c>
      <c r="L467">
        <v>72502893</v>
      </c>
      <c r="M467">
        <v>308</v>
      </c>
      <c r="N467">
        <v>0.97</v>
      </c>
      <c r="O467">
        <v>6.29</v>
      </c>
      <c r="P467">
        <v>1.2</v>
      </c>
      <c r="Q467">
        <v>9</v>
      </c>
      <c r="R467">
        <f>CORREL(BMW[units_sold],BMW[gdp_growth_percent])</f>
        <v>-5.2597817623217792E-17</v>
      </c>
    </row>
    <row r="468" spans="1:18" x14ac:dyDescent="0.35">
      <c r="A468">
        <v>2024</v>
      </c>
      <c r="B468" t="s">
        <v>48</v>
      </c>
      <c r="C468" t="s">
        <v>14</v>
      </c>
      <c r="D468" t="s">
        <v>26</v>
      </c>
      <c r="E468" t="s">
        <v>19</v>
      </c>
      <c r="F468" t="s">
        <v>27</v>
      </c>
      <c r="G468">
        <v>65734</v>
      </c>
      <c r="H468" t="s">
        <v>55</v>
      </c>
      <c r="I468">
        <v>409</v>
      </c>
      <c r="J468">
        <v>26885206</v>
      </c>
      <c r="K468">
        <v>287474</v>
      </c>
      <c r="L468">
        <v>26597732</v>
      </c>
      <c r="M468">
        <v>197</v>
      </c>
      <c r="N468">
        <v>0.97</v>
      </c>
      <c r="O468">
        <v>6.29</v>
      </c>
      <c r="P468">
        <v>1.2</v>
      </c>
      <c r="Q468">
        <v>10</v>
      </c>
      <c r="R468">
        <f>CORREL(BMW[units_sold],BMW[gdp_growth_percent])</f>
        <v>-5.2597817623217792E-17</v>
      </c>
    </row>
    <row r="469" spans="1:18" x14ac:dyDescent="0.35">
      <c r="A469">
        <v>2016</v>
      </c>
      <c r="B469" t="s">
        <v>47</v>
      </c>
      <c r="C469" t="s">
        <v>35</v>
      </c>
      <c r="D469" t="s">
        <v>31</v>
      </c>
      <c r="E469" t="s">
        <v>20</v>
      </c>
      <c r="F469" t="s">
        <v>20</v>
      </c>
      <c r="G469">
        <v>35515</v>
      </c>
      <c r="H469" t="s">
        <v>57</v>
      </c>
      <c r="I469">
        <v>561</v>
      </c>
      <c r="J469">
        <v>19923915</v>
      </c>
      <c r="K469">
        <v>340477</v>
      </c>
      <c r="L469">
        <v>19583438</v>
      </c>
      <c r="M469">
        <v>195</v>
      </c>
      <c r="N469">
        <v>0.97</v>
      </c>
      <c r="O469">
        <v>6.29</v>
      </c>
      <c r="P469">
        <v>1.2</v>
      </c>
      <c r="Q469">
        <v>7</v>
      </c>
      <c r="R469">
        <f>CORREL(BMW[units_sold],BMW[gdp_growth_percent])</f>
        <v>-5.2597817623217792E-17</v>
      </c>
    </row>
    <row r="470" spans="1:18" x14ac:dyDescent="0.35">
      <c r="A470">
        <v>2017</v>
      </c>
      <c r="B470" t="s">
        <v>48</v>
      </c>
      <c r="C470" t="s">
        <v>37</v>
      </c>
      <c r="D470" t="s">
        <v>29</v>
      </c>
      <c r="E470" t="s">
        <v>19</v>
      </c>
      <c r="F470" t="s">
        <v>27</v>
      </c>
      <c r="G470">
        <v>101727</v>
      </c>
      <c r="H470" t="s">
        <v>54</v>
      </c>
      <c r="I470">
        <v>889</v>
      </c>
      <c r="J470">
        <v>90435303</v>
      </c>
      <c r="K470">
        <v>333817</v>
      </c>
      <c r="L470">
        <v>90101486</v>
      </c>
      <c r="M470">
        <v>314</v>
      </c>
      <c r="N470">
        <v>0.97</v>
      </c>
      <c r="O470">
        <v>6.29</v>
      </c>
      <c r="P470">
        <v>1.2</v>
      </c>
      <c r="Q470">
        <v>7</v>
      </c>
      <c r="R470">
        <f>CORREL(BMW[units_sold],BMW[gdp_growth_percent])</f>
        <v>-5.2597817623217792E-17</v>
      </c>
    </row>
    <row r="471" spans="1:18" x14ac:dyDescent="0.35">
      <c r="A471">
        <v>2023</v>
      </c>
      <c r="B471" t="s">
        <v>41</v>
      </c>
      <c r="C471" t="s">
        <v>21</v>
      </c>
      <c r="D471" t="s">
        <v>18</v>
      </c>
      <c r="E471" t="s">
        <v>19</v>
      </c>
      <c r="F471" t="s">
        <v>23</v>
      </c>
      <c r="G471">
        <v>81216</v>
      </c>
      <c r="H471" t="s">
        <v>54</v>
      </c>
      <c r="I471">
        <v>784</v>
      </c>
      <c r="J471">
        <v>63673344</v>
      </c>
      <c r="K471">
        <v>426565</v>
      </c>
      <c r="L471">
        <v>63246779</v>
      </c>
      <c r="M471">
        <v>307</v>
      </c>
      <c r="N471">
        <v>0.97</v>
      </c>
      <c r="O471">
        <v>6.29</v>
      </c>
      <c r="P471">
        <v>1.2</v>
      </c>
      <c r="Q471">
        <v>4</v>
      </c>
      <c r="R471">
        <f>CORREL(BMW[units_sold],BMW[gdp_growth_percent])</f>
        <v>-5.2597817623217792E-17</v>
      </c>
    </row>
    <row r="472" spans="1:18" x14ac:dyDescent="0.35">
      <c r="A472">
        <v>2021</v>
      </c>
      <c r="B472" t="s">
        <v>47</v>
      </c>
      <c r="C472" t="s">
        <v>14</v>
      </c>
      <c r="D472" t="s">
        <v>22</v>
      </c>
      <c r="E472" t="s">
        <v>16</v>
      </c>
      <c r="F472" t="s">
        <v>27</v>
      </c>
      <c r="G472">
        <v>106833</v>
      </c>
      <c r="H472" t="s">
        <v>54</v>
      </c>
      <c r="I472">
        <v>495</v>
      </c>
      <c r="J472">
        <v>52882335</v>
      </c>
      <c r="K472">
        <v>90870</v>
      </c>
      <c r="L472">
        <v>52791465</v>
      </c>
      <c r="M472">
        <v>213</v>
      </c>
      <c r="N472">
        <v>0.97</v>
      </c>
      <c r="O472">
        <v>6.29</v>
      </c>
      <c r="P472">
        <v>1.2</v>
      </c>
      <c r="Q472">
        <v>1</v>
      </c>
      <c r="R472">
        <f>CORREL(BMW[units_sold],BMW[gdp_growth_percent])</f>
        <v>-5.2597817623217792E-17</v>
      </c>
    </row>
    <row r="473" spans="1:18" x14ac:dyDescent="0.35">
      <c r="A473">
        <v>2018</v>
      </c>
      <c r="B473" t="s">
        <v>50</v>
      </c>
      <c r="C473" t="s">
        <v>14</v>
      </c>
      <c r="D473" t="s">
        <v>18</v>
      </c>
      <c r="E473" t="s">
        <v>16</v>
      </c>
      <c r="F473" t="s">
        <v>17</v>
      </c>
      <c r="G473">
        <v>93755</v>
      </c>
      <c r="H473" t="s">
        <v>54</v>
      </c>
      <c r="I473">
        <v>417</v>
      </c>
      <c r="J473">
        <v>39095835</v>
      </c>
      <c r="K473">
        <v>303017</v>
      </c>
      <c r="L473">
        <v>38792818</v>
      </c>
      <c r="M473">
        <v>20</v>
      </c>
      <c r="N473">
        <v>0.97</v>
      </c>
      <c r="O473">
        <v>6.29</v>
      </c>
      <c r="P473">
        <v>1.2</v>
      </c>
      <c r="Q473">
        <v>8</v>
      </c>
      <c r="R473">
        <f>CORREL(BMW[units_sold],BMW[gdp_growth_percent])</f>
        <v>-5.2597817623217792E-17</v>
      </c>
    </row>
    <row r="474" spans="1:18" x14ac:dyDescent="0.35">
      <c r="A474">
        <v>2024</v>
      </c>
      <c r="B474" t="s">
        <v>42</v>
      </c>
      <c r="C474" t="s">
        <v>25</v>
      </c>
      <c r="D474" t="s">
        <v>24</v>
      </c>
      <c r="E474" t="s">
        <v>19</v>
      </c>
      <c r="F474" t="s">
        <v>20</v>
      </c>
      <c r="G474">
        <v>62856</v>
      </c>
      <c r="H474" t="s">
        <v>55</v>
      </c>
      <c r="I474">
        <v>869</v>
      </c>
      <c r="J474">
        <v>54621864</v>
      </c>
      <c r="K474">
        <v>177536</v>
      </c>
      <c r="L474">
        <v>54444328</v>
      </c>
      <c r="M474">
        <v>368</v>
      </c>
      <c r="N474">
        <v>0.97</v>
      </c>
      <c r="O474">
        <v>6.29</v>
      </c>
      <c r="P474">
        <v>1.2</v>
      </c>
      <c r="Q474">
        <v>4</v>
      </c>
      <c r="R474">
        <f>CORREL(BMW[units_sold],BMW[gdp_growth_percent])</f>
        <v>-5.2597817623217792E-17</v>
      </c>
    </row>
    <row r="475" spans="1:18" x14ac:dyDescent="0.35">
      <c r="A475">
        <v>2019</v>
      </c>
      <c r="B475" t="s">
        <v>49</v>
      </c>
      <c r="C475" t="s">
        <v>25</v>
      </c>
      <c r="D475" t="s">
        <v>26</v>
      </c>
      <c r="E475" t="s">
        <v>19</v>
      </c>
      <c r="F475" t="s">
        <v>27</v>
      </c>
      <c r="G475">
        <v>108870</v>
      </c>
      <c r="H475" t="s">
        <v>54</v>
      </c>
      <c r="I475">
        <v>951</v>
      </c>
      <c r="J475">
        <v>103535370</v>
      </c>
      <c r="K475">
        <v>383245</v>
      </c>
      <c r="L475">
        <v>103152125</v>
      </c>
      <c r="M475">
        <v>363</v>
      </c>
      <c r="N475">
        <v>0.97</v>
      </c>
      <c r="O475">
        <v>6.29</v>
      </c>
      <c r="P475">
        <v>1.2</v>
      </c>
      <c r="Q475">
        <v>1</v>
      </c>
      <c r="R475">
        <f>CORREL(BMW[units_sold],BMW[gdp_growth_percent])</f>
        <v>-5.2597817623217792E-17</v>
      </c>
    </row>
    <row r="476" spans="1:18" x14ac:dyDescent="0.35">
      <c r="A476">
        <v>2016</v>
      </c>
      <c r="B476" t="s">
        <v>46</v>
      </c>
      <c r="C476" t="s">
        <v>36</v>
      </c>
      <c r="D476" t="s">
        <v>34</v>
      </c>
      <c r="E476" t="s">
        <v>16</v>
      </c>
      <c r="F476" t="s">
        <v>20</v>
      </c>
      <c r="G476">
        <v>59162</v>
      </c>
      <c r="H476" t="s">
        <v>55</v>
      </c>
      <c r="I476">
        <v>542</v>
      </c>
      <c r="J476">
        <v>32065804</v>
      </c>
      <c r="K476">
        <v>334965</v>
      </c>
      <c r="L476">
        <v>31730839</v>
      </c>
      <c r="M476">
        <v>155</v>
      </c>
      <c r="N476">
        <v>0.97</v>
      </c>
      <c r="O476">
        <v>6.29</v>
      </c>
      <c r="P476">
        <v>1.2</v>
      </c>
      <c r="Q476">
        <v>5</v>
      </c>
      <c r="R476">
        <f>CORREL(BMW[units_sold],BMW[gdp_growth_percent])</f>
        <v>-5.2597817623217792E-17</v>
      </c>
    </row>
    <row r="477" spans="1:18" x14ac:dyDescent="0.35">
      <c r="A477">
        <v>2022</v>
      </c>
      <c r="B477" t="s">
        <v>46</v>
      </c>
      <c r="C477" t="s">
        <v>36</v>
      </c>
      <c r="D477" t="s">
        <v>24</v>
      </c>
      <c r="E477" t="s">
        <v>20</v>
      </c>
      <c r="F477" t="s">
        <v>23</v>
      </c>
      <c r="G477">
        <v>41008</v>
      </c>
      <c r="H477" t="s">
        <v>57</v>
      </c>
      <c r="I477">
        <v>398</v>
      </c>
      <c r="J477">
        <v>16321184</v>
      </c>
      <c r="K477">
        <v>75494</v>
      </c>
      <c r="L477">
        <v>16245690</v>
      </c>
      <c r="M477">
        <v>94</v>
      </c>
      <c r="N477">
        <v>0.97</v>
      </c>
      <c r="O477">
        <v>6.29</v>
      </c>
      <c r="P477">
        <v>1.2</v>
      </c>
      <c r="Q477">
        <v>8</v>
      </c>
      <c r="R477">
        <f>CORREL(BMW[units_sold],BMW[gdp_growth_percent])</f>
        <v>-5.2597817623217792E-17</v>
      </c>
    </row>
    <row r="478" spans="1:18" x14ac:dyDescent="0.35">
      <c r="A478">
        <v>2018</v>
      </c>
      <c r="B478" t="s">
        <v>49</v>
      </c>
      <c r="C478" t="s">
        <v>30</v>
      </c>
      <c r="D478" t="s">
        <v>24</v>
      </c>
      <c r="E478" t="s">
        <v>16</v>
      </c>
      <c r="F478" t="s">
        <v>23</v>
      </c>
      <c r="G478">
        <v>42987</v>
      </c>
      <c r="H478" t="s">
        <v>57</v>
      </c>
      <c r="I478">
        <v>296</v>
      </c>
      <c r="J478">
        <v>12724152</v>
      </c>
      <c r="K478">
        <v>149477</v>
      </c>
      <c r="L478">
        <v>12574675</v>
      </c>
      <c r="M478">
        <v>109</v>
      </c>
      <c r="N478">
        <v>0.97</v>
      </c>
      <c r="O478">
        <v>6.29</v>
      </c>
      <c r="P478">
        <v>1.2</v>
      </c>
      <c r="Q478">
        <v>4</v>
      </c>
      <c r="R478">
        <f>CORREL(BMW[units_sold],BMW[gdp_growth_percent])</f>
        <v>-5.2597817623217792E-17</v>
      </c>
    </row>
    <row r="479" spans="1:18" x14ac:dyDescent="0.35">
      <c r="A479">
        <v>2023</v>
      </c>
      <c r="B479" t="s">
        <v>51</v>
      </c>
      <c r="C479" t="s">
        <v>21</v>
      </c>
      <c r="D479" t="s">
        <v>31</v>
      </c>
      <c r="E479" t="s">
        <v>19</v>
      </c>
      <c r="F479" t="s">
        <v>17</v>
      </c>
      <c r="G479">
        <v>97532</v>
      </c>
      <c r="H479" t="s">
        <v>54</v>
      </c>
      <c r="I479">
        <v>517</v>
      </c>
      <c r="J479">
        <v>50424044</v>
      </c>
      <c r="K479">
        <v>438227</v>
      </c>
      <c r="L479">
        <v>49985817</v>
      </c>
      <c r="M479">
        <v>113</v>
      </c>
      <c r="N479">
        <v>0.97</v>
      </c>
      <c r="O479">
        <v>6.29</v>
      </c>
      <c r="P479">
        <v>1.2</v>
      </c>
      <c r="Q479">
        <v>8</v>
      </c>
      <c r="R479">
        <f>CORREL(BMW[units_sold],BMW[gdp_growth_percent])</f>
        <v>-5.2597817623217792E-17</v>
      </c>
    </row>
    <row r="480" spans="1:18" x14ac:dyDescent="0.35">
      <c r="A480">
        <v>2019</v>
      </c>
      <c r="B480" t="s">
        <v>41</v>
      </c>
      <c r="C480" t="s">
        <v>28</v>
      </c>
      <c r="D480" t="s">
        <v>33</v>
      </c>
      <c r="E480" t="s">
        <v>20</v>
      </c>
      <c r="F480" t="s">
        <v>23</v>
      </c>
      <c r="G480">
        <v>38332</v>
      </c>
      <c r="H480" t="s">
        <v>57</v>
      </c>
      <c r="I480">
        <v>418</v>
      </c>
      <c r="J480">
        <v>16022776</v>
      </c>
      <c r="K480">
        <v>255232</v>
      </c>
      <c r="L480">
        <v>15767544</v>
      </c>
      <c r="M480">
        <v>55</v>
      </c>
      <c r="N480">
        <v>0.97</v>
      </c>
      <c r="O480">
        <v>6.29</v>
      </c>
      <c r="P480">
        <v>1.2</v>
      </c>
      <c r="Q480">
        <v>8</v>
      </c>
      <c r="R480">
        <f>CORREL(BMW[units_sold],BMW[gdp_growth_percent])</f>
        <v>-5.2597817623217792E-17</v>
      </c>
    </row>
    <row r="481" spans="1:18" x14ac:dyDescent="0.35">
      <c r="A481">
        <v>2023</v>
      </c>
      <c r="B481" t="s">
        <v>48</v>
      </c>
      <c r="C481" t="s">
        <v>28</v>
      </c>
      <c r="D481" t="s">
        <v>24</v>
      </c>
      <c r="E481" t="s">
        <v>19</v>
      </c>
      <c r="F481" t="s">
        <v>27</v>
      </c>
      <c r="G481">
        <v>101323</v>
      </c>
      <c r="H481" t="s">
        <v>54</v>
      </c>
      <c r="I481">
        <v>306</v>
      </c>
      <c r="J481">
        <v>31004838</v>
      </c>
      <c r="K481">
        <v>424842</v>
      </c>
      <c r="L481">
        <v>30579996</v>
      </c>
      <c r="M481">
        <v>53</v>
      </c>
      <c r="N481">
        <v>0.97</v>
      </c>
      <c r="O481">
        <v>6.29</v>
      </c>
      <c r="P481">
        <v>1.2</v>
      </c>
      <c r="Q481">
        <v>3</v>
      </c>
      <c r="R481">
        <f>CORREL(BMW[units_sold],BMW[gdp_growth_percent])</f>
        <v>-5.2597817623217792E-17</v>
      </c>
    </row>
    <row r="482" spans="1:18" x14ac:dyDescent="0.35">
      <c r="A482">
        <v>2018</v>
      </c>
      <c r="B482" t="s">
        <v>50</v>
      </c>
      <c r="C482" t="s">
        <v>25</v>
      </c>
      <c r="D482" t="s">
        <v>22</v>
      </c>
      <c r="E482" t="s">
        <v>20</v>
      </c>
      <c r="F482" t="s">
        <v>23</v>
      </c>
      <c r="G482">
        <v>73990</v>
      </c>
      <c r="H482" t="s">
        <v>55</v>
      </c>
      <c r="I482">
        <v>930</v>
      </c>
      <c r="J482">
        <v>68810700</v>
      </c>
      <c r="K482">
        <v>423704</v>
      </c>
      <c r="L482">
        <v>68386996</v>
      </c>
      <c r="M482">
        <v>287</v>
      </c>
      <c r="N482">
        <v>0.97</v>
      </c>
      <c r="O482">
        <v>6.29</v>
      </c>
      <c r="P482">
        <v>1.2</v>
      </c>
      <c r="Q482">
        <v>9</v>
      </c>
      <c r="R482">
        <f>CORREL(BMW[units_sold],BMW[gdp_growth_percent])</f>
        <v>-5.2597817623217792E-17</v>
      </c>
    </row>
    <row r="483" spans="1:18" x14ac:dyDescent="0.35">
      <c r="A483">
        <v>2024</v>
      </c>
      <c r="B483" t="s">
        <v>45</v>
      </c>
      <c r="C483" t="s">
        <v>25</v>
      </c>
      <c r="D483" t="s">
        <v>15</v>
      </c>
      <c r="E483" t="s">
        <v>19</v>
      </c>
      <c r="F483" t="s">
        <v>17</v>
      </c>
      <c r="G483">
        <v>44873</v>
      </c>
      <c r="H483" t="s">
        <v>57</v>
      </c>
      <c r="I483">
        <v>805</v>
      </c>
      <c r="J483">
        <v>36122765</v>
      </c>
      <c r="K483">
        <v>444051</v>
      </c>
      <c r="L483">
        <v>35678714</v>
      </c>
      <c r="M483">
        <v>190</v>
      </c>
      <c r="N483">
        <v>0.97</v>
      </c>
      <c r="O483">
        <v>6.29</v>
      </c>
      <c r="P483">
        <v>1.2</v>
      </c>
      <c r="Q483">
        <v>3</v>
      </c>
      <c r="R483">
        <f>CORREL(BMW[units_sold],BMW[gdp_growth_percent])</f>
        <v>-5.2597817623217792E-17</v>
      </c>
    </row>
    <row r="484" spans="1:18" x14ac:dyDescent="0.35">
      <c r="A484">
        <v>2019</v>
      </c>
      <c r="B484" t="s">
        <v>47</v>
      </c>
      <c r="C484" t="s">
        <v>25</v>
      </c>
      <c r="D484" t="s">
        <v>15</v>
      </c>
      <c r="E484" t="s">
        <v>20</v>
      </c>
      <c r="F484" t="s">
        <v>20</v>
      </c>
      <c r="G484">
        <v>117542</v>
      </c>
      <c r="H484" t="s">
        <v>54</v>
      </c>
      <c r="I484">
        <v>538</v>
      </c>
      <c r="J484">
        <v>63237596</v>
      </c>
      <c r="K484">
        <v>330790</v>
      </c>
      <c r="L484">
        <v>62906806</v>
      </c>
      <c r="M484">
        <v>196</v>
      </c>
      <c r="N484">
        <v>0.97</v>
      </c>
      <c r="O484">
        <v>6.29</v>
      </c>
      <c r="P484">
        <v>1.2</v>
      </c>
      <c r="Q484">
        <v>1</v>
      </c>
      <c r="R484">
        <f>CORREL(BMW[units_sold],BMW[gdp_growth_percent])</f>
        <v>-5.2597817623217792E-17</v>
      </c>
    </row>
    <row r="485" spans="1:18" x14ac:dyDescent="0.35">
      <c r="A485">
        <v>2023</v>
      </c>
      <c r="B485" t="s">
        <v>41</v>
      </c>
      <c r="C485" t="s">
        <v>35</v>
      </c>
      <c r="D485" t="s">
        <v>22</v>
      </c>
      <c r="E485" t="s">
        <v>20</v>
      </c>
      <c r="F485" t="s">
        <v>20</v>
      </c>
      <c r="G485">
        <v>71444</v>
      </c>
      <c r="H485" t="s">
        <v>55</v>
      </c>
      <c r="I485">
        <v>697</v>
      </c>
      <c r="J485">
        <v>49796468</v>
      </c>
      <c r="K485">
        <v>173777</v>
      </c>
      <c r="L485">
        <v>49622691</v>
      </c>
      <c r="M485">
        <v>123</v>
      </c>
      <c r="N485">
        <v>0.97</v>
      </c>
      <c r="O485">
        <v>6.29</v>
      </c>
      <c r="P485">
        <v>1.2</v>
      </c>
      <c r="Q485">
        <v>2</v>
      </c>
      <c r="R485">
        <f>CORREL(BMW[units_sold],BMW[gdp_growth_percent])</f>
        <v>-5.2597817623217792E-17</v>
      </c>
    </row>
    <row r="486" spans="1:18" x14ac:dyDescent="0.35">
      <c r="A486">
        <v>2022</v>
      </c>
      <c r="B486" t="s">
        <v>44</v>
      </c>
      <c r="C486" t="s">
        <v>38</v>
      </c>
      <c r="D486" t="s">
        <v>33</v>
      </c>
      <c r="E486" t="s">
        <v>19</v>
      </c>
      <c r="F486" t="s">
        <v>23</v>
      </c>
      <c r="G486">
        <v>70340</v>
      </c>
      <c r="H486" t="s">
        <v>55</v>
      </c>
      <c r="I486">
        <v>902</v>
      </c>
      <c r="J486">
        <v>63446680</v>
      </c>
      <c r="K486">
        <v>127360</v>
      </c>
      <c r="L486">
        <v>63319320</v>
      </c>
      <c r="M486">
        <v>264</v>
      </c>
      <c r="N486">
        <v>0.97</v>
      </c>
      <c r="O486">
        <v>6.29</v>
      </c>
      <c r="P486">
        <v>1.2</v>
      </c>
      <c r="Q486">
        <v>6</v>
      </c>
      <c r="R486">
        <f>CORREL(BMW[units_sold],BMW[gdp_growth_percent])</f>
        <v>-5.2597817623217792E-17</v>
      </c>
    </row>
    <row r="487" spans="1:18" x14ac:dyDescent="0.35">
      <c r="A487">
        <v>2017</v>
      </c>
      <c r="B487" t="s">
        <v>47</v>
      </c>
      <c r="C487" t="s">
        <v>36</v>
      </c>
      <c r="D487" t="s">
        <v>33</v>
      </c>
      <c r="E487" t="s">
        <v>20</v>
      </c>
      <c r="F487" t="s">
        <v>27</v>
      </c>
      <c r="G487">
        <v>40033</v>
      </c>
      <c r="H487" t="s">
        <v>57</v>
      </c>
      <c r="I487">
        <v>1118</v>
      </c>
      <c r="J487">
        <v>44756894</v>
      </c>
      <c r="K487">
        <v>349479</v>
      </c>
      <c r="L487">
        <v>44407415</v>
      </c>
      <c r="M487">
        <v>390</v>
      </c>
      <c r="N487">
        <v>0.97</v>
      </c>
      <c r="O487">
        <v>6.29</v>
      </c>
      <c r="P487">
        <v>1.2</v>
      </c>
      <c r="Q487">
        <v>10</v>
      </c>
      <c r="R487">
        <f>CORREL(BMW[units_sold],BMW[gdp_growth_percent])</f>
        <v>-5.2597817623217792E-17</v>
      </c>
    </row>
    <row r="488" spans="1:18" x14ac:dyDescent="0.35">
      <c r="A488">
        <v>2015</v>
      </c>
      <c r="B488" t="s">
        <v>50</v>
      </c>
      <c r="C488" t="s">
        <v>35</v>
      </c>
      <c r="D488" t="s">
        <v>31</v>
      </c>
      <c r="E488" t="s">
        <v>16</v>
      </c>
      <c r="F488" t="s">
        <v>17</v>
      </c>
      <c r="G488">
        <v>108324</v>
      </c>
      <c r="H488" t="s">
        <v>54</v>
      </c>
      <c r="I488">
        <v>1242</v>
      </c>
      <c r="J488">
        <v>134538408</v>
      </c>
      <c r="K488">
        <v>381495</v>
      </c>
      <c r="L488">
        <v>134156913</v>
      </c>
      <c r="M488">
        <v>389</v>
      </c>
      <c r="N488">
        <v>0.97</v>
      </c>
      <c r="O488">
        <v>6.29</v>
      </c>
      <c r="P488">
        <v>1.2</v>
      </c>
      <c r="Q488">
        <v>2</v>
      </c>
      <c r="R488">
        <f>CORREL(BMW[units_sold],BMW[gdp_growth_percent])</f>
        <v>-5.2597817623217792E-17</v>
      </c>
    </row>
    <row r="489" spans="1:18" x14ac:dyDescent="0.35">
      <c r="A489">
        <v>2017</v>
      </c>
      <c r="B489" t="s">
        <v>52</v>
      </c>
      <c r="C489" t="s">
        <v>32</v>
      </c>
      <c r="D489" t="s">
        <v>26</v>
      </c>
      <c r="E489" t="s">
        <v>19</v>
      </c>
      <c r="F489" t="s">
        <v>27</v>
      </c>
      <c r="G489">
        <v>50689</v>
      </c>
      <c r="H489" t="s">
        <v>55</v>
      </c>
      <c r="I489">
        <v>406</v>
      </c>
      <c r="J489">
        <v>20579734</v>
      </c>
      <c r="K489">
        <v>427078</v>
      </c>
      <c r="L489">
        <v>20152656</v>
      </c>
      <c r="M489">
        <v>39</v>
      </c>
      <c r="N489">
        <v>0.97</v>
      </c>
      <c r="O489">
        <v>6.29</v>
      </c>
      <c r="P489">
        <v>1.2</v>
      </c>
      <c r="Q489">
        <v>6</v>
      </c>
      <c r="R489">
        <f>CORREL(BMW[units_sold],BMW[gdp_growth_percent])</f>
        <v>-5.2597817623217792E-17</v>
      </c>
    </row>
    <row r="490" spans="1:18" x14ac:dyDescent="0.35">
      <c r="A490">
        <v>2018</v>
      </c>
      <c r="B490" t="s">
        <v>52</v>
      </c>
      <c r="C490" t="s">
        <v>28</v>
      </c>
      <c r="D490" t="s">
        <v>18</v>
      </c>
      <c r="E490" t="s">
        <v>16</v>
      </c>
      <c r="F490" t="s">
        <v>17</v>
      </c>
      <c r="G490">
        <v>35066</v>
      </c>
      <c r="H490" t="s">
        <v>57</v>
      </c>
      <c r="I490">
        <v>878</v>
      </c>
      <c r="J490">
        <v>30787948</v>
      </c>
      <c r="K490">
        <v>183501</v>
      </c>
      <c r="L490">
        <v>30604447</v>
      </c>
      <c r="M490">
        <v>273</v>
      </c>
      <c r="N490">
        <v>0.97</v>
      </c>
      <c r="O490">
        <v>6.29</v>
      </c>
      <c r="P490">
        <v>1.2</v>
      </c>
      <c r="Q490">
        <v>1</v>
      </c>
      <c r="R490">
        <f>CORREL(BMW[units_sold],BMW[gdp_growth_percent])</f>
        <v>-5.2597817623217792E-17</v>
      </c>
    </row>
    <row r="491" spans="1:18" x14ac:dyDescent="0.35">
      <c r="A491">
        <v>2016</v>
      </c>
      <c r="B491" t="s">
        <v>41</v>
      </c>
      <c r="C491" t="s">
        <v>14</v>
      </c>
      <c r="D491" t="s">
        <v>33</v>
      </c>
      <c r="E491" t="s">
        <v>19</v>
      </c>
      <c r="F491" t="s">
        <v>23</v>
      </c>
      <c r="G491">
        <v>80246</v>
      </c>
      <c r="H491" t="s">
        <v>54</v>
      </c>
      <c r="I491">
        <v>479</v>
      </c>
      <c r="J491">
        <v>38437834</v>
      </c>
      <c r="K491">
        <v>354094</v>
      </c>
      <c r="L491">
        <v>38083740</v>
      </c>
      <c r="M491">
        <v>107</v>
      </c>
      <c r="N491">
        <v>0.97</v>
      </c>
      <c r="O491">
        <v>6.29</v>
      </c>
      <c r="P491">
        <v>1.2</v>
      </c>
      <c r="Q491">
        <v>1</v>
      </c>
      <c r="R491">
        <f>CORREL(BMW[units_sold],BMW[gdp_growth_percent])</f>
        <v>-5.2597817623217792E-17</v>
      </c>
    </row>
    <row r="492" spans="1:18" x14ac:dyDescent="0.35">
      <c r="A492">
        <v>2015</v>
      </c>
      <c r="B492" t="s">
        <v>42</v>
      </c>
      <c r="C492" t="s">
        <v>36</v>
      </c>
      <c r="D492" t="s">
        <v>34</v>
      </c>
      <c r="E492" t="s">
        <v>20</v>
      </c>
      <c r="F492" t="s">
        <v>17</v>
      </c>
      <c r="G492">
        <v>42533</v>
      </c>
      <c r="H492" t="s">
        <v>57</v>
      </c>
      <c r="I492">
        <v>721</v>
      </c>
      <c r="J492">
        <v>30666293</v>
      </c>
      <c r="K492">
        <v>110654</v>
      </c>
      <c r="L492">
        <v>30555639</v>
      </c>
      <c r="M492">
        <v>322</v>
      </c>
      <c r="N492">
        <v>0.97</v>
      </c>
      <c r="O492">
        <v>6.29</v>
      </c>
      <c r="P492">
        <v>1.2</v>
      </c>
      <c r="Q492">
        <v>5</v>
      </c>
      <c r="R492">
        <f>CORREL(BMW[units_sold],BMW[gdp_growth_percent])</f>
        <v>-5.2597817623217792E-17</v>
      </c>
    </row>
    <row r="493" spans="1:18" x14ac:dyDescent="0.35">
      <c r="A493">
        <v>2021</v>
      </c>
      <c r="B493" t="s">
        <v>50</v>
      </c>
      <c r="C493" t="s">
        <v>37</v>
      </c>
      <c r="D493" t="s">
        <v>31</v>
      </c>
      <c r="E493" t="s">
        <v>20</v>
      </c>
      <c r="F493" t="s">
        <v>17</v>
      </c>
      <c r="G493">
        <v>115639</v>
      </c>
      <c r="H493" t="s">
        <v>54</v>
      </c>
      <c r="I493">
        <v>1161</v>
      </c>
      <c r="J493">
        <v>134256879</v>
      </c>
      <c r="K493">
        <v>419566</v>
      </c>
      <c r="L493">
        <v>133837313</v>
      </c>
      <c r="M493">
        <v>376</v>
      </c>
      <c r="N493">
        <v>0.97</v>
      </c>
      <c r="O493">
        <v>6.29</v>
      </c>
      <c r="P493">
        <v>1.2</v>
      </c>
      <c r="Q493">
        <v>10</v>
      </c>
      <c r="R493">
        <f>CORREL(BMW[units_sold],BMW[gdp_growth_percent])</f>
        <v>-5.2597817623217792E-17</v>
      </c>
    </row>
    <row r="494" spans="1:18" x14ac:dyDescent="0.35">
      <c r="A494">
        <v>2022</v>
      </c>
      <c r="B494" t="s">
        <v>50</v>
      </c>
      <c r="C494" t="s">
        <v>32</v>
      </c>
      <c r="D494" t="s">
        <v>39</v>
      </c>
      <c r="E494" t="s">
        <v>20</v>
      </c>
      <c r="F494" t="s">
        <v>23</v>
      </c>
      <c r="G494">
        <v>105152</v>
      </c>
      <c r="H494" t="s">
        <v>54</v>
      </c>
      <c r="I494">
        <v>717</v>
      </c>
      <c r="J494">
        <v>75393984</v>
      </c>
      <c r="K494">
        <v>422078</v>
      </c>
      <c r="L494">
        <v>74971906</v>
      </c>
      <c r="M494">
        <v>338</v>
      </c>
      <c r="N494">
        <v>0.97</v>
      </c>
      <c r="O494">
        <v>6.29</v>
      </c>
      <c r="P494">
        <v>1.2</v>
      </c>
      <c r="Q494">
        <v>9</v>
      </c>
      <c r="R494">
        <f>CORREL(BMW[units_sold],BMW[gdp_growth_percent])</f>
        <v>-5.2597817623217792E-17</v>
      </c>
    </row>
    <row r="495" spans="1:18" x14ac:dyDescent="0.35">
      <c r="A495">
        <v>2021</v>
      </c>
      <c r="B495" t="s">
        <v>49</v>
      </c>
      <c r="C495" t="s">
        <v>36</v>
      </c>
      <c r="D495" t="s">
        <v>29</v>
      </c>
      <c r="E495" t="s">
        <v>19</v>
      </c>
      <c r="F495" t="s">
        <v>27</v>
      </c>
      <c r="G495">
        <v>94658</v>
      </c>
      <c r="H495" t="s">
        <v>54</v>
      </c>
      <c r="I495">
        <v>428</v>
      </c>
      <c r="J495">
        <v>40513624</v>
      </c>
      <c r="K495">
        <v>169975</v>
      </c>
      <c r="L495">
        <v>40343649</v>
      </c>
      <c r="M495">
        <v>124</v>
      </c>
      <c r="N495">
        <v>0.97</v>
      </c>
      <c r="O495">
        <v>6.29</v>
      </c>
      <c r="P495">
        <v>1.2</v>
      </c>
      <c r="Q495">
        <v>8</v>
      </c>
      <c r="R495">
        <f>CORREL(BMW[units_sold],BMW[gdp_growth_percent])</f>
        <v>-5.2597817623217792E-17</v>
      </c>
    </row>
    <row r="496" spans="1:18" x14ac:dyDescent="0.35">
      <c r="A496">
        <v>2019</v>
      </c>
      <c r="B496" t="s">
        <v>42</v>
      </c>
      <c r="C496" t="s">
        <v>35</v>
      </c>
      <c r="D496" t="s">
        <v>39</v>
      </c>
      <c r="E496" t="s">
        <v>16</v>
      </c>
      <c r="F496" t="s">
        <v>23</v>
      </c>
      <c r="G496">
        <v>73498</v>
      </c>
      <c r="H496" t="s">
        <v>55</v>
      </c>
      <c r="I496">
        <v>929</v>
      </c>
      <c r="J496">
        <v>68279642</v>
      </c>
      <c r="K496">
        <v>249215</v>
      </c>
      <c r="L496">
        <v>68030427</v>
      </c>
      <c r="M496">
        <v>285</v>
      </c>
      <c r="N496">
        <v>0.97</v>
      </c>
      <c r="O496">
        <v>6.29</v>
      </c>
      <c r="P496">
        <v>1.2</v>
      </c>
      <c r="Q496">
        <v>3</v>
      </c>
      <c r="R496">
        <f>CORREL(BMW[units_sold],BMW[gdp_growth_percent])</f>
        <v>-5.2597817623217792E-17</v>
      </c>
    </row>
    <row r="497" spans="1:18" x14ac:dyDescent="0.35">
      <c r="A497">
        <v>2015</v>
      </c>
      <c r="B497" t="s">
        <v>48</v>
      </c>
      <c r="C497" t="s">
        <v>21</v>
      </c>
      <c r="D497" t="s">
        <v>31</v>
      </c>
      <c r="E497" t="s">
        <v>16</v>
      </c>
      <c r="F497" t="s">
        <v>17</v>
      </c>
      <c r="G497">
        <v>46772</v>
      </c>
      <c r="H497" t="s">
        <v>57</v>
      </c>
      <c r="I497">
        <v>1044</v>
      </c>
      <c r="J497">
        <v>48829968</v>
      </c>
      <c r="K497">
        <v>403330</v>
      </c>
      <c r="L497">
        <v>48426638</v>
      </c>
      <c r="M497">
        <v>290</v>
      </c>
      <c r="N497">
        <v>0.97</v>
      </c>
      <c r="O497">
        <v>6.29</v>
      </c>
      <c r="P497">
        <v>1.2</v>
      </c>
      <c r="Q497">
        <v>3</v>
      </c>
      <c r="R497">
        <f>CORREL(BMW[units_sold],BMW[gdp_growth_percent])</f>
        <v>-5.2597817623217792E-17</v>
      </c>
    </row>
    <row r="498" spans="1:18" x14ac:dyDescent="0.35">
      <c r="A498">
        <v>2021</v>
      </c>
      <c r="B498" t="s">
        <v>48</v>
      </c>
      <c r="C498" t="s">
        <v>14</v>
      </c>
      <c r="D498" t="s">
        <v>24</v>
      </c>
      <c r="E498" t="s">
        <v>19</v>
      </c>
      <c r="F498" t="s">
        <v>23</v>
      </c>
      <c r="G498">
        <v>84036</v>
      </c>
      <c r="H498" t="s">
        <v>54</v>
      </c>
      <c r="I498">
        <v>1016</v>
      </c>
      <c r="J498">
        <v>85380576</v>
      </c>
      <c r="K498">
        <v>416378</v>
      </c>
      <c r="L498">
        <v>84964198</v>
      </c>
      <c r="M498">
        <v>284</v>
      </c>
      <c r="N498">
        <v>0.97</v>
      </c>
      <c r="O498">
        <v>6.29</v>
      </c>
      <c r="P498">
        <v>1.2</v>
      </c>
      <c r="Q498">
        <v>1</v>
      </c>
      <c r="R498">
        <f>CORREL(BMW[units_sold],BMW[gdp_growth_percent])</f>
        <v>-5.2597817623217792E-17</v>
      </c>
    </row>
    <row r="499" spans="1:18" x14ac:dyDescent="0.35">
      <c r="A499">
        <v>2021</v>
      </c>
      <c r="B499" t="s">
        <v>45</v>
      </c>
      <c r="C499" t="s">
        <v>36</v>
      </c>
      <c r="D499" t="s">
        <v>18</v>
      </c>
      <c r="E499" t="s">
        <v>19</v>
      </c>
      <c r="F499" t="s">
        <v>17</v>
      </c>
      <c r="G499">
        <v>93531</v>
      </c>
      <c r="H499" t="s">
        <v>54</v>
      </c>
      <c r="I499">
        <v>602</v>
      </c>
      <c r="J499">
        <v>56305662</v>
      </c>
      <c r="K499">
        <v>152326</v>
      </c>
      <c r="L499">
        <v>56153336</v>
      </c>
      <c r="M499">
        <v>270</v>
      </c>
      <c r="N499">
        <v>0.97</v>
      </c>
      <c r="O499">
        <v>6.29</v>
      </c>
      <c r="P499">
        <v>1.2</v>
      </c>
      <c r="Q499">
        <v>3</v>
      </c>
      <c r="R499">
        <f>CORREL(BMW[units_sold],BMW[gdp_growth_percent])</f>
        <v>-5.2597817623217792E-17</v>
      </c>
    </row>
    <row r="500" spans="1:18" x14ac:dyDescent="0.35">
      <c r="A500">
        <v>2023</v>
      </c>
      <c r="B500" t="s">
        <v>46</v>
      </c>
      <c r="C500" t="s">
        <v>38</v>
      </c>
      <c r="D500" t="s">
        <v>29</v>
      </c>
      <c r="E500" t="s">
        <v>16</v>
      </c>
      <c r="F500" t="s">
        <v>23</v>
      </c>
      <c r="G500">
        <v>47940</v>
      </c>
      <c r="H500" t="s">
        <v>57</v>
      </c>
      <c r="I500">
        <v>1109</v>
      </c>
      <c r="J500">
        <v>53165460</v>
      </c>
      <c r="K500">
        <v>127527</v>
      </c>
      <c r="L500">
        <v>53037933</v>
      </c>
      <c r="M500">
        <v>340</v>
      </c>
      <c r="N500">
        <v>0.97</v>
      </c>
      <c r="O500">
        <v>6.29</v>
      </c>
      <c r="P500">
        <v>1.2</v>
      </c>
      <c r="Q500">
        <v>1</v>
      </c>
      <c r="R500">
        <f>CORREL(BMW[units_sold],BMW[gdp_growth_percent])</f>
        <v>-5.2597817623217792E-17</v>
      </c>
    </row>
    <row r="501" spans="1:18" x14ac:dyDescent="0.35">
      <c r="A501">
        <v>2017</v>
      </c>
      <c r="B501" t="s">
        <v>52</v>
      </c>
      <c r="C501" t="s">
        <v>25</v>
      </c>
      <c r="D501" t="s">
        <v>39</v>
      </c>
      <c r="E501" t="s">
        <v>16</v>
      </c>
      <c r="F501" t="s">
        <v>20</v>
      </c>
      <c r="G501">
        <v>51932</v>
      </c>
      <c r="H501" t="s">
        <v>55</v>
      </c>
      <c r="I501">
        <v>711</v>
      </c>
      <c r="J501">
        <v>36923652</v>
      </c>
      <c r="K501">
        <v>398848</v>
      </c>
      <c r="L501">
        <v>36524804</v>
      </c>
      <c r="M501">
        <v>216</v>
      </c>
      <c r="N501">
        <v>0.97</v>
      </c>
      <c r="O501">
        <v>6.29</v>
      </c>
      <c r="P501">
        <v>1.2</v>
      </c>
      <c r="Q501">
        <v>8</v>
      </c>
      <c r="R501">
        <f>CORREL(BMW[units_sold],BMW[gdp_growth_percent])</f>
        <v>-5.2597817623217792E-17</v>
      </c>
    </row>
    <row r="502" spans="1:18" x14ac:dyDescent="0.35">
      <c r="A502">
        <v>2023</v>
      </c>
      <c r="B502" t="s">
        <v>44</v>
      </c>
      <c r="C502" t="s">
        <v>25</v>
      </c>
      <c r="D502" t="s">
        <v>29</v>
      </c>
      <c r="E502" t="s">
        <v>16</v>
      </c>
      <c r="F502" t="s">
        <v>20</v>
      </c>
      <c r="G502">
        <v>91827</v>
      </c>
      <c r="H502" t="s">
        <v>54</v>
      </c>
      <c r="I502">
        <v>896</v>
      </c>
      <c r="J502">
        <v>82276992</v>
      </c>
      <c r="K502">
        <v>474315</v>
      </c>
      <c r="L502">
        <v>81802677</v>
      </c>
      <c r="M502">
        <v>393</v>
      </c>
      <c r="N502">
        <v>0.97</v>
      </c>
      <c r="O502">
        <v>6.29</v>
      </c>
      <c r="P502">
        <v>1.2</v>
      </c>
      <c r="Q502">
        <v>1</v>
      </c>
      <c r="R502">
        <f>CORREL(BMW[units_sold],BMW[gdp_growth_percent])</f>
        <v>-5.2597817623217792E-17</v>
      </c>
    </row>
    <row r="503" spans="1:18" x14ac:dyDescent="0.35">
      <c r="A503">
        <v>2015</v>
      </c>
      <c r="B503" t="s">
        <v>48</v>
      </c>
      <c r="C503" t="s">
        <v>14</v>
      </c>
      <c r="D503" t="s">
        <v>34</v>
      </c>
      <c r="E503" t="s">
        <v>16</v>
      </c>
      <c r="F503" t="s">
        <v>23</v>
      </c>
      <c r="G503">
        <v>96431</v>
      </c>
      <c r="H503" t="s">
        <v>54</v>
      </c>
      <c r="I503">
        <v>937</v>
      </c>
      <c r="J503">
        <v>90355847</v>
      </c>
      <c r="K503">
        <v>482601</v>
      </c>
      <c r="L503">
        <v>89873246</v>
      </c>
      <c r="M503">
        <v>337</v>
      </c>
      <c r="N503">
        <v>0.97</v>
      </c>
      <c r="O503">
        <v>6.29</v>
      </c>
      <c r="P503">
        <v>1.2</v>
      </c>
      <c r="Q503">
        <v>5</v>
      </c>
      <c r="R503">
        <f>CORREL(BMW[units_sold],BMW[gdp_growth_percent])</f>
        <v>-5.2597817623217792E-17</v>
      </c>
    </row>
    <row r="504" spans="1:18" x14ac:dyDescent="0.35">
      <c r="A504">
        <v>2015</v>
      </c>
      <c r="B504" t="s">
        <v>42</v>
      </c>
      <c r="C504" t="s">
        <v>35</v>
      </c>
      <c r="D504" t="s">
        <v>34</v>
      </c>
      <c r="E504" t="s">
        <v>19</v>
      </c>
      <c r="F504" t="s">
        <v>27</v>
      </c>
      <c r="G504">
        <v>59648</v>
      </c>
      <c r="H504" t="s">
        <v>55</v>
      </c>
      <c r="I504">
        <v>724</v>
      </c>
      <c r="J504">
        <v>43185152</v>
      </c>
      <c r="K504">
        <v>216991</v>
      </c>
      <c r="L504">
        <v>42968161</v>
      </c>
      <c r="M504">
        <v>220</v>
      </c>
      <c r="N504">
        <v>0.97</v>
      </c>
      <c r="O504">
        <v>6.29</v>
      </c>
      <c r="P504">
        <v>1.2</v>
      </c>
      <c r="Q504">
        <v>9</v>
      </c>
      <c r="R504">
        <f>CORREL(BMW[units_sold],BMW[gdp_growth_percent])</f>
        <v>-5.2597817623217792E-17</v>
      </c>
    </row>
    <row r="505" spans="1:18" x14ac:dyDescent="0.35">
      <c r="A505">
        <v>2018</v>
      </c>
      <c r="B505" t="s">
        <v>50</v>
      </c>
      <c r="C505" t="s">
        <v>25</v>
      </c>
      <c r="D505" t="s">
        <v>34</v>
      </c>
      <c r="E505" t="s">
        <v>19</v>
      </c>
      <c r="F505" t="s">
        <v>17</v>
      </c>
      <c r="G505">
        <v>67966</v>
      </c>
      <c r="H505" t="s">
        <v>55</v>
      </c>
      <c r="I505">
        <v>480</v>
      </c>
      <c r="J505">
        <v>32623680</v>
      </c>
      <c r="K505">
        <v>146952</v>
      </c>
      <c r="L505">
        <v>32476728</v>
      </c>
      <c r="M505">
        <v>224</v>
      </c>
      <c r="N505">
        <v>0.97</v>
      </c>
      <c r="O505">
        <v>6.29</v>
      </c>
      <c r="P505">
        <v>1.2</v>
      </c>
      <c r="Q505">
        <v>7</v>
      </c>
      <c r="R505">
        <f>CORREL(BMW[units_sold],BMW[gdp_growth_percent])</f>
        <v>-5.2597817623217792E-17</v>
      </c>
    </row>
    <row r="506" spans="1:18" x14ac:dyDescent="0.35">
      <c r="A506">
        <v>2023</v>
      </c>
      <c r="B506" t="s">
        <v>44</v>
      </c>
      <c r="C506" t="s">
        <v>36</v>
      </c>
      <c r="D506" t="s">
        <v>31</v>
      </c>
      <c r="E506" t="s">
        <v>20</v>
      </c>
      <c r="F506" t="s">
        <v>20</v>
      </c>
      <c r="G506">
        <v>62777</v>
      </c>
      <c r="H506" t="s">
        <v>55</v>
      </c>
      <c r="I506">
        <v>157</v>
      </c>
      <c r="J506">
        <v>9855989</v>
      </c>
      <c r="K506">
        <v>372926</v>
      </c>
      <c r="L506">
        <v>9483063</v>
      </c>
      <c r="M506">
        <v>49</v>
      </c>
      <c r="N506">
        <v>0.97</v>
      </c>
      <c r="O506">
        <v>6.29</v>
      </c>
      <c r="P506">
        <v>1.2</v>
      </c>
      <c r="Q506">
        <v>4</v>
      </c>
      <c r="R506">
        <f>CORREL(BMW[units_sold],BMW[gdp_growth_percent])</f>
        <v>-5.2597817623217792E-17</v>
      </c>
    </row>
    <row r="507" spans="1:18" x14ac:dyDescent="0.35">
      <c r="A507">
        <v>2020</v>
      </c>
      <c r="B507" t="s">
        <v>43</v>
      </c>
      <c r="C507" t="s">
        <v>37</v>
      </c>
      <c r="D507" t="s">
        <v>18</v>
      </c>
      <c r="E507" t="s">
        <v>16</v>
      </c>
      <c r="F507" t="s">
        <v>27</v>
      </c>
      <c r="G507">
        <v>67567</v>
      </c>
      <c r="H507" t="s">
        <v>55</v>
      </c>
      <c r="I507">
        <v>488</v>
      </c>
      <c r="J507">
        <v>32972696</v>
      </c>
      <c r="K507">
        <v>383260</v>
      </c>
      <c r="L507">
        <v>32589436</v>
      </c>
      <c r="M507">
        <v>35</v>
      </c>
      <c r="N507">
        <v>0.97</v>
      </c>
      <c r="O507">
        <v>6.29</v>
      </c>
      <c r="P507">
        <v>1.2</v>
      </c>
      <c r="Q507">
        <v>9</v>
      </c>
      <c r="R507">
        <f>CORREL(BMW[units_sold],BMW[gdp_growth_percent])</f>
        <v>-5.2597817623217792E-17</v>
      </c>
    </row>
    <row r="508" spans="1:18" x14ac:dyDescent="0.35">
      <c r="A508">
        <v>2017</v>
      </c>
      <c r="B508" t="s">
        <v>48</v>
      </c>
      <c r="C508" t="s">
        <v>28</v>
      </c>
      <c r="D508" t="s">
        <v>31</v>
      </c>
      <c r="E508" t="s">
        <v>20</v>
      </c>
      <c r="F508" t="s">
        <v>17</v>
      </c>
      <c r="G508">
        <v>52174</v>
      </c>
      <c r="H508" t="s">
        <v>55</v>
      </c>
      <c r="I508">
        <v>149</v>
      </c>
      <c r="J508">
        <v>7773926</v>
      </c>
      <c r="K508">
        <v>401770</v>
      </c>
      <c r="L508">
        <v>7372156</v>
      </c>
      <c r="M508">
        <v>36</v>
      </c>
      <c r="N508">
        <v>0.97</v>
      </c>
      <c r="O508">
        <v>6.29</v>
      </c>
      <c r="P508">
        <v>1.2</v>
      </c>
      <c r="Q508">
        <v>9</v>
      </c>
      <c r="R508">
        <f>CORREL(BMW[units_sold],BMW[gdp_growth_percent])</f>
        <v>-5.2597817623217792E-17</v>
      </c>
    </row>
    <row r="509" spans="1:18" x14ac:dyDescent="0.35">
      <c r="A509">
        <v>2015</v>
      </c>
      <c r="B509" t="s">
        <v>50</v>
      </c>
      <c r="C509" t="s">
        <v>28</v>
      </c>
      <c r="D509" t="s">
        <v>15</v>
      </c>
      <c r="E509" t="s">
        <v>19</v>
      </c>
      <c r="F509" t="s">
        <v>20</v>
      </c>
      <c r="G509">
        <v>77598</v>
      </c>
      <c r="H509" t="s">
        <v>55</v>
      </c>
      <c r="I509">
        <v>863</v>
      </c>
      <c r="J509">
        <v>66967074</v>
      </c>
      <c r="K509">
        <v>483603</v>
      </c>
      <c r="L509">
        <v>66483471</v>
      </c>
      <c r="M509">
        <v>199</v>
      </c>
      <c r="N509">
        <v>0.97</v>
      </c>
      <c r="O509">
        <v>6.29</v>
      </c>
      <c r="P509">
        <v>1.2</v>
      </c>
      <c r="Q509">
        <v>2</v>
      </c>
      <c r="R509">
        <f>CORREL(BMW[units_sold],BMW[gdp_growth_percent])</f>
        <v>-5.2597817623217792E-17</v>
      </c>
    </row>
    <row r="510" spans="1:18" x14ac:dyDescent="0.35">
      <c r="A510">
        <v>2018</v>
      </c>
      <c r="B510" t="s">
        <v>48</v>
      </c>
      <c r="C510" t="s">
        <v>32</v>
      </c>
      <c r="D510" t="s">
        <v>24</v>
      </c>
      <c r="E510" t="s">
        <v>19</v>
      </c>
      <c r="F510" t="s">
        <v>20</v>
      </c>
      <c r="G510">
        <v>94199</v>
      </c>
      <c r="H510" t="s">
        <v>54</v>
      </c>
      <c r="I510">
        <v>512</v>
      </c>
      <c r="J510">
        <v>48229888</v>
      </c>
      <c r="K510">
        <v>196895</v>
      </c>
      <c r="L510">
        <v>48032993</v>
      </c>
      <c r="M510">
        <v>92</v>
      </c>
      <c r="N510">
        <v>0.97</v>
      </c>
      <c r="O510">
        <v>6.29</v>
      </c>
      <c r="P510">
        <v>1.2</v>
      </c>
      <c r="Q510">
        <v>10</v>
      </c>
      <c r="R510">
        <f>CORREL(BMW[units_sold],BMW[gdp_growth_percent])</f>
        <v>-5.2597817623217792E-17</v>
      </c>
    </row>
    <row r="511" spans="1:18" x14ac:dyDescent="0.35">
      <c r="A511">
        <v>2023</v>
      </c>
      <c r="B511" t="s">
        <v>52</v>
      </c>
      <c r="C511" t="s">
        <v>30</v>
      </c>
      <c r="D511" t="s">
        <v>24</v>
      </c>
      <c r="E511" t="s">
        <v>20</v>
      </c>
      <c r="F511" t="s">
        <v>23</v>
      </c>
      <c r="G511">
        <v>48798</v>
      </c>
      <c r="H511" t="s">
        <v>57</v>
      </c>
      <c r="I511">
        <v>1153</v>
      </c>
      <c r="J511">
        <v>56264094</v>
      </c>
      <c r="K511">
        <v>96015</v>
      </c>
      <c r="L511">
        <v>56168079</v>
      </c>
      <c r="M511">
        <v>393</v>
      </c>
      <c r="N511">
        <v>0.97</v>
      </c>
      <c r="O511">
        <v>6.29</v>
      </c>
      <c r="P511">
        <v>1.2</v>
      </c>
      <c r="Q511">
        <v>10</v>
      </c>
      <c r="R511">
        <f>CORREL(BMW[units_sold],BMW[gdp_growth_percent])</f>
        <v>-5.2597817623217792E-17</v>
      </c>
    </row>
    <row r="512" spans="1:18" x14ac:dyDescent="0.35">
      <c r="A512">
        <v>2017</v>
      </c>
      <c r="B512" t="s">
        <v>43</v>
      </c>
      <c r="C512" t="s">
        <v>21</v>
      </c>
      <c r="D512" t="s">
        <v>34</v>
      </c>
      <c r="E512" t="s">
        <v>16</v>
      </c>
      <c r="F512" t="s">
        <v>17</v>
      </c>
      <c r="G512">
        <v>100364</v>
      </c>
      <c r="H512" t="s">
        <v>54</v>
      </c>
      <c r="I512">
        <v>639</v>
      </c>
      <c r="J512">
        <v>64132596</v>
      </c>
      <c r="K512">
        <v>152877</v>
      </c>
      <c r="L512">
        <v>63979719</v>
      </c>
      <c r="M512">
        <v>179</v>
      </c>
      <c r="N512">
        <v>0.97</v>
      </c>
      <c r="O512">
        <v>6.29</v>
      </c>
      <c r="P512">
        <v>1.2</v>
      </c>
      <c r="Q512">
        <v>6</v>
      </c>
      <c r="R512">
        <f>CORREL(BMW[units_sold],BMW[gdp_growth_percent])</f>
        <v>-5.2597817623217792E-17</v>
      </c>
    </row>
    <row r="513" spans="1:18" x14ac:dyDescent="0.35">
      <c r="A513">
        <v>2023</v>
      </c>
      <c r="B513" t="s">
        <v>47</v>
      </c>
      <c r="C513" t="s">
        <v>14</v>
      </c>
      <c r="D513" t="s">
        <v>15</v>
      </c>
      <c r="E513" t="s">
        <v>16</v>
      </c>
      <c r="F513" t="s">
        <v>27</v>
      </c>
      <c r="G513">
        <v>52558</v>
      </c>
      <c r="H513" t="s">
        <v>55</v>
      </c>
      <c r="I513">
        <v>545</v>
      </c>
      <c r="J513">
        <v>28644110</v>
      </c>
      <c r="K513">
        <v>327483</v>
      </c>
      <c r="L513">
        <v>28316627</v>
      </c>
      <c r="M513">
        <v>176</v>
      </c>
      <c r="N513">
        <v>0.97</v>
      </c>
      <c r="O513">
        <v>6.29</v>
      </c>
      <c r="P513">
        <v>1.2</v>
      </c>
      <c r="Q513">
        <v>4</v>
      </c>
      <c r="R513">
        <f>CORREL(BMW[units_sold],BMW[gdp_growth_percent])</f>
        <v>-5.2597817623217792E-17</v>
      </c>
    </row>
    <row r="514" spans="1:18" x14ac:dyDescent="0.35">
      <c r="A514">
        <v>2021</v>
      </c>
      <c r="B514" t="s">
        <v>48</v>
      </c>
      <c r="C514" t="s">
        <v>32</v>
      </c>
      <c r="D514" t="s">
        <v>33</v>
      </c>
      <c r="E514" t="s">
        <v>16</v>
      </c>
      <c r="F514" t="s">
        <v>27</v>
      </c>
      <c r="G514">
        <v>96084</v>
      </c>
      <c r="H514" t="s">
        <v>54</v>
      </c>
      <c r="I514">
        <v>430</v>
      </c>
      <c r="J514">
        <v>41316120</v>
      </c>
      <c r="K514">
        <v>184563</v>
      </c>
      <c r="L514">
        <v>41131557</v>
      </c>
      <c r="M514">
        <v>197</v>
      </c>
      <c r="N514">
        <v>0.97</v>
      </c>
      <c r="O514">
        <v>6.29</v>
      </c>
      <c r="P514">
        <v>1.2</v>
      </c>
      <c r="Q514">
        <v>8</v>
      </c>
      <c r="R514">
        <f>CORREL(BMW[units_sold],BMW[gdp_growth_percent])</f>
        <v>-5.2597817623217792E-17</v>
      </c>
    </row>
    <row r="515" spans="1:18" x14ac:dyDescent="0.35">
      <c r="A515">
        <v>2018</v>
      </c>
      <c r="B515" t="s">
        <v>42</v>
      </c>
      <c r="C515" t="s">
        <v>30</v>
      </c>
      <c r="D515" t="s">
        <v>33</v>
      </c>
      <c r="E515" t="s">
        <v>16</v>
      </c>
      <c r="F515" t="s">
        <v>27</v>
      </c>
      <c r="G515">
        <v>79237</v>
      </c>
      <c r="H515" t="s">
        <v>55</v>
      </c>
      <c r="I515">
        <v>807</v>
      </c>
      <c r="J515">
        <v>63944259</v>
      </c>
      <c r="K515">
        <v>443922</v>
      </c>
      <c r="L515">
        <v>63500337</v>
      </c>
      <c r="M515">
        <v>178</v>
      </c>
      <c r="N515">
        <v>0.97</v>
      </c>
      <c r="O515">
        <v>6.29</v>
      </c>
      <c r="P515">
        <v>1.2</v>
      </c>
      <c r="Q515">
        <v>7</v>
      </c>
      <c r="R515">
        <f>CORREL(BMW[units_sold],BMW[gdp_growth_percent])</f>
        <v>-5.2597817623217792E-17</v>
      </c>
    </row>
    <row r="516" spans="1:18" x14ac:dyDescent="0.35">
      <c r="A516">
        <v>2017</v>
      </c>
      <c r="B516" t="s">
        <v>48</v>
      </c>
      <c r="C516" t="s">
        <v>35</v>
      </c>
      <c r="D516" t="s">
        <v>34</v>
      </c>
      <c r="E516" t="s">
        <v>20</v>
      </c>
      <c r="F516" t="s">
        <v>17</v>
      </c>
      <c r="G516">
        <v>100497</v>
      </c>
      <c r="H516" t="s">
        <v>54</v>
      </c>
      <c r="I516">
        <v>622</v>
      </c>
      <c r="J516">
        <v>62509134</v>
      </c>
      <c r="K516">
        <v>147493</v>
      </c>
      <c r="L516">
        <v>62361641</v>
      </c>
      <c r="M516">
        <v>298</v>
      </c>
      <c r="N516">
        <v>0.97</v>
      </c>
      <c r="O516">
        <v>6.29</v>
      </c>
      <c r="P516">
        <v>1.2</v>
      </c>
      <c r="Q516">
        <v>7</v>
      </c>
      <c r="R516">
        <f>CORREL(BMW[units_sold],BMW[gdp_growth_percent])</f>
        <v>-5.2597817623217792E-17</v>
      </c>
    </row>
    <row r="517" spans="1:18" x14ac:dyDescent="0.35">
      <c r="A517">
        <v>2024</v>
      </c>
      <c r="B517" t="s">
        <v>46</v>
      </c>
      <c r="C517" t="s">
        <v>38</v>
      </c>
      <c r="D517" t="s">
        <v>39</v>
      </c>
      <c r="E517" t="s">
        <v>20</v>
      </c>
      <c r="F517" t="s">
        <v>27</v>
      </c>
      <c r="G517">
        <v>35178</v>
      </c>
      <c r="H517" t="s">
        <v>57</v>
      </c>
      <c r="I517">
        <v>805</v>
      </c>
      <c r="J517">
        <v>28318290</v>
      </c>
      <c r="K517">
        <v>196800</v>
      </c>
      <c r="L517">
        <v>28121490</v>
      </c>
      <c r="M517">
        <v>238</v>
      </c>
      <c r="N517">
        <v>0.97</v>
      </c>
      <c r="O517">
        <v>6.29</v>
      </c>
      <c r="P517">
        <v>1.2</v>
      </c>
      <c r="Q517">
        <v>10</v>
      </c>
      <c r="R517">
        <f>CORREL(BMW[units_sold],BMW[gdp_growth_percent])</f>
        <v>-5.2597817623217792E-17</v>
      </c>
    </row>
    <row r="518" spans="1:18" x14ac:dyDescent="0.35">
      <c r="A518">
        <v>2019</v>
      </c>
      <c r="B518" t="s">
        <v>44</v>
      </c>
      <c r="C518" t="s">
        <v>38</v>
      </c>
      <c r="D518" t="s">
        <v>31</v>
      </c>
      <c r="E518" t="s">
        <v>19</v>
      </c>
      <c r="F518" t="s">
        <v>27</v>
      </c>
      <c r="G518">
        <v>52118</v>
      </c>
      <c r="H518" t="s">
        <v>55</v>
      </c>
      <c r="I518">
        <v>667</v>
      </c>
      <c r="J518">
        <v>34762706</v>
      </c>
      <c r="K518">
        <v>450213</v>
      </c>
      <c r="L518">
        <v>34312493</v>
      </c>
      <c r="M518">
        <v>106</v>
      </c>
      <c r="N518">
        <v>0.97</v>
      </c>
      <c r="O518">
        <v>6.29</v>
      </c>
      <c r="P518">
        <v>1.2</v>
      </c>
      <c r="Q518">
        <v>9</v>
      </c>
      <c r="R518">
        <f>CORREL(BMW[units_sold],BMW[gdp_growth_percent])</f>
        <v>-5.2597817623217792E-17</v>
      </c>
    </row>
    <row r="519" spans="1:18" x14ac:dyDescent="0.35">
      <c r="A519">
        <v>2019</v>
      </c>
      <c r="B519" t="s">
        <v>44</v>
      </c>
      <c r="C519" t="s">
        <v>21</v>
      </c>
      <c r="D519" t="s">
        <v>34</v>
      </c>
      <c r="E519" t="s">
        <v>16</v>
      </c>
      <c r="F519" t="s">
        <v>27</v>
      </c>
      <c r="G519">
        <v>57616</v>
      </c>
      <c r="H519" t="s">
        <v>55</v>
      </c>
      <c r="I519">
        <v>1202</v>
      </c>
      <c r="J519">
        <v>69254432</v>
      </c>
      <c r="K519">
        <v>241480</v>
      </c>
      <c r="L519">
        <v>69012952</v>
      </c>
      <c r="M519">
        <v>376</v>
      </c>
      <c r="N519">
        <v>0.97</v>
      </c>
      <c r="O519">
        <v>6.29</v>
      </c>
      <c r="P519">
        <v>1.2</v>
      </c>
      <c r="Q519">
        <v>5</v>
      </c>
      <c r="R519">
        <f>CORREL(BMW[units_sold],BMW[gdp_growth_percent])</f>
        <v>-5.2597817623217792E-17</v>
      </c>
    </row>
    <row r="520" spans="1:18" x14ac:dyDescent="0.35">
      <c r="A520">
        <v>2017</v>
      </c>
      <c r="B520" t="s">
        <v>52</v>
      </c>
      <c r="C520" t="s">
        <v>25</v>
      </c>
      <c r="D520" t="s">
        <v>26</v>
      </c>
      <c r="E520" t="s">
        <v>16</v>
      </c>
      <c r="F520" t="s">
        <v>23</v>
      </c>
      <c r="G520">
        <v>35798</v>
      </c>
      <c r="H520" t="s">
        <v>57</v>
      </c>
      <c r="I520">
        <v>151</v>
      </c>
      <c r="J520">
        <v>5405498</v>
      </c>
      <c r="K520">
        <v>441670</v>
      </c>
      <c r="L520">
        <v>4963828</v>
      </c>
      <c r="M520">
        <v>25</v>
      </c>
      <c r="N520">
        <v>0.97</v>
      </c>
      <c r="O520">
        <v>6.29</v>
      </c>
      <c r="P520">
        <v>1.2</v>
      </c>
      <c r="Q520">
        <v>6</v>
      </c>
      <c r="R520">
        <f>CORREL(BMW[units_sold],BMW[gdp_growth_percent])</f>
        <v>-5.2597817623217792E-17</v>
      </c>
    </row>
    <row r="521" spans="1:18" x14ac:dyDescent="0.35">
      <c r="A521">
        <v>2023</v>
      </c>
      <c r="B521" t="s">
        <v>42</v>
      </c>
      <c r="C521" t="s">
        <v>36</v>
      </c>
      <c r="D521" t="s">
        <v>29</v>
      </c>
      <c r="E521" t="s">
        <v>16</v>
      </c>
      <c r="F521" t="s">
        <v>23</v>
      </c>
      <c r="G521">
        <v>42601</v>
      </c>
      <c r="H521" t="s">
        <v>57</v>
      </c>
      <c r="I521">
        <v>711</v>
      </c>
      <c r="J521">
        <v>30289311</v>
      </c>
      <c r="K521">
        <v>481739</v>
      </c>
      <c r="L521">
        <v>29807572</v>
      </c>
      <c r="M521">
        <v>288</v>
      </c>
      <c r="N521">
        <v>0.97</v>
      </c>
      <c r="O521">
        <v>6.29</v>
      </c>
      <c r="P521">
        <v>1.2</v>
      </c>
      <c r="Q521">
        <v>1</v>
      </c>
      <c r="R521">
        <f>CORREL(BMW[units_sold],BMW[gdp_growth_percent])</f>
        <v>-5.2597817623217792E-17</v>
      </c>
    </row>
    <row r="522" spans="1:18" x14ac:dyDescent="0.35">
      <c r="A522">
        <v>2018</v>
      </c>
      <c r="B522" t="s">
        <v>43</v>
      </c>
      <c r="C522" t="s">
        <v>32</v>
      </c>
      <c r="D522" t="s">
        <v>24</v>
      </c>
      <c r="E522" t="s">
        <v>20</v>
      </c>
      <c r="F522" t="s">
        <v>17</v>
      </c>
      <c r="G522">
        <v>60363</v>
      </c>
      <c r="H522" t="s">
        <v>55</v>
      </c>
      <c r="I522">
        <v>561</v>
      </c>
      <c r="J522">
        <v>33863643</v>
      </c>
      <c r="K522">
        <v>171648</v>
      </c>
      <c r="L522">
        <v>33691995</v>
      </c>
      <c r="M522">
        <v>144</v>
      </c>
      <c r="N522">
        <v>0.97</v>
      </c>
      <c r="O522">
        <v>6.29</v>
      </c>
      <c r="P522">
        <v>1.2</v>
      </c>
      <c r="Q522">
        <v>6</v>
      </c>
      <c r="R522">
        <f>CORREL(BMW[units_sold],BMW[gdp_growth_percent])</f>
        <v>-5.2597817623217792E-17</v>
      </c>
    </row>
    <row r="523" spans="1:18" x14ac:dyDescent="0.35">
      <c r="A523">
        <v>2019</v>
      </c>
      <c r="B523" t="s">
        <v>49</v>
      </c>
      <c r="C523" t="s">
        <v>32</v>
      </c>
      <c r="D523" t="s">
        <v>33</v>
      </c>
      <c r="E523" t="s">
        <v>16</v>
      </c>
      <c r="F523" t="s">
        <v>17</v>
      </c>
      <c r="G523">
        <v>37795</v>
      </c>
      <c r="H523" t="s">
        <v>57</v>
      </c>
      <c r="I523">
        <v>192</v>
      </c>
      <c r="J523">
        <v>7256640</v>
      </c>
      <c r="K523">
        <v>337307</v>
      </c>
      <c r="L523">
        <v>6919333</v>
      </c>
      <c r="M523">
        <v>35</v>
      </c>
      <c r="N523">
        <v>0.97</v>
      </c>
      <c r="O523">
        <v>6.29</v>
      </c>
      <c r="P523">
        <v>1.2</v>
      </c>
      <c r="Q523">
        <v>2</v>
      </c>
      <c r="R523">
        <f>CORREL(BMW[units_sold],BMW[gdp_growth_percent])</f>
        <v>-5.2597817623217792E-17</v>
      </c>
    </row>
    <row r="524" spans="1:18" x14ac:dyDescent="0.35">
      <c r="A524">
        <v>2018</v>
      </c>
      <c r="B524" t="s">
        <v>42</v>
      </c>
      <c r="C524" t="s">
        <v>14</v>
      </c>
      <c r="D524" t="s">
        <v>22</v>
      </c>
      <c r="E524" t="s">
        <v>20</v>
      </c>
      <c r="F524" t="s">
        <v>27</v>
      </c>
      <c r="G524">
        <v>80264</v>
      </c>
      <c r="H524" t="s">
        <v>54</v>
      </c>
      <c r="I524">
        <v>936</v>
      </c>
      <c r="J524">
        <v>75127104</v>
      </c>
      <c r="K524">
        <v>198790</v>
      </c>
      <c r="L524">
        <v>74928314</v>
      </c>
      <c r="M524">
        <v>361</v>
      </c>
      <c r="N524">
        <v>0.97</v>
      </c>
      <c r="O524">
        <v>6.29</v>
      </c>
      <c r="P524">
        <v>1.2</v>
      </c>
      <c r="Q524">
        <v>6</v>
      </c>
      <c r="R524">
        <f>CORREL(BMW[units_sold],BMW[gdp_growth_percent])</f>
        <v>-5.2597817623217792E-17</v>
      </c>
    </row>
    <row r="525" spans="1:18" x14ac:dyDescent="0.35">
      <c r="A525">
        <v>2019</v>
      </c>
      <c r="B525" t="s">
        <v>44</v>
      </c>
      <c r="C525" t="s">
        <v>14</v>
      </c>
      <c r="D525" t="s">
        <v>33</v>
      </c>
      <c r="E525" t="s">
        <v>16</v>
      </c>
      <c r="F525" t="s">
        <v>23</v>
      </c>
      <c r="G525">
        <v>107833</v>
      </c>
      <c r="H525" t="s">
        <v>54</v>
      </c>
      <c r="I525">
        <v>395</v>
      </c>
      <c r="J525">
        <v>42594035</v>
      </c>
      <c r="K525">
        <v>137508</v>
      </c>
      <c r="L525">
        <v>42456527</v>
      </c>
      <c r="M525">
        <v>21</v>
      </c>
      <c r="N525">
        <v>0.97</v>
      </c>
      <c r="O525">
        <v>6.29</v>
      </c>
      <c r="P525">
        <v>1.2</v>
      </c>
      <c r="Q525">
        <v>9</v>
      </c>
      <c r="R525">
        <f>CORREL(BMW[units_sold],BMW[gdp_growth_percent])</f>
        <v>-5.2597817623217792E-17</v>
      </c>
    </row>
    <row r="526" spans="1:18" x14ac:dyDescent="0.35">
      <c r="A526">
        <v>2021</v>
      </c>
      <c r="B526" t="s">
        <v>46</v>
      </c>
      <c r="C526" t="s">
        <v>38</v>
      </c>
      <c r="D526" t="s">
        <v>24</v>
      </c>
      <c r="E526" t="s">
        <v>16</v>
      </c>
      <c r="F526" t="s">
        <v>20</v>
      </c>
      <c r="G526">
        <v>38084</v>
      </c>
      <c r="H526" t="s">
        <v>57</v>
      </c>
      <c r="I526">
        <v>267</v>
      </c>
      <c r="J526">
        <v>10168428</v>
      </c>
      <c r="K526">
        <v>264839</v>
      </c>
      <c r="L526">
        <v>9903589</v>
      </c>
      <c r="M526">
        <v>81</v>
      </c>
      <c r="N526">
        <v>0.97</v>
      </c>
      <c r="O526">
        <v>6.29</v>
      </c>
      <c r="P526">
        <v>1.2</v>
      </c>
      <c r="Q526">
        <v>8</v>
      </c>
      <c r="R526">
        <f>CORREL(BMW[units_sold],BMW[gdp_growth_percent])</f>
        <v>-5.2597817623217792E-17</v>
      </c>
    </row>
    <row r="527" spans="1:18" x14ac:dyDescent="0.35">
      <c r="A527">
        <v>2023</v>
      </c>
      <c r="B527" t="s">
        <v>47</v>
      </c>
      <c r="C527" t="s">
        <v>38</v>
      </c>
      <c r="D527" t="s">
        <v>29</v>
      </c>
      <c r="E527" t="s">
        <v>19</v>
      </c>
      <c r="F527" t="s">
        <v>20</v>
      </c>
      <c r="G527">
        <v>111646</v>
      </c>
      <c r="H527" t="s">
        <v>54</v>
      </c>
      <c r="I527">
        <v>716</v>
      </c>
      <c r="J527">
        <v>79938536</v>
      </c>
      <c r="K527">
        <v>351763</v>
      </c>
      <c r="L527">
        <v>79586773</v>
      </c>
      <c r="M527">
        <v>142</v>
      </c>
      <c r="N527">
        <v>0.97</v>
      </c>
      <c r="O527">
        <v>6.29</v>
      </c>
      <c r="P527">
        <v>1.2</v>
      </c>
      <c r="Q527">
        <v>9</v>
      </c>
      <c r="R527">
        <f>CORREL(BMW[units_sold],BMW[gdp_growth_percent])</f>
        <v>-5.2597817623217792E-17</v>
      </c>
    </row>
    <row r="528" spans="1:18" x14ac:dyDescent="0.35">
      <c r="A528">
        <v>2021</v>
      </c>
      <c r="B528" t="s">
        <v>52</v>
      </c>
      <c r="C528" t="s">
        <v>37</v>
      </c>
      <c r="D528" t="s">
        <v>24</v>
      </c>
      <c r="E528" t="s">
        <v>16</v>
      </c>
      <c r="F528" t="s">
        <v>27</v>
      </c>
      <c r="G528">
        <v>35731</v>
      </c>
      <c r="H528" t="s">
        <v>57</v>
      </c>
      <c r="I528">
        <v>524</v>
      </c>
      <c r="J528">
        <v>18723044</v>
      </c>
      <c r="K528">
        <v>324270</v>
      </c>
      <c r="L528">
        <v>18398774</v>
      </c>
      <c r="M528">
        <v>115</v>
      </c>
      <c r="N528">
        <v>0.97</v>
      </c>
      <c r="O528">
        <v>6.29</v>
      </c>
      <c r="P528">
        <v>1.2</v>
      </c>
      <c r="Q528">
        <v>10</v>
      </c>
      <c r="R528">
        <f>CORREL(BMW[units_sold],BMW[gdp_growth_percent])</f>
        <v>-5.2597817623217792E-17</v>
      </c>
    </row>
    <row r="529" spans="1:18" x14ac:dyDescent="0.35">
      <c r="A529">
        <v>2019</v>
      </c>
      <c r="B529" t="s">
        <v>49</v>
      </c>
      <c r="C529" t="s">
        <v>37</v>
      </c>
      <c r="D529" t="s">
        <v>22</v>
      </c>
      <c r="E529" t="s">
        <v>16</v>
      </c>
      <c r="F529" t="s">
        <v>27</v>
      </c>
      <c r="G529">
        <v>36129</v>
      </c>
      <c r="H529" t="s">
        <v>57</v>
      </c>
      <c r="I529">
        <v>717</v>
      </c>
      <c r="J529">
        <v>25904493</v>
      </c>
      <c r="K529">
        <v>114926</v>
      </c>
      <c r="L529">
        <v>25789567</v>
      </c>
      <c r="M529">
        <v>229</v>
      </c>
      <c r="N529">
        <v>0.97</v>
      </c>
      <c r="O529">
        <v>6.29</v>
      </c>
      <c r="P529">
        <v>1.2</v>
      </c>
      <c r="Q529">
        <v>8</v>
      </c>
      <c r="R529">
        <f>CORREL(BMW[units_sold],BMW[gdp_growth_percent])</f>
        <v>-5.2597817623217792E-17</v>
      </c>
    </row>
    <row r="530" spans="1:18" x14ac:dyDescent="0.35">
      <c r="A530">
        <v>2024</v>
      </c>
      <c r="B530" t="s">
        <v>46</v>
      </c>
      <c r="C530" t="s">
        <v>25</v>
      </c>
      <c r="D530" t="s">
        <v>34</v>
      </c>
      <c r="E530" t="s">
        <v>19</v>
      </c>
      <c r="F530" t="s">
        <v>23</v>
      </c>
      <c r="G530">
        <v>63022</v>
      </c>
      <c r="H530" t="s">
        <v>55</v>
      </c>
      <c r="I530">
        <v>935</v>
      </c>
      <c r="J530">
        <v>58925570</v>
      </c>
      <c r="K530">
        <v>90633</v>
      </c>
      <c r="L530">
        <v>58834937</v>
      </c>
      <c r="M530">
        <v>382</v>
      </c>
      <c r="N530">
        <v>0.97</v>
      </c>
      <c r="O530">
        <v>6.29</v>
      </c>
      <c r="P530">
        <v>1.2</v>
      </c>
      <c r="Q530">
        <v>3</v>
      </c>
      <c r="R530">
        <f>CORREL(BMW[units_sold],BMW[gdp_growth_percent])</f>
        <v>-5.2597817623217792E-17</v>
      </c>
    </row>
    <row r="531" spans="1:18" x14ac:dyDescent="0.35">
      <c r="A531">
        <v>2024</v>
      </c>
      <c r="B531" t="s">
        <v>43</v>
      </c>
      <c r="C531" t="s">
        <v>37</v>
      </c>
      <c r="D531" t="s">
        <v>15</v>
      </c>
      <c r="E531" t="s">
        <v>20</v>
      </c>
      <c r="F531" t="s">
        <v>23</v>
      </c>
      <c r="G531">
        <v>36605</v>
      </c>
      <c r="H531" t="s">
        <v>57</v>
      </c>
      <c r="I531">
        <v>622</v>
      </c>
      <c r="J531">
        <v>22768310</v>
      </c>
      <c r="K531">
        <v>258726</v>
      </c>
      <c r="L531">
        <v>22509584</v>
      </c>
      <c r="M531">
        <v>186</v>
      </c>
      <c r="N531">
        <v>0.97</v>
      </c>
      <c r="O531">
        <v>6.29</v>
      </c>
      <c r="P531">
        <v>1.2</v>
      </c>
      <c r="Q531">
        <v>8</v>
      </c>
      <c r="R531">
        <f>CORREL(BMW[units_sold],BMW[gdp_growth_percent])</f>
        <v>-5.2597817623217792E-17</v>
      </c>
    </row>
    <row r="532" spans="1:18" x14ac:dyDescent="0.35">
      <c r="A532">
        <v>2021</v>
      </c>
      <c r="B532" t="s">
        <v>43</v>
      </c>
      <c r="C532" t="s">
        <v>36</v>
      </c>
      <c r="D532" t="s">
        <v>22</v>
      </c>
      <c r="E532" t="s">
        <v>20</v>
      </c>
      <c r="F532" t="s">
        <v>23</v>
      </c>
      <c r="G532">
        <v>112506</v>
      </c>
      <c r="H532" t="s">
        <v>54</v>
      </c>
      <c r="I532">
        <v>681</v>
      </c>
      <c r="J532">
        <v>76616586</v>
      </c>
      <c r="K532">
        <v>53317</v>
      </c>
      <c r="L532">
        <v>76563269</v>
      </c>
      <c r="M532">
        <v>291</v>
      </c>
      <c r="N532">
        <v>0.97</v>
      </c>
      <c r="O532">
        <v>6.29</v>
      </c>
      <c r="P532">
        <v>1.2</v>
      </c>
      <c r="Q532">
        <v>6</v>
      </c>
      <c r="R532">
        <f>CORREL(BMW[units_sold],BMW[gdp_growth_percent])</f>
        <v>-5.2597817623217792E-17</v>
      </c>
    </row>
    <row r="533" spans="1:18" x14ac:dyDescent="0.35">
      <c r="A533">
        <v>2024</v>
      </c>
      <c r="B533" t="s">
        <v>46</v>
      </c>
      <c r="C533" t="s">
        <v>36</v>
      </c>
      <c r="D533" t="s">
        <v>24</v>
      </c>
      <c r="E533" t="s">
        <v>16</v>
      </c>
      <c r="F533" t="s">
        <v>17</v>
      </c>
      <c r="G533">
        <v>79130</v>
      </c>
      <c r="H533" t="s">
        <v>55</v>
      </c>
      <c r="I533">
        <v>348</v>
      </c>
      <c r="J533">
        <v>27537240</v>
      </c>
      <c r="K533">
        <v>357124</v>
      </c>
      <c r="L533">
        <v>27180116</v>
      </c>
      <c r="M533">
        <v>142</v>
      </c>
      <c r="N533">
        <v>0.97</v>
      </c>
      <c r="O533">
        <v>6.29</v>
      </c>
      <c r="P533">
        <v>1.2</v>
      </c>
      <c r="Q533">
        <v>6</v>
      </c>
      <c r="R533">
        <f>CORREL(BMW[units_sold],BMW[gdp_growth_percent])</f>
        <v>-5.2597817623217792E-17</v>
      </c>
    </row>
    <row r="534" spans="1:18" x14ac:dyDescent="0.35">
      <c r="A534">
        <v>2019</v>
      </c>
      <c r="B534" t="s">
        <v>41</v>
      </c>
      <c r="C534" t="s">
        <v>32</v>
      </c>
      <c r="D534" t="s">
        <v>24</v>
      </c>
      <c r="E534" t="s">
        <v>20</v>
      </c>
      <c r="F534" t="s">
        <v>17</v>
      </c>
      <c r="G534">
        <v>64265</v>
      </c>
      <c r="H534" t="s">
        <v>55</v>
      </c>
      <c r="I534">
        <v>231</v>
      </c>
      <c r="J534">
        <v>14845215</v>
      </c>
      <c r="K534">
        <v>356259</v>
      </c>
      <c r="L534">
        <v>14488956</v>
      </c>
      <c r="M534">
        <v>31</v>
      </c>
      <c r="N534">
        <v>0.97</v>
      </c>
      <c r="O534">
        <v>6.29</v>
      </c>
      <c r="P534">
        <v>1.2</v>
      </c>
      <c r="Q534">
        <v>6</v>
      </c>
      <c r="R534">
        <f>CORREL(BMW[units_sold],BMW[gdp_growth_percent])</f>
        <v>-5.2597817623217792E-17</v>
      </c>
    </row>
    <row r="535" spans="1:18" x14ac:dyDescent="0.35">
      <c r="A535">
        <v>2017</v>
      </c>
      <c r="B535" t="s">
        <v>52</v>
      </c>
      <c r="C535" t="s">
        <v>28</v>
      </c>
      <c r="D535" t="s">
        <v>26</v>
      </c>
      <c r="E535" t="s">
        <v>16</v>
      </c>
      <c r="F535" t="s">
        <v>27</v>
      </c>
      <c r="G535">
        <v>67330</v>
      </c>
      <c r="H535" t="s">
        <v>55</v>
      </c>
      <c r="I535">
        <v>896</v>
      </c>
      <c r="J535">
        <v>60327680</v>
      </c>
      <c r="K535">
        <v>242718</v>
      </c>
      <c r="L535">
        <v>60084962</v>
      </c>
      <c r="M535">
        <v>278</v>
      </c>
      <c r="N535">
        <v>0.97</v>
      </c>
      <c r="O535">
        <v>6.29</v>
      </c>
      <c r="P535">
        <v>1.2</v>
      </c>
      <c r="Q535">
        <v>3</v>
      </c>
      <c r="R535">
        <f>CORREL(BMW[units_sold],BMW[gdp_growth_percent])</f>
        <v>-5.2597817623217792E-17</v>
      </c>
    </row>
    <row r="536" spans="1:18" x14ac:dyDescent="0.35">
      <c r="A536">
        <v>2021</v>
      </c>
      <c r="B536" t="s">
        <v>42</v>
      </c>
      <c r="C536" t="s">
        <v>36</v>
      </c>
      <c r="D536" t="s">
        <v>26</v>
      </c>
      <c r="E536" t="s">
        <v>19</v>
      </c>
      <c r="F536" t="s">
        <v>17</v>
      </c>
      <c r="G536">
        <v>103469</v>
      </c>
      <c r="H536" t="s">
        <v>54</v>
      </c>
      <c r="I536">
        <v>735</v>
      </c>
      <c r="J536">
        <v>76049715</v>
      </c>
      <c r="K536">
        <v>355302</v>
      </c>
      <c r="L536">
        <v>75694413</v>
      </c>
      <c r="M536">
        <v>170</v>
      </c>
      <c r="N536">
        <v>0.97</v>
      </c>
      <c r="O536">
        <v>6.29</v>
      </c>
      <c r="P536">
        <v>1.2</v>
      </c>
      <c r="Q536">
        <v>10</v>
      </c>
      <c r="R536">
        <f>CORREL(BMW[units_sold],BMW[gdp_growth_percent])</f>
        <v>-5.2597817623217792E-17</v>
      </c>
    </row>
    <row r="537" spans="1:18" x14ac:dyDescent="0.35">
      <c r="A537">
        <v>2016</v>
      </c>
      <c r="B537" t="s">
        <v>50</v>
      </c>
      <c r="C537" t="s">
        <v>30</v>
      </c>
      <c r="D537" t="s">
        <v>18</v>
      </c>
      <c r="E537" t="s">
        <v>19</v>
      </c>
      <c r="F537" t="s">
        <v>23</v>
      </c>
      <c r="G537">
        <v>50187</v>
      </c>
      <c r="H537" t="s">
        <v>55</v>
      </c>
      <c r="I537">
        <v>708</v>
      </c>
      <c r="J537">
        <v>35532396</v>
      </c>
      <c r="K537">
        <v>237035</v>
      </c>
      <c r="L537">
        <v>35295361</v>
      </c>
      <c r="M537">
        <v>116</v>
      </c>
      <c r="N537">
        <v>0.97</v>
      </c>
      <c r="O537">
        <v>6.29</v>
      </c>
      <c r="P537">
        <v>1.2</v>
      </c>
      <c r="Q537">
        <v>1</v>
      </c>
      <c r="R537">
        <f>CORREL(BMW[units_sold],BMW[gdp_growth_percent])</f>
        <v>-5.2597817623217792E-17</v>
      </c>
    </row>
    <row r="538" spans="1:18" x14ac:dyDescent="0.35">
      <c r="A538">
        <v>2023</v>
      </c>
      <c r="B538" t="s">
        <v>47</v>
      </c>
      <c r="C538" t="s">
        <v>38</v>
      </c>
      <c r="D538" t="s">
        <v>26</v>
      </c>
      <c r="E538" t="s">
        <v>16</v>
      </c>
      <c r="F538" t="s">
        <v>23</v>
      </c>
      <c r="G538">
        <v>60791</v>
      </c>
      <c r="H538" t="s">
        <v>55</v>
      </c>
      <c r="I538">
        <v>625</v>
      </c>
      <c r="J538">
        <v>37994375</v>
      </c>
      <c r="K538">
        <v>490847</v>
      </c>
      <c r="L538">
        <v>37503528</v>
      </c>
      <c r="M538">
        <v>288</v>
      </c>
      <c r="N538">
        <v>0.97</v>
      </c>
      <c r="O538">
        <v>6.29</v>
      </c>
      <c r="P538">
        <v>1.2</v>
      </c>
      <c r="Q538">
        <v>4</v>
      </c>
      <c r="R538">
        <f>CORREL(BMW[units_sold],BMW[gdp_growth_percent])</f>
        <v>-5.2597817623217792E-17</v>
      </c>
    </row>
    <row r="539" spans="1:18" x14ac:dyDescent="0.35">
      <c r="A539">
        <v>2024</v>
      </c>
      <c r="B539" t="s">
        <v>50</v>
      </c>
      <c r="C539" t="s">
        <v>14</v>
      </c>
      <c r="D539" t="s">
        <v>31</v>
      </c>
      <c r="E539" t="s">
        <v>19</v>
      </c>
      <c r="F539" t="s">
        <v>17</v>
      </c>
      <c r="G539">
        <v>105610</v>
      </c>
      <c r="H539" t="s">
        <v>54</v>
      </c>
      <c r="I539">
        <v>1022</v>
      </c>
      <c r="J539">
        <v>107933420</v>
      </c>
      <c r="K539">
        <v>230388</v>
      </c>
      <c r="L539">
        <v>107703032</v>
      </c>
      <c r="M539">
        <v>362</v>
      </c>
      <c r="N539">
        <v>0.97</v>
      </c>
      <c r="O539">
        <v>6.29</v>
      </c>
      <c r="P539">
        <v>1.2</v>
      </c>
      <c r="Q539">
        <v>10</v>
      </c>
      <c r="R539">
        <f>CORREL(BMW[units_sold],BMW[gdp_growth_percent])</f>
        <v>-5.2597817623217792E-17</v>
      </c>
    </row>
    <row r="540" spans="1:18" x14ac:dyDescent="0.35">
      <c r="A540">
        <v>2024</v>
      </c>
      <c r="B540" t="s">
        <v>42</v>
      </c>
      <c r="C540" t="s">
        <v>37</v>
      </c>
      <c r="D540" t="s">
        <v>15</v>
      </c>
      <c r="E540" t="s">
        <v>19</v>
      </c>
      <c r="F540" t="s">
        <v>20</v>
      </c>
      <c r="G540">
        <v>74867</v>
      </c>
      <c r="H540" t="s">
        <v>55</v>
      </c>
      <c r="I540">
        <v>951</v>
      </c>
      <c r="J540">
        <v>71198517</v>
      </c>
      <c r="K540">
        <v>417508</v>
      </c>
      <c r="L540">
        <v>70781009</v>
      </c>
      <c r="M540">
        <v>244</v>
      </c>
      <c r="N540">
        <v>0.97</v>
      </c>
      <c r="O540">
        <v>6.29</v>
      </c>
      <c r="P540">
        <v>1.2</v>
      </c>
      <c r="Q540">
        <v>6</v>
      </c>
      <c r="R540">
        <f>CORREL(BMW[units_sold],BMW[gdp_growth_percent])</f>
        <v>-5.2597817623217792E-17</v>
      </c>
    </row>
    <row r="541" spans="1:18" x14ac:dyDescent="0.35">
      <c r="A541">
        <v>2015</v>
      </c>
      <c r="B541" t="s">
        <v>42</v>
      </c>
      <c r="C541" t="s">
        <v>32</v>
      </c>
      <c r="D541" t="s">
        <v>29</v>
      </c>
      <c r="E541" t="s">
        <v>16</v>
      </c>
      <c r="F541" t="s">
        <v>27</v>
      </c>
      <c r="G541">
        <v>35893</v>
      </c>
      <c r="H541" t="s">
        <v>57</v>
      </c>
      <c r="I541">
        <v>212</v>
      </c>
      <c r="J541">
        <v>7609316</v>
      </c>
      <c r="K541">
        <v>327648</v>
      </c>
      <c r="L541">
        <v>7281668</v>
      </c>
      <c r="M541">
        <v>27</v>
      </c>
      <c r="N541">
        <v>0.97</v>
      </c>
      <c r="O541">
        <v>6.29</v>
      </c>
      <c r="P541">
        <v>1.2</v>
      </c>
      <c r="Q541">
        <v>10</v>
      </c>
      <c r="R541">
        <f>CORREL(BMW[units_sold],BMW[gdp_growth_percent])</f>
        <v>-5.2597817623217792E-17</v>
      </c>
    </row>
    <row r="542" spans="1:18" x14ac:dyDescent="0.35">
      <c r="A542">
        <v>2020</v>
      </c>
      <c r="B542" t="s">
        <v>52</v>
      </c>
      <c r="C542" t="s">
        <v>21</v>
      </c>
      <c r="D542" t="s">
        <v>22</v>
      </c>
      <c r="E542" t="s">
        <v>16</v>
      </c>
      <c r="F542" t="s">
        <v>20</v>
      </c>
      <c r="G542">
        <v>54773</v>
      </c>
      <c r="H542" t="s">
        <v>55</v>
      </c>
      <c r="I542">
        <v>982</v>
      </c>
      <c r="J542">
        <v>53787086</v>
      </c>
      <c r="K542">
        <v>249665</v>
      </c>
      <c r="L542">
        <v>53537421</v>
      </c>
      <c r="M542">
        <v>251</v>
      </c>
      <c r="N542">
        <v>0.97</v>
      </c>
      <c r="O542">
        <v>6.29</v>
      </c>
      <c r="P542">
        <v>1.2</v>
      </c>
      <c r="Q542">
        <v>2</v>
      </c>
      <c r="R542">
        <f>CORREL(BMW[units_sold],BMW[gdp_growth_percent])</f>
        <v>-5.2597817623217792E-17</v>
      </c>
    </row>
    <row r="543" spans="1:18" x14ac:dyDescent="0.35">
      <c r="A543">
        <v>2021</v>
      </c>
      <c r="B543" t="s">
        <v>42</v>
      </c>
      <c r="C543" t="s">
        <v>14</v>
      </c>
      <c r="D543" t="s">
        <v>24</v>
      </c>
      <c r="E543" t="s">
        <v>19</v>
      </c>
      <c r="F543" t="s">
        <v>27</v>
      </c>
      <c r="G543">
        <v>39239</v>
      </c>
      <c r="H543" t="s">
        <v>57</v>
      </c>
      <c r="I543">
        <v>659</v>
      </c>
      <c r="J543">
        <v>25858501</v>
      </c>
      <c r="K543">
        <v>469876</v>
      </c>
      <c r="L543">
        <v>25388625</v>
      </c>
      <c r="M543">
        <v>126</v>
      </c>
      <c r="N543">
        <v>0.97</v>
      </c>
      <c r="O543">
        <v>6.29</v>
      </c>
      <c r="P543">
        <v>1.2</v>
      </c>
      <c r="Q543">
        <v>7</v>
      </c>
      <c r="R543">
        <f>CORREL(BMW[units_sold],BMW[gdp_growth_percent])</f>
        <v>-5.2597817623217792E-17</v>
      </c>
    </row>
    <row r="544" spans="1:18" x14ac:dyDescent="0.35">
      <c r="A544">
        <v>2022</v>
      </c>
      <c r="B544" t="s">
        <v>44</v>
      </c>
      <c r="C544" t="s">
        <v>30</v>
      </c>
      <c r="D544" t="s">
        <v>18</v>
      </c>
      <c r="E544" t="s">
        <v>20</v>
      </c>
      <c r="F544" t="s">
        <v>20</v>
      </c>
      <c r="G544">
        <v>55863</v>
      </c>
      <c r="H544" t="s">
        <v>55</v>
      </c>
      <c r="I544">
        <v>1031</v>
      </c>
      <c r="J544">
        <v>57594753</v>
      </c>
      <c r="K544">
        <v>349340</v>
      </c>
      <c r="L544">
        <v>57245413</v>
      </c>
      <c r="M544">
        <v>295</v>
      </c>
      <c r="N544">
        <v>0.97</v>
      </c>
      <c r="O544">
        <v>6.29</v>
      </c>
      <c r="P544">
        <v>1.2</v>
      </c>
      <c r="Q544">
        <v>7</v>
      </c>
      <c r="R544">
        <f>CORREL(BMW[units_sold],BMW[gdp_growth_percent])</f>
        <v>-5.2597817623217792E-17</v>
      </c>
    </row>
    <row r="545" spans="1:18" x14ac:dyDescent="0.35">
      <c r="A545">
        <v>2024</v>
      </c>
      <c r="B545" t="s">
        <v>41</v>
      </c>
      <c r="C545" t="s">
        <v>37</v>
      </c>
      <c r="D545" t="s">
        <v>18</v>
      </c>
      <c r="E545" t="s">
        <v>20</v>
      </c>
      <c r="F545" t="s">
        <v>17</v>
      </c>
      <c r="G545">
        <v>86415</v>
      </c>
      <c r="H545" t="s">
        <v>54</v>
      </c>
      <c r="I545">
        <v>666</v>
      </c>
      <c r="J545">
        <v>57552390</v>
      </c>
      <c r="K545">
        <v>378082</v>
      </c>
      <c r="L545">
        <v>57174308</v>
      </c>
      <c r="M545">
        <v>291</v>
      </c>
      <c r="N545">
        <v>0.97</v>
      </c>
      <c r="O545">
        <v>6.29</v>
      </c>
      <c r="P545">
        <v>1.2</v>
      </c>
      <c r="Q545">
        <v>4</v>
      </c>
      <c r="R545">
        <f>CORREL(BMW[units_sold],BMW[gdp_growth_percent])</f>
        <v>-5.2597817623217792E-17</v>
      </c>
    </row>
    <row r="546" spans="1:18" x14ac:dyDescent="0.35">
      <c r="A546">
        <v>2023</v>
      </c>
      <c r="B546" t="s">
        <v>49</v>
      </c>
      <c r="C546" t="s">
        <v>30</v>
      </c>
      <c r="D546" t="s">
        <v>29</v>
      </c>
      <c r="E546" t="s">
        <v>16</v>
      </c>
      <c r="F546" t="s">
        <v>27</v>
      </c>
      <c r="G546">
        <v>103968</v>
      </c>
      <c r="H546" t="s">
        <v>54</v>
      </c>
      <c r="I546">
        <v>601</v>
      </c>
      <c r="J546">
        <v>62484768</v>
      </c>
      <c r="K546">
        <v>451821</v>
      </c>
      <c r="L546">
        <v>62032947</v>
      </c>
      <c r="M546">
        <v>153</v>
      </c>
      <c r="N546">
        <v>0.97</v>
      </c>
      <c r="O546">
        <v>6.29</v>
      </c>
      <c r="P546">
        <v>1.2</v>
      </c>
      <c r="Q546">
        <v>4</v>
      </c>
      <c r="R546">
        <f>CORREL(BMW[units_sold],BMW[gdp_growth_percent])</f>
        <v>-5.2597817623217792E-17</v>
      </c>
    </row>
    <row r="547" spans="1:18" x14ac:dyDescent="0.35">
      <c r="A547">
        <v>2016</v>
      </c>
      <c r="B547" t="s">
        <v>42</v>
      </c>
      <c r="C547" t="s">
        <v>38</v>
      </c>
      <c r="D547" t="s">
        <v>15</v>
      </c>
      <c r="E547" t="s">
        <v>16</v>
      </c>
      <c r="F547" t="s">
        <v>27</v>
      </c>
      <c r="G547">
        <v>95430</v>
      </c>
      <c r="H547" t="s">
        <v>54</v>
      </c>
      <c r="I547">
        <v>510</v>
      </c>
      <c r="J547">
        <v>48669300</v>
      </c>
      <c r="K547">
        <v>369532</v>
      </c>
      <c r="L547">
        <v>48299768</v>
      </c>
      <c r="M547">
        <v>214</v>
      </c>
      <c r="N547">
        <v>0.97</v>
      </c>
      <c r="O547">
        <v>6.29</v>
      </c>
      <c r="P547">
        <v>1.2</v>
      </c>
      <c r="Q547">
        <v>1</v>
      </c>
      <c r="R547">
        <f>CORREL(BMW[units_sold],BMW[gdp_growth_percent])</f>
        <v>-5.2597817623217792E-17</v>
      </c>
    </row>
    <row r="548" spans="1:18" x14ac:dyDescent="0.35">
      <c r="A548">
        <v>2024</v>
      </c>
      <c r="B548" t="s">
        <v>50</v>
      </c>
      <c r="C548" t="s">
        <v>38</v>
      </c>
      <c r="D548" t="s">
        <v>22</v>
      </c>
      <c r="E548" t="s">
        <v>20</v>
      </c>
      <c r="F548" t="s">
        <v>27</v>
      </c>
      <c r="G548">
        <v>36515</v>
      </c>
      <c r="H548" t="s">
        <v>57</v>
      </c>
      <c r="I548">
        <v>474</v>
      </c>
      <c r="J548">
        <v>17308110</v>
      </c>
      <c r="K548">
        <v>262369</v>
      </c>
      <c r="L548">
        <v>17045741</v>
      </c>
      <c r="M548">
        <v>48</v>
      </c>
      <c r="N548">
        <v>0.97</v>
      </c>
      <c r="O548">
        <v>6.29</v>
      </c>
      <c r="P548">
        <v>1.2</v>
      </c>
      <c r="Q548">
        <v>2</v>
      </c>
      <c r="R548">
        <f>CORREL(BMW[units_sold],BMW[gdp_growth_percent])</f>
        <v>-5.2597817623217792E-17</v>
      </c>
    </row>
    <row r="549" spans="1:18" x14ac:dyDescent="0.35">
      <c r="A549">
        <v>2016</v>
      </c>
      <c r="B549" t="s">
        <v>42</v>
      </c>
      <c r="C549" t="s">
        <v>25</v>
      </c>
      <c r="D549" t="s">
        <v>33</v>
      </c>
      <c r="E549" t="s">
        <v>19</v>
      </c>
      <c r="F549" t="s">
        <v>23</v>
      </c>
      <c r="G549">
        <v>49605</v>
      </c>
      <c r="H549" t="s">
        <v>57</v>
      </c>
      <c r="I549">
        <v>759</v>
      </c>
      <c r="J549">
        <v>37650195</v>
      </c>
      <c r="K549">
        <v>105501</v>
      </c>
      <c r="L549">
        <v>37544694</v>
      </c>
      <c r="M549">
        <v>163</v>
      </c>
      <c r="N549">
        <v>0.97</v>
      </c>
      <c r="O549">
        <v>6.29</v>
      </c>
      <c r="P549">
        <v>1.2</v>
      </c>
      <c r="Q549">
        <v>9</v>
      </c>
      <c r="R549">
        <f>CORREL(BMW[units_sold],BMW[gdp_growth_percent])</f>
        <v>-5.2597817623217792E-17</v>
      </c>
    </row>
    <row r="550" spans="1:18" x14ac:dyDescent="0.35">
      <c r="A550">
        <v>2019</v>
      </c>
      <c r="B550" t="s">
        <v>43</v>
      </c>
      <c r="C550" t="s">
        <v>32</v>
      </c>
      <c r="D550" t="s">
        <v>26</v>
      </c>
      <c r="E550" t="s">
        <v>20</v>
      </c>
      <c r="F550" t="s">
        <v>23</v>
      </c>
      <c r="G550">
        <v>91240</v>
      </c>
      <c r="H550" t="s">
        <v>54</v>
      </c>
      <c r="I550">
        <v>750</v>
      </c>
      <c r="J550">
        <v>68430000</v>
      </c>
      <c r="K550">
        <v>234381</v>
      </c>
      <c r="L550">
        <v>68195619</v>
      </c>
      <c r="M550">
        <v>185</v>
      </c>
      <c r="N550">
        <v>0.97</v>
      </c>
      <c r="O550">
        <v>6.29</v>
      </c>
      <c r="P550">
        <v>1.2</v>
      </c>
      <c r="Q550">
        <v>10</v>
      </c>
      <c r="R550">
        <f>CORREL(BMW[units_sold],BMW[gdp_growth_percent])</f>
        <v>-5.2597817623217792E-17</v>
      </c>
    </row>
    <row r="551" spans="1:18" x14ac:dyDescent="0.35">
      <c r="A551">
        <v>2019</v>
      </c>
      <c r="B551" t="s">
        <v>41</v>
      </c>
      <c r="C551" t="s">
        <v>14</v>
      </c>
      <c r="D551" t="s">
        <v>34</v>
      </c>
      <c r="E551" t="s">
        <v>20</v>
      </c>
      <c r="F551" t="s">
        <v>20</v>
      </c>
      <c r="G551">
        <v>40586</v>
      </c>
      <c r="H551" t="s">
        <v>57</v>
      </c>
      <c r="I551">
        <v>930</v>
      </c>
      <c r="J551">
        <v>37744980</v>
      </c>
      <c r="K551">
        <v>77043</v>
      </c>
      <c r="L551">
        <v>37667937</v>
      </c>
      <c r="M551">
        <v>250</v>
      </c>
      <c r="N551">
        <v>0.97</v>
      </c>
      <c r="O551">
        <v>6.29</v>
      </c>
      <c r="P551">
        <v>1.2</v>
      </c>
      <c r="Q551">
        <v>8</v>
      </c>
      <c r="R551">
        <f>CORREL(BMW[units_sold],BMW[gdp_growth_percent])</f>
        <v>-5.2597817623217792E-17</v>
      </c>
    </row>
    <row r="552" spans="1:18" x14ac:dyDescent="0.35">
      <c r="A552">
        <v>2020</v>
      </c>
      <c r="B552" t="s">
        <v>44</v>
      </c>
      <c r="C552" t="s">
        <v>35</v>
      </c>
      <c r="D552" t="s">
        <v>18</v>
      </c>
      <c r="E552" t="s">
        <v>20</v>
      </c>
      <c r="F552" t="s">
        <v>17</v>
      </c>
      <c r="G552">
        <v>66186</v>
      </c>
      <c r="H552" t="s">
        <v>55</v>
      </c>
      <c r="I552">
        <v>905</v>
      </c>
      <c r="J552">
        <v>59898330</v>
      </c>
      <c r="K552">
        <v>83635</v>
      </c>
      <c r="L552">
        <v>59814695</v>
      </c>
      <c r="M552">
        <v>395</v>
      </c>
      <c r="N552">
        <v>0.97</v>
      </c>
      <c r="O552">
        <v>6.29</v>
      </c>
      <c r="P552">
        <v>1.2</v>
      </c>
      <c r="Q552">
        <v>8</v>
      </c>
      <c r="R552">
        <f>CORREL(BMW[units_sold],BMW[gdp_growth_percent])</f>
        <v>-5.2597817623217792E-17</v>
      </c>
    </row>
    <row r="553" spans="1:18" x14ac:dyDescent="0.35">
      <c r="A553">
        <v>2017</v>
      </c>
      <c r="B553" t="s">
        <v>44</v>
      </c>
      <c r="C553" t="s">
        <v>35</v>
      </c>
      <c r="D553" t="s">
        <v>26</v>
      </c>
      <c r="E553" t="s">
        <v>20</v>
      </c>
      <c r="F553" t="s">
        <v>23</v>
      </c>
      <c r="G553">
        <v>61928</v>
      </c>
      <c r="H553" t="s">
        <v>55</v>
      </c>
      <c r="I553">
        <v>798</v>
      </c>
      <c r="J553">
        <v>49418544</v>
      </c>
      <c r="K553">
        <v>260387</v>
      </c>
      <c r="L553">
        <v>49158157</v>
      </c>
      <c r="M553">
        <v>378</v>
      </c>
      <c r="N553">
        <v>0.97</v>
      </c>
      <c r="O553">
        <v>6.29</v>
      </c>
      <c r="P553">
        <v>1.2</v>
      </c>
      <c r="Q553">
        <v>9</v>
      </c>
      <c r="R553">
        <f>CORREL(BMW[units_sold],BMW[gdp_growth_percent])</f>
        <v>-5.2597817623217792E-17</v>
      </c>
    </row>
    <row r="554" spans="1:18" x14ac:dyDescent="0.35">
      <c r="A554">
        <v>2022</v>
      </c>
      <c r="B554" t="s">
        <v>48</v>
      </c>
      <c r="C554" t="s">
        <v>14</v>
      </c>
      <c r="D554" t="s">
        <v>26</v>
      </c>
      <c r="E554" t="s">
        <v>16</v>
      </c>
      <c r="F554" t="s">
        <v>27</v>
      </c>
      <c r="G554">
        <v>118087</v>
      </c>
      <c r="H554" t="s">
        <v>54</v>
      </c>
      <c r="I554">
        <v>311</v>
      </c>
      <c r="J554">
        <v>36725057</v>
      </c>
      <c r="K554">
        <v>130691</v>
      </c>
      <c r="L554">
        <v>36594366</v>
      </c>
      <c r="M554">
        <v>143</v>
      </c>
      <c r="N554">
        <v>0.97</v>
      </c>
      <c r="O554">
        <v>6.29</v>
      </c>
      <c r="P554">
        <v>1.2</v>
      </c>
      <c r="Q554">
        <v>7</v>
      </c>
      <c r="R554">
        <f>CORREL(BMW[units_sold],BMW[gdp_growth_percent])</f>
        <v>-5.2597817623217792E-17</v>
      </c>
    </row>
    <row r="555" spans="1:18" x14ac:dyDescent="0.35">
      <c r="A555">
        <v>2015</v>
      </c>
      <c r="B555" t="s">
        <v>44</v>
      </c>
      <c r="C555" t="s">
        <v>21</v>
      </c>
      <c r="D555" t="s">
        <v>31</v>
      </c>
      <c r="E555" t="s">
        <v>16</v>
      </c>
      <c r="F555" t="s">
        <v>23</v>
      </c>
      <c r="G555">
        <v>55711</v>
      </c>
      <c r="H555" t="s">
        <v>55</v>
      </c>
      <c r="I555">
        <v>170</v>
      </c>
      <c r="J555">
        <v>9470870</v>
      </c>
      <c r="K555">
        <v>345276</v>
      </c>
      <c r="L555">
        <v>9125594</v>
      </c>
      <c r="M555">
        <v>55</v>
      </c>
      <c r="N555">
        <v>0.97</v>
      </c>
      <c r="O555">
        <v>6.29</v>
      </c>
      <c r="P555">
        <v>1.2</v>
      </c>
      <c r="Q555">
        <v>9</v>
      </c>
      <c r="R555">
        <f>CORREL(BMW[units_sold],BMW[gdp_growth_percent])</f>
        <v>-5.2597817623217792E-17</v>
      </c>
    </row>
    <row r="556" spans="1:18" x14ac:dyDescent="0.35">
      <c r="A556">
        <v>2020</v>
      </c>
      <c r="B556" t="s">
        <v>48</v>
      </c>
      <c r="C556" t="s">
        <v>32</v>
      </c>
      <c r="D556" t="s">
        <v>15</v>
      </c>
      <c r="E556" t="s">
        <v>19</v>
      </c>
      <c r="F556" t="s">
        <v>17</v>
      </c>
      <c r="G556">
        <v>89962</v>
      </c>
      <c r="H556" t="s">
        <v>54</v>
      </c>
      <c r="I556">
        <v>282</v>
      </c>
      <c r="J556">
        <v>25369284</v>
      </c>
      <c r="K556">
        <v>327510</v>
      </c>
      <c r="L556">
        <v>25041774</v>
      </c>
      <c r="M556">
        <v>59</v>
      </c>
      <c r="N556">
        <v>0.97</v>
      </c>
      <c r="O556">
        <v>6.29</v>
      </c>
      <c r="P556">
        <v>1.2</v>
      </c>
      <c r="Q556">
        <v>10</v>
      </c>
      <c r="R556">
        <f>CORREL(BMW[units_sold],BMW[gdp_growth_percent])</f>
        <v>-5.2597817623217792E-17</v>
      </c>
    </row>
    <row r="557" spans="1:18" x14ac:dyDescent="0.35">
      <c r="A557">
        <v>2018</v>
      </c>
      <c r="B557" t="s">
        <v>46</v>
      </c>
      <c r="C557" t="s">
        <v>30</v>
      </c>
      <c r="D557" t="s">
        <v>34</v>
      </c>
      <c r="E557" t="s">
        <v>19</v>
      </c>
      <c r="F557" t="s">
        <v>23</v>
      </c>
      <c r="G557">
        <v>55039</v>
      </c>
      <c r="H557" t="s">
        <v>55</v>
      </c>
      <c r="I557">
        <v>668</v>
      </c>
      <c r="J557">
        <v>36766052</v>
      </c>
      <c r="K557">
        <v>143944</v>
      </c>
      <c r="L557">
        <v>36622108</v>
      </c>
      <c r="M557">
        <v>175</v>
      </c>
      <c r="N557">
        <v>0.97</v>
      </c>
      <c r="O557">
        <v>6.29</v>
      </c>
      <c r="P557">
        <v>1.2</v>
      </c>
      <c r="Q557">
        <v>2</v>
      </c>
      <c r="R557">
        <f>CORREL(BMW[units_sold],BMW[gdp_growth_percent])</f>
        <v>-5.2597817623217792E-17</v>
      </c>
    </row>
    <row r="558" spans="1:18" x14ac:dyDescent="0.35">
      <c r="A558">
        <v>2015</v>
      </c>
      <c r="B558" t="s">
        <v>47</v>
      </c>
      <c r="C558" t="s">
        <v>21</v>
      </c>
      <c r="D558" t="s">
        <v>33</v>
      </c>
      <c r="E558" t="s">
        <v>19</v>
      </c>
      <c r="F558" t="s">
        <v>27</v>
      </c>
      <c r="G558">
        <v>71561</v>
      </c>
      <c r="H558" t="s">
        <v>55</v>
      </c>
      <c r="I558">
        <v>284</v>
      </c>
      <c r="J558">
        <v>20323324</v>
      </c>
      <c r="K558">
        <v>253179</v>
      </c>
      <c r="L558">
        <v>20070145</v>
      </c>
      <c r="M558">
        <v>115</v>
      </c>
      <c r="N558">
        <v>0.97</v>
      </c>
      <c r="O558">
        <v>6.29</v>
      </c>
      <c r="P558">
        <v>1.2</v>
      </c>
      <c r="Q558">
        <v>6</v>
      </c>
      <c r="R558">
        <f>CORREL(BMW[units_sold],BMW[gdp_growth_percent])</f>
        <v>-5.2597817623217792E-17</v>
      </c>
    </row>
    <row r="559" spans="1:18" x14ac:dyDescent="0.35">
      <c r="A559">
        <v>2021</v>
      </c>
      <c r="B559" t="s">
        <v>45</v>
      </c>
      <c r="C559" t="s">
        <v>28</v>
      </c>
      <c r="D559" t="s">
        <v>24</v>
      </c>
      <c r="E559" t="s">
        <v>19</v>
      </c>
      <c r="F559" t="s">
        <v>20</v>
      </c>
      <c r="G559">
        <v>110483</v>
      </c>
      <c r="H559" t="s">
        <v>54</v>
      </c>
      <c r="I559">
        <v>641</v>
      </c>
      <c r="J559">
        <v>70819603</v>
      </c>
      <c r="K559">
        <v>427411</v>
      </c>
      <c r="L559">
        <v>70392192</v>
      </c>
      <c r="M559">
        <v>225</v>
      </c>
      <c r="N559">
        <v>0.97</v>
      </c>
      <c r="O559">
        <v>6.29</v>
      </c>
      <c r="P559">
        <v>1.2</v>
      </c>
      <c r="Q559">
        <v>3</v>
      </c>
      <c r="R559">
        <f>CORREL(BMW[units_sold],BMW[gdp_growth_percent])</f>
        <v>-5.2597817623217792E-17</v>
      </c>
    </row>
    <row r="560" spans="1:18" x14ac:dyDescent="0.35">
      <c r="A560">
        <v>2023</v>
      </c>
      <c r="B560" t="s">
        <v>44</v>
      </c>
      <c r="C560" t="s">
        <v>14</v>
      </c>
      <c r="D560" t="s">
        <v>31</v>
      </c>
      <c r="E560" t="s">
        <v>20</v>
      </c>
      <c r="F560" t="s">
        <v>27</v>
      </c>
      <c r="G560">
        <v>116395</v>
      </c>
      <c r="H560" t="s">
        <v>54</v>
      </c>
      <c r="I560">
        <v>550</v>
      </c>
      <c r="J560">
        <v>64017250</v>
      </c>
      <c r="K560">
        <v>89236</v>
      </c>
      <c r="L560">
        <v>63928014</v>
      </c>
      <c r="M560">
        <v>155</v>
      </c>
      <c r="N560">
        <v>0.97</v>
      </c>
      <c r="O560">
        <v>6.29</v>
      </c>
      <c r="P560">
        <v>1.2</v>
      </c>
      <c r="Q560">
        <v>6</v>
      </c>
      <c r="R560">
        <f>CORREL(BMW[units_sold],BMW[gdp_growth_percent])</f>
        <v>-5.2597817623217792E-17</v>
      </c>
    </row>
    <row r="561" spans="1:18" x14ac:dyDescent="0.35">
      <c r="A561">
        <v>2018</v>
      </c>
      <c r="B561" t="s">
        <v>49</v>
      </c>
      <c r="C561" t="s">
        <v>30</v>
      </c>
      <c r="D561" t="s">
        <v>26</v>
      </c>
      <c r="E561" t="s">
        <v>16</v>
      </c>
      <c r="F561" t="s">
        <v>17</v>
      </c>
      <c r="G561">
        <v>36577</v>
      </c>
      <c r="H561" t="s">
        <v>57</v>
      </c>
      <c r="I561">
        <v>626</v>
      </c>
      <c r="J561">
        <v>22897202</v>
      </c>
      <c r="K561">
        <v>316294</v>
      </c>
      <c r="L561">
        <v>22580908</v>
      </c>
      <c r="M561">
        <v>81</v>
      </c>
      <c r="N561">
        <v>0.97</v>
      </c>
      <c r="O561">
        <v>6.29</v>
      </c>
      <c r="P561">
        <v>1.2</v>
      </c>
      <c r="Q561">
        <v>3</v>
      </c>
      <c r="R561">
        <f>CORREL(BMW[units_sold],BMW[gdp_growth_percent])</f>
        <v>-5.2597817623217792E-17</v>
      </c>
    </row>
    <row r="562" spans="1:18" x14ac:dyDescent="0.35">
      <c r="A562">
        <v>2018</v>
      </c>
      <c r="B562" t="s">
        <v>43</v>
      </c>
      <c r="C562" t="s">
        <v>35</v>
      </c>
      <c r="D562" t="s">
        <v>26</v>
      </c>
      <c r="E562" t="s">
        <v>16</v>
      </c>
      <c r="F562" t="s">
        <v>20</v>
      </c>
      <c r="G562">
        <v>63350</v>
      </c>
      <c r="H562" t="s">
        <v>55</v>
      </c>
      <c r="I562">
        <v>1033</v>
      </c>
      <c r="J562">
        <v>65440550</v>
      </c>
      <c r="K562">
        <v>423513</v>
      </c>
      <c r="L562">
        <v>65017037</v>
      </c>
      <c r="M562">
        <v>339</v>
      </c>
      <c r="N562">
        <v>0.97</v>
      </c>
      <c r="O562">
        <v>6.29</v>
      </c>
      <c r="P562">
        <v>1.2</v>
      </c>
      <c r="Q562">
        <v>8</v>
      </c>
      <c r="R562">
        <f>CORREL(BMW[units_sold],BMW[gdp_growth_percent])</f>
        <v>-5.2597817623217792E-17</v>
      </c>
    </row>
    <row r="563" spans="1:18" x14ac:dyDescent="0.35">
      <c r="A563">
        <v>2020</v>
      </c>
      <c r="B563" t="s">
        <v>51</v>
      </c>
      <c r="C563" t="s">
        <v>36</v>
      </c>
      <c r="D563" t="s">
        <v>39</v>
      </c>
      <c r="E563" t="s">
        <v>19</v>
      </c>
      <c r="F563" t="s">
        <v>23</v>
      </c>
      <c r="G563">
        <v>68798</v>
      </c>
      <c r="H563" t="s">
        <v>55</v>
      </c>
      <c r="I563">
        <v>730</v>
      </c>
      <c r="J563">
        <v>50222540</v>
      </c>
      <c r="K563">
        <v>331567</v>
      </c>
      <c r="L563">
        <v>49890973</v>
      </c>
      <c r="M563">
        <v>282</v>
      </c>
      <c r="N563">
        <v>0.97</v>
      </c>
      <c r="O563">
        <v>6.29</v>
      </c>
      <c r="P563">
        <v>1.2</v>
      </c>
      <c r="Q563">
        <v>4</v>
      </c>
      <c r="R563">
        <f>CORREL(BMW[units_sold],BMW[gdp_growth_percent])</f>
        <v>-5.2597817623217792E-17</v>
      </c>
    </row>
    <row r="564" spans="1:18" x14ac:dyDescent="0.35">
      <c r="A564">
        <v>2017</v>
      </c>
      <c r="B564" t="s">
        <v>46</v>
      </c>
      <c r="C564" t="s">
        <v>25</v>
      </c>
      <c r="D564" t="s">
        <v>34</v>
      </c>
      <c r="E564" t="s">
        <v>19</v>
      </c>
      <c r="F564" t="s">
        <v>23</v>
      </c>
      <c r="G564">
        <v>116417</v>
      </c>
      <c r="H564" t="s">
        <v>54</v>
      </c>
      <c r="I564">
        <v>705</v>
      </c>
      <c r="J564">
        <v>82073985</v>
      </c>
      <c r="K564">
        <v>54137</v>
      </c>
      <c r="L564">
        <v>82019848</v>
      </c>
      <c r="M564">
        <v>256</v>
      </c>
      <c r="N564">
        <v>0.97</v>
      </c>
      <c r="O564">
        <v>6.29</v>
      </c>
      <c r="P564">
        <v>1.2</v>
      </c>
      <c r="Q564">
        <v>10</v>
      </c>
      <c r="R564">
        <f>CORREL(BMW[units_sold],BMW[gdp_growth_percent])</f>
        <v>-5.2597817623217792E-17</v>
      </c>
    </row>
    <row r="565" spans="1:18" x14ac:dyDescent="0.35">
      <c r="A565">
        <v>2020</v>
      </c>
      <c r="B565" t="s">
        <v>44</v>
      </c>
      <c r="C565" t="s">
        <v>35</v>
      </c>
      <c r="D565" t="s">
        <v>34</v>
      </c>
      <c r="E565" t="s">
        <v>20</v>
      </c>
      <c r="F565" t="s">
        <v>23</v>
      </c>
      <c r="G565">
        <v>45785</v>
      </c>
      <c r="H565" t="s">
        <v>57</v>
      </c>
      <c r="I565">
        <v>542</v>
      </c>
      <c r="J565">
        <v>24815470</v>
      </c>
      <c r="K565">
        <v>79992</v>
      </c>
      <c r="L565">
        <v>24735478</v>
      </c>
      <c r="M565">
        <v>195</v>
      </c>
      <c r="N565">
        <v>0.97</v>
      </c>
      <c r="O565">
        <v>6.29</v>
      </c>
      <c r="P565">
        <v>1.2</v>
      </c>
      <c r="Q565">
        <v>6</v>
      </c>
      <c r="R565">
        <f>CORREL(BMW[units_sold],BMW[gdp_growth_percent])</f>
        <v>-5.2597817623217792E-17</v>
      </c>
    </row>
    <row r="566" spans="1:18" x14ac:dyDescent="0.35">
      <c r="A566">
        <v>2021</v>
      </c>
      <c r="B566" t="s">
        <v>47</v>
      </c>
      <c r="C566" t="s">
        <v>32</v>
      </c>
      <c r="D566" t="s">
        <v>39</v>
      </c>
      <c r="E566" t="s">
        <v>20</v>
      </c>
      <c r="F566" t="s">
        <v>20</v>
      </c>
      <c r="G566">
        <v>107227</v>
      </c>
      <c r="H566" t="s">
        <v>54</v>
      </c>
      <c r="I566">
        <v>380</v>
      </c>
      <c r="J566">
        <v>40746260</v>
      </c>
      <c r="K566">
        <v>422684</v>
      </c>
      <c r="L566">
        <v>40323576</v>
      </c>
      <c r="M566">
        <v>79</v>
      </c>
      <c r="N566">
        <v>0.97</v>
      </c>
      <c r="O566">
        <v>6.29</v>
      </c>
      <c r="P566">
        <v>1.2</v>
      </c>
      <c r="Q566">
        <v>9</v>
      </c>
      <c r="R566">
        <f>CORREL(BMW[units_sold],BMW[gdp_growth_percent])</f>
        <v>-5.2597817623217792E-17</v>
      </c>
    </row>
    <row r="567" spans="1:18" x14ac:dyDescent="0.35">
      <c r="A567">
        <v>2024</v>
      </c>
      <c r="B567" t="s">
        <v>48</v>
      </c>
      <c r="C567" t="s">
        <v>38</v>
      </c>
      <c r="D567" t="s">
        <v>34</v>
      </c>
      <c r="E567" t="s">
        <v>19</v>
      </c>
      <c r="F567" t="s">
        <v>27</v>
      </c>
      <c r="G567">
        <v>96957</v>
      </c>
      <c r="H567" t="s">
        <v>54</v>
      </c>
      <c r="I567">
        <v>605</v>
      </c>
      <c r="J567">
        <v>58658985</v>
      </c>
      <c r="K567">
        <v>165140</v>
      </c>
      <c r="L567">
        <v>58493845</v>
      </c>
      <c r="M567">
        <v>159</v>
      </c>
      <c r="N567">
        <v>0.97</v>
      </c>
      <c r="O567">
        <v>6.29</v>
      </c>
      <c r="P567">
        <v>1.2</v>
      </c>
      <c r="Q567">
        <v>2</v>
      </c>
      <c r="R567">
        <f>CORREL(BMW[units_sold],BMW[gdp_growth_percent])</f>
        <v>-5.2597817623217792E-17</v>
      </c>
    </row>
    <row r="568" spans="1:18" x14ac:dyDescent="0.35">
      <c r="A568">
        <v>2024</v>
      </c>
      <c r="B568" t="s">
        <v>50</v>
      </c>
      <c r="C568" t="s">
        <v>36</v>
      </c>
      <c r="D568" t="s">
        <v>26</v>
      </c>
      <c r="E568" t="s">
        <v>16</v>
      </c>
      <c r="F568" t="s">
        <v>20</v>
      </c>
      <c r="G568">
        <v>100431</v>
      </c>
      <c r="H568" t="s">
        <v>54</v>
      </c>
      <c r="I568">
        <v>646</v>
      </c>
      <c r="J568">
        <v>64878426</v>
      </c>
      <c r="K568">
        <v>225993</v>
      </c>
      <c r="L568">
        <v>64652433</v>
      </c>
      <c r="M568">
        <v>255</v>
      </c>
      <c r="N568">
        <v>0.97</v>
      </c>
      <c r="O568">
        <v>6.29</v>
      </c>
      <c r="P568">
        <v>1.2</v>
      </c>
      <c r="Q568">
        <v>2</v>
      </c>
      <c r="R568">
        <f>CORREL(BMW[units_sold],BMW[gdp_growth_percent])</f>
        <v>-5.2597817623217792E-17</v>
      </c>
    </row>
    <row r="569" spans="1:18" x14ac:dyDescent="0.35">
      <c r="A569">
        <v>2017</v>
      </c>
      <c r="B569" t="s">
        <v>51</v>
      </c>
      <c r="C569" t="s">
        <v>25</v>
      </c>
      <c r="D569" t="s">
        <v>18</v>
      </c>
      <c r="E569" t="s">
        <v>16</v>
      </c>
      <c r="F569" t="s">
        <v>20</v>
      </c>
      <c r="G569">
        <v>52297</v>
      </c>
      <c r="H569" t="s">
        <v>55</v>
      </c>
      <c r="I569">
        <v>738</v>
      </c>
      <c r="J569">
        <v>38595186</v>
      </c>
      <c r="K569">
        <v>171225</v>
      </c>
      <c r="L569">
        <v>38423961</v>
      </c>
      <c r="M569">
        <v>271</v>
      </c>
      <c r="N569">
        <v>0.97</v>
      </c>
      <c r="O569">
        <v>6.29</v>
      </c>
      <c r="P569">
        <v>1.2</v>
      </c>
      <c r="Q569">
        <v>7</v>
      </c>
      <c r="R569">
        <f>CORREL(BMW[units_sold],BMW[gdp_growth_percent])</f>
        <v>-5.2597817623217792E-17</v>
      </c>
    </row>
    <row r="570" spans="1:18" x14ac:dyDescent="0.35">
      <c r="A570">
        <v>2021</v>
      </c>
      <c r="B570" t="s">
        <v>47</v>
      </c>
      <c r="C570" t="s">
        <v>25</v>
      </c>
      <c r="D570" t="s">
        <v>22</v>
      </c>
      <c r="E570" t="s">
        <v>16</v>
      </c>
      <c r="F570" t="s">
        <v>17</v>
      </c>
      <c r="G570">
        <v>106894</v>
      </c>
      <c r="H570" t="s">
        <v>54</v>
      </c>
      <c r="I570">
        <v>467</v>
      </c>
      <c r="J570">
        <v>49919498</v>
      </c>
      <c r="K570">
        <v>379061</v>
      </c>
      <c r="L570">
        <v>49540437</v>
      </c>
      <c r="M570">
        <v>35</v>
      </c>
      <c r="N570">
        <v>0.97</v>
      </c>
      <c r="O570">
        <v>6.29</v>
      </c>
      <c r="P570">
        <v>1.2</v>
      </c>
      <c r="Q570">
        <v>2</v>
      </c>
      <c r="R570">
        <f>CORREL(BMW[units_sold],BMW[gdp_growth_percent])</f>
        <v>-5.2597817623217792E-17</v>
      </c>
    </row>
    <row r="571" spans="1:18" x14ac:dyDescent="0.35">
      <c r="A571">
        <v>2017</v>
      </c>
      <c r="B571" t="s">
        <v>47</v>
      </c>
      <c r="C571" t="s">
        <v>28</v>
      </c>
      <c r="D571" t="s">
        <v>26</v>
      </c>
      <c r="E571" t="s">
        <v>19</v>
      </c>
      <c r="F571" t="s">
        <v>20</v>
      </c>
      <c r="G571">
        <v>98772</v>
      </c>
      <c r="H571" t="s">
        <v>54</v>
      </c>
      <c r="I571">
        <v>406</v>
      </c>
      <c r="J571">
        <v>40101432</v>
      </c>
      <c r="K571">
        <v>385834</v>
      </c>
      <c r="L571">
        <v>39715598</v>
      </c>
      <c r="M571">
        <v>149</v>
      </c>
      <c r="N571">
        <v>0.97</v>
      </c>
      <c r="O571">
        <v>6.29</v>
      </c>
      <c r="P571">
        <v>1.2</v>
      </c>
      <c r="Q571">
        <v>2</v>
      </c>
      <c r="R571">
        <f>CORREL(BMW[units_sold],BMW[gdp_growth_percent])</f>
        <v>-5.2597817623217792E-17</v>
      </c>
    </row>
    <row r="572" spans="1:18" x14ac:dyDescent="0.35">
      <c r="A572">
        <v>2016</v>
      </c>
      <c r="B572" t="s">
        <v>44</v>
      </c>
      <c r="C572" t="s">
        <v>28</v>
      </c>
      <c r="D572" t="s">
        <v>31</v>
      </c>
      <c r="E572" t="s">
        <v>16</v>
      </c>
      <c r="F572" t="s">
        <v>23</v>
      </c>
      <c r="G572">
        <v>54581</v>
      </c>
      <c r="H572" t="s">
        <v>55</v>
      </c>
      <c r="I572">
        <v>346</v>
      </c>
      <c r="J572">
        <v>18885026</v>
      </c>
      <c r="K572">
        <v>346379</v>
      </c>
      <c r="L572">
        <v>18538647</v>
      </c>
      <c r="M572">
        <v>108</v>
      </c>
      <c r="N572">
        <v>0.97</v>
      </c>
      <c r="O572">
        <v>6.29</v>
      </c>
      <c r="P572">
        <v>1.2</v>
      </c>
      <c r="Q572">
        <v>4</v>
      </c>
      <c r="R572">
        <f>CORREL(BMW[units_sold],BMW[gdp_growth_percent])</f>
        <v>-5.2597817623217792E-17</v>
      </c>
    </row>
    <row r="573" spans="1:18" x14ac:dyDescent="0.35">
      <c r="A573">
        <v>2024</v>
      </c>
      <c r="B573" t="s">
        <v>46</v>
      </c>
      <c r="C573" t="s">
        <v>37</v>
      </c>
      <c r="D573" t="s">
        <v>15</v>
      </c>
      <c r="E573" t="s">
        <v>20</v>
      </c>
      <c r="F573" t="s">
        <v>27</v>
      </c>
      <c r="G573">
        <v>90192</v>
      </c>
      <c r="H573" t="s">
        <v>54</v>
      </c>
      <c r="I573">
        <v>784</v>
      </c>
      <c r="J573">
        <v>70710528</v>
      </c>
      <c r="K573">
        <v>260047</v>
      </c>
      <c r="L573">
        <v>70450481</v>
      </c>
      <c r="M573">
        <v>287</v>
      </c>
      <c r="N573">
        <v>0.97</v>
      </c>
      <c r="O573">
        <v>6.29</v>
      </c>
      <c r="P573">
        <v>1.2</v>
      </c>
      <c r="Q573">
        <v>9</v>
      </c>
      <c r="R573">
        <f>CORREL(BMW[units_sold],BMW[gdp_growth_percent])</f>
        <v>-5.2597817623217792E-17</v>
      </c>
    </row>
    <row r="574" spans="1:18" x14ac:dyDescent="0.35">
      <c r="A574">
        <v>2018</v>
      </c>
      <c r="B574" t="s">
        <v>51</v>
      </c>
      <c r="C574" t="s">
        <v>35</v>
      </c>
      <c r="D574" t="s">
        <v>39</v>
      </c>
      <c r="E574" t="s">
        <v>20</v>
      </c>
      <c r="F574" t="s">
        <v>27</v>
      </c>
      <c r="G574">
        <v>36462</v>
      </c>
      <c r="H574" t="s">
        <v>57</v>
      </c>
      <c r="I574">
        <v>182</v>
      </c>
      <c r="J574">
        <v>6636084</v>
      </c>
      <c r="K574">
        <v>69122</v>
      </c>
      <c r="L574">
        <v>6566962</v>
      </c>
      <c r="M574">
        <v>60</v>
      </c>
      <c r="N574">
        <v>0.97</v>
      </c>
      <c r="O574">
        <v>6.29</v>
      </c>
      <c r="P574">
        <v>1.2</v>
      </c>
      <c r="Q574">
        <v>8</v>
      </c>
      <c r="R574">
        <f>CORREL(BMW[units_sold],BMW[gdp_growth_percent])</f>
        <v>-5.2597817623217792E-17</v>
      </c>
    </row>
    <row r="575" spans="1:18" x14ac:dyDescent="0.35">
      <c r="A575">
        <v>2022</v>
      </c>
      <c r="B575" t="s">
        <v>52</v>
      </c>
      <c r="C575" t="s">
        <v>35</v>
      </c>
      <c r="D575" t="s">
        <v>33</v>
      </c>
      <c r="E575" t="s">
        <v>19</v>
      </c>
      <c r="F575" t="s">
        <v>27</v>
      </c>
      <c r="G575">
        <v>99173</v>
      </c>
      <c r="H575" t="s">
        <v>54</v>
      </c>
      <c r="I575">
        <v>431</v>
      </c>
      <c r="J575">
        <v>42743563</v>
      </c>
      <c r="K575">
        <v>336100</v>
      </c>
      <c r="L575">
        <v>42407463</v>
      </c>
      <c r="M575">
        <v>160</v>
      </c>
      <c r="N575">
        <v>0.97</v>
      </c>
      <c r="O575">
        <v>6.29</v>
      </c>
      <c r="P575">
        <v>1.2</v>
      </c>
      <c r="Q575">
        <v>2</v>
      </c>
      <c r="R575">
        <f>CORREL(BMW[units_sold],BMW[gdp_growth_percent])</f>
        <v>-5.2597817623217792E-17</v>
      </c>
    </row>
    <row r="576" spans="1:18" x14ac:dyDescent="0.35">
      <c r="A576">
        <v>2023</v>
      </c>
      <c r="B576" t="s">
        <v>45</v>
      </c>
      <c r="C576" t="s">
        <v>35</v>
      </c>
      <c r="D576" t="s">
        <v>24</v>
      </c>
      <c r="E576" t="s">
        <v>20</v>
      </c>
      <c r="F576" t="s">
        <v>23</v>
      </c>
      <c r="G576">
        <v>50511</v>
      </c>
      <c r="H576" t="s">
        <v>55</v>
      </c>
      <c r="I576">
        <v>309</v>
      </c>
      <c r="J576">
        <v>15607899</v>
      </c>
      <c r="K576">
        <v>113879</v>
      </c>
      <c r="L576">
        <v>15494020</v>
      </c>
      <c r="M576">
        <v>113</v>
      </c>
      <c r="N576">
        <v>0.97</v>
      </c>
      <c r="O576">
        <v>6.29</v>
      </c>
      <c r="P576">
        <v>1.2</v>
      </c>
      <c r="Q576">
        <v>8</v>
      </c>
      <c r="R576">
        <f>CORREL(BMW[units_sold],BMW[gdp_growth_percent])</f>
        <v>-5.2597817623217792E-17</v>
      </c>
    </row>
    <row r="577" spans="1:18" x14ac:dyDescent="0.35">
      <c r="A577">
        <v>2021</v>
      </c>
      <c r="B577" t="s">
        <v>52</v>
      </c>
      <c r="C577" t="s">
        <v>37</v>
      </c>
      <c r="D577" t="s">
        <v>33</v>
      </c>
      <c r="E577" t="s">
        <v>19</v>
      </c>
      <c r="F577" t="s">
        <v>23</v>
      </c>
      <c r="G577">
        <v>111106</v>
      </c>
      <c r="H577" t="s">
        <v>54</v>
      </c>
      <c r="I577">
        <v>381</v>
      </c>
      <c r="J577">
        <v>42331386</v>
      </c>
      <c r="K577">
        <v>108560</v>
      </c>
      <c r="L577">
        <v>42222826</v>
      </c>
      <c r="M577">
        <v>98</v>
      </c>
      <c r="N577">
        <v>0.97</v>
      </c>
      <c r="O577">
        <v>6.29</v>
      </c>
      <c r="P577">
        <v>1.2</v>
      </c>
      <c r="Q577">
        <v>4</v>
      </c>
      <c r="R577">
        <f>CORREL(BMW[units_sold],BMW[gdp_growth_percent])</f>
        <v>-5.2597817623217792E-17</v>
      </c>
    </row>
    <row r="578" spans="1:18" x14ac:dyDescent="0.35">
      <c r="A578">
        <v>2015</v>
      </c>
      <c r="B578" t="s">
        <v>43</v>
      </c>
      <c r="C578" t="s">
        <v>21</v>
      </c>
      <c r="D578" t="s">
        <v>26</v>
      </c>
      <c r="E578" t="s">
        <v>16</v>
      </c>
      <c r="F578" t="s">
        <v>23</v>
      </c>
      <c r="G578">
        <v>83665</v>
      </c>
      <c r="H578" t="s">
        <v>54</v>
      </c>
      <c r="I578">
        <v>553</v>
      </c>
      <c r="J578">
        <v>46266745</v>
      </c>
      <c r="K578">
        <v>422454</v>
      </c>
      <c r="L578">
        <v>45844291</v>
      </c>
      <c r="M578">
        <v>150</v>
      </c>
      <c r="N578">
        <v>0.97</v>
      </c>
      <c r="O578">
        <v>6.29</v>
      </c>
      <c r="P578">
        <v>1.2</v>
      </c>
      <c r="Q578">
        <v>2</v>
      </c>
      <c r="R578">
        <f>CORREL(BMW[units_sold],BMW[gdp_growth_percent])</f>
        <v>-5.2597817623217792E-17</v>
      </c>
    </row>
    <row r="579" spans="1:18" x14ac:dyDescent="0.35">
      <c r="A579">
        <v>2017</v>
      </c>
      <c r="B579" t="s">
        <v>51</v>
      </c>
      <c r="C579" t="s">
        <v>25</v>
      </c>
      <c r="D579" t="s">
        <v>31</v>
      </c>
      <c r="E579" t="s">
        <v>16</v>
      </c>
      <c r="F579" t="s">
        <v>23</v>
      </c>
      <c r="G579">
        <v>79414</v>
      </c>
      <c r="H579" t="s">
        <v>55</v>
      </c>
      <c r="I579">
        <v>632</v>
      </c>
      <c r="J579">
        <v>50189648</v>
      </c>
      <c r="K579">
        <v>249757</v>
      </c>
      <c r="L579">
        <v>49939891</v>
      </c>
      <c r="M579">
        <v>222</v>
      </c>
      <c r="N579">
        <v>0.97</v>
      </c>
      <c r="O579">
        <v>6.29</v>
      </c>
      <c r="P579">
        <v>1.2</v>
      </c>
      <c r="Q579">
        <v>10</v>
      </c>
      <c r="R579">
        <f>CORREL(BMW[units_sold],BMW[gdp_growth_percent])</f>
        <v>-5.2597817623217792E-17</v>
      </c>
    </row>
    <row r="580" spans="1:18" x14ac:dyDescent="0.35">
      <c r="A580">
        <v>2023</v>
      </c>
      <c r="B580" t="s">
        <v>52</v>
      </c>
      <c r="C580" t="s">
        <v>36</v>
      </c>
      <c r="D580" t="s">
        <v>26</v>
      </c>
      <c r="E580" t="s">
        <v>16</v>
      </c>
      <c r="F580" t="s">
        <v>23</v>
      </c>
      <c r="G580">
        <v>116010</v>
      </c>
      <c r="H580" t="s">
        <v>54</v>
      </c>
      <c r="I580">
        <v>887</v>
      </c>
      <c r="J580">
        <v>102900870</v>
      </c>
      <c r="K580">
        <v>467876</v>
      </c>
      <c r="L580">
        <v>102432994</v>
      </c>
      <c r="M580">
        <v>242</v>
      </c>
      <c r="N580">
        <v>0.97</v>
      </c>
      <c r="O580">
        <v>6.29</v>
      </c>
      <c r="P580">
        <v>1.2</v>
      </c>
      <c r="Q580">
        <v>7</v>
      </c>
      <c r="R580">
        <f>CORREL(BMW[units_sold],BMW[gdp_growth_percent])</f>
        <v>-5.2597817623217792E-17</v>
      </c>
    </row>
    <row r="581" spans="1:18" x14ac:dyDescent="0.35">
      <c r="A581">
        <v>2015</v>
      </c>
      <c r="B581" t="s">
        <v>44</v>
      </c>
      <c r="C581" t="s">
        <v>32</v>
      </c>
      <c r="D581" t="s">
        <v>15</v>
      </c>
      <c r="E581" t="s">
        <v>20</v>
      </c>
      <c r="F581" t="s">
        <v>20</v>
      </c>
      <c r="G581">
        <v>107573</v>
      </c>
      <c r="H581" t="s">
        <v>54</v>
      </c>
      <c r="I581">
        <v>759</v>
      </c>
      <c r="J581">
        <v>81647907</v>
      </c>
      <c r="K581">
        <v>287268</v>
      </c>
      <c r="L581">
        <v>81360639</v>
      </c>
      <c r="M581">
        <v>192</v>
      </c>
      <c r="N581">
        <v>0.97</v>
      </c>
      <c r="O581">
        <v>6.29</v>
      </c>
      <c r="P581">
        <v>1.2</v>
      </c>
      <c r="Q581">
        <v>6</v>
      </c>
      <c r="R581">
        <f>CORREL(BMW[units_sold],BMW[gdp_growth_percent])</f>
        <v>-5.2597817623217792E-17</v>
      </c>
    </row>
    <row r="582" spans="1:18" x14ac:dyDescent="0.35">
      <c r="A582">
        <v>2023</v>
      </c>
      <c r="B582" t="s">
        <v>41</v>
      </c>
      <c r="C582" t="s">
        <v>25</v>
      </c>
      <c r="D582" t="s">
        <v>18</v>
      </c>
      <c r="E582" t="s">
        <v>19</v>
      </c>
      <c r="F582" t="s">
        <v>23</v>
      </c>
      <c r="G582">
        <v>48386</v>
      </c>
      <c r="H582" t="s">
        <v>57</v>
      </c>
      <c r="I582">
        <v>615</v>
      </c>
      <c r="J582">
        <v>29757390</v>
      </c>
      <c r="K582">
        <v>313312</v>
      </c>
      <c r="L582">
        <v>29444078</v>
      </c>
      <c r="M582">
        <v>260</v>
      </c>
      <c r="N582">
        <v>0.97</v>
      </c>
      <c r="O582">
        <v>6.29</v>
      </c>
      <c r="P582">
        <v>1.2</v>
      </c>
      <c r="Q582">
        <v>10</v>
      </c>
      <c r="R582">
        <f>CORREL(BMW[units_sold],BMW[gdp_growth_percent])</f>
        <v>-5.2597817623217792E-17</v>
      </c>
    </row>
    <row r="583" spans="1:18" x14ac:dyDescent="0.35">
      <c r="A583">
        <v>2022</v>
      </c>
      <c r="B583" t="s">
        <v>48</v>
      </c>
      <c r="C583" t="s">
        <v>28</v>
      </c>
      <c r="D583" t="s">
        <v>24</v>
      </c>
      <c r="E583" t="s">
        <v>16</v>
      </c>
      <c r="F583" t="s">
        <v>23</v>
      </c>
      <c r="G583">
        <v>89460</v>
      </c>
      <c r="H583" t="s">
        <v>54</v>
      </c>
      <c r="I583">
        <v>111</v>
      </c>
      <c r="J583">
        <v>9930060</v>
      </c>
      <c r="K583">
        <v>357268</v>
      </c>
      <c r="L583">
        <v>9572792</v>
      </c>
      <c r="M583">
        <v>18</v>
      </c>
      <c r="N583">
        <v>0.97</v>
      </c>
      <c r="O583">
        <v>6.29</v>
      </c>
      <c r="P583">
        <v>1.2</v>
      </c>
      <c r="Q583">
        <v>5</v>
      </c>
      <c r="R583">
        <f>CORREL(BMW[units_sold],BMW[gdp_growth_percent])</f>
        <v>-5.2597817623217792E-17</v>
      </c>
    </row>
    <row r="584" spans="1:18" x14ac:dyDescent="0.35">
      <c r="A584">
        <v>2015</v>
      </c>
      <c r="B584" t="s">
        <v>41</v>
      </c>
      <c r="C584" t="s">
        <v>30</v>
      </c>
      <c r="D584" t="s">
        <v>15</v>
      </c>
      <c r="E584" t="s">
        <v>19</v>
      </c>
      <c r="F584" t="s">
        <v>23</v>
      </c>
      <c r="G584">
        <v>41221</v>
      </c>
      <c r="H584" t="s">
        <v>57</v>
      </c>
      <c r="I584">
        <v>492</v>
      </c>
      <c r="J584">
        <v>20280732</v>
      </c>
      <c r="K584">
        <v>216969</v>
      </c>
      <c r="L584">
        <v>20063763</v>
      </c>
      <c r="M584">
        <v>88</v>
      </c>
      <c r="N584">
        <v>0.97</v>
      </c>
      <c r="O584">
        <v>6.29</v>
      </c>
      <c r="P584">
        <v>1.2</v>
      </c>
      <c r="Q584">
        <v>1</v>
      </c>
      <c r="R584">
        <f>CORREL(BMW[units_sold],BMW[gdp_growth_percent])</f>
        <v>-5.2597817623217792E-17</v>
      </c>
    </row>
    <row r="585" spans="1:18" x14ac:dyDescent="0.35">
      <c r="A585">
        <v>2020</v>
      </c>
      <c r="B585" t="s">
        <v>42</v>
      </c>
      <c r="C585" t="s">
        <v>38</v>
      </c>
      <c r="D585" t="s">
        <v>39</v>
      </c>
      <c r="E585" t="s">
        <v>16</v>
      </c>
      <c r="F585" t="s">
        <v>23</v>
      </c>
      <c r="G585">
        <v>58474</v>
      </c>
      <c r="H585" t="s">
        <v>55</v>
      </c>
      <c r="I585">
        <v>245</v>
      </c>
      <c r="J585">
        <v>14326130</v>
      </c>
      <c r="K585">
        <v>196104</v>
      </c>
      <c r="L585">
        <v>14130026</v>
      </c>
      <c r="M585">
        <v>61</v>
      </c>
      <c r="N585">
        <v>0.97</v>
      </c>
      <c r="O585">
        <v>6.29</v>
      </c>
      <c r="P585">
        <v>1.2</v>
      </c>
      <c r="Q585">
        <v>2</v>
      </c>
      <c r="R585">
        <f>CORREL(BMW[units_sold],BMW[gdp_growth_percent])</f>
        <v>-5.2597817623217792E-17</v>
      </c>
    </row>
    <row r="586" spans="1:18" x14ac:dyDescent="0.35">
      <c r="A586">
        <v>2019</v>
      </c>
      <c r="B586" t="s">
        <v>52</v>
      </c>
      <c r="C586" t="s">
        <v>37</v>
      </c>
      <c r="D586" t="s">
        <v>39</v>
      </c>
      <c r="E586" t="s">
        <v>20</v>
      </c>
      <c r="F586" t="s">
        <v>27</v>
      </c>
      <c r="G586">
        <v>56045</v>
      </c>
      <c r="H586" t="s">
        <v>55</v>
      </c>
      <c r="I586">
        <v>1114</v>
      </c>
      <c r="J586">
        <v>62434130</v>
      </c>
      <c r="K586">
        <v>364941</v>
      </c>
      <c r="L586">
        <v>62069189</v>
      </c>
      <c r="M586">
        <v>395</v>
      </c>
      <c r="N586">
        <v>0.97</v>
      </c>
      <c r="O586">
        <v>6.29</v>
      </c>
      <c r="P586">
        <v>1.2</v>
      </c>
      <c r="Q586">
        <v>8</v>
      </c>
      <c r="R586">
        <f>CORREL(BMW[units_sold],BMW[gdp_growth_percent])</f>
        <v>-5.2597817623217792E-17</v>
      </c>
    </row>
    <row r="587" spans="1:18" x14ac:dyDescent="0.35">
      <c r="A587">
        <v>2020</v>
      </c>
      <c r="B587" t="s">
        <v>43</v>
      </c>
      <c r="C587" t="s">
        <v>14</v>
      </c>
      <c r="D587" t="s">
        <v>26</v>
      </c>
      <c r="E587" t="s">
        <v>20</v>
      </c>
      <c r="F587" t="s">
        <v>23</v>
      </c>
      <c r="G587">
        <v>39922</v>
      </c>
      <c r="H587" t="s">
        <v>57</v>
      </c>
      <c r="I587">
        <v>641</v>
      </c>
      <c r="J587">
        <v>25590002</v>
      </c>
      <c r="K587">
        <v>347438</v>
      </c>
      <c r="L587">
        <v>25242564</v>
      </c>
      <c r="M587">
        <v>278</v>
      </c>
      <c r="N587">
        <v>0.97</v>
      </c>
      <c r="O587">
        <v>6.29</v>
      </c>
      <c r="P587">
        <v>1.2</v>
      </c>
      <c r="Q587">
        <v>1</v>
      </c>
      <c r="R587">
        <f>CORREL(BMW[units_sold],BMW[gdp_growth_percent])</f>
        <v>-5.2597817623217792E-17</v>
      </c>
    </row>
    <row r="588" spans="1:18" x14ac:dyDescent="0.35">
      <c r="A588">
        <v>2024</v>
      </c>
      <c r="B588" t="s">
        <v>42</v>
      </c>
      <c r="C588" t="s">
        <v>30</v>
      </c>
      <c r="D588" t="s">
        <v>31</v>
      </c>
      <c r="E588" t="s">
        <v>19</v>
      </c>
      <c r="F588" t="s">
        <v>20</v>
      </c>
      <c r="G588">
        <v>57706</v>
      </c>
      <c r="H588" t="s">
        <v>55</v>
      </c>
      <c r="I588">
        <v>737</v>
      </c>
      <c r="J588">
        <v>42529322</v>
      </c>
      <c r="K588">
        <v>487043</v>
      </c>
      <c r="L588">
        <v>42042279</v>
      </c>
      <c r="M588">
        <v>235</v>
      </c>
      <c r="N588">
        <v>0.97</v>
      </c>
      <c r="O588">
        <v>6.29</v>
      </c>
      <c r="P588">
        <v>1.2</v>
      </c>
      <c r="Q588">
        <v>3</v>
      </c>
      <c r="R588">
        <f>CORREL(BMW[units_sold],BMW[gdp_growth_percent])</f>
        <v>-5.2597817623217792E-17</v>
      </c>
    </row>
    <row r="589" spans="1:18" x14ac:dyDescent="0.35">
      <c r="A589">
        <v>2019</v>
      </c>
      <c r="B589" t="s">
        <v>50</v>
      </c>
      <c r="C589" t="s">
        <v>32</v>
      </c>
      <c r="D589" t="s">
        <v>15</v>
      </c>
      <c r="E589" t="s">
        <v>20</v>
      </c>
      <c r="F589" t="s">
        <v>20</v>
      </c>
      <c r="G589">
        <v>77771</v>
      </c>
      <c r="H589" t="s">
        <v>55</v>
      </c>
      <c r="I589">
        <v>225</v>
      </c>
      <c r="J589">
        <v>17498475</v>
      </c>
      <c r="K589">
        <v>315660</v>
      </c>
      <c r="L589">
        <v>17182815</v>
      </c>
      <c r="M589">
        <v>60</v>
      </c>
      <c r="N589">
        <v>0.97</v>
      </c>
      <c r="O589">
        <v>6.29</v>
      </c>
      <c r="P589">
        <v>1.2</v>
      </c>
      <c r="Q589">
        <v>2</v>
      </c>
      <c r="R589">
        <f>CORREL(BMW[units_sold],BMW[gdp_growth_percent])</f>
        <v>-5.2597817623217792E-17</v>
      </c>
    </row>
    <row r="590" spans="1:18" x14ac:dyDescent="0.35">
      <c r="A590">
        <v>2020</v>
      </c>
      <c r="B590" t="s">
        <v>49</v>
      </c>
      <c r="C590" t="s">
        <v>35</v>
      </c>
      <c r="D590" t="s">
        <v>29</v>
      </c>
      <c r="E590" t="s">
        <v>20</v>
      </c>
      <c r="F590" t="s">
        <v>20</v>
      </c>
      <c r="G590">
        <v>87335</v>
      </c>
      <c r="H590" t="s">
        <v>54</v>
      </c>
      <c r="I590">
        <v>451</v>
      </c>
      <c r="J590">
        <v>39388085</v>
      </c>
      <c r="K590">
        <v>200823</v>
      </c>
      <c r="L590">
        <v>39187262</v>
      </c>
      <c r="M590">
        <v>195</v>
      </c>
      <c r="N590">
        <v>0.97</v>
      </c>
      <c r="O590">
        <v>6.29</v>
      </c>
      <c r="P590">
        <v>1.2</v>
      </c>
      <c r="Q590">
        <v>5</v>
      </c>
      <c r="R590">
        <f>CORREL(BMW[units_sold],BMW[gdp_growth_percent])</f>
        <v>-5.2597817623217792E-17</v>
      </c>
    </row>
    <row r="591" spans="1:18" x14ac:dyDescent="0.35">
      <c r="A591">
        <v>2019</v>
      </c>
      <c r="B591" t="s">
        <v>50</v>
      </c>
      <c r="C591" t="s">
        <v>28</v>
      </c>
      <c r="D591" t="s">
        <v>31</v>
      </c>
      <c r="E591" t="s">
        <v>19</v>
      </c>
      <c r="F591" t="s">
        <v>17</v>
      </c>
      <c r="G591">
        <v>87949</v>
      </c>
      <c r="H591" t="s">
        <v>54</v>
      </c>
      <c r="I591">
        <v>265</v>
      </c>
      <c r="J591">
        <v>23306485</v>
      </c>
      <c r="K591">
        <v>80373</v>
      </c>
      <c r="L591">
        <v>23226112</v>
      </c>
      <c r="M591">
        <v>43</v>
      </c>
      <c r="N591">
        <v>0.97</v>
      </c>
      <c r="O591">
        <v>6.29</v>
      </c>
      <c r="P591">
        <v>1.2</v>
      </c>
      <c r="Q591">
        <v>4</v>
      </c>
      <c r="R591">
        <f>CORREL(BMW[units_sold],BMW[gdp_growth_percent])</f>
        <v>-5.2597817623217792E-17</v>
      </c>
    </row>
    <row r="592" spans="1:18" x14ac:dyDescent="0.35">
      <c r="A592">
        <v>2019</v>
      </c>
      <c r="B592" t="s">
        <v>51</v>
      </c>
      <c r="C592" t="s">
        <v>28</v>
      </c>
      <c r="D592" t="s">
        <v>18</v>
      </c>
      <c r="E592" t="s">
        <v>16</v>
      </c>
      <c r="F592" t="s">
        <v>27</v>
      </c>
      <c r="G592">
        <v>105714</v>
      </c>
      <c r="H592" t="s">
        <v>54</v>
      </c>
      <c r="I592">
        <v>609</v>
      </c>
      <c r="J592">
        <v>64379826</v>
      </c>
      <c r="K592">
        <v>172026</v>
      </c>
      <c r="L592">
        <v>64207800</v>
      </c>
      <c r="M592">
        <v>300</v>
      </c>
      <c r="N592">
        <v>0.97</v>
      </c>
      <c r="O592">
        <v>6.29</v>
      </c>
      <c r="P592">
        <v>1.2</v>
      </c>
      <c r="Q592">
        <v>7</v>
      </c>
      <c r="R592">
        <f>CORREL(BMW[units_sold],BMW[gdp_growth_percent])</f>
        <v>-5.2597817623217792E-17</v>
      </c>
    </row>
    <row r="593" spans="1:18" x14ac:dyDescent="0.35">
      <c r="A593">
        <v>2018</v>
      </c>
      <c r="B593" t="s">
        <v>47</v>
      </c>
      <c r="C593" t="s">
        <v>28</v>
      </c>
      <c r="D593" t="s">
        <v>39</v>
      </c>
      <c r="E593" t="s">
        <v>20</v>
      </c>
      <c r="F593" t="s">
        <v>23</v>
      </c>
      <c r="G593">
        <v>50240</v>
      </c>
      <c r="H593" t="s">
        <v>55</v>
      </c>
      <c r="I593">
        <v>703</v>
      </c>
      <c r="J593">
        <v>35318720</v>
      </c>
      <c r="K593">
        <v>80270</v>
      </c>
      <c r="L593">
        <v>35238450</v>
      </c>
      <c r="M593">
        <v>239</v>
      </c>
      <c r="N593">
        <v>0.97</v>
      </c>
      <c r="O593">
        <v>6.29</v>
      </c>
      <c r="P593">
        <v>1.2</v>
      </c>
      <c r="Q593">
        <v>5</v>
      </c>
      <c r="R593">
        <f>CORREL(BMW[units_sold],BMW[gdp_growth_percent])</f>
        <v>-5.2597817623217792E-17</v>
      </c>
    </row>
    <row r="594" spans="1:18" x14ac:dyDescent="0.35">
      <c r="A594">
        <v>2017</v>
      </c>
      <c r="B594" t="s">
        <v>48</v>
      </c>
      <c r="C594" t="s">
        <v>35</v>
      </c>
      <c r="D594" t="s">
        <v>26</v>
      </c>
      <c r="E594" t="s">
        <v>19</v>
      </c>
      <c r="F594" t="s">
        <v>17</v>
      </c>
      <c r="G594">
        <v>37716</v>
      </c>
      <c r="H594" t="s">
        <v>57</v>
      </c>
      <c r="I594">
        <v>327</v>
      </c>
      <c r="J594">
        <v>12333132</v>
      </c>
      <c r="K594">
        <v>453602</v>
      </c>
      <c r="L594">
        <v>11879530</v>
      </c>
      <c r="M594">
        <v>140</v>
      </c>
      <c r="N594">
        <v>0.97</v>
      </c>
      <c r="O594">
        <v>6.29</v>
      </c>
      <c r="P594">
        <v>1.2</v>
      </c>
      <c r="Q594">
        <v>8</v>
      </c>
      <c r="R594">
        <f>CORREL(BMW[units_sold],BMW[gdp_growth_percent])</f>
        <v>-5.2597817623217792E-17</v>
      </c>
    </row>
    <row r="595" spans="1:18" x14ac:dyDescent="0.35">
      <c r="A595">
        <v>2017</v>
      </c>
      <c r="B595" t="s">
        <v>52</v>
      </c>
      <c r="C595" t="s">
        <v>14</v>
      </c>
      <c r="D595" t="s">
        <v>34</v>
      </c>
      <c r="E595" t="s">
        <v>20</v>
      </c>
      <c r="F595" t="s">
        <v>23</v>
      </c>
      <c r="G595">
        <v>51574</v>
      </c>
      <c r="H595" t="s">
        <v>55</v>
      </c>
      <c r="I595">
        <v>591</v>
      </c>
      <c r="J595">
        <v>30480234</v>
      </c>
      <c r="K595">
        <v>282931</v>
      </c>
      <c r="L595">
        <v>30197303</v>
      </c>
      <c r="M595">
        <v>129</v>
      </c>
      <c r="N595">
        <v>0.97</v>
      </c>
      <c r="O595">
        <v>6.29</v>
      </c>
      <c r="P595">
        <v>1.2</v>
      </c>
      <c r="Q595">
        <v>4</v>
      </c>
      <c r="R595">
        <f>CORREL(BMW[units_sold],BMW[gdp_growth_percent])</f>
        <v>-5.2597817623217792E-17</v>
      </c>
    </row>
    <row r="596" spans="1:18" x14ac:dyDescent="0.35">
      <c r="A596">
        <v>2018</v>
      </c>
      <c r="B596" t="s">
        <v>43</v>
      </c>
      <c r="C596" t="s">
        <v>37</v>
      </c>
      <c r="D596" t="s">
        <v>39</v>
      </c>
      <c r="E596" t="s">
        <v>20</v>
      </c>
      <c r="F596" t="s">
        <v>17</v>
      </c>
      <c r="G596">
        <v>118255</v>
      </c>
      <c r="H596" t="s">
        <v>54</v>
      </c>
      <c r="I596">
        <v>1069</v>
      </c>
      <c r="J596">
        <v>126414595</v>
      </c>
      <c r="K596">
        <v>245889</v>
      </c>
      <c r="L596">
        <v>126168706</v>
      </c>
      <c r="M596">
        <v>335</v>
      </c>
      <c r="N596">
        <v>0.97</v>
      </c>
      <c r="O596">
        <v>6.29</v>
      </c>
      <c r="P596">
        <v>1.2</v>
      </c>
      <c r="Q596">
        <v>6</v>
      </c>
      <c r="R596">
        <f>CORREL(BMW[units_sold],BMW[gdp_growth_percent])</f>
        <v>-5.2597817623217792E-17</v>
      </c>
    </row>
    <row r="597" spans="1:18" x14ac:dyDescent="0.35">
      <c r="A597">
        <v>2023</v>
      </c>
      <c r="B597" t="s">
        <v>43</v>
      </c>
      <c r="C597" t="s">
        <v>30</v>
      </c>
      <c r="D597" t="s">
        <v>24</v>
      </c>
      <c r="E597" t="s">
        <v>20</v>
      </c>
      <c r="F597" t="s">
        <v>17</v>
      </c>
      <c r="G597">
        <v>108717</v>
      </c>
      <c r="H597" t="s">
        <v>54</v>
      </c>
      <c r="I597">
        <v>530</v>
      </c>
      <c r="J597">
        <v>57620010</v>
      </c>
      <c r="K597">
        <v>115184</v>
      </c>
      <c r="L597">
        <v>57504826</v>
      </c>
      <c r="M597">
        <v>256</v>
      </c>
      <c r="N597">
        <v>0.97</v>
      </c>
      <c r="O597">
        <v>6.29</v>
      </c>
      <c r="P597">
        <v>1.2</v>
      </c>
      <c r="Q597">
        <v>4</v>
      </c>
      <c r="R597">
        <f>CORREL(BMW[units_sold],BMW[gdp_growth_percent])</f>
        <v>-5.2597817623217792E-17</v>
      </c>
    </row>
    <row r="598" spans="1:18" x14ac:dyDescent="0.35">
      <c r="A598">
        <v>2016</v>
      </c>
      <c r="B598" t="s">
        <v>46</v>
      </c>
      <c r="C598" t="s">
        <v>35</v>
      </c>
      <c r="D598" t="s">
        <v>22</v>
      </c>
      <c r="E598" t="s">
        <v>20</v>
      </c>
      <c r="F598" t="s">
        <v>20</v>
      </c>
      <c r="G598">
        <v>79066</v>
      </c>
      <c r="H598" t="s">
        <v>55</v>
      </c>
      <c r="I598">
        <v>587</v>
      </c>
      <c r="J598">
        <v>46411742</v>
      </c>
      <c r="K598">
        <v>260765</v>
      </c>
      <c r="L598">
        <v>46150977</v>
      </c>
      <c r="M598">
        <v>201</v>
      </c>
      <c r="N598">
        <v>0.97</v>
      </c>
      <c r="O598">
        <v>6.29</v>
      </c>
      <c r="P598">
        <v>1.2</v>
      </c>
      <c r="Q598">
        <v>2</v>
      </c>
      <c r="R598">
        <f>CORREL(BMW[units_sold],BMW[gdp_growth_percent])</f>
        <v>-5.2597817623217792E-17</v>
      </c>
    </row>
    <row r="599" spans="1:18" x14ac:dyDescent="0.35">
      <c r="A599">
        <v>2023</v>
      </c>
      <c r="B599" t="s">
        <v>49</v>
      </c>
      <c r="C599" t="s">
        <v>32</v>
      </c>
      <c r="D599" t="s">
        <v>34</v>
      </c>
      <c r="E599" t="s">
        <v>19</v>
      </c>
      <c r="F599" t="s">
        <v>20</v>
      </c>
      <c r="G599">
        <v>96826</v>
      </c>
      <c r="H599" t="s">
        <v>54</v>
      </c>
      <c r="I599">
        <v>905</v>
      </c>
      <c r="J599">
        <v>87627530</v>
      </c>
      <c r="K599">
        <v>87879</v>
      </c>
      <c r="L599">
        <v>87539651</v>
      </c>
      <c r="M599">
        <v>332</v>
      </c>
      <c r="N599">
        <v>0.97</v>
      </c>
      <c r="O599">
        <v>6.29</v>
      </c>
      <c r="P599">
        <v>1.2</v>
      </c>
      <c r="Q599">
        <v>1</v>
      </c>
      <c r="R599">
        <f>CORREL(BMW[units_sold],BMW[gdp_growth_percent])</f>
        <v>-5.2597817623217792E-17</v>
      </c>
    </row>
    <row r="600" spans="1:18" x14ac:dyDescent="0.35">
      <c r="A600">
        <v>2015</v>
      </c>
      <c r="B600" t="s">
        <v>45</v>
      </c>
      <c r="C600" t="s">
        <v>37</v>
      </c>
      <c r="D600" t="s">
        <v>26</v>
      </c>
      <c r="E600" t="s">
        <v>19</v>
      </c>
      <c r="F600" t="s">
        <v>17</v>
      </c>
      <c r="G600">
        <v>55213</v>
      </c>
      <c r="H600" t="s">
        <v>55</v>
      </c>
      <c r="I600">
        <v>717</v>
      </c>
      <c r="J600">
        <v>39587721</v>
      </c>
      <c r="K600">
        <v>361741</v>
      </c>
      <c r="L600">
        <v>39225980</v>
      </c>
      <c r="M600">
        <v>219</v>
      </c>
      <c r="N600">
        <v>0.97</v>
      </c>
      <c r="O600">
        <v>6.29</v>
      </c>
      <c r="P600">
        <v>1.2</v>
      </c>
      <c r="Q600">
        <v>1</v>
      </c>
      <c r="R600">
        <f>CORREL(BMW[units_sold],BMW[gdp_growth_percent])</f>
        <v>-5.2597817623217792E-17</v>
      </c>
    </row>
    <row r="601" spans="1:18" x14ac:dyDescent="0.35">
      <c r="A601">
        <v>2015</v>
      </c>
      <c r="B601" t="s">
        <v>45</v>
      </c>
      <c r="C601" t="s">
        <v>32</v>
      </c>
      <c r="D601" t="s">
        <v>29</v>
      </c>
      <c r="E601" t="s">
        <v>19</v>
      </c>
      <c r="F601" t="s">
        <v>20</v>
      </c>
      <c r="G601">
        <v>106916</v>
      </c>
      <c r="H601" t="s">
        <v>54</v>
      </c>
      <c r="I601">
        <v>408</v>
      </c>
      <c r="J601">
        <v>43621728</v>
      </c>
      <c r="K601">
        <v>482348</v>
      </c>
      <c r="L601">
        <v>43139380</v>
      </c>
      <c r="M601">
        <v>112</v>
      </c>
      <c r="N601">
        <v>0.97</v>
      </c>
      <c r="O601">
        <v>6.29</v>
      </c>
      <c r="P601">
        <v>1.2</v>
      </c>
      <c r="Q601">
        <v>8</v>
      </c>
      <c r="R601">
        <f>CORREL(BMW[units_sold],BMW[gdp_growth_percent])</f>
        <v>-5.2597817623217792E-17</v>
      </c>
    </row>
    <row r="602" spans="1:18" x14ac:dyDescent="0.35">
      <c r="A602">
        <v>2019</v>
      </c>
      <c r="B602" t="s">
        <v>45</v>
      </c>
      <c r="C602" t="s">
        <v>37</v>
      </c>
      <c r="D602" t="s">
        <v>34</v>
      </c>
      <c r="E602" t="s">
        <v>20</v>
      </c>
      <c r="F602" t="s">
        <v>17</v>
      </c>
      <c r="G602">
        <v>101151</v>
      </c>
      <c r="H602" t="s">
        <v>54</v>
      </c>
      <c r="I602">
        <v>976</v>
      </c>
      <c r="J602">
        <v>98723376</v>
      </c>
      <c r="K602">
        <v>53626</v>
      </c>
      <c r="L602">
        <v>98669750</v>
      </c>
      <c r="M602">
        <v>338</v>
      </c>
      <c r="N602">
        <v>0.97</v>
      </c>
      <c r="O602">
        <v>6.29</v>
      </c>
      <c r="P602">
        <v>1.2</v>
      </c>
      <c r="Q602">
        <v>4</v>
      </c>
      <c r="R602">
        <f>CORREL(BMW[units_sold],BMW[gdp_growth_percent])</f>
        <v>-5.2597817623217792E-17</v>
      </c>
    </row>
    <row r="603" spans="1:18" x14ac:dyDescent="0.35">
      <c r="A603">
        <v>2020</v>
      </c>
      <c r="B603" t="s">
        <v>52</v>
      </c>
      <c r="C603" t="s">
        <v>14</v>
      </c>
      <c r="D603" t="s">
        <v>24</v>
      </c>
      <c r="E603" t="s">
        <v>20</v>
      </c>
      <c r="F603" t="s">
        <v>27</v>
      </c>
      <c r="G603">
        <v>85906</v>
      </c>
      <c r="H603" t="s">
        <v>54</v>
      </c>
      <c r="I603">
        <v>802</v>
      </c>
      <c r="J603">
        <v>68896612</v>
      </c>
      <c r="K603">
        <v>135936</v>
      </c>
      <c r="L603">
        <v>68760676</v>
      </c>
      <c r="M603">
        <v>381</v>
      </c>
      <c r="N603">
        <v>0.97</v>
      </c>
      <c r="O603">
        <v>6.29</v>
      </c>
      <c r="P603">
        <v>1.2</v>
      </c>
      <c r="Q603">
        <v>5</v>
      </c>
      <c r="R603">
        <f>CORREL(BMW[units_sold],BMW[gdp_growth_percent])</f>
        <v>-5.2597817623217792E-17</v>
      </c>
    </row>
    <row r="604" spans="1:18" x14ac:dyDescent="0.35">
      <c r="A604">
        <v>2020</v>
      </c>
      <c r="B604" t="s">
        <v>45</v>
      </c>
      <c r="C604" t="s">
        <v>38</v>
      </c>
      <c r="D604" t="s">
        <v>31</v>
      </c>
      <c r="E604" t="s">
        <v>20</v>
      </c>
      <c r="F604" t="s">
        <v>20</v>
      </c>
      <c r="G604">
        <v>35463</v>
      </c>
      <c r="H604" t="s">
        <v>57</v>
      </c>
      <c r="I604">
        <v>644</v>
      </c>
      <c r="J604">
        <v>22838172</v>
      </c>
      <c r="K604">
        <v>284873</v>
      </c>
      <c r="L604">
        <v>22553299</v>
      </c>
      <c r="M604">
        <v>142</v>
      </c>
      <c r="N604">
        <v>0.97</v>
      </c>
      <c r="O604">
        <v>6.29</v>
      </c>
      <c r="P604">
        <v>1.2</v>
      </c>
      <c r="Q604">
        <v>8</v>
      </c>
      <c r="R604">
        <f>CORREL(BMW[units_sold],BMW[gdp_growth_percent])</f>
        <v>-5.2597817623217792E-17</v>
      </c>
    </row>
    <row r="605" spans="1:18" x14ac:dyDescent="0.35">
      <c r="A605">
        <v>2017</v>
      </c>
      <c r="B605" t="s">
        <v>44</v>
      </c>
      <c r="C605" t="s">
        <v>32</v>
      </c>
      <c r="D605" t="s">
        <v>29</v>
      </c>
      <c r="E605" t="s">
        <v>19</v>
      </c>
      <c r="F605" t="s">
        <v>20</v>
      </c>
      <c r="G605">
        <v>66973</v>
      </c>
      <c r="H605" t="s">
        <v>55</v>
      </c>
      <c r="I605">
        <v>737</v>
      </c>
      <c r="J605">
        <v>49359101</v>
      </c>
      <c r="K605">
        <v>131515</v>
      </c>
      <c r="L605">
        <v>49227586</v>
      </c>
      <c r="M605">
        <v>332</v>
      </c>
      <c r="N605">
        <v>0.97</v>
      </c>
      <c r="O605">
        <v>6.29</v>
      </c>
      <c r="P605">
        <v>1.2</v>
      </c>
      <c r="Q605">
        <v>7</v>
      </c>
      <c r="R605">
        <f>CORREL(BMW[units_sold],BMW[gdp_growth_percent])</f>
        <v>-5.2597817623217792E-17</v>
      </c>
    </row>
    <row r="606" spans="1:18" x14ac:dyDescent="0.35">
      <c r="A606">
        <v>2021</v>
      </c>
      <c r="B606" t="s">
        <v>41</v>
      </c>
      <c r="C606" t="s">
        <v>35</v>
      </c>
      <c r="D606" t="s">
        <v>39</v>
      </c>
      <c r="E606" t="s">
        <v>20</v>
      </c>
      <c r="F606" t="s">
        <v>20</v>
      </c>
      <c r="G606">
        <v>109694</v>
      </c>
      <c r="H606" t="s">
        <v>54</v>
      </c>
      <c r="I606">
        <v>410</v>
      </c>
      <c r="J606">
        <v>44974540</v>
      </c>
      <c r="K606">
        <v>258137</v>
      </c>
      <c r="L606">
        <v>44716403</v>
      </c>
      <c r="M606">
        <v>148</v>
      </c>
      <c r="N606">
        <v>0.97</v>
      </c>
      <c r="O606">
        <v>6.29</v>
      </c>
      <c r="P606">
        <v>1.2</v>
      </c>
      <c r="Q606">
        <v>8</v>
      </c>
      <c r="R606">
        <f>CORREL(BMW[units_sold],BMW[gdp_growth_percent])</f>
        <v>-5.2597817623217792E-17</v>
      </c>
    </row>
    <row r="607" spans="1:18" x14ac:dyDescent="0.35">
      <c r="A607">
        <v>2023</v>
      </c>
      <c r="B607" t="s">
        <v>43</v>
      </c>
      <c r="C607" t="s">
        <v>37</v>
      </c>
      <c r="D607" t="s">
        <v>29</v>
      </c>
      <c r="E607" t="s">
        <v>16</v>
      </c>
      <c r="F607" t="s">
        <v>27</v>
      </c>
      <c r="G607">
        <v>55651</v>
      </c>
      <c r="H607" t="s">
        <v>55</v>
      </c>
      <c r="I607">
        <v>511</v>
      </c>
      <c r="J607">
        <v>28437661</v>
      </c>
      <c r="K607">
        <v>105390</v>
      </c>
      <c r="L607">
        <v>28332271</v>
      </c>
      <c r="M607">
        <v>130</v>
      </c>
      <c r="N607">
        <v>0.97</v>
      </c>
      <c r="O607">
        <v>6.29</v>
      </c>
      <c r="P607">
        <v>1.2</v>
      </c>
      <c r="Q607">
        <v>8</v>
      </c>
      <c r="R607">
        <f>CORREL(BMW[units_sold],BMW[gdp_growth_percent])</f>
        <v>-5.2597817623217792E-17</v>
      </c>
    </row>
    <row r="608" spans="1:18" x14ac:dyDescent="0.35">
      <c r="A608">
        <v>2024</v>
      </c>
      <c r="B608" t="s">
        <v>49</v>
      </c>
      <c r="C608" t="s">
        <v>28</v>
      </c>
      <c r="D608" t="s">
        <v>15</v>
      </c>
      <c r="E608" t="s">
        <v>20</v>
      </c>
      <c r="F608" t="s">
        <v>17</v>
      </c>
      <c r="G608">
        <v>103694</v>
      </c>
      <c r="H608" t="s">
        <v>54</v>
      </c>
      <c r="I608">
        <v>527</v>
      </c>
      <c r="J608">
        <v>54646738</v>
      </c>
      <c r="K608">
        <v>459861</v>
      </c>
      <c r="L608">
        <v>54186877</v>
      </c>
      <c r="M608">
        <v>103</v>
      </c>
      <c r="N608">
        <v>0.97</v>
      </c>
      <c r="O608">
        <v>6.29</v>
      </c>
      <c r="P608">
        <v>1.2</v>
      </c>
      <c r="Q608">
        <v>6</v>
      </c>
      <c r="R608">
        <f>CORREL(BMW[units_sold],BMW[gdp_growth_percent])</f>
        <v>-5.2597817623217792E-17</v>
      </c>
    </row>
    <row r="609" spans="1:18" x14ac:dyDescent="0.35">
      <c r="A609">
        <v>2022</v>
      </c>
      <c r="B609" t="s">
        <v>41</v>
      </c>
      <c r="C609" t="s">
        <v>25</v>
      </c>
      <c r="D609" t="s">
        <v>24</v>
      </c>
      <c r="E609" t="s">
        <v>16</v>
      </c>
      <c r="F609" t="s">
        <v>23</v>
      </c>
      <c r="G609">
        <v>55008</v>
      </c>
      <c r="H609" t="s">
        <v>55</v>
      </c>
      <c r="I609">
        <v>521</v>
      </c>
      <c r="J609">
        <v>28659168</v>
      </c>
      <c r="K609">
        <v>273032</v>
      </c>
      <c r="L609">
        <v>28386136</v>
      </c>
      <c r="M609">
        <v>138</v>
      </c>
      <c r="N609">
        <v>0.97</v>
      </c>
      <c r="O609">
        <v>6.29</v>
      </c>
      <c r="P609">
        <v>1.2</v>
      </c>
      <c r="Q609">
        <v>10</v>
      </c>
      <c r="R609">
        <f>CORREL(BMW[units_sold],BMW[gdp_growth_percent])</f>
        <v>-5.2597817623217792E-17</v>
      </c>
    </row>
    <row r="610" spans="1:18" x14ac:dyDescent="0.35">
      <c r="A610">
        <v>2020</v>
      </c>
      <c r="B610" t="s">
        <v>47</v>
      </c>
      <c r="C610" t="s">
        <v>28</v>
      </c>
      <c r="D610" t="s">
        <v>34</v>
      </c>
      <c r="E610" t="s">
        <v>20</v>
      </c>
      <c r="F610" t="s">
        <v>20</v>
      </c>
      <c r="G610">
        <v>105474</v>
      </c>
      <c r="H610" t="s">
        <v>54</v>
      </c>
      <c r="I610">
        <v>355</v>
      </c>
      <c r="J610">
        <v>37443270</v>
      </c>
      <c r="K610">
        <v>104144</v>
      </c>
      <c r="L610">
        <v>37339126</v>
      </c>
      <c r="M610">
        <v>100</v>
      </c>
      <c r="N610">
        <v>0.97</v>
      </c>
      <c r="O610">
        <v>6.29</v>
      </c>
      <c r="P610">
        <v>1.2</v>
      </c>
      <c r="Q610">
        <v>2</v>
      </c>
      <c r="R610">
        <f>CORREL(BMW[units_sold],BMW[gdp_growth_percent])</f>
        <v>-5.2597817623217792E-17</v>
      </c>
    </row>
    <row r="611" spans="1:18" x14ac:dyDescent="0.35">
      <c r="A611">
        <v>2022</v>
      </c>
      <c r="B611" t="s">
        <v>49</v>
      </c>
      <c r="C611" t="s">
        <v>21</v>
      </c>
      <c r="D611" t="s">
        <v>15</v>
      </c>
      <c r="E611" t="s">
        <v>19</v>
      </c>
      <c r="F611" t="s">
        <v>17</v>
      </c>
      <c r="G611">
        <v>73185</v>
      </c>
      <c r="H611" t="s">
        <v>55</v>
      </c>
      <c r="I611">
        <v>406</v>
      </c>
      <c r="J611">
        <v>29713110</v>
      </c>
      <c r="K611">
        <v>194454</v>
      </c>
      <c r="L611">
        <v>29518656</v>
      </c>
      <c r="M611">
        <v>101</v>
      </c>
      <c r="N611">
        <v>0.97</v>
      </c>
      <c r="O611">
        <v>6.29</v>
      </c>
      <c r="P611">
        <v>1.2</v>
      </c>
      <c r="Q611">
        <v>6</v>
      </c>
      <c r="R611">
        <f>CORREL(BMW[units_sold],BMW[gdp_growth_percent])</f>
        <v>-5.2597817623217792E-17</v>
      </c>
    </row>
    <row r="612" spans="1:18" x14ac:dyDescent="0.35">
      <c r="A612">
        <v>2019</v>
      </c>
      <c r="B612" t="s">
        <v>41</v>
      </c>
      <c r="C612" t="s">
        <v>38</v>
      </c>
      <c r="D612" t="s">
        <v>29</v>
      </c>
      <c r="E612" t="s">
        <v>20</v>
      </c>
      <c r="F612" t="s">
        <v>27</v>
      </c>
      <c r="G612">
        <v>109417</v>
      </c>
      <c r="H612" t="s">
        <v>54</v>
      </c>
      <c r="I612">
        <v>250</v>
      </c>
      <c r="J612">
        <v>27354250</v>
      </c>
      <c r="K612">
        <v>54025</v>
      </c>
      <c r="L612">
        <v>27300225</v>
      </c>
      <c r="M612">
        <v>72</v>
      </c>
      <c r="N612">
        <v>0.97</v>
      </c>
      <c r="O612">
        <v>6.29</v>
      </c>
      <c r="P612">
        <v>1.2</v>
      </c>
      <c r="Q612">
        <v>1</v>
      </c>
      <c r="R612">
        <f>CORREL(BMW[units_sold],BMW[gdp_growth_percent])</f>
        <v>-5.2597817623217792E-17</v>
      </c>
    </row>
    <row r="613" spans="1:18" x14ac:dyDescent="0.35">
      <c r="A613">
        <v>2022</v>
      </c>
      <c r="B613" t="s">
        <v>49</v>
      </c>
      <c r="C613" t="s">
        <v>38</v>
      </c>
      <c r="D613" t="s">
        <v>15</v>
      </c>
      <c r="E613" t="s">
        <v>16</v>
      </c>
      <c r="F613" t="s">
        <v>23</v>
      </c>
      <c r="G613">
        <v>106139</v>
      </c>
      <c r="H613" t="s">
        <v>54</v>
      </c>
      <c r="I613">
        <v>407</v>
      </c>
      <c r="J613">
        <v>43198573</v>
      </c>
      <c r="K613">
        <v>486442</v>
      </c>
      <c r="L613">
        <v>42712131</v>
      </c>
      <c r="M613">
        <v>38</v>
      </c>
      <c r="N613">
        <v>0.97</v>
      </c>
      <c r="O613">
        <v>6.29</v>
      </c>
      <c r="P613">
        <v>1.2</v>
      </c>
      <c r="Q613">
        <v>1</v>
      </c>
      <c r="R613">
        <f>CORREL(BMW[units_sold],BMW[gdp_growth_percent])</f>
        <v>-5.2597817623217792E-17</v>
      </c>
    </row>
    <row r="614" spans="1:18" x14ac:dyDescent="0.35">
      <c r="A614">
        <v>2024</v>
      </c>
      <c r="B614" t="s">
        <v>47</v>
      </c>
      <c r="C614" t="s">
        <v>28</v>
      </c>
      <c r="D614" t="s">
        <v>33</v>
      </c>
      <c r="E614" t="s">
        <v>16</v>
      </c>
      <c r="F614" t="s">
        <v>20</v>
      </c>
      <c r="G614">
        <v>69980</v>
      </c>
      <c r="H614" t="s">
        <v>55</v>
      </c>
      <c r="I614">
        <v>914</v>
      </c>
      <c r="J614">
        <v>63961720</v>
      </c>
      <c r="K614">
        <v>391524</v>
      </c>
      <c r="L614">
        <v>63570196</v>
      </c>
      <c r="M614">
        <v>219</v>
      </c>
      <c r="N614">
        <v>0.97</v>
      </c>
      <c r="O614">
        <v>6.29</v>
      </c>
      <c r="P614">
        <v>1.2</v>
      </c>
      <c r="Q614">
        <v>3</v>
      </c>
      <c r="R614">
        <f>CORREL(BMW[units_sold],BMW[gdp_growth_percent])</f>
        <v>-5.2597817623217792E-17</v>
      </c>
    </row>
    <row r="615" spans="1:18" x14ac:dyDescent="0.35">
      <c r="A615">
        <v>2018</v>
      </c>
      <c r="B615" t="s">
        <v>42</v>
      </c>
      <c r="C615" t="s">
        <v>30</v>
      </c>
      <c r="D615" t="s">
        <v>24</v>
      </c>
      <c r="E615" t="s">
        <v>20</v>
      </c>
      <c r="F615" t="s">
        <v>27</v>
      </c>
      <c r="G615">
        <v>57504</v>
      </c>
      <c r="H615" t="s">
        <v>55</v>
      </c>
      <c r="I615">
        <v>387</v>
      </c>
      <c r="J615">
        <v>22254048</v>
      </c>
      <c r="K615">
        <v>304043</v>
      </c>
      <c r="L615">
        <v>21950005</v>
      </c>
      <c r="M615">
        <v>21</v>
      </c>
      <c r="N615">
        <v>0.97</v>
      </c>
      <c r="O615">
        <v>6.29</v>
      </c>
      <c r="P615">
        <v>1.2</v>
      </c>
      <c r="Q615">
        <v>3</v>
      </c>
      <c r="R615">
        <f>CORREL(BMW[units_sold],BMW[gdp_growth_percent])</f>
        <v>-5.2597817623217792E-17</v>
      </c>
    </row>
    <row r="616" spans="1:18" x14ac:dyDescent="0.35">
      <c r="A616">
        <v>2024</v>
      </c>
      <c r="B616" t="s">
        <v>44</v>
      </c>
      <c r="C616" t="s">
        <v>14</v>
      </c>
      <c r="D616" t="s">
        <v>18</v>
      </c>
      <c r="E616" t="s">
        <v>16</v>
      </c>
      <c r="F616" t="s">
        <v>27</v>
      </c>
      <c r="G616">
        <v>89970</v>
      </c>
      <c r="H616" t="s">
        <v>54</v>
      </c>
      <c r="I616">
        <v>798</v>
      </c>
      <c r="J616">
        <v>71796060</v>
      </c>
      <c r="K616">
        <v>168910</v>
      </c>
      <c r="L616">
        <v>71627150</v>
      </c>
      <c r="M616">
        <v>342</v>
      </c>
      <c r="N616">
        <v>0.97</v>
      </c>
      <c r="O616">
        <v>6.29</v>
      </c>
      <c r="P616">
        <v>1.2</v>
      </c>
      <c r="Q616">
        <v>5</v>
      </c>
      <c r="R616">
        <f>CORREL(BMW[units_sold],BMW[gdp_growth_percent])</f>
        <v>-5.2597817623217792E-17</v>
      </c>
    </row>
    <row r="617" spans="1:18" x14ac:dyDescent="0.35">
      <c r="A617">
        <v>2022</v>
      </c>
      <c r="B617" t="s">
        <v>52</v>
      </c>
      <c r="C617" t="s">
        <v>32</v>
      </c>
      <c r="D617" t="s">
        <v>31</v>
      </c>
      <c r="E617" t="s">
        <v>16</v>
      </c>
      <c r="F617" t="s">
        <v>23</v>
      </c>
      <c r="G617">
        <v>51766</v>
      </c>
      <c r="H617" t="s">
        <v>55</v>
      </c>
      <c r="I617">
        <v>1027</v>
      </c>
      <c r="J617">
        <v>53163682</v>
      </c>
      <c r="K617">
        <v>146055</v>
      </c>
      <c r="L617">
        <v>53017627</v>
      </c>
      <c r="M617">
        <v>306</v>
      </c>
      <c r="N617">
        <v>0.97</v>
      </c>
      <c r="O617">
        <v>6.29</v>
      </c>
      <c r="P617">
        <v>1.2</v>
      </c>
      <c r="Q617">
        <v>1</v>
      </c>
      <c r="R617">
        <f>CORREL(BMW[units_sold],BMW[gdp_growth_percent])</f>
        <v>-5.2597817623217792E-17</v>
      </c>
    </row>
    <row r="618" spans="1:18" x14ac:dyDescent="0.35">
      <c r="A618">
        <v>2024</v>
      </c>
      <c r="B618" t="s">
        <v>52</v>
      </c>
      <c r="C618" t="s">
        <v>35</v>
      </c>
      <c r="D618" t="s">
        <v>29</v>
      </c>
      <c r="E618" t="s">
        <v>19</v>
      </c>
      <c r="F618" t="s">
        <v>17</v>
      </c>
      <c r="G618">
        <v>46695</v>
      </c>
      <c r="H618" t="s">
        <v>57</v>
      </c>
      <c r="I618">
        <v>314</v>
      </c>
      <c r="J618">
        <v>14662230</v>
      </c>
      <c r="K618">
        <v>438333</v>
      </c>
      <c r="L618">
        <v>14223897</v>
      </c>
      <c r="M618">
        <v>139</v>
      </c>
      <c r="N618">
        <v>0.97</v>
      </c>
      <c r="O618">
        <v>6.29</v>
      </c>
      <c r="P618">
        <v>1.2</v>
      </c>
      <c r="Q618">
        <v>10</v>
      </c>
      <c r="R618">
        <f>CORREL(BMW[units_sold],BMW[gdp_growth_percent])</f>
        <v>-5.2597817623217792E-17</v>
      </c>
    </row>
    <row r="619" spans="1:18" x14ac:dyDescent="0.35">
      <c r="A619">
        <v>2016</v>
      </c>
      <c r="B619" t="s">
        <v>43</v>
      </c>
      <c r="C619" t="s">
        <v>38</v>
      </c>
      <c r="D619" t="s">
        <v>24</v>
      </c>
      <c r="E619" t="s">
        <v>20</v>
      </c>
      <c r="F619" t="s">
        <v>20</v>
      </c>
      <c r="G619">
        <v>52796</v>
      </c>
      <c r="H619" t="s">
        <v>55</v>
      </c>
      <c r="I619">
        <v>953</v>
      </c>
      <c r="J619">
        <v>50314588</v>
      </c>
      <c r="K619">
        <v>255782</v>
      </c>
      <c r="L619">
        <v>50058806</v>
      </c>
      <c r="M619">
        <v>302</v>
      </c>
      <c r="N619">
        <v>0.97</v>
      </c>
      <c r="O619">
        <v>6.29</v>
      </c>
      <c r="P619">
        <v>1.2</v>
      </c>
      <c r="Q619">
        <v>6</v>
      </c>
      <c r="R619">
        <f>CORREL(BMW[units_sold],BMW[gdp_growth_percent])</f>
        <v>-5.2597817623217792E-17</v>
      </c>
    </row>
    <row r="620" spans="1:18" x14ac:dyDescent="0.35">
      <c r="A620">
        <v>2019</v>
      </c>
      <c r="B620" t="s">
        <v>45</v>
      </c>
      <c r="C620" t="s">
        <v>28</v>
      </c>
      <c r="D620" t="s">
        <v>18</v>
      </c>
      <c r="E620" t="s">
        <v>20</v>
      </c>
      <c r="F620" t="s">
        <v>20</v>
      </c>
      <c r="G620">
        <v>77543</v>
      </c>
      <c r="H620" t="s">
        <v>55</v>
      </c>
      <c r="I620">
        <v>797</v>
      </c>
      <c r="J620">
        <v>61801771</v>
      </c>
      <c r="K620">
        <v>446659</v>
      </c>
      <c r="L620">
        <v>61355112</v>
      </c>
      <c r="M620">
        <v>182</v>
      </c>
      <c r="N620">
        <v>0.97</v>
      </c>
      <c r="O620">
        <v>6.29</v>
      </c>
      <c r="P620">
        <v>1.2</v>
      </c>
      <c r="Q620">
        <v>7</v>
      </c>
      <c r="R620">
        <f>CORREL(BMW[units_sold],BMW[gdp_growth_percent])</f>
        <v>-5.2597817623217792E-17</v>
      </c>
    </row>
    <row r="621" spans="1:18" x14ac:dyDescent="0.35">
      <c r="A621">
        <v>2023</v>
      </c>
      <c r="B621" t="s">
        <v>44</v>
      </c>
      <c r="C621" t="s">
        <v>28</v>
      </c>
      <c r="D621" t="s">
        <v>18</v>
      </c>
      <c r="E621" t="s">
        <v>20</v>
      </c>
      <c r="F621" t="s">
        <v>17</v>
      </c>
      <c r="G621">
        <v>49559</v>
      </c>
      <c r="H621" t="s">
        <v>57</v>
      </c>
      <c r="I621">
        <v>668</v>
      </c>
      <c r="J621">
        <v>33105412</v>
      </c>
      <c r="K621">
        <v>333539</v>
      </c>
      <c r="L621">
        <v>32771873</v>
      </c>
      <c r="M621">
        <v>217</v>
      </c>
      <c r="N621">
        <v>0.97</v>
      </c>
      <c r="O621">
        <v>6.29</v>
      </c>
      <c r="P621">
        <v>1.2</v>
      </c>
      <c r="Q621">
        <v>10</v>
      </c>
      <c r="R621">
        <f>CORREL(BMW[units_sold],BMW[gdp_growth_percent])</f>
        <v>-5.2597817623217792E-17</v>
      </c>
    </row>
    <row r="622" spans="1:18" x14ac:dyDescent="0.35">
      <c r="A622">
        <v>2018</v>
      </c>
      <c r="B622" t="s">
        <v>50</v>
      </c>
      <c r="C622" t="s">
        <v>14</v>
      </c>
      <c r="D622" t="s">
        <v>26</v>
      </c>
      <c r="E622" t="s">
        <v>16</v>
      </c>
      <c r="F622" t="s">
        <v>17</v>
      </c>
      <c r="G622">
        <v>68139</v>
      </c>
      <c r="H622" t="s">
        <v>55</v>
      </c>
      <c r="I622">
        <v>459</v>
      </c>
      <c r="J622">
        <v>31275801</v>
      </c>
      <c r="K622">
        <v>322869</v>
      </c>
      <c r="L622">
        <v>30952932</v>
      </c>
      <c r="M622">
        <v>33</v>
      </c>
      <c r="N622">
        <v>0.97</v>
      </c>
      <c r="O622">
        <v>6.29</v>
      </c>
      <c r="P622">
        <v>1.2</v>
      </c>
      <c r="Q622">
        <v>3</v>
      </c>
      <c r="R622">
        <f>CORREL(BMW[units_sold],BMW[gdp_growth_percent])</f>
        <v>-5.2597817623217792E-17</v>
      </c>
    </row>
    <row r="623" spans="1:18" x14ac:dyDescent="0.35">
      <c r="A623">
        <v>2020</v>
      </c>
      <c r="B623" t="s">
        <v>45</v>
      </c>
      <c r="C623" t="s">
        <v>14</v>
      </c>
      <c r="D623" t="s">
        <v>15</v>
      </c>
      <c r="E623" t="s">
        <v>20</v>
      </c>
      <c r="F623" t="s">
        <v>17</v>
      </c>
      <c r="G623">
        <v>43802</v>
      </c>
      <c r="H623" t="s">
        <v>57</v>
      </c>
      <c r="I623">
        <v>637</v>
      </c>
      <c r="J623">
        <v>27901874</v>
      </c>
      <c r="K623">
        <v>83461</v>
      </c>
      <c r="L623">
        <v>27818413</v>
      </c>
      <c r="M623">
        <v>108</v>
      </c>
      <c r="N623">
        <v>0.97</v>
      </c>
      <c r="O623">
        <v>6.29</v>
      </c>
      <c r="P623">
        <v>1.2</v>
      </c>
      <c r="Q623">
        <v>4</v>
      </c>
      <c r="R623">
        <f>CORREL(BMW[units_sold],BMW[gdp_growth_percent])</f>
        <v>-5.2597817623217792E-17</v>
      </c>
    </row>
    <row r="624" spans="1:18" x14ac:dyDescent="0.35">
      <c r="A624">
        <v>2015</v>
      </c>
      <c r="B624" t="s">
        <v>43</v>
      </c>
      <c r="C624" t="s">
        <v>36</v>
      </c>
      <c r="D624" t="s">
        <v>18</v>
      </c>
      <c r="E624" t="s">
        <v>20</v>
      </c>
      <c r="F624" t="s">
        <v>23</v>
      </c>
      <c r="G624">
        <v>108843</v>
      </c>
      <c r="H624" t="s">
        <v>54</v>
      </c>
      <c r="I624">
        <v>822</v>
      </c>
      <c r="J624">
        <v>89468946</v>
      </c>
      <c r="K624">
        <v>308072</v>
      </c>
      <c r="L624">
        <v>89160874</v>
      </c>
      <c r="M624">
        <v>365</v>
      </c>
      <c r="N624">
        <v>0.97</v>
      </c>
      <c r="O624">
        <v>6.29</v>
      </c>
      <c r="P624">
        <v>1.2</v>
      </c>
      <c r="Q624">
        <v>10</v>
      </c>
      <c r="R624">
        <f>CORREL(BMW[units_sold],BMW[gdp_growth_percent])</f>
        <v>-5.2597817623217792E-17</v>
      </c>
    </row>
    <row r="625" spans="1:18" x14ac:dyDescent="0.35">
      <c r="A625">
        <v>2023</v>
      </c>
      <c r="B625" t="s">
        <v>51</v>
      </c>
      <c r="C625" t="s">
        <v>36</v>
      </c>
      <c r="D625" t="s">
        <v>33</v>
      </c>
      <c r="E625" t="s">
        <v>19</v>
      </c>
      <c r="F625" t="s">
        <v>23</v>
      </c>
      <c r="G625">
        <v>75205</v>
      </c>
      <c r="H625" t="s">
        <v>55</v>
      </c>
      <c r="I625">
        <v>309</v>
      </c>
      <c r="J625">
        <v>23238345</v>
      </c>
      <c r="K625">
        <v>91115</v>
      </c>
      <c r="L625">
        <v>23147230</v>
      </c>
      <c r="M625">
        <v>148</v>
      </c>
      <c r="N625">
        <v>0.97</v>
      </c>
      <c r="O625">
        <v>6.29</v>
      </c>
      <c r="P625">
        <v>1.2</v>
      </c>
      <c r="Q625">
        <v>10</v>
      </c>
      <c r="R625">
        <f>CORREL(BMW[units_sold],BMW[gdp_growth_percent])</f>
        <v>-5.2597817623217792E-17</v>
      </c>
    </row>
    <row r="626" spans="1:18" x14ac:dyDescent="0.35">
      <c r="A626">
        <v>2015</v>
      </c>
      <c r="B626" t="s">
        <v>44</v>
      </c>
      <c r="C626" t="s">
        <v>30</v>
      </c>
      <c r="D626" t="s">
        <v>24</v>
      </c>
      <c r="E626" t="s">
        <v>19</v>
      </c>
      <c r="F626" t="s">
        <v>20</v>
      </c>
      <c r="G626">
        <v>69159</v>
      </c>
      <c r="H626" t="s">
        <v>55</v>
      </c>
      <c r="I626">
        <v>994</v>
      </c>
      <c r="J626">
        <v>68744046</v>
      </c>
      <c r="K626">
        <v>160084</v>
      </c>
      <c r="L626">
        <v>68583962</v>
      </c>
      <c r="M626">
        <v>323</v>
      </c>
      <c r="N626">
        <v>0.97</v>
      </c>
      <c r="O626">
        <v>6.29</v>
      </c>
      <c r="P626">
        <v>1.2</v>
      </c>
      <c r="Q626">
        <v>10</v>
      </c>
      <c r="R626">
        <f>CORREL(BMW[units_sold],BMW[gdp_growth_percent])</f>
        <v>-5.2597817623217792E-17</v>
      </c>
    </row>
    <row r="627" spans="1:18" x14ac:dyDescent="0.35">
      <c r="A627">
        <v>2019</v>
      </c>
      <c r="B627" t="s">
        <v>41</v>
      </c>
      <c r="C627" t="s">
        <v>30</v>
      </c>
      <c r="D627" t="s">
        <v>22</v>
      </c>
      <c r="E627" t="s">
        <v>19</v>
      </c>
      <c r="F627" t="s">
        <v>23</v>
      </c>
      <c r="G627">
        <v>46516</v>
      </c>
      <c r="H627" t="s">
        <v>57</v>
      </c>
      <c r="I627">
        <v>496</v>
      </c>
      <c r="J627">
        <v>23071936</v>
      </c>
      <c r="K627">
        <v>395876</v>
      </c>
      <c r="L627">
        <v>22676060</v>
      </c>
      <c r="M627">
        <v>183</v>
      </c>
      <c r="N627">
        <v>0.97</v>
      </c>
      <c r="O627">
        <v>6.29</v>
      </c>
      <c r="P627">
        <v>1.2</v>
      </c>
      <c r="Q627">
        <v>10</v>
      </c>
      <c r="R627">
        <f>CORREL(BMW[units_sold],BMW[gdp_growth_percent])</f>
        <v>-5.2597817623217792E-17</v>
      </c>
    </row>
    <row r="628" spans="1:18" x14ac:dyDescent="0.35">
      <c r="A628">
        <v>2018</v>
      </c>
      <c r="B628" t="s">
        <v>49</v>
      </c>
      <c r="C628" t="s">
        <v>21</v>
      </c>
      <c r="D628" t="s">
        <v>22</v>
      </c>
      <c r="E628" t="s">
        <v>16</v>
      </c>
      <c r="F628" t="s">
        <v>27</v>
      </c>
      <c r="G628">
        <v>85492</v>
      </c>
      <c r="H628" t="s">
        <v>54</v>
      </c>
      <c r="I628">
        <v>354</v>
      </c>
      <c r="J628">
        <v>30264168</v>
      </c>
      <c r="K628">
        <v>391701</v>
      </c>
      <c r="L628">
        <v>29872467</v>
      </c>
      <c r="M628">
        <v>38</v>
      </c>
      <c r="N628">
        <v>0.97</v>
      </c>
      <c r="O628">
        <v>6.29</v>
      </c>
      <c r="P628">
        <v>1.2</v>
      </c>
      <c r="Q628">
        <v>10</v>
      </c>
      <c r="R628">
        <f>CORREL(BMW[units_sold],BMW[gdp_growth_percent])</f>
        <v>-5.2597817623217792E-17</v>
      </c>
    </row>
    <row r="629" spans="1:18" x14ac:dyDescent="0.35">
      <c r="A629">
        <v>2017</v>
      </c>
      <c r="B629" t="s">
        <v>50</v>
      </c>
      <c r="C629" t="s">
        <v>30</v>
      </c>
      <c r="D629" t="s">
        <v>29</v>
      </c>
      <c r="E629" t="s">
        <v>20</v>
      </c>
      <c r="F629" t="s">
        <v>20</v>
      </c>
      <c r="G629">
        <v>64086</v>
      </c>
      <c r="H629" t="s">
        <v>55</v>
      </c>
      <c r="I629">
        <v>381</v>
      </c>
      <c r="J629">
        <v>24416766</v>
      </c>
      <c r="K629">
        <v>383404</v>
      </c>
      <c r="L629">
        <v>24033362</v>
      </c>
      <c r="M629">
        <v>152</v>
      </c>
      <c r="N629">
        <v>0.97</v>
      </c>
      <c r="O629">
        <v>6.29</v>
      </c>
      <c r="P629">
        <v>1.2</v>
      </c>
      <c r="Q629">
        <v>3</v>
      </c>
      <c r="R629">
        <f>CORREL(BMW[units_sold],BMW[gdp_growth_percent])</f>
        <v>-5.2597817623217792E-17</v>
      </c>
    </row>
    <row r="630" spans="1:18" x14ac:dyDescent="0.35">
      <c r="A630">
        <v>2020</v>
      </c>
      <c r="B630" t="s">
        <v>44</v>
      </c>
      <c r="C630" t="s">
        <v>37</v>
      </c>
      <c r="D630" t="s">
        <v>39</v>
      </c>
      <c r="E630" t="s">
        <v>19</v>
      </c>
      <c r="F630" t="s">
        <v>23</v>
      </c>
      <c r="G630">
        <v>65480</v>
      </c>
      <c r="H630" t="s">
        <v>55</v>
      </c>
      <c r="I630">
        <v>984</v>
      </c>
      <c r="J630">
        <v>64432320</v>
      </c>
      <c r="K630">
        <v>209762</v>
      </c>
      <c r="L630">
        <v>64222558</v>
      </c>
      <c r="M630">
        <v>325</v>
      </c>
      <c r="N630">
        <v>0.97</v>
      </c>
      <c r="O630">
        <v>6.29</v>
      </c>
      <c r="P630">
        <v>1.2</v>
      </c>
      <c r="Q630">
        <v>1</v>
      </c>
      <c r="R630">
        <f>CORREL(BMW[units_sold],BMW[gdp_growth_percent])</f>
        <v>-5.2597817623217792E-17</v>
      </c>
    </row>
    <row r="631" spans="1:18" x14ac:dyDescent="0.35">
      <c r="A631">
        <v>2016</v>
      </c>
      <c r="B631" t="s">
        <v>47</v>
      </c>
      <c r="C631" t="s">
        <v>14</v>
      </c>
      <c r="D631" t="s">
        <v>15</v>
      </c>
      <c r="E631" t="s">
        <v>19</v>
      </c>
      <c r="F631" t="s">
        <v>17</v>
      </c>
      <c r="G631">
        <v>87091</v>
      </c>
      <c r="H631" t="s">
        <v>54</v>
      </c>
      <c r="I631">
        <v>829</v>
      </c>
      <c r="J631">
        <v>72198439</v>
      </c>
      <c r="K631">
        <v>313551</v>
      </c>
      <c r="L631">
        <v>71884888</v>
      </c>
      <c r="M631">
        <v>360</v>
      </c>
      <c r="N631">
        <v>0.97</v>
      </c>
      <c r="O631">
        <v>6.29</v>
      </c>
      <c r="P631">
        <v>1.2</v>
      </c>
      <c r="Q631">
        <v>8</v>
      </c>
      <c r="R631">
        <f>CORREL(BMW[units_sold],BMW[gdp_growth_percent])</f>
        <v>-5.2597817623217792E-17</v>
      </c>
    </row>
    <row r="632" spans="1:18" x14ac:dyDescent="0.35">
      <c r="A632">
        <v>2017</v>
      </c>
      <c r="B632" t="s">
        <v>51</v>
      </c>
      <c r="C632" t="s">
        <v>35</v>
      </c>
      <c r="D632" t="s">
        <v>39</v>
      </c>
      <c r="E632" t="s">
        <v>19</v>
      </c>
      <c r="F632" t="s">
        <v>27</v>
      </c>
      <c r="G632">
        <v>82766</v>
      </c>
      <c r="H632" t="s">
        <v>54</v>
      </c>
      <c r="I632">
        <v>106</v>
      </c>
      <c r="J632">
        <v>8773196</v>
      </c>
      <c r="K632">
        <v>123568</v>
      </c>
      <c r="L632">
        <v>8649628</v>
      </c>
      <c r="M632">
        <v>51</v>
      </c>
      <c r="N632">
        <v>0.97</v>
      </c>
      <c r="O632">
        <v>6.29</v>
      </c>
      <c r="P632">
        <v>1.2</v>
      </c>
      <c r="Q632">
        <v>10</v>
      </c>
      <c r="R632">
        <f>CORREL(BMW[units_sold],BMW[gdp_growth_percent])</f>
        <v>-5.2597817623217792E-17</v>
      </c>
    </row>
    <row r="633" spans="1:18" x14ac:dyDescent="0.35">
      <c r="A633">
        <v>2019</v>
      </c>
      <c r="B633" t="s">
        <v>47</v>
      </c>
      <c r="C633" t="s">
        <v>37</v>
      </c>
      <c r="D633" t="s">
        <v>18</v>
      </c>
      <c r="E633" t="s">
        <v>20</v>
      </c>
      <c r="F633" t="s">
        <v>17</v>
      </c>
      <c r="G633">
        <v>73737</v>
      </c>
      <c r="H633" t="s">
        <v>55</v>
      </c>
      <c r="I633">
        <v>720</v>
      </c>
      <c r="J633">
        <v>53090640</v>
      </c>
      <c r="K633">
        <v>108560</v>
      </c>
      <c r="L633">
        <v>52982080</v>
      </c>
      <c r="M633">
        <v>308</v>
      </c>
      <c r="N633">
        <v>0.97</v>
      </c>
      <c r="O633">
        <v>6.29</v>
      </c>
      <c r="P633">
        <v>1.2</v>
      </c>
      <c r="Q633">
        <v>10</v>
      </c>
      <c r="R633">
        <f>CORREL(BMW[units_sold],BMW[gdp_growth_percent])</f>
        <v>-5.2597817623217792E-17</v>
      </c>
    </row>
    <row r="634" spans="1:18" x14ac:dyDescent="0.35">
      <c r="A634">
        <v>2023</v>
      </c>
      <c r="B634" t="s">
        <v>52</v>
      </c>
      <c r="C634" t="s">
        <v>32</v>
      </c>
      <c r="D634" t="s">
        <v>24</v>
      </c>
      <c r="E634" t="s">
        <v>20</v>
      </c>
      <c r="F634" t="s">
        <v>20</v>
      </c>
      <c r="G634">
        <v>44265</v>
      </c>
      <c r="H634" t="s">
        <v>57</v>
      </c>
      <c r="I634">
        <v>835</v>
      </c>
      <c r="J634">
        <v>36961275</v>
      </c>
      <c r="K634">
        <v>490556</v>
      </c>
      <c r="L634">
        <v>36470719</v>
      </c>
      <c r="M634">
        <v>217</v>
      </c>
      <c r="N634">
        <v>0.97</v>
      </c>
      <c r="O634">
        <v>6.29</v>
      </c>
      <c r="P634">
        <v>1.2</v>
      </c>
      <c r="Q634">
        <v>2</v>
      </c>
      <c r="R634">
        <f>CORREL(BMW[units_sold],BMW[gdp_growth_percent])</f>
        <v>-5.2597817623217792E-17</v>
      </c>
    </row>
    <row r="635" spans="1:18" x14ac:dyDescent="0.35">
      <c r="A635">
        <v>2016</v>
      </c>
      <c r="B635" t="s">
        <v>52</v>
      </c>
      <c r="C635" t="s">
        <v>28</v>
      </c>
      <c r="D635" t="s">
        <v>29</v>
      </c>
      <c r="E635" t="s">
        <v>20</v>
      </c>
      <c r="F635" t="s">
        <v>17</v>
      </c>
      <c r="G635">
        <v>105990</v>
      </c>
      <c r="H635" t="s">
        <v>54</v>
      </c>
      <c r="I635">
        <v>1024</v>
      </c>
      <c r="J635">
        <v>108533760</v>
      </c>
      <c r="K635">
        <v>198866</v>
      </c>
      <c r="L635">
        <v>108334894</v>
      </c>
      <c r="M635">
        <v>339</v>
      </c>
      <c r="N635">
        <v>0.97</v>
      </c>
      <c r="O635">
        <v>6.29</v>
      </c>
      <c r="P635">
        <v>1.2</v>
      </c>
      <c r="Q635">
        <v>1</v>
      </c>
      <c r="R635">
        <f>CORREL(BMW[units_sold],BMW[gdp_growth_percent])</f>
        <v>-5.2597817623217792E-17</v>
      </c>
    </row>
    <row r="636" spans="1:18" x14ac:dyDescent="0.35">
      <c r="A636">
        <v>2024</v>
      </c>
      <c r="B636" t="s">
        <v>45</v>
      </c>
      <c r="C636" t="s">
        <v>30</v>
      </c>
      <c r="D636" t="s">
        <v>34</v>
      </c>
      <c r="E636" t="s">
        <v>16</v>
      </c>
      <c r="F636" t="s">
        <v>23</v>
      </c>
      <c r="G636">
        <v>50386</v>
      </c>
      <c r="H636" t="s">
        <v>55</v>
      </c>
      <c r="I636">
        <v>815</v>
      </c>
      <c r="J636">
        <v>41064590</v>
      </c>
      <c r="K636">
        <v>200953</v>
      </c>
      <c r="L636">
        <v>40863637</v>
      </c>
      <c r="M636">
        <v>201</v>
      </c>
      <c r="N636">
        <v>0.97</v>
      </c>
      <c r="O636">
        <v>6.29</v>
      </c>
      <c r="P636">
        <v>1.2</v>
      </c>
      <c r="Q636">
        <v>8</v>
      </c>
      <c r="R636">
        <f>CORREL(BMW[units_sold],BMW[gdp_growth_percent])</f>
        <v>-5.2597817623217792E-17</v>
      </c>
    </row>
    <row r="637" spans="1:18" x14ac:dyDescent="0.35">
      <c r="A637">
        <v>2022</v>
      </c>
      <c r="B637" t="s">
        <v>41</v>
      </c>
      <c r="C637" t="s">
        <v>28</v>
      </c>
      <c r="D637" t="s">
        <v>18</v>
      </c>
      <c r="E637" t="s">
        <v>16</v>
      </c>
      <c r="F637" t="s">
        <v>23</v>
      </c>
      <c r="G637">
        <v>72425</v>
      </c>
      <c r="H637" t="s">
        <v>55</v>
      </c>
      <c r="I637">
        <v>719</v>
      </c>
      <c r="J637">
        <v>52073575</v>
      </c>
      <c r="K637">
        <v>267364</v>
      </c>
      <c r="L637">
        <v>51806211</v>
      </c>
      <c r="M637">
        <v>169</v>
      </c>
      <c r="N637">
        <v>0.97</v>
      </c>
      <c r="O637">
        <v>6.29</v>
      </c>
      <c r="P637">
        <v>1.2</v>
      </c>
      <c r="Q637">
        <v>7</v>
      </c>
      <c r="R637">
        <f>CORREL(BMW[units_sold],BMW[gdp_growth_percent])</f>
        <v>-5.2597817623217792E-17</v>
      </c>
    </row>
    <row r="638" spans="1:18" x14ac:dyDescent="0.35">
      <c r="A638">
        <v>2016</v>
      </c>
      <c r="B638" t="s">
        <v>50</v>
      </c>
      <c r="C638" t="s">
        <v>38</v>
      </c>
      <c r="D638" t="s">
        <v>15</v>
      </c>
      <c r="E638" t="s">
        <v>19</v>
      </c>
      <c r="F638" t="s">
        <v>20</v>
      </c>
      <c r="G638">
        <v>78254</v>
      </c>
      <c r="H638" t="s">
        <v>55</v>
      </c>
      <c r="I638">
        <v>377</v>
      </c>
      <c r="J638">
        <v>29501758</v>
      </c>
      <c r="K638">
        <v>286770</v>
      </c>
      <c r="L638">
        <v>29214988</v>
      </c>
      <c r="M638">
        <v>73</v>
      </c>
      <c r="N638">
        <v>0.97</v>
      </c>
      <c r="O638">
        <v>6.29</v>
      </c>
      <c r="P638">
        <v>1.2</v>
      </c>
      <c r="Q638">
        <v>7</v>
      </c>
      <c r="R638">
        <f>CORREL(BMW[units_sold],BMW[gdp_growth_percent])</f>
        <v>-5.2597817623217792E-17</v>
      </c>
    </row>
    <row r="639" spans="1:18" x14ac:dyDescent="0.35">
      <c r="A639">
        <v>2019</v>
      </c>
      <c r="B639" t="s">
        <v>48</v>
      </c>
      <c r="C639" t="s">
        <v>21</v>
      </c>
      <c r="D639" t="s">
        <v>22</v>
      </c>
      <c r="E639" t="s">
        <v>20</v>
      </c>
      <c r="F639" t="s">
        <v>17</v>
      </c>
      <c r="G639">
        <v>88634</v>
      </c>
      <c r="H639" t="s">
        <v>54</v>
      </c>
      <c r="I639">
        <v>663</v>
      </c>
      <c r="J639">
        <v>58764342</v>
      </c>
      <c r="K639">
        <v>276024</v>
      </c>
      <c r="L639">
        <v>58488318</v>
      </c>
      <c r="M639">
        <v>252</v>
      </c>
      <c r="N639">
        <v>0.97</v>
      </c>
      <c r="O639">
        <v>6.29</v>
      </c>
      <c r="P639">
        <v>1.2</v>
      </c>
      <c r="Q639">
        <v>4</v>
      </c>
      <c r="R639">
        <f>CORREL(BMW[units_sold],BMW[gdp_growth_percent])</f>
        <v>-5.2597817623217792E-17</v>
      </c>
    </row>
    <row r="640" spans="1:18" x14ac:dyDescent="0.35">
      <c r="A640">
        <v>2021</v>
      </c>
      <c r="B640" t="s">
        <v>51</v>
      </c>
      <c r="C640" t="s">
        <v>38</v>
      </c>
      <c r="D640" t="s">
        <v>26</v>
      </c>
      <c r="E640" t="s">
        <v>19</v>
      </c>
      <c r="F640" t="s">
        <v>20</v>
      </c>
      <c r="G640">
        <v>82662</v>
      </c>
      <c r="H640" t="s">
        <v>54</v>
      </c>
      <c r="I640">
        <v>641</v>
      </c>
      <c r="J640">
        <v>52986342</v>
      </c>
      <c r="K640">
        <v>230775</v>
      </c>
      <c r="L640">
        <v>52755567</v>
      </c>
      <c r="M640">
        <v>267</v>
      </c>
      <c r="N640">
        <v>0.97</v>
      </c>
      <c r="O640">
        <v>6.29</v>
      </c>
      <c r="P640">
        <v>1.2</v>
      </c>
      <c r="Q640">
        <v>9</v>
      </c>
      <c r="R640">
        <f>CORREL(BMW[units_sold],BMW[gdp_growth_percent])</f>
        <v>-5.2597817623217792E-17</v>
      </c>
    </row>
    <row r="641" spans="1:18" x14ac:dyDescent="0.35">
      <c r="A641">
        <v>2022</v>
      </c>
      <c r="B641" t="s">
        <v>51</v>
      </c>
      <c r="C641" t="s">
        <v>21</v>
      </c>
      <c r="D641" t="s">
        <v>24</v>
      </c>
      <c r="E641" t="s">
        <v>20</v>
      </c>
      <c r="F641" t="s">
        <v>17</v>
      </c>
      <c r="G641">
        <v>110452</v>
      </c>
      <c r="H641" t="s">
        <v>54</v>
      </c>
      <c r="I641">
        <v>415</v>
      </c>
      <c r="J641">
        <v>45837580</v>
      </c>
      <c r="K641">
        <v>487570</v>
      </c>
      <c r="L641">
        <v>45350010</v>
      </c>
      <c r="M641">
        <v>161</v>
      </c>
      <c r="N641">
        <v>0.97</v>
      </c>
      <c r="O641">
        <v>6.29</v>
      </c>
      <c r="P641">
        <v>1.2</v>
      </c>
      <c r="Q641">
        <v>6</v>
      </c>
      <c r="R641">
        <f>CORREL(BMW[units_sold],BMW[gdp_growth_percent])</f>
        <v>-5.2597817623217792E-17</v>
      </c>
    </row>
    <row r="642" spans="1:18" x14ac:dyDescent="0.35">
      <c r="A642">
        <v>2015</v>
      </c>
      <c r="B642" t="s">
        <v>44</v>
      </c>
      <c r="C642" t="s">
        <v>36</v>
      </c>
      <c r="D642" t="s">
        <v>31</v>
      </c>
      <c r="E642" t="s">
        <v>20</v>
      </c>
      <c r="F642" t="s">
        <v>27</v>
      </c>
      <c r="G642">
        <v>45143</v>
      </c>
      <c r="H642" t="s">
        <v>57</v>
      </c>
      <c r="I642">
        <v>651</v>
      </c>
      <c r="J642">
        <v>29388093</v>
      </c>
      <c r="K642">
        <v>141288</v>
      </c>
      <c r="L642">
        <v>29246805</v>
      </c>
      <c r="M642">
        <v>224</v>
      </c>
      <c r="N642">
        <v>0.97</v>
      </c>
      <c r="O642">
        <v>6.29</v>
      </c>
      <c r="P642">
        <v>1.2</v>
      </c>
      <c r="Q642">
        <v>2</v>
      </c>
      <c r="R642">
        <f>CORREL(BMW[units_sold],BMW[gdp_growth_percent])</f>
        <v>-5.2597817623217792E-17</v>
      </c>
    </row>
    <row r="643" spans="1:18" x14ac:dyDescent="0.35">
      <c r="A643">
        <v>2020</v>
      </c>
      <c r="B643" t="s">
        <v>45</v>
      </c>
      <c r="C643" t="s">
        <v>28</v>
      </c>
      <c r="D643" t="s">
        <v>39</v>
      </c>
      <c r="E643" t="s">
        <v>20</v>
      </c>
      <c r="F643" t="s">
        <v>23</v>
      </c>
      <c r="G643">
        <v>50581</v>
      </c>
      <c r="H643" t="s">
        <v>55</v>
      </c>
      <c r="I643">
        <v>877</v>
      </c>
      <c r="J643">
        <v>44359537</v>
      </c>
      <c r="K643">
        <v>431164</v>
      </c>
      <c r="L643">
        <v>43928373</v>
      </c>
      <c r="M643">
        <v>331</v>
      </c>
      <c r="N643">
        <v>0.97</v>
      </c>
      <c r="O643">
        <v>6.29</v>
      </c>
      <c r="P643">
        <v>1.2</v>
      </c>
      <c r="Q643">
        <v>1</v>
      </c>
      <c r="R643">
        <f>CORREL(BMW[units_sold],BMW[gdp_growth_percent])</f>
        <v>-5.2597817623217792E-17</v>
      </c>
    </row>
    <row r="644" spans="1:18" x14ac:dyDescent="0.35">
      <c r="A644">
        <v>2015</v>
      </c>
      <c r="B644" t="s">
        <v>52</v>
      </c>
      <c r="C644" t="s">
        <v>21</v>
      </c>
      <c r="D644" t="s">
        <v>29</v>
      </c>
      <c r="E644" t="s">
        <v>16</v>
      </c>
      <c r="F644" t="s">
        <v>20</v>
      </c>
      <c r="G644">
        <v>102443</v>
      </c>
      <c r="H644" t="s">
        <v>54</v>
      </c>
      <c r="I644">
        <v>533</v>
      </c>
      <c r="J644">
        <v>54602119</v>
      </c>
      <c r="K644">
        <v>411445</v>
      </c>
      <c r="L644">
        <v>54190674</v>
      </c>
      <c r="M644">
        <v>175</v>
      </c>
      <c r="N644">
        <v>0.97</v>
      </c>
      <c r="O644">
        <v>6.29</v>
      </c>
      <c r="P644">
        <v>1.2</v>
      </c>
      <c r="Q644">
        <v>1</v>
      </c>
      <c r="R644">
        <f>CORREL(BMW[units_sold],BMW[gdp_growth_percent])</f>
        <v>-5.2597817623217792E-17</v>
      </c>
    </row>
    <row r="645" spans="1:18" x14ac:dyDescent="0.35">
      <c r="A645">
        <v>2016</v>
      </c>
      <c r="B645" t="s">
        <v>45</v>
      </c>
      <c r="C645" t="s">
        <v>25</v>
      </c>
      <c r="D645" t="s">
        <v>39</v>
      </c>
      <c r="E645" t="s">
        <v>16</v>
      </c>
      <c r="F645" t="s">
        <v>27</v>
      </c>
      <c r="G645">
        <v>64424</v>
      </c>
      <c r="H645" t="s">
        <v>55</v>
      </c>
      <c r="I645">
        <v>456</v>
      </c>
      <c r="J645">
        <v>29377344</v>
      </c>
      <c r="K645">
        <v>299836</v>
      </c>
      <c r="L645">
        <v>29077508</v>
      </c>
      <c r="M645">
        <v>40</v>
      </c>
      <c r="N645">
        <v>0.97</v>
      </c>
      <c r="O645">
        <v>6.29</v>
      </c>
      <c r="P645">
        <v>1.2</v>
      </c>
      <c r="Q645">
        <v>9</v>
      </c>
      <c r="R645">
        <f>CORREL(BMW[units_sold],BMW[gdp_growth_percent])</f>
        <v>-5.2597817623217792E-17</v>
      </c>
    </row>
    <row r="646" spans="1:18" x14ac:dyDescent="0.35">
      <c r="A646">
        <v>2015</v>
      </c>
      <c r="B646" t="s">
        <v>49</v>
      </c>
      <c r="C646" t="s">
        <v>37</v>
      </c>
      <c r="D646" t="s">
        <v>24</v>
      </c>
      <c r="E646" t="s">
        <v>20</v>
      </c>
      <c r="F646" t="s">
        <v>27</v>
      </c>
      <c r="G646">
        <v>76984</v>
      </c>
      <c r="H646" t="s">
        <v>55</v>
      </c>
      <c r="I646">
        <v>814</v>
      </c>
      <c r="J646">
        <v>62664976</v>
      </c>
      <c r="K646">
        <v>64390</v>
      </c>
      <c r="L646">
        <v>62600586</v>
      </c>
      <c r="M646">
        <v>380</v>
      </c>
      <c r="N646">
        <v>0.97</v>
      </c>
      <c r="O646">
        <v>6.29</v>
      </c>
      <c r="P646">
        <v>1.2</v>
      </c>
      <c r="Q646">
        <v>4</v>
      </c>
      <c r="R646">
        <f>CORREL(BMW[units_sold],BMW[gdp_growth_percent])</f>
        <v>-5.2597817623217792E-17</v>
      </c>
    </row>
    <row r="647" spans="1:18" x14ac:dyDescent="0.35">
      <c r="A647">
        <v>2019</v>
      </c>
      <c r="B647" t="s">
        <v>44</v>
      </c>
      <c r="C647" t="s">
        <v>21</v>
      </c>
      <c r="D647" t="s">
        <v>39</v>
      </c>
      <c r="E647" t="s">
        <v>19</v>
      </c>
      <c r="F647" t="s">
        <v>20</v>
      </c>
      <c r="G647">
        <v>76505</v>
      </c>
      <c r="H647" t="s">
        <v>55</v>
      </c>
      <c r="I647">
        <v>557</v>
      </c>
      <c r="J647">
        <v>42613285</v>
      </c>
      <c r="K647">
        <v>268547</v>
      </c>
      <c r="L647">
        <v>42344738</v>
      </c>
      <c r="M647">
        <v>241</v>
      </c>
      <c r="N647">
        <v>0.97</v>
      </c>
      <c r="O647">
        <v>6.29</v>
      </c>
      <c r="P647">
        <v>1.2</v>
      </c>
      <c r="Q647">
        <v>5</v>
      </c>
      <c r="R647">
        <f>CORREL(BMW[units_sold],BMW[gdp_growth_percent])</f>
        <v>-5.2597817623217792E-17</v>
      </c>
    </row>
    <row r="648" spans="1:18" x14ac:dyDescent="0.35">
      <c r="A648">
        <v>2024</v>
      </c>
      <c r="B648" t="s">
        <v>44</v>
      </c>
      <c r="C648" t="s">
        <v>21</v>
      </c>
      <c r="D648" t="s">
        <v>24</v>
      </c>
      <c r="E648" t="s">
        <v>20</v>
      </c>
      <c r="F648" t="s">
        <v>20</v>
      </c>
      <c r="G648">
        <v>97699</v>
      </c>
      <c r="H648" t="s">
        <v>54</v>
      </c>
      <c r="I648">
        <v>730</v>
      </c>
      <c r="J648">
        <v>71320270</v>
      </c>
      <c r="K648">
        <v>77307</v>
      </c>
      <c r="L648">
        <v>71242963</v>
      </c>
      <c r="M648">
        <v>291</v>
      </c>
      <c r="N648">
        <v>0.97</v>
      </c>
      <c r="O648">
        <v>6.29</v>
      </c>
      <c r="P648">
        <v>1.2</v>
      </c>
      <c r="Q648">
        <v>3</v>
      </c>
      <c r="R648">
        <f>CORREL(BMW[units_sold],BMW[gdp_growth_percent])</f>
        <v>-5.2597817623217792E-17</v>
      </c>
    </row>
    <row r="649" spans="1:18" x14ac:dyDescent="0.35">
      <c r="A649">
        <v>2023</v>
      </c>
      <c r="B649" t="s">
        <v>50</v>
      </c>
      <c r="C649" t="s">
        <v>37</v>
      </c>
      <c r="D649" t="s">
        <v>39</v>
      </c>
      <c r="E649" t="s">
        <v>20</v>
      </c>
      <c r="F649" t="s">
        <v>27</v>
      </c>
      <c r="G649">
        <v>61957</v>
      </c>
      <c r="H649" t="s">
        <v>55</v>
      </c>
      <c r="I649">
        <v>550</v>
      </c>
      <c r="J649">
        <v>34076350</v>
      </c>
      <c r="K649">
        <v>277436</v>
      </c>
      <c r="L649">
        <v>33798914</v>
      </c>
      <c r="M649">
        <v>38</v>
      </c>
      <c r="N649">
        <v>0.97</v>
      </c>
      <c r="O649">
        <v>6.29</v>
      </c>
      <c r="P649">
        <v>1.2</v>
      </c>
      <c r="Q649">
        <v>4</v>
      </c>
      <c r="R649">
        <f>CORREL(BMW[units_sold],BMW[gdp_growth_percent])</f>
        <v>-5.2597817623217792E-17</v>
      </c>
    </row>
    <row r="650" spans="1:18" x14ac:dyDescent="0.35">
      <c r="A650">
        <v>2020</v>
      </c>
      <c r="B650" t="s">
        <v>41</v>
      </c>
      <c r="C650" t="s">
        <v>28</v>
      </c>
      <c r="D650" t="s">
        <v>33</v>
      </c>
      <c r="E650" t="s">
        <v>19</v>
      </c>
      <c r="F650" t="s">
        <v>17</v>
      </c>
      <c r="G650">
        <v>60464</v>
      </c>
      <c r="H650" t="s">
        <v>55</v>
      </c>
      <c r="I650">
        <v>842</v>
      </c>
      <c r="J650">
        <v>50910688</v>
      </c>
      <c r="K650">
        <v>275121</v>
      </c>
      <c r="L650">
        <v>50635567</v>
      </c>
      <c r="M650">
        <v>204</v>
      </c>
      <c r="N650">
        <v>0.97</v>
      </c>
      <c r="O650">
        <v>6.29</v>
      </c>
      <c r="P650">
        <v>1.2</v>
      </c>
      <c r="Q650">
        <v>8</v>
      </c>
      <c r="R650">
        <f>CORREL(BMW[units_sold],BMW[gdp_growth_percent])</f>
        <v>-5.2597817623217792E-17</v>
      </c>
    </row>
    <row r="651" spans="1:18" x14ac:dyDescent="0.35">
      <c r="A651">
        <v>2015</v>
      </c>
      <c r="B651" t="s">
        <v>43</v>
      </c>
      <c r="C651" t="s">
        <v>28</v>
      </c>
      <c r="D651" t="s">
        <v>34</v>
      </c>
      <c r="E651" t="s">
        <v>20</v>
      </c>
      <c r="F651" t="s">
        <v>27</v>
      </c>
      <c r="G651">
        <v>58649</v>
      </c>
      <c r="H651" t="s">
        <v>55</v>
      </c>
      <c r="I651">
        <v>1071</v>
      </c>
      <c r="J651">
        <v>62813079</v>
      </c>
      <c r="K651">
        <v>301063</v>
      </c>
      <c r="L651">
        <v>62512016</v>
      </c>
      <c r="M651">
        <v>343</v>
      </c>
      <c r="N651">
        <v>0.97</v>
      </c>
      <c r="O651">
        <v>6.29</v>
      </c>
      <c r="P651">
        <v>1.2</v>
      </c>
      <c r="Q651">
        <v>4</v>
      </c>
      <c r="R651">
        <f>CORREL(BMW[units_sold],BMW[gdp_growth_percent])</f>
        <v>-5.2597817623217792E-17</v>
      </c>
    </row>
    <row r="652" spans="1:18" x14ac:dyDescent="0.35">
      <c r="A652">
        <v>2015</v>
      </c>
      <c r="B652" t="s">
        <v>42</v>
      </c>
      <c r="C652" t="s">
        <v>37</v>
      </c>
      <c r="D652" t="s">
        <v>18</v>
      </c>
      <c r="E652" t="s">
        <v>19</v>
      </c>
      <c r="F652" t="s">
        <v>20</v>
      </c>
      <c r="G652">
        <v>77065</v>
      </c>
      <c r="H652" t="s">
        <v>55</v>
      </c>
      <c r="I652">
        <v>929</v>
      </c>
      <c r="J652">
        <v>71593385</v>
      </c>
      <c r="K652">
        <v>74502</v>
      </c>
      <c r="L652">
        <v>71518883</v>
      </c>
      <c r="M652">
        <v>265</v>
      </c>
      <c r="N652">
        <v>0.97</v>
      </c>
      <c r="O652">
        <v>6.29</v>
      </c>
      <c r="P652">
        <v>1.2</v>
      </c>
      <c r="Q652">
        <v>9</v>
      </c>
      <c r="R652">
        <f>CORREL(BMW[units_sold],BMW[gdp_growth_percent])</f>
        <v>-5.2597817623217792E-17</v>
      </c>
    </row>
    <row r="653" spans="1:18" x14ac:dyDescent="0.35">
      <c r="A653">
        <v>2016</v>
      </c>
      <c r="B653" t="s">
        <v>43</v>
      </c>
      <c r="C653" t="s">
        <v>38</v>
      </c>
      <c r="D653" t="s">
        <v>18</v>
      </c>
      <c r="E653" t="s">
        <v>16</v>
      </c>
      <c r="F653" t="s">
        <v>27</v>
      </c>
      <c r="G653">
        <v>69758</v>
      </c>
      <c r="H653" t="s">
        <v>55</v>
      </c>
      <c r="I653">
        <v>977</v>
      </c>
      <c r="J653">
        <v>68153566</v>
      </c>
      <c r="K653">
        <v>72486</v>
      </c>
      <c r="L653">
        <v>68081080</v>
      </c>
      <c r="M653">
        <v>290</v>
      </c>
      <c r="N653">
        <v>0.97</v>
      </c>
      <c r="O653">
        <v>6.29</v>
      </c>
      <c r="P653">
        <v>1.2</v>
      </c>
      <c r="Q653">
        <v>9</v>
      </c>
      <c r="R653">
        <f>CORREL(BMW[units_sold],BMW[gdp_growth_percent])</f>
        <v>-5.2597817623217792E-17</v>
      </c>
    </row>
    <row r="654" spans="1:18" x14ac:dyDescent="0.35">
      <c r="A654">
        <v>2023</v>
      </c>
      <c r="B654" t="s">
        <v>46</v>
      </c>
      <c r="C654" t="s">
        <v>25</v>
      </c>
      <c r="D654" t="s">
        <v>15</v>
      </c>
      <c r="E654" t="s">
        <v>16</v>
      </c>
      <c r="F654" t="s">
        <v>17</v>
      </c>
      <c r="G654">
        <v>40596</v>
      </c>
      <c r="H654" t="s">
        <v>57</v>
      </c>
      <c r="I654">
        <v>989</v>
      </c>
      <c r="J654">
        <v>40149444</v>
      </c>
      <c r="K654">
        <v>423957</v>
      </c>
      <c r="L654">
        <v>39725487</v>
      </c>
      <c r="M654">
        <v>313</v>
      </c>
      <c r="N654">
        <v>0.97</v>
      </c>
      <c r="O654">
        <v>6.29</v>
      </c>
      <c r="P654">
        <v>1.2</v>
      </c>
      <c r="Q654">
        <v>6</v>
      </c>
      <c r="R654">
        <f>CORREL(BMW[units_sold],BMW[gdp_growth_percent])</f>
        <v>-5.2597817623217792E-17</v>
      </c>
    </row>
    <row r="655" spans="1:18" x14ac:dyDescent="0.35">
      <c r="A655">
        <v>2017</v>
      </c>
      <c r="B655" t="s">
        <v>46</v>
      </c>
      <c r="C655" t="s">
        <v>35</v>
      </c>
      <c r="D655" t="s">
        <v>31</v>
      </c>
      <c r="E655" t="s">
        <v>19</v>
      </c>
      <c r="F655" t="s">
        <v>23</v>
      </c>
      <c r="G655">
        <v>51374</v>
      </c>
      <c r="H655" t="s">
        <v>55</v>
      </c>
      <c r="I655">
        <v>1096</v>
      </c>
      <c r="J655">
        <v>56305904</v>
      </c>
      <c r="K655">
        <v>219330</v>
      </c>
      <c r="L655">
        <v>56086574</v>
      </c>
      <c r="M655">
        <v>330</v>
      </c>
      <c r="N655">
        <v>0.97</v>
      </c>
      <c r="O655">
        <v>6.29</v>
      </c>
      <c r="P655">
        <v>1.2</v>
      </c>
      <c r="Q655">
        <v>2</v>
      </c>
      <c r="R655">
        <f>CORREL(BMW[units_sold],BMW[gdp_growth_percent])</f>
        <v>-5.2597817623217792E-17</v>
      </c>
    </row>
    <row r="656" spans="1:18" x14ac:dyDescent="0.35">
      <c r="A656">
        <v>2015</v>
      </c>
      <c r="B656" t="s">
        <v>44</v>
      </c>
      <c r="C656" t="s">
        <v>32</v>
      </c>
      <c r="D656" t="s">
        <v>31</v>
      </c>
      <c r="E656" t="s">
        <v>16</v>
      </c>
      <c r="F656" t="s">
        <v>23</v>
      </c>
      <c r="G656">
        <v>38775</v>
      </c>
      <c r="H656" t="s">
        <v>57</v>
      </c>
      <c r="I656">
        <v>835</v>
      </c>
      <c r="J656">
        <v>32377125</v>
      </c>
      <c r="K656">
        <v>238788</v>
      </c>
      <c r="L656">
        <v>32138337</v>
      </c>
      <c r="M656">
        <v>332</v>
      </c>
      <c r="N656">
        <v>0.97</v>
      </c>
      <c r="O656">
        <v>6.29</v>
      </c>
      <c r="P656">
        <v>1.2</v>
      </c>
      <c r="Q656">
        <v>10</v>
      </c>
      <c r="R656">
        <f>CORREL(BMW[units_sold],BMW[gdp_growth_percent])</f>
        <v>-5.2597817623217792E-17</v>
      </c>
    </row>
    <row r="657" spans="1:18" x14ac:dyDescent="0.35">
      <c r="A657">
        <v>2019</v>
      </c>
      <c r="B657" t="s">
        <v>45</v>
      </c>
      <c r="C657" t="s">
        <v>25</v>
      </c>
      <c r="D657" t="s">
        <v>15</v>
      </c>
      <c r="E657" t="s">
        <v>16</v>
      </c>
      <c r="F657" t="s">
        <v>27</v>
      </c>
      <c r="G657">
        <v>62388</v>
      </c>
      <c r="H657" t="s">
        <v>55</v>
      </c>
      <c r="I657">
        <v>886</v>
      </c>
      <c r="J657">
        <v>55275768</v>
      </c>
      <c r="K657">
        <v>278300</v>
      </c>
      <c r="L657">
        <v>54997468</v>
      </c>
      <c r="M657">
        <v>355</v>
      </c>
      <c r="N657">
        <v>0.97</v>
      </c>
      <c r="O657">
        <v>6.29</v>
      </c>
      <c r="P657">
        <v>1.2</v>
      </c>
      <c r="Q657">
        <v>7</v>
      </c>
      <c r="R657">
        <f>CORREL(BMW[units_sold],BMW[gdp_growth_percent])</f>
        <v>-5.2597817623217792E-17</v>
      </c>
    </row>
    <row r="658" spans="1:18" x14ac:dyDescent="0.35">
      <c r="A658">
        <v>2021</v>
      </c>
      <c r="B658" t="s">
        <v>49</v>
      </c>
      <c r="C658" t="s">
        <v>28</v>
      </c>
      <c r="D658" t="s">
        <v>26</v>
      </c>
      <c r="E658" t="s">
        <v>19</v>
      </c>
      <c r="F658" t="s">
        <v>17</v>
      </c>
      <c r="G658">
        <v>56029</v>
      </c>
      <c r="H658" t="s">
        <v>55</v>
      </c>
      <c r="I658">
        <v>682</v>
      </c>
      <c r="J658">
        <v>38211778</v>
      </c>
      <c r="K658">
        <v>153920</v>
      </c>
      <c r="L658">
        <v>38057858</v>
      </c>
      <c r="M658">
        <v>303</v>
      </c>
      <c r="N658">
        <v>0.97</v>
      </c>
      <c r="O658">
        <v>6.29</v>
      </c>
      <c r="P658">
        <v>1.2</v>
      </c>
      <c r="Q658">
        <v>9</v>
      </c>
      <c r="R658">
        <f>CORREL(BMW[units_sold],BMW[gdp_growth_percent])</f>
        <v>-5.2597817623217792E-17</v>
      </c>
    </row>
    <row r="659" spans="1:18" x14ac:dyDescent="0.35">
      <c r="A659">
        <v>2020</v>
      </c>
      <c r="B659" t="s">
        <v>50</v>
      </c>
      <c r="C659" t="s">
        <v>35</v>
      </c>
      <c r="D659" t="s">
        <v>18</v>
      </c>
      <c r="E659" t="s">
        <v>16</v>
      </c>
      <c r="F659" t="s">
        <v>23</v>
      </c>
      <c r="G659">
        <v>118981</v>
      </c>
      <c r="H659" t="s">
        <v>54</v>
      </c>
      <c r="I659">
        <v>622</v>
      </c>
      <c r="J659">
        <v>74006182</v>
      </c>
      <c r="K659">
        <v>262566</v>
      </c>
      <c r="L659">
        <v>73743616</v>
      </c>
      <c r="M659">
        <v>96</v>
      </c>
      <c r="N659">
        <v>0.97</v>
      </c>
      <c r="O659">
        <v>6.29</v>
      </c>
      <c r="P659">
        <v>1.2</v>
      </c>
      <c r="Q659">
        <v>6</v>
      </c>
      <c r="R659">
        <f>CORREL(BMW[units_sold],BMW[gdp_growth_percent])</f>
        <v>-5.2597817623217792E-17</v>
      </c>
    </row>
    <row r="660" spans="1:18" x14ac:dyDescent="0.35">
      <c r="A660">
        <v>2015</v>
      </c>
      <c r="B660" t="s">
        <v>48</v>
      </c>
      <c r="C660" t="s">
        <v>36</v>
      </c>
      <c r="D660" t="s">
        <v>26</v>
      </c>
      <c r="E660" t="s">
        <v>20</v>
      </c>
      <c r="F660" t="s">
        <v>27</v>
      </c>
      <c r="G660">
        <v>88639</v>
      </c>
      <c r="H660" t="s">
        <v>54</v>
      </c>
      <c r="I660">
        <v>482</v>
      </c>
      <c r="J660">
        <v>42723998</v>
      </c>
      <c r="K660">
        <v>394912</v>
      </c>
      <c r="L660">
        <v>42329086</v>
      </c>
      <c r="M660">
        <v>158</v>
      </c>
      <c r="N660">
        <v>0.97</v>
      </c>
      <c r="O660">
        <v>6.29</v>
      </c>
      <c r="P660">
        <v>1.2</v>
      </c>
      <c r="Q660">
        <v>3</v>
      </c>
      <c r="R660">
        <f>CORREL(BMW[units_sold],BMW[gdp_growth_percent])</f>
        <v>-5.2597817623217792E-17</v>
      </c>
    </row>
    <row r="661" spans="1:18" x14ac:dyDescent="0.35">
      <c r="A661">
        <v>2019</v>
      </c>
      <c r="B661" t="s">
        <v>46</v>
      </c>
      <c r="C661" t="s">
        <v>30</v>
      </c>
      <c r="D661" t="s">
        <v>24</v>
      </c>
      <c r="E661" t="s">
        <v>20</v>
      </c>
      <c r="F661" t="s">
        <v>27</v>
      </c>
      <c r="G661">
        <v>49645</v>
      </c>
      <c r="H661" t="s">
        <v>57</v>
      </c>
      <c r="I661">
        <v>739</v>
      </c>
      <c r="J661">
        <v>36687655</v>
      </c>
      <c r="K661">
        <v>453964</v>
      </c>
      <c r="L661">
        <v>36233691</v>
      </c>
      <c r="M661">
        <v>258</v>
      </c>
      <c r="N661">
        <v>0.97</v>
      </c>
      <c r="O661">
        <v>6.29</v>
      </c>
      <c r="P661">
        <v>1.2</v>
      </c>
      <c r="Q661">
        <v>7</v>
      </c>
      <c r="R661">
        <f>CORREL(BMW[units_sold],BMW[gdp_growth_percent])</f>
        <v>-5.2597817623217792E-17</v>
      </c>
    </row>
    <row r="662" spans="1:18" x14ac:dyDescent="0.35">
      <c r="A662">
        <v>2019</v>
      </c>
      <c r="B662" t="s">
        <v>50</v>
      </c>
      <c r="C662" t="s">
        <v>21</v>
      </c>
      <c r="D662" t="s">
        <v>24</v>
      </c>
      <c r="E662" t="s">
        <v>19</v>
      </c>
      <c r="F662" t="s">
        <v>17</v>
      </c>
      <c r="G662">
        <v>66105</v>
      </c>
      <c r="H662" t="s">
        <v>55</v>
      </c>
      <c r="I662">
        <v>1062</v>
      </c>
      <c r="J662">
        <v>70203510</v>
      </c>
      <c r="K662">
        <v>112785</v>
      </c>
      <c r="L662">
        <v>70090725</v>
      </c>
      <c r="M662">
        <v>330</v>
      </c>
      <c r="N662">
        <v>0.97</v>
      </c>
      <c r="O662">
        <v>6.29</v>
      </c>
      <c r="P662">
        <v>1.2</v>
      </c>
      <c r="Q662">
        <v>5</v>
      </c>
      <c r="R662">
        <f>CORREL(BMW[units_sold],BMW[gdp_growth_percent])</f>
        <v>-5.2597817623217792E-17</v>
      </c>
    </row>
    <row r="663" spans="1:18" x14ac:dyDescent="0.35">
      <c r="A663">
        <v>2020</v>
      </c>
      <c r="B663" t="s">
        <v>44</v>
      </c>
      <c r="C663" t="s">
        <v>37</v>
      </c>
      <c r="D663" t="s">
        <v>22</v>
      </c>
      <c r="E663" t="s">
        <v>16</v>
      </c>
      <c r="F663" t="s">
        <v>20</v>
      </c>
      <c r="G663">
        <v>48668</v>
      </c>
      <c r="H663" t="s">
        <v>57</v>
      </c>
      <c r="I663">
        <v>995</v>
      </c>
      <c r="J663">
        <v>48424660</v>
      </c>
      <c r="K663">
        <v>126050</v>
      </c>
      <c r="L663">
        <v>48298610</v>
      </c>
      <c r="M663">
        <v>292</v>
      </c>
      <c r="N663">
        <v>0.97</v>
      </c>
      <c r="O663">
        <v>6.29</v>
      </c>
      <c r="P663">
        <v>1.2</v>
      </c>
      <c r="Q663">
        <v>1</v>
      </c>
      <c r="R663">
        <f>CORREL(BMW[units_sold],BMW[gdp_growth_percent])</f>
        <v>-5.2597817623217792E-17</v>
      </c>
    </row>
    <row r="664" spans="1:18" x14ac:dyDescent="0.35">
      <c r="A664">
        <v>2017</v>
      </c>
      <c r="B664" t="s">
        <v>41</v>
      </c>
      <c r="C664" t="s">
        <v>37</v>
      </c>
      <c r="D664" t="s">
        <v>39</v>
      </c>
      <c r="E664" t="s">
        <v>20</v>
      </c>
      <c r="F664" t="s">
        <v>27</v>
      </c>
      <c r="G664">
        <v>50960</v>
      </c>
      <c r="H664" t="s">
        <v>55</v>
      </c>
      <c r="I664">
        <v>759</v>
      </c>
      <c r="J664">
        <v>38678640</v>
      </c>
      <c r="K664">
        <v>72738</v>
      </c>
      <c r="L664">
        <v>38605902</v>
      </c>
      <c r="M664">
        <v>371</v>
      </c>
      <c r="N664">
        <v>0.97</v>
      </c>
      <c r="O664">
        <v>6.29</v>
      </c>
      <c r="P664">
        <v>1.2</v>
      </c>
      <c r="Q664">
        <v>3</v>
      </c>
      <c r="R664">
        <f>CORREL(BMW[units_sold],BMW[gdp_growth_percent])</f>
        <v>-5.2597817623217792E-17</v>
      </c>
    </row>
    <row r="665" spans="1:18" x14ac:dyDescent="0.35">
      <c r="A665">
        <v>2019</v>
      </c>
      <c r="B665" t="s">
        <v>47</v>
      </c>
      <c r="C665" t="s">
        <v>21</v>
      </c>
      <c r="D665" t="s">
        <v>31</v>
      </c>
      <c r="E665" t="s">
        <v>20</v>
      </c>
      <c r="F665" t="s">
        <v>20</v>
      </c>
      <c r="G665">
        <v>46357</v>
      </c>
      <c r="H665" t="s">
        <v>57</v>
      </c>
      <c r="I665">
        <v>895</v>
      </c>
      <c r="J665">
        <v>41489515</v>
      </c>
      <c r="K665">
        <v>124231</v>
      </c>
      <c r="L665">
        <v>41365284</v>
      </c>
      <c r="M665">
        <v>388</v>
      </c>
      <c r="N665">
        <v>0.97</v>
      </c>
      <c r="O665">
        <v>6.29</v>
      </c>
      <c r="P665">
        <v>1.2</v>
      </c>
      <c r="Q665">
        <v>5</v>
      </c>
      <c r="R665">
        <f>CORREL(BMW[units_sold],BMW[gdp_growth_percent])</f>
        <v>-5.2597817623217792E-17</v>
      </c>
    </row>
    <row r="666" spans="1:18" x14ac:dyDescent="0.35">
      <c r="A666">
        <v>2021</v>
      </c>
      <c r="B666" t="s">
        <v>43</v>
      </c>
      <c r="C666" t="s">
        <v>30</v>
      </c>
      <c r="D666" t="s">
        <v>22</v>
      </c>
      <c r="E666" t="s">
        <v>16</v>
      </c>
      <c r="F666" t="s">
        <v>20</v>
      </c>
      <c r="G666">
        <v>99604</v>
      </c>
      <c r="H666" t="s">
        <v>54</v>
      </c>
      <c r="I666">
        <v>754</v>
      </c>
      <c r="J666">
        <v>75101416</v>
      </c>
      <c r="K666">
        <v>123606</v>
      </c>
      <c r="L666">
        <v>74977810</v>
      </c>
      <c r="M666">
        <v>207</v>
      </c>
      <c r="N666">
        <v>0.97</v>
      </c>
      <c r="O666">
        <v>6.29</v>
      </c>
      <c r="P666">
        <v>1.2</v>
      </c>
      <c r="Q666">
        <v>7</v>
      </c>
      <c r="R666">
        <f>CORREL(BMW[units_sold],BMW[gdp_growth_percent])</f>
        <v>-5.2597817623217792E-17</v>
      </c>
    </row>
    <row r="667" spans="1:18" x14ac:dyDescent="0.35">
      <c r="A667">
        <v>2019</v>
      </c>
      <c r="B667" t="s">
        <v>49</v>
      </c>
      <c r="C667" t="s">
        <v>32</v>
      </c>
      <c r="D667" t="s">
        <v>34</v>
      </c>
      <c r="E667" t="s">
        <v>16</v>
      </c>
      <c r="F667" t="s">
        <v>23</v>
      </c>
      <c r="G667">
        <v>86796</v>
      </c>
      <c r="H667" t="s">
        <v>54</v>
      </c>
      <c r="I667">
        <v>203</v>
      </c>
      <c r="J667">
        <v>17619588</v>
      </c>
      <c r="K667">
        <v>353806</v>
      </c>
      <c r="L667">
        <v>17265782</v>
      </c>
      <c r="M667">
        <v>53</v>
      </c>
      <c r="N667">
        <v>0.97</v>
      </c>
      <c r="O667">
        <v>6.29</v>
      </c>
      <c r="P667">
        <v>1.2</v>
      </c>
      <c r="Q667">
        <v>3</v>
      </c>
      <c r="R667">
        <f>CORREL(BMW[units_sold],BMW[gdp_growth_percent])</f>
        <v>-5.2597817623217792E-17</v>
      </c>
    </row>
    <row r="668" spans="1:18" x14ac:dyDescent="0.35">
      <c r="A668">
        <v>2019</v>
      </c>
      <c r="B668" t="s">
        <v>52</v>
      </c>
      <c r="C668" t="s">
        <v>30</v>
      </c>
      <c r="D668" t="s">
        <v>15</v>
      </c>
      <c r="E668" t="s">
        <v>20</v>
      </c>
      <c r="F668" t="s">
        <v>20</v>
      </c>
      <c r="G668">
        <v>50804</v>
      </c>
      <c r="H668" t="s">
        <v>55</v>
      </c>
      <c r="I668">
        <v>1193</v>
      </c>
      <c r="J668">
        <v>60609172</v>
      </c>
      <c r="K668">
        <v>430457</v>
      </c>
      <c r="L668">
        <v>60178715</v>
      </c>
      <c r="M668">
        <v>365</v>
      </c>
      <c r="N668">
        <v>0.97</v>
      </c>
      <c r="O668">
        <v>6.29</v>
      </c>
      <c r="P668">
        <v>1.2</v>
      </c>
      <c r="Q668">
        <v>6</v>
      </c>
      <c r="R668">
        <f>CORREL(BMW[units_sold],BMW[gdp_growth_percent])</f>
        <v>-5.2597817623217792E-17</v>
      </c>
    </row>
    <row r="669" spans="1:18" x14ac:dyDescent="0.35">
      <c r="A669">
        <v>2019</v>
      </c>
      <c r="B669" t="s">
        <v>50</v>
      </c>
      <c r="C669" t="s">
        <v>35</v>
      </c>
      <c r="D669" t="s">
        <v>15</v>
      </c>
      <c r="E669" t="s">
        <v>20</v>
      </c>
      <c r="F669" t="s">
        <v>17</v>
      </c>
      <c r="G669">
        <v>49626</v>
      </c>
      <c r="H669" t="s">
        <v>57</v>
      </c>
      <c r="I669">
        <v>226</v>
      </c>
      <c r="J669">
        <v>11215476</v>
      </c>
      <c r="K669">
        <v>277369</v>
      </c>
      <c r="L669">
        <v>10938107</v>
      </c>
      <c r="M669">
        <v>37</v>
      </c>
      <c r="N669">
        <v>0.97</v>
      </c>
      <c r="O669">
        <v>6.29</v>
      </c>
      <c r="P669">
        <v>1.2</v>
      </c>
      <c r="Q669">
        <v>5</v>
      </c>
      <c r="R669">
        <f>CORREL(BMW[units_sold],BMW[gdp_growth_percent])</f>
        <v>-5.2597817623217792E-17</v>
      </c>
    </row>
    <row r="670" spans="1:18" x14ac:dyDescent="0.35">
      <c r="A670">
        <v>2024</v>
      </c>
      <c r="B670" t="s">
        <v>41</v>
      </c>
      <c r="C670" t="s">
        <v>30</v>
      </c>
      <c r="D670" t="s">
        <v>24</v>
      </c>
      <c r="E670" t="s">
        <v>19</v>
      </c>
      <c r="F670" t="s">
        <v>23</v>
      </c>
      <c r="G670">
        <v>63132</v>
      </c>
      <c r="H670" t="s">
        <v>55</v>
      </c>
      <c r="I670">
        <v>267</v>
      </c>
      <c r="J670">
        <v>16856244</v>
      </c>
      <c r="K670">
        <v>327267</v>
      </c>
      <c r="L670">
        <v>16528977</v>
      </c>
      <c r="M670">
        <v>26</v>
      </c>
      <c r="N670">
        <v>0.97</v>
      </c>
      <c r="O670">
        <v>6.29</v>
      </c>
      <c r="P670">
        <v>1.2</v>
      </c>
      <c r="Q670">
        <v>1</v>
      </c>
      <c r="R670">
        <f>CORREL(BMW[units_sold],BMW[gdp_growth_percent])</f>
        <v>-5.2597817623217792E-17</v>
      </c>
    </row>
    <row r="671" spans="1:18" x14ac:dyDescent="0.35">
      <c r="A671">
        <v>2024</v>
      </c>
      <c r="B671" t="s">
        <v>48</v>
      </c>
      <c r="C671" t="s">
        <v>35</v>
      </c>
      <c r="D671" t="s">
        <v>18</v>
      </c>
      <c r="E671" t="s">
        <v>19</v>
      </c>
      <c r="F671" t="s">
        <v>23</v>
      </c>
      <c r="G671">
        <v>42951</v>
      </c>
      <c r="H671" t="s">
        <v>57</v>
      </c>
      <c r="I671">
        <v>475</v>
      </c>
      <c r="J671">
        <v>20401725</v>
      </c>
      <c r="K671">
        <v>206688</v>
      </c>
      <c r="L671">
        <v>20195037</v>
      </c>
      <c r="M671">
        <v>136</v>
      </c>
      <c r="N671">
        <v>0.97</v>
      </c>
      <c r="O671">
        <v>6.29</v>
      </c>
      <c r="P671">
        <v>1.2</v>
      </c>
      <c r="Q671">
        <v>10</v>
      </c>
      <c r="R671">
        <f>CORREL(BMW[units_sold],BMW[gdp_growth_percent])</f>
        <v>-5.2597817623217792E-17</v>
      </c>
    </row>
    <row r="672" spans="1:18" x14ac:dyDescent="0.35">
      <c r="A672">
        <v>2017</v>
      </c>
      <c r="B672" t="s">
        <v>42</v>
      </c>
      <c r="C672" t="s">
        <v>30</v>
      </c>
      <c r="D672" t="s">
        <v>26</v>
      </c>
      <c r="E672" t="s">
        <v>20</v>
      </c>
      <c r="F672" t="s">
        <v>23</v>
      </c>
      <c r="G672">
        <v>41449</v>
      </c>
      <c r="H672" t="s">
        <v>57</v>
      </c>
      <c r="I672">
        <v>1119</v>
      </c>
      <c r="J672">
        <v>46381431</v>
      </c>
      <c r="K672">
        <v>323326</v>
      </c>
      <c r="L672">
        <v>46058105</v>
      </c>
      <c r="M672">
        <v>388</v>
      </c>
      <c r="N672">
        <v>0.97</v>
      </c>
      <c r="O672">
        <v>6.29</v>
      </c>
      <c r="P672">
        <v>1.2</v>
      </c>
      <c r="Q672">
        <v>6</v>
      </c>
      <c r="R672">
        <f>CORREL(BMW[units_sold],BMW[gdp_growth_percent])</f>
        <v>-5.2597817623217792E-17</v>
      </c>
    </row>
    <row r="673" spans="1:18" x14ac:dyDescent="0.35">
      <c r="A673">
        <v>2015</v>
      </c>
      <c r="B673" t="s">
        <v>43</v>
      </c>
      <c r="C673" t="s">
        <v>32</v>
      </c>
      <c r="D673" t="s">
        <v>31</v>
      </c>
      <c r="E673" t="s">
        <v>19</v>
      </c>
      <c r="F673" t="s">
        <v>27</v>
      </c>
      <c r="G673">
        <v>54065</v>
      </c>
      <c r="H673" t="s">
        <v>55</v>
      </c>
      <c r="I673">
        <v>713</v>
      </c>
      <c r="J673">
        <v>38548345</v>
      </c>
      <c r="K673">
        <v>402513</v>
      </c>
      <c r="L673">
        <v>38145832</v>
      </c>
      <c r="M673">
        <v>177</v>
      </c>
      <c r="N673">
        <v>0.97</v>
      </c>
      <c r="O673">
        <v>6.29</v>
      </c>
      <c r="P673">
        <v>1.2</v>
      </c>
      <c r="Q673">
        <v>8</v>
      </c>
      <c r="R673">
        <f>CORREL(BMW[units_sold],BMW[gdp_growth_percent])</f>
        <v>-5.2597817623217792E-17</v>
      </c>
    </row>
    <row r="674" spans="1:18" x14ac:dyDescent="0.35">
      <c r="A674">
        <v>2019</v>
      </c>
      <c r="B674" t="s">
        <v>52</v>
      </c>
      <c r="C674" t="s">
        <v>32</v>
      </c>
      <c r="D674" t="s">
        <v>22</v>
      </c>
      <c r="E674" t="s">
        <v>20</v>
      </c>
      <c r="F674" t="s">
        <v>27</v>
      </c>
      <c r="G674">
        <v>44130</v>
      </c>
      <c r="H674" t="s">
        <v>57</v>
      </c>
      <c r="I674">
        <v>744</v>
      </c>
      <c r="J674">
        <v>32832720</v>
      </c>
      <c r="K674">
        <v>212403</v>
      </c>
      <c r="L674">
        <v>32620317</v>
      </c>
      <c r="M674">
        <v>253</v>
      </c>
      <c r="N674">
        <v>0.97</v>
      </c>
      <c r="O674">
        <v>6.29</v>
      </c>
      <c r="P674">
        <v>1.2</v>
      </c>
      <c r="Q674">
        <v>1</v>
      </c>
      <c r="R674">
        <f>CORREL(BMW[units_sold],BMW[gdp_growth_percent])</f>
        <v>-5.2597817623217792E-17</v>
      </c>
    </row>
    <row r="675" spans="1:18" x14ac:dyDescent="0.35">
      <c r="A675">
        <v>2023</v>
      </c>
      <c r="B675" t="s">
        <v>43</v>
      </c>
      <c r="C675" t="s">
        <v>28</v>
      </c>
      <c r="D675" t="s">
        <v>26</v>
      </c>
      <c r="E675" t="s">
        <v>20</v>
      </c>
      <c r="F675" t="s">
        <v>20</v>
      </c>
      <c r="G675">
        <v>97287</v>
      </c>
      <c r="H675" t="s">
        <v>54</v>
      </c>
      <c r="I675">
        <v>963</v>
      </c>
      <c r="J675">
        <v>93687381</v>
      </c>
      <c r="K675">
        <v>227170</v>
      </c>
      <c r="L675">
        <v>93460211</v>
      </c>
      <c r="M675">
        <v>396</v>
      </c>
      <c r="N675">
        <v>0.97</v>
      </c>
      <c r="O675">
        <v>6.29</v>
      </c>
      <c r="P675">
        <v>1.2</v>
      </c>
      <c r="Q675">
        <v>2</v>
      </c>
      <c r="R675">
        <f>CORREL(BMW[units_sold],BMW[gdp_growth_percent])</f>
        <v>-5.2597817623217792E-17</v>
      </c>
    </row>
    <row r="676" spans="1:18" x14ac:dyDescent="0.35">
      <c r="A676">
        <v>2015</v>
      </c>
      <c r="B676" t="s">
        <v>44</v>
      </c>
      <c r="C676" t="s">
        <v>21</v>
      </c>
      <c r="D676" t="s">
        <v>22</v>
      </c>
      <c r="E676" t="s">
        <v>19</v>
      </c>
      <c r="F676" t="s">
        <v>23</v>
      </c>
      <c r="G676">
        <v>86702</v>
      </c>
      <c r="H676" t="s">
        <v>54</v>
      </c>
      <c r="I676">
        <v>304</v>
      </c>
      <c r="J676">
        <v>26357408</v>
      </c>
      <c r="K676">
        <v>76128</v>
      </c>
      <c r="L676">
        <v>26281280</v>
      </c>
      <c r="M676">
        <v>85</v>
      </c>
      <c r="N676">
        <v>0.97</v>
      </c>
      <c r="O676">
        <v>6.29</v>
      </c>
      <c r="P676">
        <v>1.2</v>
      </c>
      <c r="Q676">
        <v>4</v>
      </c>
      <c r="R676">
        <f>CORREL(BMW[units_sold],BMW[gdp_growth_percent])</f>
        <v>-5.2597817623217792E-17</v>
      </c>
    </row>
    <row r="677" spans="1:18" x14ac:dyDescent="0.35">
      <c r="A677">
        <v>2017</v>
      </c>
      <c r="B677" t="s">
        <v>42</v>
      </c>
      <c r="C677" t="s">
        <v>32</v>
      </c>
      <c r="D677" t="s">
        <v>39</v>
      </c>
      <c r="E677" t="s">
        <v>19</v>
      </c>
      <c r="F677" t="s">
        <v>23</v>
      </c>
      <c r="G677">
        <v>71993</v>
      </c>
      <c r="H677" t="s">
        <v>55</v>
      </c>
      <c r="I677">
        <v>766</v>
      </c>
      <c r="J677">
        <v>55146638</v>
      </c>
      <c r="K677">
        <v>81556</v>
      </c>
      <c r="L677">
        <v>55065082</v>
      </c>
      <c r="M677">
        <v>240</v>
      </c>
      <c r="N677">
        <v>0.97</v>
      </c>
      <c r="O677">
        <v>6.29</v>
      </c>
      <c r="P677">
        <v>1.2</v>
      </c>
      <c r="Q677">
        <v>2</v>
      </c>
      <c r="R677">
        <f>CORREL(BMW[units_sold],BMW[gdp_growth_percent])</f>
        <v>-5.2597817623217792E-17</v>
      </c>
    </row>
    <row r="678" spans="1:18" x14ac:dyDescent="0.35">
      <c r="A678">
        <v>2018</v>
      </c>
      <c r="B678" t="s">
        <v>43</v>
      </c>
      <c r="C678" t="s">
        <v>35</v>
      </c>
      <c r="D678" t="s">
        <v>34</v>
      </c>
      <c r="E678" t="s">
        <v>16</v>
      </c>
      <c r="F678" t="s">
        <v>17</v>
      </c>
      <c r="G678">
        <v>66875</v>
      </c>
      <c r="H678" t="s">
        <v>55</v>
      </c>
      <c r="I678">
        <v>434</v>
      </c>
      <c r="J678">
        <v>29023750</v>
      </c>
      <c r="K678">
        <v>308470</v>
      </c>
      <c r="L678">
        <v>28715280</v>
      </c>
      <c r="M678">
        <v>213</v>
      </c>
      <c r="N678">
        <v>0.97</v>
      </c>
      <c r="O678">
        <v>6.29</v>
      </c>
      <c r="P678">
        <v>1.2</v>
      </c>
      <c r="Q678">
        <v>9</v>
      </c>
      <c r="R678">
        <f>CORREL(BMW[units_sold],BMW[gdp_growth_percent])</f>
        <v>-5.2597817623217792E-17</v>
      </c>
    </row>
    <row r="679" spans="1:18" x14ac:dyDescent="0.35">
      <c r="A679">
        <v>2015</v>
      </c>
      <c r="B679" t="s">
        <v>48</v>
      </c>
      <c r="C679" t="s">
        <v>32</v>
      </c>
      <c r="D679" t="s">
        <v>34</v>
      </c>
      <c r="E679" t="s">
        <v>16</v>
      </c>
      <c r="F679" t="s">
        <v>20</v>
      </c>
      <c r="G679">
        <v>41054</v>
      </c>
      <c r="H679" t="s">
        <v>57</v>
      </c>
      <c r="I679">
        <v>905</v>
      </c>
      <c r="J679">
        <v>37153870</v>
      </c>
      <c r="K679">
        <v>202948</v>
      </c>
      <c r="L679">
        <v>36950922</v>
      </c>
      <c r="M679">
        <v>257</v>
      </c>
      <c r="N679">
        <v>0.97</v>
      </c>
      <c r="O679">
        <v>6.29</v>
      </c>
      <c r="P679">
        <v>1.2</v>
      </c>
      <c r="Q679">
        <v>10</v>
      </c>
      <c r="R679">
        <f>CORREL(BMW[units_sold],BMW[gdp_growth_percent])</f>
        <v>-5.2597817623217792E-17</v>
      </c>
    </row>
    <row r="680" spans="1:18" x14ac:dyDescent="0.35">
      <c r="A680">
        <v>2015</v>
      </c>
      <c r="B680" t="s">
        <v>41</v>
      </c>
      <c r="C680" t="s">
        <v>28</v>
      </c>
      <c r="D680" t="s">
        <v>26</v>
      </c>
      <c r="E680" t="s">
        <v>16</v>
      </c>
      <c r="F680" t="s">
        <v>17</v>
      </c>
      <c r="G680">
        <v>83517</v>
      </c>
      <c r="H680" t="s">
        <v>54</v>
      </c>
      <c r="I680">
        <v>662</v>
      </c>
      <c r="J680">
        <v>55288254</v>
      </c>
      <c r="K680">
        <v>190021</v>
      </c>
      <c r="L680">
        <v>55098233</v>
      </c>
      <c r="M680">
        <v>311</v>
      </c>
      <c r="N680">
        <v>0.97</v>
      </c>
      <c r="O680">
        <v>6.29</v>
      </c>
      <c r="P680">
        <v>1.2</v>
      </c>
      <c r="Q680">
        <v>8</v>
      </c>
      <c r="R680">
        <f>CORREL(BMW[units_sold],BMW[gdp_growth_percent])</f>
        <v>-5.2597817623217792E-17</v>
      </c>
    </row>
    <row r="681" spans="1:18" x14ac:dyDescent="0.35">
      <c r="A681">
        <v>2022</v>
      </c>
      <c r="B681" t="s">
        <v>46</v>
      </c>
      <c r="C681" t="s">
        <v>37</v>
      </c>
      <c r="D681" t="s">
        <v>26</v>
      </c>
      <c r="E681" t="s">
        <v>20</v>
      </c>
      <c r="F681" t="s">
        <v>20</v>
      </c>
      <c r="G681">
        <v>111368</v>
      </c>
      <c r="H681" t="s">
        <v>54</v>
      </c>
      <c r="I681">
        <v>513</v>
      </c>
      <c r="J681">
        <v>57131784</v>
      </c>
      <c r="K681">
        <v>101962</v>
      </c>
      <c r="L681">
        <v>57029822</v>
      </c>
      <c r="M681">
        <v>223</v>
      </c>
      <c r="N681">
        <v>0.97</v>
      </c>
      <c r="O681">
        <v>6.29</v>
      </c>
      <c r="P681">
        <v>1.2</v>
      </c>
      <c r="Q681">
        <v>8</v>
      </c>
      <c r="R681">
        <f>CORREL(BMW[units_sold],BMW[gdp_growth_percent])</f>
        <v>-5.2597817623217792E-17</v>
      </c>
    </row>
    <row r="682" spans="1:18" x14ac:dyDescent="0.35">
      <c r="A682">
        <v>2016</v>
      </c>
      <c r="B682" t="s">
        <v>42</v>
      </c>
      <c r="C682" t="s">
        <v>35</v>
      </c>
      <c r="D682" t="s">
        <v>26</v>
      </c>
      <c r="E682" t="s">
        <v>19</v>
      </c>
      <c r="F682" t="s">
        <v>20</v>
      </c>
      <c r="G682">
        <v>64670</v>
      </c>
      <c r="H682" t="s">
        <v>55</v>
      </c>
      <c r="I682">
        <v>800</v>
      </c>
      <c r="J682">
        <v>51736000</v>
      </c>
      <c r="K682">
        <v>140054</v>
      </c>
      <c r="L682">
        <v>51595946</v>
      </c>
      <c r="M682">
        <v>224</v>
      </c>
      <c r="N682">
        <v>0.97</v>
      </c>
      <c r="O682">
        <v>6.29</v>
      </c>
      <c r="P682">
        <v>1.2</v>
      </c>
      <c r="Q682">
        <v>4</v>
      </c>
      <c r="R682">
        <f>CORREL(BMW[units_sold],BMW[gdp_growth_percent])</f>
        <v>-5.2597817623217792E-17</v>
      </c>
    </row>
    <row r="683" spans="1:18" x14ac:dyDescent="0.35">
      <c r="A683">
        <v>2022</v>
      </c>
      <c r="B683" t="s">
        <v>44</v>
      </c>
      <c r="C683" t="s">
        <v>28</v>
      </c>
      <c r="D683" t="s">
        <v>22</v>
      </c>
      <c r="E683" t="s">
        <v>20</v>
      </c>
      <c r="F683" t="s">
        <v>27</v>
      </c>
      <c r="G683">
        <v>84112</v>
      </c>
      <c r="H683" t="s">
        <v>54</v>
      </c>
      <c r="I683">
        <v>679</v>
      </c>
      <c r="J683">
        <v>57112048</v>
      </c>
      <c r="K683">
        <v>252278</v>
      </c>
      <c r="L683">
        <v>56859770</v>
      </c>
      <c r="M683">
        <v>167</v>
      </c>
      <c r="N683">
        <v>0.97</v>
      </c>
      <c r="O683">
        <v>6.29</v>
      </c>
      <c r="P683">
        <v>1.2</v>
      </c>
      <c r="Q683">
        <v>5</v>
      </c>
      <c r="R683">
        <f>CORREL(BMW[units_sold],BMW[gdp_growth_percent])</f>
        <v>-5.2597817623217792E-17</v>
      </c>
    </row>
    <row r="684" spans="1:18" x14ac:dyDescent="0.35">
      <c r="A684">
        <v>2021</v>
      </c>
      <c r="B684" t="s">
        <v>52</v>
      </c>
      <c r="C684" t="s">
        <v>38</v>
      </c>
      <c r="D684" t="s">
        <v>39</v>
      </c>
      <c r="E684" t="s">
        <v>19</v>
      </c>
      <c r="F684" t="s">
        <v>27</v>
      </c>
      <c r="G684">
        <v>63307</v>
      </c>
      <c r="H684" t="s">
        <v>55</v>
      </c>
      <c r="I684">
        <v>221</v>
      </c>
      <c r="J684">
        <v>13990847</v>
      </c>
      <c r="K684">
        <v>74099</v>
      </c>
      <c r="L684">
        <v>13916748</v>
      </c>
      <c r="M684">
        <v>78</v>
      </c>
      <c r="N684">
        <v>0.97</v>
      </c>
      <c r="O684">
        <v>6.29</v>
      </c>
      <c r="P684">
        <v>1.2</v>
      </c>
      <c r="Q684">
        <v>4</v>
      </c>
      <c r="R684">
        <f>CORREL(BMW[units_sold],BMW[gdp_growth_percent])</f>
        <v>-5.2597817623217792E-17</v>
      </c>
    </row>
    <row r="685" spans="1:18" x14ac:dyDescent="0.35">
      <c r="A685">
        <v>2024</v>
      </c>
      <c r="B685" t="s">
        <v>45</v>
      </c>
      <c r="C685" t="s">
        <v>38</v>
      </c>
      <c r="D685" t="s">
        <v>33</v>
      </c>
      <c r="E685" t="s">
        <v>20</v>
      </c>
      <c r="F685" t="s">
        <v>17</v>
      </c>
      <c r="G685">
        <v>102087</v>
      </c>
      <c r="H685" t="s">
        <v>54</v>
      </c>
      <c r="I685">
        <v>256</v>
      </c>
      <c r="J685">
        <v>26134272</v>
      </c>
      <c r="K685">
        <v>285943</v>
      </c>
      <c r="L685">
        <v>25848329</v>
      </c>
      <c r="M685">
        <v>94</v>
      </c>
      <c r="N685">
        <v>0.97</v>
      </c>
      <c r="O685">
        <v>6.29</v>
      </c>
      <c r="P685">
        <v>1.2</v>
      </c>
      <c r="Q685">
        <v>9</v>
      </c>
      <c r="R685">
        <f>CORREL(BMW[units_sold],BMW[gdp_growth_percent])</f>
        <v>-5.2597817623217792E-17</v>
      </c>
    </row>
    <row r="686" spans="1:18" x14ac:dyDescent="0.35">
      <c r="A686">
        <v>2024</v>
      </c>
      <c r="B686" t="s">
        <v>51</v>
      </c>
      <c r="C686" t="s">
        <v>36</v>
      </c>
      <c r="D686" t="s">
        <v>26</v>
      </c>
      <c r="E686" t="s">
        <v>16</v>
      </c>
      <c r="F686" t="s">
        <v>20</v>
      </c>
      <c r="G686">
        <v>82922</v>
      </c>
      <c r="H686" t="s">
        <v>54</v>
      </c>
      <c r="I686">
        <v>853</v>
      </c>
      <c r="J686">
        <v>70732466</v>
      </c>
      <c r="K686">
        <v>455932</v>
      </c>
      <c r="L686">
        <v>70276534</v>
      </c>
      <c r="M686">
        <v>276</v>
      </c>
      <c r="N686">
        <v>0.97</v>
      </c>
      <c r="O686">
        <v>6.29</v>
      </c>
      <c r="P686">
        <v>1.2</v>
      </c>
      <c r="Q686">
        <v>2</v>
      </c>
      <c r="R686">
        <f>CORREL(BMW[units_sold],BMW[gdp_growth_percent])</f>
        <v>-5.2597817623217792E-17</v>
      </c>
    </row>
    <row r="687" spans="1:18" x14ac:dyDescent="0.35">
      <c r="A687">
        <v>2016</v>
      </c>
      <c r="B687" t="s">
        <v>50</v>
      </c>
      <c r="C687" t="s">
        <v>30</v>
      </c>
      <c r="D687" t="s">
        <v>18</v>
      </c>
      <c r="E687" t="s">
        <v>16</v>
      </c>
      <c r="F687" t="s">
        <v>23</v>
      </c>
      <c r="G687">
        <v>98080</v>
      </c>
      <c r="H687" t="s">
        <v>54</v>
      </c>
      <c r="I687">
        <v>317</v>
      </c>
      <c r="J687">
        <v>31091360</v>
      </c>
      <c r="K687">
        <v>233683</v>
      </c>
      <c r="L687">
        <v>30857677</v>
      </c>
      <c r="M687">
        <v>78</v>
      </c>
      <c r="N687">
        <v>0.97</v>
      </c>
      <c r="O687">
        <v>6.29</v>
      </c>
      <c r="P687">
        <v>1.2</v>
      </c>
      <c r="Q687">
        <v>8</v>
      </c>
      <c r="R687">
        <f>CORREL(BMW[units_sold],BMW[gdp_growth_percent])</f>
        <v>-5.2597817623217792E-17</v>
      </c>
    </row>
    <row r="688" spans="1:18" x14ac:dyDescent="0.35">
      <c r="A688">
        <v>2020</v>
      </c>
      <c r="B688" t="s">
        <v>43</v>
      </c>
      <c r="C688" t="s">
        <v>21</v>
      </c>
      <c r="D688" t="s">
        <v>31</v>
      </c>
      <c r="E688" t="s">
        <v>16</v>
      </c>
      <c r="F688" t="s">
        <v>27</v>
      </c>
      <c r="G688">
        <v>114335</v>
      </c>
      <c r="H688" t="s">
        <v>54</v>
      </c>
      <c r="I688">
        <v>461</v>
      </c>
      <c r="J688">
        <v>52708435</v>
      </c>
      <c r="K688">
        <v>219957</v>
      </c>
      <c r="L688">
        <v>52488478</v>
      </c>
      <c r="M688">
        <v>108</v>
      </c>
      <c r="N688">
        <v>0.97</v>
      </c>
      <c r="O688">
        <v>6.29</v>
      </c>
      <c r="P688">
        <v>1.2</v>
      </c>
      <c r="Q688">
        <v>2</v>
      </c>
      <c r="R688">
        <f>CORREL(BMW[units_sold],BMW[gdp_growth_percent])</f>
        <v>-5.2597817623217792E-17</v>
      </c>
    </row>
    <row r="689" spans="1:18" x14ac:dyDescent="0.35">
      <c r="A689">
        <v>2020</v>
      </c>
      <c r="B689" t="s">
        <v>46</v>
      </c>
      <c r="C689" t="s">
        <v>14</v>
      </c>
      <c r="D689" t="s">
        <v>31</v>
      </c>
      <c r="E689" t="s">
        <v>20</v>
      </c>
      <c r="F689" t="s">
        <v>23</v>
      </c>
      <c r="G689">
        <v>61312</v>
      </c>
      <c r="H689" t="s">
        <v>55</v>
      </c>
      <c r="I689">
        <v>964</v>
      </c>
      <c r="J689">
        <v>59104768</v>
      </c>
      <c r="K689">
        <v>365288</v>
      </c>
      <c r="L689">
        <v>58739480</v>
      </c>
      <c r="M689">
        <v>356</v>
      </c>
      <c r="N689">
        <v>0.97</v>
      </c>
      <c r="O689">
        <v>6.29</v>
      </c>
      <c r="P689">
        <v>1.2</v>
      </c>
      <c r="Q689">
        <v>1</v>
      </c>
      <c r="R689">
        <f>CORREL(BMW[units_sold],BMW[gdp_growth_percent])</f>
        <v>-5.2597817623217792E-17</v>
      </c>
    </row>
    <row r="690" spans="1:18" x14ac:dyDescent="0.35">
      <c r="A690">
        <v>2017</v>
      </c>
      <c r="B690" t="s">
        <v>42</v>
      </c>
      <c r="C690" t="s">
        <v>25</v>
      </c>
      <c r="D690" t="s">
        <v>22</v>
      </c>
      <c r="E690" t="s">
        <v>19</v>
      </c>
      <c r="F690" t="s">
        <v>17</v>
      </c>
      <c r="G690">
        <v>101985</v>
      </c>
      <c r="H690" t="s">
        <v>54</v>
      </c>
      <c r="I690">
        <v>453</v>
      </c>
      <c r="J690">
        <v>46199205</v>
      </c>
      <c r="K690">
        <v>246292</v>
      </c>
      <c r="L690">
        <v>45952913</v>
      </c>
      <c r="M690">
        <v>225</v>
      </c>
      <c r="N690">
        <v>0.97</v>
      </c>
      <c r="O690">
        <v>6.29</v>
      </c>
      <c r="P690">
        <v>1.2</v>
      </c>
      <c r="Q690">
        <v>10</v>
      </c>
      <c r="R690">
        <f>CORREL(BMW[units_sold],BMW[gdp_growth_percent])</f>
        <v>-5.2597817623217792E-17</v>
      </c>
    </row>
    <row r="691" spans="1:18" x14ac:dyDescent="0.35">
      <c r="A691">
        <v>2016</v>
      </c>
      <c r="B691" t="s">
        <v>43</v>
      </c>
      <c r="C691" t="s">
        <v>28</v>
      </c>
      <c r="D691" t="s">
        <v>26</v>
      </c>
      <c r="E691" t="s">
        <v>19</v>
      </c>
      <c r="F691" t="s">
        <v>27</v>
      </c>
      <c r="G691">
        <v>92608</v>
      </c>
      <c r="H691" t="s">
        <v>54</v>
      </c>
      <c r="I691">
        <v>622</v>
      </c>
      <c r="J691">
        <v>57602176</v>
      </c>
      <c r="K691">
        <v>57837</v>
      </c>
      <c r="L691">
        <v>57544339</v>
      </c>
      <c r="M691">
        <v>170</v>
      </c>
      <c r="N691">
        <v>0.97</v>
      </c>
      <c r="O691">
        <v>6.29</v>
      </c>
      <c r="P691">
        <v>1.2</v>
      </c>
      <c r="Q691">
        <v>3</v>
      </c>
      <c r="R691">
        <f>CORREL(BMW[units_sold],BMW[gdp_growth_percent])</f>
        <v>-5.2597817623217792E-17</v>
      </c>
    </row>
    <row r="692" spans="1:18" x14ac:dyDescent="0.35">
      <c r="A692">
        <v>2015</v>
      </c>
      <c r="B692" t="s">
        <v>47</v>
      </c>
      <c r="C692" t="s">
        <v>37</v>
      </c>
      <c r="D692" t="s">
        <v>24</v>
      </c>
      <c r="E692" t="s">
        <v>16</v>
      </c>
      <c r="F692" t="s">
        <v>27</v>
      </c>
      <c r="G692">
        <v>75277</v>
      </c>
      <c r="H692" t="s">
        <v>55</v>
      </c>
      <c r="I692">
        <v>275</v>
      </c>
      <c r="J692">
        <v>20701175</v>
      </c>
      <c r="K692">
        <v>230427</v>
      </c>
      <c r="L692">
        <v>20470748</v>
      </c>
      <c r="M692">
        <v>103</v>
      </c>
      <c r="N692">
        <v>0.97</v>
      </c>
      <c r="O692">
        <v>6.29</v>
      </c>
      <c r="P692">
        <v>1.2</v>
      </c>
      <c r="Q692">
        <v>9</v>
      </c>
      <c r="R692">
        <f>CORREL(BMW[units_sold],BMW[gdp_growth_percent])</f>
        <v>-5.2597817623217792E-17</v>
      </c>
    </row>
    <row r="693" spans="1:18" x14ac:dyDescent="0.35">
      <c r="A693">
        <v>2020</v>
      </c>
      <c r="B693" t="s">
        <v>50</v>
      </c>
      <c r="C693" t="s">
        <v>25</v>
      </c>
      <c r="D693" t="s">
        <v>15</v>
      </c>
      <c r="E693" t="s">
        <v>16</v>
      </c>
      <c r="F693" t="s">
        <v>20</v>
      </c>
      <c r="G693">
        <v>66551</v>
      </c>
      <c r="H693" t="s">
        <v>55</v>
      </c>
      <c r="I693">
        <v>400</v>
      </c>
      <c r="J693">
        <v>26620400</v>
      </c>
      <c r="K693">
        <v>228371</v>
      </c>
      <c r="L693">
        <v>26392029</v>
      </c>
      <c r="M693">
        <v>183</v>
      </c>
      <c r="N693">
        <v>0.97</v>
      </c>
      <c r="O693">
        <v>6.29</v>
      </c>
      <c r="P693">
        <v>1.2</v>
      </c>
      <c r="Q693">
        <v>3</v>
      </c>
      <c r="R693">
        <f>CORREL(BMW[units_sold],BMW[gdp_growth_percent])</f>
        <v>-5.2597817623217792E-17</v>
      </c>
    </row>
    <row r="694" spans="1:18" x14ac:dyDescent="0.35">
      <c r="A694">
        <v>2019</v>
      </c>
      <c r="B694" t="s">
        <v>45</v>
      </c>
      <c r="C694" t="s">
        <v>37</v>
      </c>
      <c r="D694" t="s">
        <v>33</v>
      </c>
      <c r="E694" t="s">
        <v>16</v>
      </c>
      <c r="F694" t="s">
        <v>17</v>
      </c>
      <c r="G694">
        <v>91597</v>
      </c>
      <c r="H694" t="s">
        <v>54</v>
      </c>
      <c r="I694">
        <v>769</v>
      </c>
      <c r="J694">
        <v>70438093</v>
      </c>
      <c r="K694">
        <v>462375</v>
      </c>
      <c r="L694">
        <v>69975718</v>
      </c>
      <c r="M694">
        <v>174</v>
      </c>
      <c r="N694">
        <v>0.97</v>
      </c>
      <c r="O694">
        <v>6.29</v>
      </c>
      <c r="P694">
        <v>1.2</v>
      </c>
      <c r="Q694">
        <v>9</v>
      </c>
      <c r="R694">
        <f>CORREL(BMW[units_sold],BMW[gdp_growth_percent])</f>
        <v>-5.2597817623217792E-17</v>
      </c>
    </row>
    <row r="695" spans="1:18" x14ac:dyDescent="0.35">
      <c r="A695">
        <v>2023</v>
      </c>
      <c r="B695" t="s">
        <v>48</v>
      </c>
      <c r="C695" t="s">
        <v>25</v>
      </c>
      <c r="D695" t="s">
        <v>18</v>
      </c>
      <c r="E695" t="s">
        <v>16</v>
      </c>
      <c r="F695" t="s">
        <v>20</v>
      </c>
      <c r="G695">
        <v>80212</v>
      </c>
      <c r="H695" t="s">
        <v>54</v>
      </c>
      <c r="I695">
        <v>519</v>
      </c>
      <c r="J695">
        <v>41630028</v>
      </c>
      <c r="K695">
        <v>437356</v>
      </c>
      <c r="L695">
        <v>41192672</v>
      </c>
      <c r="M695">
        <v>124</v>
      </c>
      <c r="N695">
        <v>0.97</v>
      </c>
      <c r="O695">
        <v>6.29</v>
      </c>
      <c r="P695">
        <v>1.2</v>
      </c>
      <c r="Q695">
        <v>7</v>
      </c>
      <c r="R695">
        <f>CORREL(BMW[units_sold],BMW[gdp_growth_percent])</f>
        <v>-5.2597817623217792E-17</v>
      </c>
    </row>
    <row r="696" spans="1:18" x14ac:dyDescent="0.35">
      <c r="A696">
        <v>2015</v>
      </c>
      <c r="B696" t="s">
        <v>51</v>
      </c>
      <c r="C696" t="s">
        <v>28</v>
      </c>
      <c r="D696" t="s">
        <v>39</v>
      </c>
      <c r="E696" t="s">
        <v>19</v>
      </c>
      <c r="F696" t="s">
        <v>27</v>
      </c>
      <c r="G696">
        <v>44637</v>
      </c>
      <c r="H696" t="s">
        <v>57</v>
      </c>
      <c r="I696">
        <v>861</v>
      </c>
      <c r="J696">
        <v>38432457</v>
      </c>
      <c r="K696">
        <v>428824</v>
      </c>
      <c r="L696">
        <v>38003633</v>
      </c>
      <c r="M696">
        <v>229</v>
      </c>
      <c r="N696">
        <v>0.97</v>
      </c>
      <c r="O696">
        <v>6.29</v>
      </c>
      <c r="P696">
        <v>1.2</v>
      </c>
      <c r="Q696">
        <v>10</v>
      </c>
      <c r="R696">
        <f>CORREL(BMW[units_sold],BMW[gdp_growth_percent])</f>
        <v>-5.2597817623217792E-17</v>
      </c>
    </row>
    <row r="697" spans="1:18" x14ac:dyDescent="0.35">
      <c r="A697">
        <v>2021</v>
      </c>
      <c r="B697" t="s">
        <v>41</v>
      </c>
      <c r="C697" t="s">
        <v>14</v>
      </c>
      <c r="D697" t="s">
        <v>24</v>
      </c>
      <c r="E697" t="s">
        <v>20</v>
      </c>
      <c r="F697" t="s">
        <v>17</v>
      </c>
      <c r="G697">
        <v>78258</v>
      </c>
      <c r="H697" t="s">
        <v>55</v>
      </c>
      <c r="I697">
        <v>505</v>
      </c>
      <c r="J697">
        <v>39520290</v>
      </c>
      <c r="K697">
        <v>298003</v>
      </c>
      <c r="L697">
        <v>39222287</v>
      </c>
      <c r="M697">
        <v>40</v>
      </c>
      <c r="N697">
        <v>0.97</v>
      </c>
      <c r="O697">
        <v>6.29</v>
      </c>
      <c r="P697">
        <v>1.2</v>
      </c>
      <c r="Q697">
        <v>1</v>
      </c>
      <c r="R697">
        <f>CORREL(BMW[units_sold],BMW[gdp_growth_percent])</f>
        <v>-5.2597817623217792E-17</v>
      </c>
    </row>
    <row r="698" spans="1:18" x14ac:dyDescent="0.35">
      <c r="A698">
        <v>2019</v>
      </c>
      <c r="B698" t="s">
        <v>43</v>
      </c>
      <c r="C698" t="s">
        <v>25</v>
      </c>
      <c r="D698" t="s">
        <v>34</v>
      </c>
      <c r="E698" t="s">
        <v>20</v>
      </c>
      <c r="F698" t="s">
        <v>27</v>
      </c>
      <c r="G698">
        <v>70693</v>
      </c>
      <c r="H698" t="s">
        <v>55</v>
      </c>
      <c r="I698">
        <v>429</v>
      </c>
      <c r="J698">
        <v>30327297</v>
      </c>
      <c r="K698">
        <v>418946</v>
      </c>
      <c r="L698">
        <v>29908351</v>
      </c>
      <c r="M698">
        <v>20</v>
      </c>
      <c r="N698">
        <v>0.97</v>
      </c>
      <c r="O698">
        <v>6.29</v>
      </c>
      <c r="P698">
        <v>1.2</v>
      </c>
      <c r="Q698">
        <v>10</v>
      </c>
      <c r="R698">
        <f>CORREL(BMW[units_sold],BMW[gdp_growth_percent])</f>
        <v>-5.2597817623217792E-17</v>
      </c>
    </row>
    <row r="699" spans="1:18" x14ac:dyDescent="0.35">
      <c r="A699">
        <v>2019</v>
      </c>
      <c r="B699" t="s">
        <v>45</v>
      </c>
      <c r="C699" t="s">
        <v>28</v>
      </c>
      <c r="D699" t="s">
        <v>24</v>
      </c>
      <c r="E699" t="s">
        <v>20</v>
      </c>
      <c r="F699" t="s">
        <v>17</v>
      </c>
      <c r="G699">
        <v>44824</v>
      </c>
      <c r="H699" t="s">
        <v>57</v>
      </c>
      <c r="I699">
        <v>1007</v>
      </c>
      <c r="J699">
        <v>45137768</v>
      </c>
      <c r="K699">
        <v>152413</v>
      </c>
      <c r="L699">
        <v>44985355</v>
      </c>
      <c r="M699">
        <v>352</v>
      </c>
      <c r="N699">
        <v>0.97</v>
      </c>
      <c r="O699">
        <v>6.29</v>
      </c>
      <c r="P699">
        <v>1.2</v>
      </c>
      <c r="Q699">
        <v>5</v>
      </c>
      <c r="R699">
        <f>CORREL(BMW[units_sold],BMW[gdp_growth_percent])</f>
        <v>-5.2597817623217792E-17</v>
      </c>
    </row>
    <row r="700" spans="1:18" x14ac:dyDescent="0.35">
      <c r="A700">
        <v>2016</v>
      </c>
      <c r="B700" t="s">
        <v>45</v>
      </c>
      <c r="C700" t="s">
        <v>32</v>
      </c>
      <c r="D700" t="s">
        <v>22</v>
      </c>
      <c r="E700" t="s">
        <v>20</v>
      </c>
      <c r="F700" t="s">
        <v>27</v>
      </c>
      <c r="G700">
        <v>61950</v>
      </c>
      <c r="H700" t="s">
        <v>55</v>
      </c>
      <c r="I700">
        <v>931</v>
      </c>
      <c r="J700">
        <v>57675450</v>
      </c>
      <c r="K700">
        <v>101012</v>
      </c>
      <c r="L700">
        <v>57574438</v>
      </c>
      <c r="M700">
        <v>386</v>
      </c>
      <c r="N700">
        <v>0.97</v>
      </c>
      <c r="O700">
        <v>6.29</v>
      </c>
      <c r="P700">
        <v>1.2</v>
      </c>
      <c r="Q700">
        <v>9</v>
      </c>
      <c r="R700">
        <f>CORREL(BMW[units_sold],BMW[gdp_growth_percent])</f>
        <v>-5.2597817623217792E-17</v>
      </c>
    </row>
    <row r="701" spans="1:18" x14ac:dyDescent="0.35">
      <c r="A701">
        <v>2017</v>
      </c>
      <c r="B701" t="s">
        <v>48</v>
      </c>
      <c r="C701" t="s">
        <v>14</v>
      </c>
      <c r="D701" t="s">
        <v>33</v>
      </c>
      <c r="E701" t="s">
        <v>16</v>
      </c>
      <c r="F701" t="s">
        <v>23</v>
      </c>
      <c r="G701">
        <v>58488</v>
      </c>
      <c r="H701" t="s">
        <v>55</v>
      </c>
      <c r="I701">
        <v>426</v>
      </c>
      <c r="J701">
        <v>24915888</v>
      </c>
      <c r="K701">
        <v>180193</v>
      </c>
      <c r="L701">
        <v>24735695</v>
      </c>
      <c r="M701">
        <v>139</v>
      </c>
      <c r="N701">
        <v>0.97</v>
      </c>
      <c r="O701">
        <v>6.29</v>
      </c>
      <c r="P701">
        <v>1.2</v>
      </c>
      <c r="Q701">
        <v>3</v>
      </c>
      <c r="R701">
        <f>CORREL(BMW[units_sold],BMW[gdp_growth_percent])</f>
        <v>-5.2597817623217792E-17</v>
      </c>
    </row>
    <row r="702" spans="1:18" x14ac:dyDescent="0.35">
      <c r="A702">
        <v>2021</v>
      </c>
      <c r="B702" t="s">
        <v>49</v>
      </c>
      <c r="C702" t="s">
        <v>35</v>
      </c>
      <c r="D702" t="s">
        <v>29</v>
      </c>
      <c r="E702" t="s">
        <v>16</v>
      </c>
      <c r="F702" t="s">
        <v>23</v>
      </c>
      <c r="G702">
        <v>35215</v>
      </c>
      <c r="H702" t="s">
        <v>57</v>
      </c>
      <c r="I702">
        <v>288</v>
      </c>
      <c r="J702">
        <v>10141920</v>
      </c>
      <c r="K702">
        <v>268168</v>
      </c>
      <c r="L702">
        <v>9873752</v>
      </c>
      <c r="M702">
        <v>114</v>
      </c>
      <c r="N702">
        <v>0.97</v>
      </c>
      <c r="O702">
        <v>6.29</v>
      </c>
      <c r="P702">
        <v>1.2</v>
      </c>
      <c r="Q702">
        <v>9</v>
      </c>
      <c r="R702">
        <f>CORREL(BMW[units_sold],BMW[gdp_growth_percent])</f>
        <v>-5.2597817623217792E-17</v>
      </c>
    </row>
    <row r="703" spans="1:18" x14ac:dyDescent="0.35">
      <c r="A703">
        <v>2020</v>
      </c>
      <c r="B703" t="s">
        <v>48</v>
      </c>
      <c r="C703" t="s">
        <v>37</v>
      </c>
      <c r="D703" t="s">
        <v>29</v>
      </c>
      <c r="E703" t="s">
        <v>16</v>
      </c>
      <c r="F703" t="s">
        <v>20</v>
      </c>
      <c r="G703">
        <v>46523</v>
      </c>
      <c r="H703" t="s">
        <v>57</v>
      </c>
      <c r="I703">
        <v>298</v>
      </c>
      <c r="J703">
        <v>13863854</v>
      </c>
      <c r="K703">
        <v>198178</v>
      </c>
      <c r="L703">
        <v>13665676</v>
      </c>
      <c r="M703">
        <v>36</v>
      </c>
      <c r="N703">
        <v>0.97</v>
      </c>
      <c r="O703">
        <v>6.29</v>
      </c>
      <c r="P703">
        <v>1.2</v>
      </c>
      <c r="Q703">
        <v>5</v>
      </c>
      <c r="R703">
        <f>CORREL(BMW[units_sold],BMW[gdp_growth_percent])</f>
        <v>-5.2597817623217792E-17</v>
      </c>
    </row>
    <row r="704" spans="1:18" x14ac:dyDescent="0.35">
      <c r="A704">
        <v>2016</v>
      </c>
      <c r="B704" t="s">
        <v>43</v>
      </c>
      <c r="C704" t="s">
        <v>38</v>
      </c>
      <c r="D704" t="s">
        <v>26</v>
      </c>
      <c r="E704" t="s">
        <v>20</v>
      </c>
      <c r="F704" t="s">
        <v>23</v>
      </c>
      <c r="G704">
        <v>110900</v>
      </c>
      <c r="H704" t="s">
        <v>54</v>
      </c>
      <c r="I704">
        <v>868</v>
      </c>
      <c r="J704">
        <v>96261200</v>
      </c>
      <c r="K704">
        <v>108123</v>
      </c>
      <c r="L704">
        <v>96153077</v>
      </c>
      <c r="M704">
        <v>236</v>
      </c>
      <c r="N704">
        <v>0.97</v>
      </c>
      <c r="O704">
        <v>6.29</v>
      </c>
      <c r="P704">
        <v>1.2</v>
      </c>
      <c r="Q704">
        <v>9</v>
      </c>
      <c r="R704">
        <f>CORREL(BMW[units_sold],BMW[gdp_growth_percent])</f>
        <v>-5.2597817623217792E-17</v>
      </c>
    </row>
    <row r="705" spans="1:18" x14ac:dyDescent="0.35">
      <c r="A705">
        <v>2020</v>
      </c>
      <c r="B705" t="s">
        <v>49</v>
      </c>
      <c r="C705" t="s">
        <v>30</v>
      </c>
      <c r="D705" t="s">
        <v>26</v>
      </c>
      <c r="E705" t="s">
        <v>16</v>
      </c>
      <c r="F705" t="s">
        <v>27</v>
      </c>
      <c r="G705">
        <v>103689</v>
      </c>
      <c r="H705" t="s">
        <v>54</v>
      </c>
      <c r="I705">
        <v>92</v>
      </c>
      <c r="J705">
        <v>9539388</v>
      </c>
      <c r="K705">
        <v>161825</v>
      </c>
      <c r="L705">
        <v>9377563</v>
      </c>
      <c r="M705">
        <v>11</v>
      </c>
      <c r="N705">
        <v>0.97</v>
      </c>
      <c r="O705">
        <v>6.29</v>
      </c>
      <c r="P705">
        <v>1.2</v>
      </c>
      <c r="Q705">
        <v>10</v>
      </c>
      <c r="R705">
        <f>CORREL(BMW[units_sold],BMW[gdp_growth_percent])</f>
        <v>-5.2597817623217792E-17</v>
      </c>
    </row>
    <row r="706" spans="1:18" x14ac:dyDescent="0.35">
      <c r="A706">
        <v>2016</v>
      </c>
      <c r="B706" t="s">
        <v>49</v>
      </c>
      <c r="C706" t="s">
        <v>38</v>
      </c>
      <c r="D706" t="s">
        <v>22</v>
      </c>
      <c r="E706" t="s">
        <v>16</v>
      </c>
      <c r="F706" t="s">
        <v>27</v>
      </c>
      <c r="G706">
        <v>58834</v>
      </c>
      <c r="H706" t="s">
        <v>55</v>
      </c>
      <c r="I706">
        <v>1006</v>
      </c>
      <c r="J706">
        <v>59187004</v>
      </c>
      <c r="K706">
        <v>58720</v>
      </c>
      <c r="L706">
        <v>59128284</v>
      </c>
      <c r="M706">
        <v>368</v>
      </c>
      <c r="N706">
        <v>0.97</v>
      </c>
      <c r="O706">
        <v>6.29</v>
      </c>
      <c r="P706">
        <v>1.2</v>
      </c>
      <c r="Q706">
        <v>6</v>
      </c>
      <c r="R706">
        <f>CORREL(BMW[units_sold],BMW[gdp_growth_percent])</f>
        <v>-5.2597817623217792E-17</v>
      </c>
    </row>
    <row r="707" spans="1:18" x14ac:dyDescent="0.35">
      <c r="A707">
        <v>2016</v>
      </c>
      <c r="B707" t="s">
        <v>46</v>
      </c>
      <c r="C707" t="s">
        <v>14</v>
      </c>
      <c r="D707" t="s">
        <v>39</v>
      </c>
      <c r="E707" t="s">
        <v>19</v>
      </c>
      <c r="F707" t="s">
        <v>23</v>
      </c>
      <c r="G707">
        <v>69474</v>
      </c>
      <c r="H707" t="s">
        <v>55</v>
      </c>
      <c r="I707">
        <v>548</v>
      </c>
      <c r="J707">
        <v>38071752</v>
      </c>
      <c r="K707">
        <v>218733</v>
      </c>
      <c r="L707">
        <v>37853019</v>
      </c>
      <c r="M707">
        <v>110</v>
      </c>
      <c r="N707">
        <v>0.97</v>
      </c>
      <c r="O707">
        <v>6.29</v>
      </c>
      <c r="P707">
        <v>1.2</v>
      </c>
      <c r="Q707">
        <v>9</v>
      </c>
      <c r="R707">
        <f>CORREL(BMW[units_sold],BMW[gdp_growth_percent])</f>
        <v>-5.2597817623217792E-17</v>
      </c>
    </row>
    <row r="708" spans="1:18" x14ac:dyDescent="0.35">
      <c r="A708">
        <v>2016</v>
      </c>
      <c r="B708" t="s">
        <v>46</v>
      </c>
      <c r="C708" t="s">
        <v>35</v>
      </c>
      <c r="D708" t="s">
        <v>26</v>
      </c>
      <c r="E708" t="s">
        <v>19</v>
      </c>
      <c r="F708" t="s">
        <v>20</v>
      </c>
      <c r="G708">
        <v>78066</v>
      </c>
      <c r="H708" t="s">
        <v>55</v>
      </c>
      <c r="I708">
        <v>187</v>
      </c>
      <c r="J708">
        <v>14598342</v>
      </c>
      <c r="K708">
        <v>296103</v>
      </c>
      <c r="L708">
        <v>14302239</v>
      </c>
      <c r="M708">
        <v>30</v>
      </c>
      <c r="N708">
        <v>0.97</v>
      </c>
      <c r="O708">
        <v>6.29</v>
      </c>
      <c r="P708">
        <v>1.2</v>
      </c>
      <c r="Q708">
        <v>7</v>
      </c>
      <c r="R708">
        <f>CORREL(BMW[units_sold],BMW[gdp_growth_percent])</f>
        <v>-5.2597817623217792E-17</v>
      </c>
    </row>
    <row r="709" spans="1:18" x14ac:dyDescent="0.35">
      <c r="A709">
        <v>2017</v>
      </c>
      <c r="B709" t="s">
        <v>52</v>
      </c>
      <c r="C709" t="s">
        <v>37</v>
      </c>
      <c r="D709" t="s">
        <v>15</v>
      </c>
      <c r="E709" t="s">
        <v>16</v>
      </c>
      <c r="F709" t="s">
        <v>23</v>
      </c>
      <c r="G709">
        <v>45400</v>
      </c>
      <c r="H709" t="s">
        <v>57</v>
      </c>
      <c r="I709">
        <v>286</v>
      </c>
      <c r="J709">
        <v>12984400</v>
      </c>
      <c r="K709">
        <v>274970</v>
      </c>
      <c r="L709">
        <v>12709430</v>
      </c>
      <c r="M709">
        <v>67</v>
      </c>
      <c r="N709">
        <v>0.97</v>
      </c>
      <c r="O709">
        <v>6.29</v>
      </c>
      <c r="P709">
        <v>1.2</v>
      </c>
      <c r="Q709">
        <v>7</v>
      </c>
      <c r="R709">
        <f>CORREL(BMW[units_sold],BMW[gdp_growth_percent])</f>
        <v>-5.2597817623217792E-17</v>
      </c>
    </row>
    <row r="710" spans="1:18" x14ac:dyDescent="0.35">
      <c r="A710">
        <v>2016</v>
      </c>
      <c r="B710" t="s">
        <v>42</v>
      </c>
      <c r="C710" t="s">
        <v>35</v>
      </c>
      <c r="D710" t="s">
        <v>33</v>
      </c>
      <c r="E710" t="s">
        <v>19</v>
      </c>
      <c r="F710" t="s">
        <v>17</v>
      </c>
      <c r="G710">
        <v>45345</v>
      </c>
      <c r="H710" t="s">
        <v>57</v>
      </c>
      <c r="I710">
        <v>916</v>
      </c>
      <c r="J710">
        <v>41536020</v>
      </c>
      <c r="K710">
        <v>274866</v>
      </c>
      <c r="L710">
        <v>41261154</v>
      </c>
      <c r="M710">
        <v>398</v>
      </c>
      <c r="N710">
        <v>0.97</v>
      </c>
      <c r="O710">
        <v>6.29</v>
      </c>
      <c r="P710">
        <v>1.2</v>
      </c>
      <c r="Q710">
        <v>8</v>
      </c>
      <c r="R710">
        <f>CORREL(BMW[units_sold],BMW[gdp_growth_percent])</f>
        <v>-5.2597817623217792E-17</v>
      </c>
    </row>
    <row r="711" spans="1:18" x14ac:dyDescent="0.35">
      <c r="A711">
        <v>2018</v>
      </c>
      <c r="B711" t="s">
        <v>42</v>
      </c>
      <c r="C711" t="s">
        <v>25</v>
      </c>
      <c r="D711" t="s">
        <v>22</v>
      </c>
      <c r="E711" t="s">
        <v>19</v>
      </c>
      <c r="F711" t="s">
        <v>17</v>
      </c>
      <c r="G711">
        <v>68896</v>
      </c>
      <c r="H711" t="s">
        <v>55</v>
      </c>
      <c r="I711">
        <v>708</v>
      </c>
      <c r="J711">
        <v>48778368</v>
      </c>
      <c r="K711">
        <v>464336</v>
      </c>
      <c r="L711">
        <v>48314032</v>
      </c>
      <c r="M711">
        <v>189</v>
      </c>
      <c r="N711">
        <v>0.97</v>
      </c>
      <c r="O711">
        <v>6.29</v>
      </c>
      <c r="P711">
        <v>1.2</v>
      </c>
      <c r="Q711">
        <v>7</v>
      </c>
      <c r="R711">
        <f>CORREL(BMW[units_sold],BMW[gdp_growth_percent])</f>
        <v>-5.2597817623217792E-17</v>
      </c>
    </row>
    <row r="712" spans="1:18" x14ac:dyDescent="0.35">
      <c r="A712">
        <v>2023</v>
      </c>
      <c r="B712" t="s">
        <v>44</v>
      </c>
      <c r="C712" t="s">
        <v>37</v>
      </c>
      <c r="D712" t="s">
        <v>31</v>
      </c>
      <c r="E712" t="s">
        <v>16</v>
      </c>
      <c r="F712" t="s">
        <v>17</v>
      </c>
      <c r="G712">
        <v>63899</v>
      </c>
      <c r="H712" t="s">
        <v>55</v>
      </c>
      <c r="I712">
        <v>1021</v>
      </c>
      <c r="J712">
        <v>65240879</v>
      </c>
      <c r="K712">
        <v>200862</v>
      </c>
      <c r="L712">
        <v>65040017</v>
      </c>
      <c r="M712">
        <v>350</v>
      </c>
      <c r="N712">
        <v>0.97</v>
      </c>
      <c r="O712">
        <v>6.29</v>
      </c>
      <c r="P712">
        <v>1.2</v>
      </c>
      <c r="Q712">
        <v>9</v>
      </c>
      <c r="R712">
        <f>CORREL(BMW[units_sold],BMW[gdp_growth_percent])</f>
        <v>-5.2597817623217792E-17</v>
      </c>
    </row>
    <row r="713" spans="1:18" x14ac:dyDescent="0.35">
      <c r="A713">
        <v>2020</v>
      </c>
      <c r="B713" t="s">
        <v>41</v>
      </c>
      <c r="C713" t="s">
        <v>25</v>
      </c>
      <c r="D713" t="s">
        <v>34</v>
      </c>
      <c r="E713" t="s">
        <v>16</v>
      </c>
      <c r="F713" t="s">
        <v>23</v>
      </c>
      <c r="G713">
        <v>63229</v>
      </c>
      <c r="H713" t="s">
        <v>55</v>
      </c>
      <c r="I713">
        <v>749</v>
      </c>
      <c r="J713">
        <v>47358521</v>
      </c>
      <c r="K713">
        <v>108655</v>
      </c>
      <c r="L713">
        <v>47249866</v>
      </c>
      <c r="M713">
        <v>358</v>
      </c>
      <c r="N713">
        <v>0.97</v>
      </c>
      <c r="O713">
        <v>6.29</v>
      </c>
      <c r="P713">
        <v>1.2</v>
      </c>
      <c r="Q713">
        <v>9</v>
      </c>
      <c r="R713">
        <f>CORREL(BMW[units_sold],BMW[gdp_growth_percent])</f>
        <v>-5.2597817623217792E-17</v>
      </c>
    </row>
    <row r="714" spans="1:18" x14ac:dyDescent="0.35">
      <c r="A714">
        <v>2015</v>
      </c>
      <c r="B714" t="s">
        <v>42</v>
      </c>
      <c r="C714" t="s">
        <v>28</v>
      </c>
      <c r="D714" t="s">
        <v>22</v>
      </c>
      <c r="E714" t="s">
        <v>16</v>
      </c>
      <c r="F714" t="s">
        <v>23</v>
      </c>
      <c r="G714">
        <v>40583</v>
      </c>
      <c r="H714" t="s">
        <v>57</v>
      </c>
      <c r="I714">
        <v>417</v>
      </c>
      <c r="J714">
        <v>16923111</v>
      </c>
      <c r="K714">
        <v>240715</v>
      </c>
      <c r="L714">
        <v>16682396</v>
      </c>
      <c r="M714">
        <v>29</v>
      </c>
      <c r="N714">
        <v>0.97</v>
      </c>
      <c r="O714">
        <v>6.29</v>
      </c>
      <c r="P714">
        <v>1.2</v>
      </c>
      <c r="Q714">
        <v>6</v>
      </c>
      <c r="R714">
        <f>CORREL(BMW[units_sold],BMW[gdp_growth_percent])</f>
        <v>-5.2597817623217792E-17</v>
      </c>
    </row>
    <row r="715" spans="1:18" x14ac:dyDescent="0.35">
      <c r="A715">
        <v>2022</v>
      </c>
      <c r="B715" t="s">
        <v>46</v>
      </c>
      <c r="C715" t="s">
        <v>14</v>
      </c>
      <c r="D715" t="s">
        <v>22</v>
      </c>
      <c r="E715" t="s">
        <v>16</v>
      </c>
      <c r="F715" t="s">
        <v>23</v>
      </c>
      <c r="G715">
        <v>39897</v>
      </c>
      <c r="H715" t="s">
        <v>57</v>
      </c>
      <c r="I715">
        <v>631</v>
      </c>
      <c r="J715">
        <v>25175007</v>
      </c>
      <c r="K715">
        <v>143448</v>
      </c>
      <c r="L715">
        <v>25031559</v>
      </c>
      <c r="M715">
        <v>264</v>
      </c>
      <c r="N715">
        <v>0.97</v>
      </c>
      <c r="O715">
        <v>6.29</v>
      </c>
      <c r="P715">
        <v>1.2</v>
      </c>
      <c r="Q715">
        <v>7</v>
      </c>
      <c r="R715">
        <f>CORREL(BMW[units_sold],BMW[gdp_growth_percent])</f>
        <v>-5.2597817623217792E-17</v>
      </c>
    </row>
    <row r="716" spans="1:18" x14ac:dyDescent="0.35">
      <c r="A716">
        <v>2021</v>
      </c>
      <c r="B716" t="s">
        <v>52</v>
      </c>
      <c r="C716" t="s">
        <v>28</v>
      </c>
      <c r="D716" t="s">
        <v>29</v>
      </c>
      <c r="E716" t="s">
        <v>20</v>
      </c>
      <c r="F716" t="s">
        <v>17</v>
      </c>
      <c r="G716">
        <v>106537</v>
      </c>
      <c r="H716" t="s">
        <v>54</v>
      </c>
      <c r="I716">
        <v>928</v>
      </c>
      <c r="J716">
        <v>98866336</v>
      </c>
      <c r="K716">
        <v>228446</v>
      </c>
      <c r="L716">
        <v>98637890</v>
      </c>
      <c r="M716">
        <v>326</v>
      </c>
      <c r="N716">
        <v>0.97</v>
      </c>
      <c r="O716">
        <v>6.29</v>
      </c>
      <c r="P716">
        <v>1.2</v>
      </c>
      <c r="Q716">
        <v>2</v>
      </c>
      <c r="R716">
        <f>CORREL(BMW[units_sold],BMW[gdp_growth_percent])</f>
        <v>-5.2597817623217792E-17</v>
      </c>
    </row>
    <row r="717" spans="1:18" x14ac:dyDescent="0.35">
      <c r="A717">
        <v>2024</v>
      </c>
      <c r="B717" t="s">
        <v>52</v>
      </c>
      <c r="C717" t="s">
        <v>36</v>
      </c>
      <c r="D717" t="s">
        <v>18</v>
      </c>
      <c r="E717" t="s">
        <v>20</v>
      </c>
      <c r="F717" t="s">
        <v>20</v>
      </c>
      <c r="G717">
        <v>39567</v>
      </c>
      <c r="H717" t="s">
        <v>57</v>
      </c>
      <c r="I717">
        <v>123</v>
      </c>
      <c r="J717">
        <v>4866741</v>
      </c>
      <c r="K717">
        <v>223979</v>
      </c>
      <c r="L717">
        <v>4642762</v>
      </c>
      <c r="M717">
        <v>47</v>
      </c>
      <c r="N717">
        <v>0.97</v>
      </c>
      <c r="O717">
        <v>6.29</v>
      </c>
      <c r="P717">
        <v>1.2</v>
      </c>
      <c r="Q717">
        <v>9</v>
      </c>
      <c r="R717">
        <f>CORREL(BMW[units_sold],BMW[gdp_growth_percent])</f>
        <v>-5.2597817623217792E-17</v>
      </c>
    </row>
    <row r="718" spans="1:18" x14ac:dyDescent="0.35">
      <c r="A718">
        <v>2017</v>
      </c>
      <c r="B718" t="s">
        <v>49</v>
      </c>
      <c r="C718" t="s">
        <v>35</v>
      </c>
      <c r="D718" t="s">
        <v>39</v>
      </c>
      <c r="E718" t="s">
        <v>16</v>
      </c>
      <c r="F718" t="s">
        <v>27</v>
      </c>
      <c r="G718">
        <v>109807</v>
      </c>
      <c r="H718" t="s">
        <v>54</v>
      </c>
      <c r="I718">
        <v>380</v>
      </c>
      <c r="J718">
        <v>41726660</v>
      </c>
      <c r="K718">
        <v>231143</v>
      </c>
      <c r="L718">
        <v>41495517</v>
      </c>
      <c r="M718">
        <v>157</v>
      </c>
      <c r="N718">
        <v>0.97</v>
      </c>
      <c r="O718">
        <v>6.29</v>
      </c>
      <c r="P718">
        <v>1.2</v>
      </c>
      <c r="Q718">
        <v>1</v>
      </c>
      <c r="R718">
        <f>CORREL(BMW[units_sold],BMW[gdp_growth_percent])</f>
        <v>-5.2597817623217792E-17</v>
      </c>
    </row>
    <row r="719" spans="1:18" x14ac:dyDescent="0.35">
      <c r="A719">
        <v>2015</v>
      </c>
      <c r="B719" t="s">
        <v>44</v>
      </c>
      <c r="C719" t="s">
        <v>25</v>
      </c>
      <c r="D719" t="s">
        <v>18</v>
      </c>
      <c r="E719" t="s">
        <v>19</v>
      </c>
      <c r="F719" t="s">
        <v>23</v>
      </c>
      <c r="G719">
        <v>112239</v>
      </c>
      <c r="H719" t="s">
        <v>54</v>
      </c>
      <c r="I719">
        <v>446</v>
      </c>
      <c r="J719">
        <v>50058594</v>
      </c>
      <c r="K719">
        <v>170507</v>
      </c>
      <c r="L719">
        <v>49888087</v>
      </c>
      <c r="M719">
        <v>34</v>
      </c>
      <c r="N719">
        <v>0.97</v>
      </c>
      <c r="O719">
        <v>6.29</v>
      </c>
      <c r="P719">
        <v>1.2</v>
      </c>
      <c r="Q719">
        <v>1</v>
      </c>
      <c r="R719">
        <f>CORREL(BMW[units_sold],BMW[gdp_growth_percent])</f>
        <v>-5.2597817623217792E-17</v>
      </c>
    </row>
    <row r="720" spans="1:18" x14ac:dyDescent="0.35">
      <c r="A720">
        <v>2019</v>
      </c>
      <c r="B720" t="s">
        <v>48</v>
      </c>
      <c r="C720" t="s">
        <v>32</v>
      </c>
      <c r="D720" t="s">
        <v>15</v>
      </c>
      <c r="E720" t="s">
        <v>16</v>
      </c>
      <c r="F720" t="s">
        <v>20</v>
      </c>
      <c r="G720">
        <v>48329</v>
      </c>
      <c r="H720" t="s">
        <v>57</v>
      </c>
      <c r="I720">
        <v>1088</v>
      </c>
      <c r="J720">
        <v>52581952</v>
      </c>
      <c r="K720">
        <v>346956</v>
      </c>
      <c r="L720">
        <v>52234996</v>
      </c>
      <c r="M720">
        <v>395</v>
      </c>
      <c r="N720">
        <v>0.97</v>
      </c>
      <c r="O720">
        <v>6.29</v>
      </c>
      <c r="P720">
        <v>1.2</v>
      </c>
      <c r="Q720">
        <v>3</v>
      </c>
      <c r="R720">
        <f>CORREL(BMW[units_sold],BMW[gdp_growth_percent])</f>
        <v>-5.2597817623217792E-17</v>
      </c>
    </row>
    <row r="721" spans="1:18" x14ac:dyDescent="0.35">
      <c r="A721">
        <v>2018</v>
      </c>
      <c r="B721" t="s">
        <v>41</v>
      </c>
      <c r="C721" t="s">
        <v>28</v>
      </c>
      <c r="D721" t="s">
        <v>31</v>
      </c>
      <c r="E721" t="s">
        <v>16</v>
      </c>
      <c r="F721" t="s">
        <v>27</v>
      </c>
      <c r="G721">
        <v>106792</v>
      </c>
      <c r="H721" t="s">
        <v>54</v>
      </c>
      <c r="I721">
        <v>496</v>
      </c>
      <c r="J721">
        <v>52968832</v>
      </c>
      <c r="K721">
        <v>361714</v>
      </c>
      <c r="L721">
        <v>52607118</v>
      </c>
      <c r="M721">
        <v>130</v>
      </c>
      <c r="N721">
        <v>0.97</v>
      </c>
      <c r="O721">
        <v>6.29</v>
      </c>
      <c r="P721">
        <v>1.2</v>
      </c>
      <c r="Q721">
        <v>6</v>
      </c>
      <c r="R721">
        <f>CORREL(BMW[units_sold],BMW[gdp_growth_percent])</f>
        <v>-5.2597817623217792E-17</v>
      </c>
    </row>
    <row r="722" spans="1:18" x14ac:dyDescent="0.35">
      <c r="A722">
        <v>2024</v>
      </c>
      <c r="B722" t="s">
        <v>43</v>
      </c>
      <c r="C722" t="s">
        <v>36</v>
      </c>
      <c r="D722" t="s">
        <v>29</v>
      </c>
      <c r="E722" t="s">
        <v>19</v>
      </c>
      <c r="F722" t="s">
        <v>27</v>
      </c>
      <c r="G722">
        <v>35228</v>
      </c>
      <c r="H722" t="s">
        <v>57</v>
      </c>
      <c r="I722">
        <v>171</v>
      </c>
      <c r="J722">
        <v>6023988</v>
      </c>
      <c r="K722">
        <v>363045</v>
      </c>
      <c r="L722">
        <v>5660943</v>
      </c>
      <c r="M722">
        <v>35</v>
      </c>
      <c r="N722">
        <v>0.97</v>
      </c>
      <c r="O722">
        <v>6.29</v>
      </c>
      <c r="P722">
        <v>1.2</v>
      </c>
      <c r="Q722">
        <v>5</v>
      </c>
      <c r="R722">
        <f>CORREL(BMW[units_sold],BMW[gdp_growth_percent])</f>
        <v>-5.2597817623217792E-17</v>
      </c>
    </row>
    <row r="723" spans="1:18" x14ac:dyDescent="0.35">
      <c r="A723">
        <v>2022</v>
      </c>
      <c r="B723" t="s">
        <v>49</v>
      </c>
      <c r="C723" t="s">
        <v>21</v>
      </c>
      <c r="D723" t="s">
        <v>31</v>
      </c>
      <c r="E723" t="s">
        <v>20</v>
      </c>
      <c r="F723" t="s">
        <v>27</v>
      </c>
      <c r="G723">
        <v>117214</v>
      </c>
      <c r="H723" t="s">
        <v>54</v>
      </c>
      <c r="I723">
        <v>511</v>
      </c>
      <c r="J723">
        <v>59896354</v>
      </c>
      <c r="K723">
        <v>110186</v>
      </c>
      <c r="L723">
        <v>59786168</v>
      </c>
      <c r="M723">
        <v>178</v>
      </c>
      <c r="N723">
        <v>0.97</v>
      </c>
      <c r="O723">
        <v>6.29</v>
      </c>
      <c r="P723">
        <v>1.2</v>
      </c>
      <c r="Q723">
        <v>2</v>
      </c>
      <c r="R723">
        <f>CORREL(BMW[units_sold],BMW[gdp_growth_percent])</f>
        <v>-5.2597817623217792E-17</v>
      </c>
    </row>
    <row r="724" spans="1:18" x14ac:dyDescent="0.35">
      <c r="A724">
        <v>2015</v>
      </c>
      <c r="B724" t="s">
        <v>48</v>
      </c>
      <c r="C724" t="s">
        <v>38</v>
      </c>
      <c r="D724" t="s">
        <v>15</v>
      </c>
      <c r="E724" t="s">
        <v>16</v>
      </c>
      <c r="F724" t="s">
        <v>20</v>
      </c>
      <c r="G724">
        <v>72052</v>
      </c>
      <c r="H724" t="s">
        <v>55</v>
      </c>
      <c r="I724">
        <v>908</v>
      </c>
      <c r="J724">
        <v>65423216</v>
      </c>
      <c r="K724">
        <v>172066</v>
      </c>
      <c r="L724">
        <v>65251150</v>
      </c>
      <c r="M724">
        <v>332</v>
      </c>
      <c r="N724">
        <v>0.97</v>
      </c>
      <c r="O724">
        <v>6.29</v>
      </c>
      <c r="P724">
        <v>1.2</v>
      </c>
      <c r="Q724">
        <v>9</v>
      </c>
      <c r="R724">
        <f>CORREL(BMW[units_sold],BMW[gdp_growth_percent])</f>
        <v>-5.2597817623217792E-17</v>
      </c>
    </row>
    <row r="725" spans="1:18" x14ac:dyDescent="0.35">
      <c r="A725">
        <v>2024</v>
      </c>
      <c r="B725" t="s">
        <v>42</v>
      </c>
      <c r="C725" t="s">
        <v>37</v>
      </c>
      <c r="D725" t="s">
        <v>18</v>
      </c>
      <c r="E725" t="s">
        <v>16</v>
      </c>
      <c r="F725" t="s">
        <v>20</v>
      </c>
      <c r="G725">
        <v>92769</v>
      </c>
      <c r="H725" t="s">
        <v>54</v>
      </c>
      <c r="I725">
        <v>778</v>
      </c>
      <c r="J725">
        <v>72174282</v>
      </c>
      <c r="K725">
        <v>440508</v>
      </c>
      <c r="L725">
        <v>71733774</v>
      </c>
      <c r="M725">
        <v>234</v>
      </c>
      <c r="N725">
        <v>0.97</v>
      </c>
      <c r="O725">
        <v>6.29</v>
      </c>
      <c r="P725">
        <v>1.2</v>
      </c>
      <c r="Q725">
        <v>10</v>
      </c>
      <c r="R725">
        <f>CORREL(BMW[units_sold],BMW[gdp_growth_percent])</f>
        <v>-5.2597817623217792E-17</v>
      </c>
    </row>
    <row r="726" spans="1:18" x14ac:dyDescent="0.35">
      <c r="A726">
        <v>2015</v>
      </c>
      <c r="B726" t="s">
        <v>44</v>
      </c>
      <c r="C726" t="s">
        <v>36</v>
      </c>
      <c r="D726" t="s">
        <v>22</v>
      </c>
      <c r="E726" t="s">
        <v>20</v>
      </c>
      <c r="F726" t="s">
        <v>17</v>
      </c>
      <c r="G726">
        <v>81032</v>
      </c>
      <c r="H726" t="s">
        <v>54</v>
      </c>
      <c r="I726">
        <v>247</v>
      </c>
      <c r="J726">
        <v>20014904</v>
      </c>
      <c r="K726">
        <v>231323</v>
      </c>
      <c r="L726">
        <v>19783581</v>
      </c>
      <c r="M726">
        <v>10</v>
      </c>
      <c r="N726">
        <v>0.97</v>
      </c>
      <c r="O726">
        <v>6.29</v>
      </c>
      <c r="P726">
        <v>1.2</v>
      </c>
      <c r="Q726">
        <v>4</v>
      </c>
      <c r="R726">
        <f>CORREL(BMW[units_sold],BMW[gdp_growth_percent])</f>
        <v>-5.2597817623217792E-17</v>
      </c>
    </row>
    <row r="727" spans="1:18" x14ac:dyDescent="0.35">
      <c r="A727">
        <v>2018</v>
      </c>
      <c r="B727" t="s">
        <v>49</v>
      </c>
      <c r="C727" t="s">
        <v>14</v>
      </c>
      <c r="D727" t="s">
        <v>26</v>
      </c>
      <c r="E727" t="s">
        <v>20</v>
      </c>
      <c r="F727" t="s">
        <v>20</v>
      </c>
      <c r="G727">
        <v>68686</v>
      </c>
      <c r="H727" t="s">
        <v>55</v>
      </c>
      <c r="I727">
        <v>834</v>
      </c>
      <c r="J727">
        <v>57284124</v>
      </c>
      <c r="K727">
        <v>246243</v>
      </c>
      <c r="L727">
        <v>57037881</v>
      </c>
      <c r="M727">
        <v>316</v>
      </c>
      <c r="N727">
        <v>0.97</v>
      </c>
      <c r="O727">
        <v>6.29</v>
      </c>
      <c r="P727">
        <v>1.2</v>
      </c>
      <c r="Q727">
        <v>4</v>
      </c>
      <c r="R727">
        <f>CORREL(BMW[units_sold],BMW[gdp_growth_percent])</f>
        <v>-5.2597817623217792E-17</v>
      </c>
    </row>
    <row r="728" spans="1:18" x14ac:dyDescent="0.35">
      <c r="A728">
        <v>2022</v>
      </c>
      <c r="B728" t="s">
        <v>50</v>
      </c>
      <c r="C728" t="s">
        <v>28</v>
      </c>
      <c r="D728" t="s">
        <v>26</v>
      </c>
      <c r="E728" t="s">
        <v>19</v>
      </c>
      <c r="F728" t="s">
        <v>20</v>
      </c>
      <c r="G728">
        <v>111981</v>
      </c>
      <c r="H728" t="s">
        <v>54</v>
      </c>
      <c r="I728">
        <v>573</v>
      </c>
      <c r="J728">
        <v>64165113</v>
      </c>
      <c r="K728">
        <v>86160</v>
      </c>
      <c r="L728">
        <v>64078953</v>
      </c>
      <c r="M728">
        <v>270</v>
      </c>
      <c r="N728">
        <v>0.97</v>
      </c>
      <c r="O728">
        <v>6.29</v>
      </c>
      <c r="P728">
        <v>1.2</v>
      </c>
      <c r="Q728">
        <v>5</v>
      </c>
      <c r="R728">
        <f>CORREL(BMW[units_sold],BMW[gdp_growth_percent])</f>
        <v>-5.2597817623217792E-17</v>
      </c>
    </row>
    <row r="729" spans="1:18" x14ac:dyDescent="0.35">
      <c r="A729">
        <v>2019</v>
      </c>
      <c r="B729" t="s">
        <v>42</v>
      </c>
      <c r="C729" t="s">
        <v>14</v>
      </c>
      <c r="D729" t="s">
        <v>24</v>
      </c>
      <c r="E729" t="s">
        <v>20</v>
      </c>
      <c r="F729" t="s">
        <v>20</v>
      </c>
      <c r="G729">
        <v>98261</v>
      </c>
      <c r="H729" t="s">
        <v>54</v>
      </c>
      <c r="I729">
        <v>155</v>
      </c>
      <c r="J729">
        <v>15230455</v>
      </c>
      <c r="K729">
        <v>69156</v>
      </c>
      <c r="L729">
        <v>15161299</v>
      </c>
      <c r="M729">
        <v>22</v>
      </c>
      <c r="N729">
        <v>0.97</v>
      </c>
      <c r="O729">
        <v>6.29</v>
      </c>
      <c r="P729">
        <v>1.2</v>
      </c>
      <c r="Q729">
        <v>8</v>
      </c>
      <c r="R729">
        <f>CORREL(BMW[units_sold],BMW[gdp_growth_percent])</f>
        <v>-5.2597817623217792E-17</v>
      </c>
    </row>
    <row r="730" spans="1:18" x14ac:dyDescent="0.35">
      <c r="A730">
        <v>2016</v>
      </c>
      <c r="B730" t="s">
        <v>48</v>
      </c>
      <c r="C730" t="s">
        <v>38</v>
      </c>
      <c r="D730" t="s">
        <v>34</v>
      </c>
      <c r="E730" t="s">
        <v>20</v>
      </c>
      <c r="F730" t="s">
        <v>27</v>
      </c>
      <c r="G730">
        <v>37809</v>
      </c>
      <c r="H730" t="s">
        <v>57</v>
      </c>
      <c r="I730">
        <v>529</v>
      </c>
      <c r="J730">
        <v>20000961</v>
      </c>
      <c r="K730">
        <v>126208</v>
      </c>
      <c r="L730">
        <v>19874753</v>
      </c>
      <c r="M730">
        <v>57</v>
      </c>
      <c r="N730">
        <v>0.97</v>
      </c>
      <c r="O730">
        <v>6.29</v>
      </c>
      <c r="P730">
        <v>1.2</v>
      </c>
      <c r="Q730">
        <v>10</v>
      </c>
      <c r="R730">
        <f>CORREL(BMW[units_sold],BMW[gdp_growth_percent])</f>
        <v>-5.2597817623217792E-17</v>
      </c>
    </row>
    <row r="731" spans="1:18" x14ac:dyDescent="0.35">
      <c r="A731">
        <v>2020</v>
      </c>
      <c r="B731" t="s">
        <v>41</v>
      </c>
      <c r="C731" t="s">
        <v>32</v>
      </c>
      <c r="D731" t="s">
        <v>39</v>
      </c>
      <c r="E731" t="s">
        <v>20</v>
      </c>
      <c r="F731" t="s">
        <v>23</v>
      </c>
      <c r="G731">
        <v>76785</v>
      </c>
      <c r="H731" t="s">
        <v>55</v>
      </c>
      <c r="I731">
        <v>744</v>
      </c>
      <c r="J731">
        <v>57128040</v>
      </c>
      <c r="K731">
        <v>199001</v>
      </c>
      <c r="L731">
        <v>56929039</v>
      </c>
      <c r="M731">
        <v>322</v>
      </c>
      <c r="N731">
        <v>0.97</v>
      </c>
      <c r="O731">
        <v>6.29</v>
      </c>
      <c r="P731">
        <v>1.2</v>
      </c>
      <c r="Q731">
        <v>4</v>
      </c>
      <c r="R731">
        <f>CORREL(BMW[units_sold],BMW[gdp_growth_percent])</f>
        <v>-5.2597817623217792E-17</v>
      </c>
    </row>
    <row r="732" spans="1:18" x14ac:dyDescent="0.35">
      <c r="A732">
        <v>2019</v>
      </c>
      <c r="B732" t="s">
        <v>43</v>
      </c>
      <c r="C732" t="s">
        <v>35</v>
      </c>
      <c r="D732" t="s">
        <v>15</v>
      </c>
      <c r="E732" t="s">
        <v>19</v>
      </c>
      <c r="F732" t="s">
        <v>17</v>
      </c>
      <c r="G732">
        <v>71547</v>
      </c>
      <c r="H732" t="s">
        <v>55</v>
      </c>
      <c r="I732">
        <v>1087</v>
      </c>
      <c r="J732">
        <v>77771589</v>
      </c>
      <c r="K732">
        <v>281226</v>
      </c>
      <c r="L732">
        <v>77490363</v>
      </c>
      <c r="M732">
        <v>380</v>
      </c>
      <c r="N732">
        <v>0.97</v>
      </c>
      <c r="O732">
        <v>6.29</v>
      </c>
      <c r="P732">
        <v>1.2</v>
      </c>
      <c r="Q732">
        <v>5</v>
      </c>
      <c r="R732">
        <f>CORREL(BMW[units_sold],BMW[gdp_growth_percent])</f>
        <v>-5.2597817623217792E-17</v>
      </c>
    </row>
    <row r="733" spans="1:18" x14ac:dyDescent="0.35">
      <c r="A733">
        <v>2016</v>
      </c>
      <c r="B733" t="s">
        <v>48</v>
      </c>
      <c r="C733" t="s">
        <v>35</v>
      </c>
      <c r="D733" t="s">
        <v>34</v>
      </c>
      <c r="E733" t="s">
        <v>20</v>
      </c>
      <c r="F733" t="s">
        <v>23</v>
      </c>
      <c r="G733">
        <v>77818</v>
      </c>
      <c r="H733" t="s">
        <v>55</v>
      </c>
      <c r="I733">
        <v>684</v>
      </c>
      <c r="J733">
        <v>53227512</v>
      </c>
      <c r="K733">
        <v>497421</v>
      </c>
      <c r="L733">
        <v>52730091</v>
      </c>
      <c r="M733">
        <v>300</v>
      </c>
      <c r="N733">
        <v>0.97</v>
      </c>
      <c r="O733">
        <v>6.29</v>
      </c>
      <c r="P733">
        <v>1.2</v>
      </c>
      <c r="Q733">
        <v>4</v>
      </c>
      <c r="R733">
        <f>CORREL(BMW[units_sold],BMW[gdp_growth_percent])</f>
        <v>-5.2597817623217792E-17</v>
      </c>
    </row>
    <row r="734" spans="1:18" x14ac:dyDescent="0.35">
      <c r="A734">
        <v>2017</v>
      </c>
      <c r="B734" t="s">
        <v>49</v>
      </c>
      <c r="C734" t="s">
        <v>14</v>
      </c>
      <c r="D734" t="s">
        <v>39</v>
      </c>
      <c r="E734" t="s">
        <v>20</v>
      </c>
      <c r="F734" t="s">
        <v>23</v>
      </c>
      <c r="G734">
        <v>106927</v>
      </c>
      <c r="H734" t="s">
        <v>54</v>
      </c>
      <c r="I734">
        <v>933</v>
      </c>
      <c r="J734">
        <v>99762891</v>
      </c>
      <c r="K734">
        <v>291766</v>
      </c>
      <c r="L734">
        <v>99471125</v>
      </c>
      <c r="M734">
        <v>341</v>
      </c>
      <c r="N734">
        <v>0.97</v>
      </c>
      <c r="O734">
        <v>6.29</v>
      </c>
      <c r="P734">
        <v>1.2</v>
      </c>
      <c r="Q734">
        <v>6</v>
      </c>
      <c r="R734">
        <f>CORREL(BMW[units_sold],BMW[gdp_growth_percent])</f>
        <v>-5.2597817623217792E-17</v>
      </c>
    </row>
    <row r="735" spans="1:18" x14ac:dyDescent="0.35">
      <c r="A735">
        <v>2023</v>
      </c>
      <c r="B735" t="s">
        <v>49</v>
      </c>
      <c r="C735" t="s">
        <v>25</v>
      </c>
      <c r="D735" t="s">
        <v>34</v>
      </c>
      <c r="E735" t="s">
        <v>19</v>
      </c>
      <c r="F735" t="s">
        <v>20</v>
      </c>
      <c r="G735">
        <v>100681</v>
      </c>
      <c r="H735" t="s">
        <v>54</v>
      </c>
      <c r="I735">
        <v>235</v>
      </c>
      <c r="J735">
        <v>23660035</v>
      </c>
      <c r="K735">
        <v>245413</v>
      </c>
      <c r="L735">
        <v>23414622</v>
      </c>
      <c r="M735">
        <v>103</v>
      </c>
      <c r="N735">
        <v>0.97</v>
      </c>
      <c r="O735">
        <v>6.29</v>
      </c>
      <c r="P735">
        <v>1.2</v>
      </c>
      <c r="Q735">
        <v>3</v>
      </c>
      <c r="R735">
        <f>CORREL(BMW[units_sold],BMW[gdp_growth_percent])</f>
        <v>-5.2597817623217792E-17</v>
      </c>
    </row>
    <row r="736" spans="1:18" x14ac:dyDescent="0.35">
      <c r="A736">
        <v>2021</v>
      </c>
      <c r="B736" t="s">
        <v>43</v>
      </c>
      <c r="C736" t="s">
        <v>32</v>
      </c>
      <c r="D736" t="s">
        <v>18</v>
      </c>
      <c r="E736" t="s">
        <v>20</v>
      </c>
      <c r="F736" t="s">
        <v>17</v>
      </c>
      <c r="G736">
        <v>114465</v>
      </c>
      <c r="H736" t="s">
        <v>54</v>
      </c>
      <c r="I736">
        <v>553</v>
      </c>
      <c r="J736">
        <v>63299145</v>
      </c>
      <c r="K736">
        <v>407521</v>
      </c>
      <c r="L736">
        <v>62891624</v>
      </c>
      <c r="M736">
        <v>270</v>
      </c>
      <c r="N736">
        <v>0.97</v>
      </c>
      <c r="O736">
        <v>6.29</v>
      </c>
      <c r="P736">
        <v>1.2</v>
      </c>
      <c r="Q736">
        <v>8</v>
      </c>
      <c r="R736">
        <f>CORREL(BMW[units_sold],BMW[gdp_growth_percent])</f>
        <v>-5.2597817623217792E-17</v>
      </c>
    </row>
    <row r="737" spans="1:18" x14ac:dyDescent="0.35">
      <c r="A737">
        <v>2021</v>
      </c>
      <c r="B737" t="s">
        <v>45</v>
      </c>
      <c r="C737" t="s">
        <v>35</v>
      </c>
      <c r="D737" t="s">
        <v>39</v>
      </c>
      <c r="E737" t="s">
        <v>20</v>
      </c>
      <c r="F737" t="s">
        <v>23</v>
      </c>
      <c r="G737">
        <v>72333</v>
      </c>
      <c r="H737" t="s">
        <v>55</v>
      </c>
      <c r="I737">
        <v>644</v>
      </c>
      <c r="J737">
        <v>46582452</v>
      </c>
      <c r="K737">
        <v>355007</v>
      </c>
      <c r="L737">
        <v>46227445</v>
      </c>
      <c r="M737">
        <v>287</v>
      </c>
      <c r="N737">
        <v>0.97</v>
      </c>
      <c r="O737">
        <v>6.29</v>
      </c>
      <c r="P737">
        <v>1.2</v>
      </c>
      <c r="Q737">
        <v>6</v>
      </c>
      <c r="R737">
        <f>CORREL(BMW[units_sold],BMW[gdp_growth_percent])</f>
        <v>-5.2597817623217792E-17</v>
      </c>
    </row>
    <row r="738" spans="1:18" x14ac:dyDescent="0.35">
      <c r="A738">
        <v>2020</v>
      </c>
      <c r="B738" t="s">
        <v>41</v>
      </c>
      <c r="C738" t="s">
        <v>32</v>
      </c>
      <c r="D738" t="s">
        <v>18</v>
      </c>
      <c r="E738" t="s">
        <v>19</v>
      </c>
      <c r="F738" t="s">
        <v>23</v>
      </c>
      <c r="G738">
        <v>51576</v>
      </c>
      <c r="H738" t="s">
        <v>55</v>
      </c>
      <c r="I738">
        <v>1073</v>
      </c>
      <c r="J738">
        <v>55341048</v>
      </c>
      <c r="K738">
        <v>262909</v>
      </c>
      <c r="L738">
        <v>55078139</v>
      </c>
      <c r="M738">
        <v>368</v>
      </c>
      <c r="N738">
        <v>0.97</v>
      </c>
      <c r="O738">
        <v>6.29</v>
      </c>
      <c r="P738">
        <v>1.2</v>
      </c>
      <c r="Q738">
        <v>10</v>
      </c>
      <c r="R738">
        <f>CORREL(BMW[units_sold],BMW[gdp_growth_percent])</f>
        <v>-5.2597817623217792E-17</v>
      </c>
    </row>
    <row r="739" spans="1:18" x14ac:dyDescent="0.35">
      <c r="A739">
        <v>2022</v>
      </c>
      <c r="B739" t="s">
        <v>47</v>
      </c>
      <c r="C739" t="s">
        <v>36</v>
      </c>
      <c r="D739" t="s">
        <v>22</v>
      </c>
      <c r="E739" t="s">
        <v>16</v>
      </c>
      <c r="F739" t="s">
        <v>17</v>
      </c>
      <c r="G739">
        <v>74405</v>
      </c>
      <c r="H739" t="s">
        <v>55</v>
      </c>
      <c r="I739">
        <v>597</v>
      </c>
      <c r="J739">
        <v>44419785</v>
      </c>
      <c r="K739">
        <v>115439</v>
      </c>
      <c r="L739">
        <v>44304346</v>
      </c>
      <c r="M739">
        <v>214</v>
      </c>
      <c r="N739">
        <v>0.97</v>
      </c>
      <c r="O739">
        <v>6.29</v>
      </c>
      <c r="P739">
        <v>1.2</v>
      </c>
      <c r="Q739">
        <v>5</v>
      </c>
      <c r="R739">
        <f>CORREL(BMW[units_sold],BMW[gdp_growth_percent])</f>
        <v>-5.2597817623217792E-17</v>
      </c>
    </row>
    <row r="740" spans="1:18" x14ac:dyDescent="0.35">
      <c r="A740">
        <v>2018</v>
      </c>
      <c r="B740" t="s">
        <v>42</v>
      </c>
      <c r="C740" t="s">
        <v>32</v>
      </c>
      <c r="D740" t="s">
        <v>29</v>
      </c>
      <c r="E740" t="s">
        <v>19</v>
      </c>
      <c r="F740" t="s">
        <v>20</v>
      </c>
      <c r="G740">
        <v>108779</v>
      </c>
      <c r="H740" t="s">
        <v>54</v>
      </c>
      <c r="I740">
        <v>827</v>
      </c>
      <c r="J740">
        <v>89960233</v>
      </c>
      <c r="K740">
        <v>188266</v>
      </c>
      <c r="L740">
        <v>89771967</v>
      </c>
      <c r="M740">
        <v>194</v>
      </c>
      <c r="N740">
        <v>0.97</v>
      </c>
      <c r="O740">
        <v>6.29</v>
      </c>
      <c r="P740">
        <v>1.2</v>
      </c>
      <c r="Q740">
        <v>2</v>
      </c>
      <c r="R740">
        <f>CORREL(BMW[units_sold],BMW[gdp_growth_percent])</f>
        <v>-5.2597817623217792E-17</v>
      </c>
    </row>
    <row r="741" spans="1:18" x14ac:dyDescent="0.35">
      <c r="A741">
        <v>2022</v>
      </c>
      <c r="B741" t="s">
        <v>52</v>
      </c>
      <c r="C741" t="s">
        <v>30</v>
      </c>
      <c r="D741" t="s">
        <v>18</v>
      </c>
      <c r="E741" t="s">
        <v>20</v>
      </c>
      <c r="F741" t="s">
        <v>23</v>
      </c>
      <c r="G741">
        <v>66601</v>
      </c>
      <c r="H741" t="s">
        <v>55</v>
      </c>
      <c r="I741">
        <v>425</v>
      </c>
      <c r="J741">
        <v>28305425</v>
      </c>
      <c r="K741">
        <v>252459</v>
      </c>
      <c r="L741">
        <v>28052966</v>
      </c>
      <c r="M741">
        <v>184</v>
      </c>
      <c r="N741">
        <v>0.97</v>
      </c>
      <c r="O741">
        <v>6.29</v>
      </c>
      <c r="P741">
        <v>1.2</v>
      </c>
      <c r="Q741">
        <v>10</v>
      </c>
      <c r="R741">
        <f>CORREL(BMW[units_sold],BMW[gdp_growth_percent])</f>
        <v>-5.2597817623217792E-17</v>
      </c>
    </row>
    <row r="742" spans="1:18" x14ac:dyDescent="0.35">
      <c r="A742">
        <v>2018</v>
      </c>
      <c r="B742" t="s">
        <v>43</v>
      </c>
      <c r="C742" t="s">
        <v>38</v>
      </c>
      <c r="D742" t="s">
        <v>26</v>
      </c>
      <c r="E742" t="s">
        <v>20</v>
      </c>
      <c r="F742" t="s">
        <v>27</v>
      </c>
      <c r="G742">
        <v>102946</v>
      </c>
      <c r="H742" t="s">
        <v>54</v>
      </c>
      <c r="I742">
        <v>869</v>
      </c>
      <c r="J742">
        <v>89460074</v>
      </c>
      <c r="K742">
        <v>171361</v>
      </c>
      <c r="L742">
        <v>89288713</v>
      </c>
      <c r="M742">
        <v>396</v>
      </c>
      <c r="N742">
        <v>0.97</v>
      </c>
      <c r="O742">
        <v>6.29</v>
      </c>
      <c r="P742">
        <v>1.2</v>
      </c>
      <c r="Q742">
        <v>10</v>
      </c>
      <c r="R742">
        <f>CORREL(BMW[units_sold],BMW[gdp_growth_percent])</f>
        <v>-5.2597817623217792E-17</v>
      </c>
    </row>
    <row r="743" spans="1:18" x14ac:dyDescent="0.35">
      <c r="A743">
        <v>2022</v>
      </c>
      <c r="B743" t="s">
        <v>41</v>
      </c>
      <c r="C743" t="s">
        <v>35</v>
      </c>
      <c r="D743" t="s">
        <v>34</v>
      </c>
      <c r="E743" t="s">
        <v>20</v>
      </c>
      <c r="F743" t="s">
        <v>23</v>
      </c>
      <c r="G743">
        <v>102356</v>
      </c>
      <c r="H743" t="s">
        <v>54</v>
      </c>
      <c r="I743">
        <v>1067</v>
      </c>
      <c r="J743">
        <v>109213852</v>
      </c>
      <c r="K743">
        <v>262986</v>
      </c>
      <c r="L743">
        <v>108950866</v>
      </c>
      <c r="M743">
        <v>389</v>
      </c>
      <c r="N743">
        <v>0.97</v>
      </c>
      <c r="O743">
        <v>6.29</v>
      </c>
      <c r="P743">
        <v>1.2</v>
      </c>
      <c r="Q743">
        <v>7</v>
      </c>
      <c r="R743">
        <f>CORREL(BMW[units_sold],BMW[gdp_growth_percent])</f>
        <v>-5.2597817623217792E-17</v>
      </c>
    </row>
    <row r="744" spans="1:18" x14ac:dyDescent="0.35">
      <c r="A744">
        <v>2023</v>
      </c>
      <c r="B744" t="s">
        <v>52</v>
      </c>
      <c r="C744" t="s">
        <v>32</v>
      </c>
      <c r="D744" t="s">
        <v>24</v>
      </c>
      <c r="E744" t="s">
        <v>19</v>
      </c>
      <c r="F744" t="s">
        <v>27</v>
      </c>
      <c r="G744">
        <v>87116</v>
      </c>
      <c r="H744" t="s">
        <v>54</v>
      </c>
      <c r="I744">
        <v>816</v>
      </c>
      <c r="J744">
        <v>71086656</v>
      </c>
      <c r="K744">
        <v>247286</v>
      </c>
      <c r="L744">
        <v>70839370</v>
      </c>
      <c r="M744">
        <v>318</v>
      </c>
      <c r="N744">
        <v>0.97</v>
      </c>
      <c r="O744">
        <v>6.29</v>
      </c>
      <c r="P744">
        <v>1.2</v>
      </c>
      <c r="Q744">
        <v>2</v>
      </c>
      <c r="R744">
        <f>CORREL(BMW[units_sold],BMW[gdp_growth_percent])</f>
        <v>-5.2597817623217792E-17</v>
      </c>
    </row>
    <row r="745" spans="1:18" x14ac:dyDescent="0.35">
      <c r="A745">
        <v>2017</v>
      </c>
      <c r="B745" t="s">
        <v>41</v>
      </c>
      <c r="C745" t="s">
        <v>14</v>
      </c>
      <c r="D745" t="s">
        <v>33</v>
      </c>
      <c r="E745" t="s">
        <v>20</v>
      </c>
      <c r="F745" t="s">
        <v>20</v>
      </c>
      <c r="G745">
        <v>97894</v>
      </c>
      <c r="H745" t="s">
        <v>54</v>
      </c>
      <c r="I745">
        <v>457</v>
      </c>
      <c r="J745">
        <v>44737558</v>
      </c>
      <c r="K745">
        <v>408320</v>
      </c>
      <c r="L745">
        <v>44329238</v>
      </c>
      <c r="M745">
        <v>78</v>
      </c>
      <c r="N745">
        <v>0.97</v>
      </c>
      <c r="O745">
        <v>6.29</v>
      </c>
      <c r="P745">
        <v>1.2</v>
      </c>
      <c r="Q745">
        <v>1</v>
      </c>
      <c r="R745">
        <f>CORREL(BMW[units_sold],BMW[gdp_growth_percent])</f>
        <v>-5.2597817623217792E-17</v>
      </c>
    </row>
    <row r="746" spans="1:18" x14ac:dyDescent="0.35">
      <c r="A746">
        <v>2017</v>
      </c>
      <c r="B746" t="s">
        <v>41</v>
      </c>
      <c r="C746" t="s">
        <v>21</v>
      </c>
      <c r="D746" t="s">
        <v>39</v>
      </c>
      <c r="E746" t="s">
        <v>20</v>
      </c>
      <c r="F746" t="s">
        <v>23</v>
      </c>
      <c r="G746">
        <v>69635</v>
      </c>
      <c r="H746" t="s">
        <v>55</v>
      </c>
      <c r="I746">
        <v>533</v>
      </c>
      <c r="J746">
        <v>37115455</v>
      </c>
      <c r="K746">
        <v>79777</v>
      </c>
      <c r="L746">
        <v>37035678</v>
      </c>
      <c r="M746">
        <v>113</v>
      </c>
      <c r="N746">
        <v>0.97</v>
      </c>
      <c r="O746">
        <v>6.29</v>
      </c>
      <c r="P746">
        <v>1.2</v>
      </c>
      <c r="Q746">
        <v>7</v>
      </c>
      <c r="R746">
        <f>CORREL(BMW[units_sold],BMW[gdp_growth_percent])</f>
        <v>-5.2597817623217792E-17</v>
      </c>
    </row>
    <row r="747" spans="1:18" x14ac:dyDescent="0.35">
      <c r="A747">
        <v>2016</v>
      </c>
      <c r="B747" t="s">
        <v>48</v>
      </c>
      <c r="C747" t="s">
        <v>30</v>
      </c>
      <c r="D747" t="s">
        <v>15</v>
      </c>
      <c r="E747" t="s">
        <v>19</v>
      </c>
      <c r="F747" t="s">
        <v>17</v>
      </c>
      <c r="G747">
        <v>42465</v>
      </c>
      <c r="H747" t="s">
        <v>57</v>
      </c>
      <c r="I747">
        <v>775</v>
      </c>
      <c r="J747">
        <v>32910375</v>
      </c>
      <c r="K747">
        <v>306427</v>
      </c>
      <c r="L747">
        <v>32603948</v>
      </c>
      <c r="M747">
        <v>255</v>
      </c>
      <c r="N747">
        <v>0.97</v>
      </c>
      <c r="O747">
        <v>6.29</v>
      </c>
      <c r="P747">
        <v>1.2</v>
      </c>
      <c r="Q747">
        <v>5</v>
      </c>
      <c r="R747">
        <f>CORREL(BMW[units_sold],BMW[gdp_growth_percent])</f>
        <v>-5.2597817623217792E-17</v>
      </c>
    </row>
    <row r="748" spans="1:18" x14ac:dyDescent="0.35">
      <c r="A748">
        <v>2024</v>
      </c>
      <c r="B748" t="s">
        <v>41</v>
      </c>
      <c r="C748" t="s">
        <v>30</v>
      </c>
      <c r="D748" t="s">
        <v>24</v>
      </c>
      <c r="E748" t="s">
        <v>16</v>
      </c>
      <c r="F748" t="s">
        <v>17</v>
      </c>
      <c r="G748">
        <v>91754</v>
      </c>
      <c r="H748" t="s">
        <v>54</v>
      </c>
      <c r="I748">
        <v>683</v>
      </c>
      <c r="J748">
        <v>62667982</v>
      </c>
      <c r="K748">
        <v>207255</v>
      </c>
      <c r="L748">
        <v>62460727</v>
      </c>
      <c r="M748">
        <v>170</v>
      </c>
      <c r="N748">
        <v>0.97</v>
      </c>
      <c r="O748">
        <v>6.29</v>
      </c>
      <c r="P748">
        <v>1.2</v>
      </c>
      <c r="Q748">
        <v>1</v>
      </c>
      <c r="R748">
        <f>CORREL(BMW[units_sold],BMW[gdp_growth_percent])</f>
        <v>-5.2597817623217792E-17</v>
      </c>
    </row>
    <row r="749" spans="1:18" x14ac:dyDescent="0.35">
      <c r="A749">
        <v>2017</v>
      </c>
      <c r="B749" t="s">
        <v>45</v>
      </c>
      <c r="C749" t="s">
        <v>25</v>
      </c>
      <c r="D749" t="s">
        <v>26</v>
      </c>
      <c r="E749" t="s">
        <v>16</v>
      </c>
      <c r="F749" t="s">
        <v>23</v>
      </c>
      <c r="G749">
        <v>73871</v>
      </c>
      <c r="H749" t="s">
        <v>55</v>
      </c>
      <c r="I749">
        <v>525</v>
      </c>
      <c r="J749">
        <v>38782275</v>
      </c>
      <c r="K749">
        <v>470661</v>
      </c>
      <c r="L749">
        <v>38311614</v>
      </c>
      <c r="M749">
        <v>209</v>
      </c>
      <c r="N749">
        <v>0.97</v>
      </c>
      <c r="O749">
        <v>6.29</v>
      </c>
      <c r="P749">
        <v>1.2</v>
      </c>
      <c r="Q749">
        <v>4</v>
      </c>
      <c r="R749">
        <f>CORREL(BMW[units_sold],BMW[gdp_growth_percent])</f>
        <v>-5.2597817623217792E-17</v>
      </c>
    </row>
    <row r="750" spans="1:18" x14ac:dyDescent="0.35">
      <c r="A750">
        <v>2017</v>
      </c>
      <c r="B750" t="s">
        <v>47</v>
      </c>
      <c r="C750" t="s">
        <v>32</v>
      </c>
      <c r="D750" t="s">
        <v>18</v>
      </c>
      <c r="E750" t="s">
        <v>20</v>
      </c>
      <c r="F750" t="s">
        <v>20</v>
      </c>
      <c r="G750">
        <v>97874</v>
      </c>
      <c r="H750" t="s">
        <v>54</v>
      </c>
      <c r="I750">
        <v>482</v>
      </c>
      <c r="J750">
        <v>47175268</v>
      </c>
      <c r="K750">
        <v>248110</v>
      </c>
      <c r="L750">
        <v>46927158</v>
      </c>
      <c r="M750">
        <v>225</v>
      </c>
      <c r="N750">
        <v>0.97</v>
      </c>
      <c r="O750">
        <v>6.29</v>
      </c>
      <c r="P750">
        <v>1.2</v>
      </c>
      <c r="Q750">
        <v>4</v>
      </c>
      <c r="R750">
        <f>CORREL(BMW[units_sold],BMW[gdp_growth_percent])</f>
        <v>-5.2597817623217792E-17</v>
      </c>
    </row>
    <row r="751" spans="1:18" x14ac:dyDescent="0.35">
      <c r="A751">
        <v>2019</v>
      </c>
      <c r="B751" t="s">
        <v>49</v>
      </c>
      <c r="C751" t="s">
        <v>25</v>
      </c>
      <c r="D751" t="s">
        <v>29</v>
      </c>
      <c r="E751" t="s">
        <v>19</v>
      </c>
      <c r="F751" t="s">
        <v>20</v>
      </c>
      <c r="G751">
        <v>112733</v>
      </c>
      <c r="H751" t="s">
        <v>54</v>
      </c>
      <c r="I751">
        <v>861</v>
      </c>
      <c r="J751">
        <v>97063113</v>
      </c>
      <c r="K751">
        <v>399345</v>
      </c>
      <c r="L751">
        <v>96663768</v>
      </c>
      <c r="M751">
        <v>221</v>
      </c>
      <c r="N751">
        <v>0.97</v>
      </c>
      <c r="O751">
        <v>6.29</v>
      </c>
      <c r="P751">
        <v>1.2</v>
      </c>
      <c r="Q751">
        <v>10</v>
      </c>
      <c r="R751">
        <f>CORREL(BMW[units_sold],BMW[gdp_growth_percent])</f>
        <v>-5.2597817623217792E-17</v>
      </c>
    </row>
    <row r="752" spans="1:18" x14ac:dyDescent="0.35">
      <c r="A752">
        <v>2019</v>
      </c>
      <c r="B752" t="s">
        <v>51</v>
      </c>
      <c r="C752" t="s">
        <v>25</v>
      </c>
      <c r="D752" t="s">
        <v>22</v>
      </c>
      <c r="E752" t="s">
        <v>20</v>
      </c>
      <c r="F752" t="s">
        <v>17</v>
      </c>
      <c r="G752">
        <v>64511</v>
      </c>
      <c r="H752" t="s">
        <v>55</v>
      </c>
      <c r="I752">
        <v>193</v>
      </c>
      <c r="J752">
        <v>12450623</v>
      </c>
      <c r="K752">
        <v>459414</v>
      </c>
      <c r="L752">
        <v>11991209</v>
      </c>
      <c r="M752">
        <v>25</v>
      </c>
      <c r="N752">
        <v>0.97</v>
      </c>
      <c r="O752">
        <v>6.29</v>
      </c>
      <c r="P752">
        <v>1.2</v>
      </c>
      <c r="Q752">
        <v>7</v>
      </c>
      <c r="R752">
        <f>CORREL(BMW[units_sold],BMW[gdp_growth_percent])</f>
        <v>-5.2597817623217792E-17</v>
      </c>
    </row>
    <row r="753" spans="1:18" x14ac:dyDescent="0.35">
      <c r="A753">
        <v>2016</v>
      </c>
      <c r="B753" t="s">
        <v>52</v>
      </c>
      <c r="C753" t="s">
        <v>21</v>
      </c>
      <c r="D753" t="s">
        <v>33</v>
      </c>
      <c r="E753" t="s">
        <v>19</v>
      </c>
      <c r="F753" t="s">
        <v>23</v>
      </c>
      <c r="G753">
        <v>115960</v>
      </c>
      <c r="H753" t="s">
        <v>54</v>
      </c>
      <c r="I753">
        <v>805</v>
      </c>
      <c r="J753">
        <v>93347800</v>
      </c>
      <c r="K753">
        <v>464627</v>
      </c>
      <c r="L753">
        <v>92883173</v>
      </c>
      <c r="M753">
        <v>381</v>
      </c>
      <c r="N753">
        <v>0.97</v>
      </c>
      <c r="O753">
        <v>6.29</v>
      </c>
      <c r="P753">
        <v>1.2</v>
      </c>
      <c r="Q753">
        <v>9</v>
      </c>
      <c r="R753">
        <f>CORREL(BMW[units_sold],BMW[gdp_growth_percent])</f>
        <v>-5.2597817623217792E-17</v>
      </c>
    </row>
    <row r="754" spans="1:18" x14ac:dyDescent="0.35">
      <c r="A754">
        <v>2024</v>
      </c>
      <c r="B754" t="s">
        <v>49</v>
      </c>
      <c r="C754" t="s">
        <v>36</v>
      </c>
      <c r="D754" t="s">
        <v>31</v>
      </c>
      <c r="E754" t="s">
        <v>19</v>
      </c>
      <c r="F754" t="s">
        <v>20</v>
      </c>
      <c r="G754">
        <v>83821</v>
      </c>
      <c r="H754" t="s">
        <v>54</v>
      </c>
      <c r="I754">
        <v>883</v>
      </c>
      <c r="J754">
        <v>74013943</v>
      </c>
      <c r="K754">
        <v>231649</v>
      </c>
      <c r="L754">
        <v>73782294</v>
      </c>
      <c r="M754">
        <v>341</v>
      </c>
      <c r="N754">
        <v>0.97</v>
      </c>
      <c r="O754">
        <v>6.29</v>
      </c>
      <c r="P754">
        <v>1.2</v>
      </c>
      <c r="Q754">
        <v>2</v>
      </c>
      <c r="R754">
        <f>CORREL(BMW[units_sold],BMW[gdp_growth_percent])</f>
        <v>-5.2597817623217792E-17</v>
      </c>
    </row>
    <row r="755" spans="1:18" x14ac:dyDescent="0.35">
      <c r="A755">
        <v>2020</v>
      </c>
      <c r="B755" t="s">
        <v>51</v>
      </c>
      <c r="C755" t="s">
        <v>32</v>
      </c>
      <c r="D755" t="s">
        <v>24</v>
      </c>
      <c r="E755" t="s">
        <v>16</v>
      </c>
      <c r="F755" t="s">
        <v>17</v>
      </c>
      <c r="G755">
        <v>100776</v>
      </c>
      <c r="H755" t="s">
        <v>54</v>
      </c>
      <c r="I755">
        <v>714</v>
      </c>
      <c r="J755">
        <v>71954064</v>
      </c>
      <c r="K755">
        <v>328011</v>
      </c>
      <c r="L755">
        <v>71626053</v>
      </c>
      <c r="M755">
        <v>214</v>
      </c>
      <c r="N755">
        <v>0.97</v>
      </c>
      <c r="O755">
        <v>6.29</v>
      </c>
      <c r="P755">
        <v>1.2</v>
      </c>
      <c r="Q755">
        <v>1</v>
      </c>
      <c r="R755">
        <f>CORREL(BMW[units_sold],BMW[gdp_growth_percent])</f>
        <v>-5.2597817623217792E-17</v>
      </c>
    </row>
    <row r="756" spans="1:18" x14ac:dyDescent="0.35">
      <c r="A756">
        <v>2019</v>
      </c>
      <c r="B756" t="s">
        <v>47</v>
      </c>
      <c r="C756" t="s">
        <v>28</v>
      </c>
      <c r="D756" t="s">
        <v>29</v>
      </c>
      <c r="E756" t="s">
        <v>16</v>
      </c>
      <c r="F756" t="s">
        <v>27</v>
      </c>
      <c r="G756">
        <v>105167</v>
      </c>
      <c r="H756" t="s">
        <v>54</v>
      </c>
      <c r="I756">
        <v>824</v>
      </c>
      <c r="J756">
        <v>86657608</v>
      </c>
      <c r="K756">
        <v>112501</v>
      </c>
      <c r="L756">
        <v>86545107</v>
      </c>
      <c r="M756">
        <v>374</v>
      </c>
      <c r="N756">
        <v>0.97</v>
      </c>
      <c r="O756">
        <v>6.29</v>
      </c>
      <c r="P756">
        <v>1.2</v>
      </c>
      <c r="Q756">
        <v>2</v>
      </c>
      <c r="R756">
        <f>CORREL(BMW[units_sold],BMW[gdp_growth_percent])</f>
        <v>-5.2597817623217792E-17</v>
      </c>
    </row>
    <row r="757" spans="1:18" x14ac:dyDescent="0.35">
      <c r="A757">
        <v>2020</v>
      </c>
      <c r="B757" t="s">
        <v>47</v>
      </c>
      <c r="C757" t="s">
        <v>35</v>
      </c>
      <c r="D757" t="s">
        <v>31</v>
      </c>
      <c r="E757" t="s">
        <v>19</v>
      </c>
      <c r="F757" t="s">
        <v>23</v>
      </c>
      <c r="G757">
        <v>110135</v>
      </c>
      <c r="H757" t="s">
        <v>54</v>
      </c>
      <c r="I757">
        <v>347</v>
      </c>
      <c r="J757">
        <v>38216845</v>
      </c>
      <c r="K757">
        <v>195338</v>
      </c>
      <c r="L757">
        <v>38021507</v>
      </c>
      <c r="M757">
        <v>48</v>
      </c>
      <c r="N757">
        <v>0.97</v>
      </c>
      <c r="O757">
        <v>6.29</v>
      </c>
      <c r="P757">
        <v>1.2</v>
      </c>
      <c r="Q757">
        <v>7</v>
      </c>
      <c r="R757">
        <f>CORREL(BMW[units_sold],BMW[gdp_growth_percent])</f>
        <v>-5.2597817623217792E-17</v>
      </c>
    </row>
    <row r="758" spans="1:18" x14ac:dyDescent="0.35">
      <c r="A758">
        <v>2015</v>
      </c>
      <c r="B758" t="s">
        <v>52</v>
      </c>
      <c r="C758" t="s">
        <v>25</v>
      </c>
      <c r="D758" t="s">
        <v>33</v>
      </c>
      <c r="E758" t="s">
        <v>20</v>
      </c>
      <c r="F758" t="s">
        <v>27</v>
      </c>
      <c r="G758">
        <v>79462</v>
      </c>
      <c r="H758" t="s">
        <v>55</v>
      </c>
      <c r="I758">
        <v>298</v>
      </c>
      <c r="J758">
        <v>23679676</v>
      </c>
      <c r="K758">
        <v>351566</v>
      </c>
      <c r="L758">
        <v>23328110</v>
      </c>
      <c r="M758">
        <v>98</v>
      </c>
      <c r="N758">
        <v>0.97</v>
      </c>
      <c r="O758">
        <v>6.29</v>
      </c>
      <c r="P758">
        <v>1.2</v>
      </c>
      <c r="Q758">
        <v>10</v>
      </c>
      <c r="R758">
        <f>CORREL(BMW[units_sold],BMW[gdp_growth_percent])</f>
        <v>-5.2597817623217792E-17</v>
      </c>
    </row>
    <row r="759" spans="1:18" x14ac:dyDescent="0.35">
      <c r="A759">
        <v>2019</v>
      </c>
      <c r="B759" t="s">
        <v>52</v>
      </c>
      <c r="C759" t="s">
        <v>38</v>
      </c>
      <c r="D759" t="s">
        <v>15</v>
      </c>
      <c r="E759" t="s">
        <v>16</v>
      </c>
      <c r="F759" t="s">
        <v>27</v>
      </c>
      <c r="G759">
        <v>96382</v>
      </c>
      <c r="H759" t="s">
        <v>54</v>
      </c>
      <c r="I759">
        <v>596</v>
      </c>
      <c r="J759">
        <v>57443672</v>
      </c>
      <c r="K759">
        <v>216280</v>
      </c>
      <c r="L759">
        <v>57227392</v>
      </c>
      <c r="M759">
        <v>265</v>
      </c>
      <c r="N759">
        <v>0.97</v>
      </c>
      <c r="O759">
        <v>6.29</v>
      </c>
      <c r="P759">
        <v>1.2</v>
      </c>
      <c r="Q759">
        <v>6</v>
      </c>
      <c r="R759">
        <f>CORREL(BMW[units_sold],BMW[gdp_growth_percent])</f>
        <v>-5.2597817623217792E-17</v>
      </c>
    </row>
    <row r="760" spans="1:18" x14ac:dyDescent="0.35">
      <c r="A760">
        <v>2023</v>
      </c>
      <c r="B760" t="s">
        <v>47</v>
      </c>
      <c r="C760" t="s">
        <v>37</v>
      </c>
      <c r="D760" t="s">
        <v>15</v>
      </c>
      <c r="E760" t="s">
        <v>20</v>
      </c>
      <c r="F760" t="s">
        <v>20</v>
      </c>
      <c r="G760">
        <v>67574</v>
      </c>
      <c r="H760" t="s">
        <v>55</v>
      </c>
      <c r="I760">
        <v>713</v>
      </c>
      <c r="J760">
        <v>48180262</v>
      </c>
      <c r="K760">
        <v>171544</v>
      </c>
      <c r="L760">
        <v>48008718</v>
      </c>
      <c r="M760">
        <v>263</v>
      </c>
      <c r="N760">
        <v>0.97</v>
      </c>
      <c r="O760">
        <v>6.29</v>
      </c>
      <c r="P760">
        <v>1.2</v>
      </c>
      <c r="Q760">
        <v>4</v>
      </c>
      <c r="R760">
        <f>CORREL(BMW[units_sold],BMW[gdp_growth_percent])</f>
        <v>-5.2597817623217792E-17</v>
      </c>
    </row>
    <row r="761" spans="1:18" x14ac:dyDescent="0.35">
      <c r="A761">
        <v>2024</v>
      </c>
      <c r="B761" t="s">
        <v>51</v>
      </c>
      <c r="C761" t="s">
        <v>38</v>
      </c>
      <c r="D761" t="s">
        <v>34</v>
      </c>
      <c r="E761" t="s">
        <v>16</v>
      </c>
      <c r="F761" t="s">
        <v>20</v>
      </c>
      <c r="G761">
        <v>76910</v>
      </c>
      <c r="H761" t="s">
        <v>55</v>
      </c>
      <c r="I761">
        <v>686</v>
      </c>
      <c r="J761">
        <v>52760260</v>
      </c>
      <c r="K761">
        <v>474429</v>
      </c>
      <c r="L761">
        <v>52285831</v>
      </c>
      <c r="M761">
        <v>225</v>
      </c>
      <c r="N761">
        <v>0.97</v>
      </c>
      <c r="O761">
        <v>6.29</v>
      </c>
      <c r="P761">
        <v>1.2</v>
      </c>
      <c r="Q761">
        <v>1</v>
      </c>
      <c r="R761">
        <f>CORREL(BMW[units_sold],BMW[gdp_growth_percent])</f>
        <v>-5.2597817623217792E-17</v>
      </c>
    </row>
    <row r="762" spans="1:18" x14ac:dyDescent="0.35">
      <c r="A762">
        <v>2016</v>
      </c>
      <c r="B762" t="s">
        <v>43</v>
      </c>
      <c r="C762" t="s">
        <v>21</v>
      </c>
      <c r="D762" t="s">
        <v>33</v>
      </c>
      <c r="E762" t="s">
        <v>16</v>
      </c>
      <c r="F762" t="s">
        <v>20</v>
      </c>
      <c r="G762">
        <v>108531</v>
      </c>
      <c r="H762" t="s">
        <v>54</v>
      </c>
      <c r="I762">
        <v>785</v>
      </c>
      <c r="J762">
        <v>85196835</v>
      </c>
      <c r="K762">
        <v>188439</v>
      </c>
      <c r="L762">
        <v>85008396</v>
      </c>
      <c r="M762">
        <v>377</v>
      </c>
      <c r="N762">
        <v>0.97</v>
      </c>
      <c r="O762">
        <v>6.29</v>
      </c>
      <c r="P762">
        <v>1.2</v>
      </c>
      <c r="Q762">
        <v>1</v>
      </c>
      <c r="R762">
        <f>CORREL(BMW[units_sold],BMW[gdp_growth_percent])</f>
        <v>-5.2597817623217792E-17</v>
      </c>
    </row>
    <row r="763" spans="1:18" x14ac:dyDescent="0.35">
      <c r="A763">
        <v>2015</v>
      </c>
      <c r="B763" t="s">
        <v>41</v>
      </c>
      <c r="C763" t="s">
        <v>21</v>
      </c>
      <c r="D763" t="s">
        <v>33</v>
      </c>
      <c r="E763" t="s">
        <v>20</v>
      </c>
      <c r="F763" t="s">
        <v>23</v>
      </c>
      <c r="G763">
        <v>60186</v>
      </c>
      <c r="H763" t="s">
        <v>55</v>
      </c>
      <c r="I763">
        <v>922</v>
      </c>
      <c r="J763">
        <v>55491492</v>
      </c>
      <c r="K763">
        <v>305230</v>
      </c>
      <c r="L763">
        <v>55186262</v>
      </c>
      <c r="M763">
        <v>312</v>
      </c>
      <c r="N763">
        <v>0.97</v>
      </c>
      <c r="O763">
        <v>6.29</v>
      </c>
      <c r="P763">
        <v>1.2</v>
      </c>
      <c r="Q763">
        <v>5</v>
      </c>
      <c r="R763">
        <f>CORREL(BMW[units_sold],BMW[gdp_growth_percent])</f>
        <v>-5.2597817623217792E-17</v>
      </c>
    </row>
    <row r="764" spans="1:18" x14ac:dyDescent="0.35">
      <c r="A764">
        <v>2024</v>
      </c>
      <c r="B764" t="s">
        <v>42</v>
      </c>
      <c r="C764" t="s">
        <v>14</v>
      </c>
      <c r="D764" t="s">
        <v>31</v>
      </c>
      <c r="E764" t="s">
        <v>16</v>
      </c>
      <c r="F764" t="s">
        <v>27</v>
      </c>
      <c r="G764">
        <v>57813</v>
      </c>
      <c r="H764" t="s">
        <v>55</v>
      </c>
      <c r="I764">
        <v>514</v>
      </c>
      <c r="J764">
        <v>29715882</v>
      </c>
      <c r="K764">
        <v>85362</v>
      </c>
      <c r="L764">
        <v>29630520</v>
      </c>
      <c r="M764">
        <v>181</v>
      </c>
      <c r="N764">
        <v>0.97</v>
      </c>
      <c r="O764">
        <v>6.29</v>
      </c>
      <c r="P764">
        <v>1.2</v>
      </c>
      <c r="Q764">
        <v>1</v>
      </c>
      <c r="R764">
        <f>CORREL(BMW[units_sold],BMW[gdp_growth_percent])</f>
        <v>-5.2597817623217792E-17</v>
      </c>
    </row>
    <row r="765" spans="1:18" x14ac:dyDescent="0.35">
      <c r="A765">
        <v>2023</v>
      </c>
      <c r="B765" t="s">
        <v>44</v>
      </c>
      <c r="C765" t="s">
        <v>36</v>
      </c>
      <c r="D765" t="s">
        <v>29</v>
      </c>
      <c r="E765" t="s">
        <v>16</v>
      </c>
      <c r="F765" t="s">
        <v>23</v>
      </c>
      <c r="G765">
        <v>113812</v>
      </c>
      <c r="H765" t="s">
        <v>54</v>
      </c>
      <c r="I765">
        <v>570</v>
      </c>
      <c r="J765">
        <v>64872840</v>
      </c>
      <c r="K765">
        <v>300449</v>
      </c>
      <c r="L765">
        <v>64572391</v>
      </c>
      <c r="M765">
        <v>146</v>
      </c>
      <c r="N765">
        <v>0.97</v>
      </c>
      <c r="O765">
        <v>6.29</v>
      </c>
      <c r="P765">
        <v>1.2</v>
      </c>
      <c r="Q765">
        <v>7</v>
      </c>
      <c r="R765">
        <f>CORREL(BMW[units_sold],BMW[gdp_growth_percent])</f>
        <v>-5.2597817623217792E-17</v>
      </c>
    </row>
    <row r="766" spans="1:18" x14ac:dyDescent="0.35">
      <c r="A766">
        <v>2024</v>
      </c>
      <c r="B766" t="s">
        <v>50</v>
      </c>
      <c r="C766" t="s">
        <v>35</v>
      </c>
      <c r="D766" t="s">
        <v>39</v>
      </c>
      <c r="E766" t="s">
        <v>20</v>
      </c>
      <c r="F766" t="s">
        <v>20</v>
      </c>
      <c r="G766">
        <v>113282</v>
      </c>
      <c r="H766" t="s">
        <v>54</v>
      </c>
      <c r="I766">
        <v>1129</v>
      </c>
      <c r="J766">
        <v>127895378</v>
      </c>
      <c r="K766">
        <v>363732</v>
      </c>
      <c r="L766">
        <v>127531646</v>
      </c>
      <c r="M766">
        <v>393</v>
      </c>
      <c r="N766">
        <v>0.97</v>
      </c>
      <c r="O766">
        <v>6.29</v>
      </c>
      <c r="P766">
        <v>1.2</v>
      </c>
      <c r="Q766">
        <v>1</v>
      </c>
      <c r="R766">
        <f>CORREL(BMW[units_sold],BMW[gdp_growth_percent])</f>
        <v>-5.2597817623217792E-17</v>
      </c>
    </row>
    <row r="767" spans="1:18" x14ac:dyDescent="0.35">
      <c r="A767">
        <v>2023</v>
      </c>
      <c r="B767" t="s">
        <v>44</v>
      </c>
      <c r="C767" t="s">
        <v>25</v>
      </c>
      <c r="D767" t="s">
        <v>31</v>
      </c>
      <c r="E767" t="s">
        <v>16</v>
      </c>
      <c r="F767" t="s">
        <v>27</v>
      </c>
      <c r="G767">
        <v>53557</v>
      </c>
      <c r="H767" t="s">
        <v>55</v>
      </c>
      <c r="I767">
        <v>599</v>
      </c>
      <c r="J767">
        <v>32080643</v>
      </c>
      <c r="K767">
        <v>219357</v>
      </c>
      <c r="L767">
        <v>31861286</v>
      </c>
      <c r="M767">
        <v>187</v>
      </c>
      <c r="N767">
        <v>0.97</v>
      </c>
      <c r="O767">
        <v>6.29</v>
      </c>
      <c r="P767">
        <v>1.2</v>
      </c>
      <c r="Q767">
        <v>1</v>
      </c>
      <c r="R767">
        <f>CORREL(BMW[units_sold],BMW[gdp_growth_percent])</f>
        <v>-5.2597817623217792E-17</v>
      </c>
    </row>
    <row r="768" spans="1:18" x14ac:dyDescent="0.35">
      <c r="A768">
        <v>2023</v>
      </c>
      <c r="B768" t="s">
        <v>49</v>
      </c>
      <c r="C768" t="s">
        <v>38</v>
      </c>
      <c r="D768" t="s">
        <v>22</v>
      </c>
      <c r="E768" t="s">
        <v>16</v>
      </c>
      <c r="F768" t="s">
        <v>23</v>
      </c>
      <c r="G768">
        <v>63060</v>
      </c>
      <c r="H768" t="s">
        <v>55</v>
      </c>
      <c r="I768">
        <v>256</v>
      </c>
      <c r="J768">
        <v>16143360</v>
      </c>
      <c r="K768">
        <v>176683</v>
      </c>
      <c r="L768">
        <v>15966677</v>
      </c>
      <c r="M768">
        <v>86</v>
      </c>
      <c r="N768">
        <v>0.97</v>
      </c>
      <c r="O768">
        <v>6.29</v>
      </c>
      <c r="P768">
        <v>1.2</v>
      </c>
      <c r="Q768">
        <v>2</v>
      </c>
      <c r="R768">
        <f>CORREL(BMW[units_sold],BMW[gdp_growth_percent])</f>
        <v>-5.2597817623217792E-17</v>
      </c>
    </row>
    <row r="769" spans="1:18" x14ac:dyDescent="0.35">
      <c r="A769">
        <v>2020</v>
      </c>
      <c r="B769" t="s">
        <v>48</v>
      </c>
      <c r="C769" t="s">
        <v>37</v>
      </c>
      <c r="D769" t="s">
        <v>15</v>
      </c>
      <c r="E769" t="s">
        <v>16</v>
      </c>
      <c r="F769" t="s">
        <v>23</v>
      </c>
      <c r="G769">
        <v>93866</v>
      </c>
      <c r="H769" t="s">
        <v>54</v>
      </c>
      <c r="I769">
        <v>377</v>
      </c>
      <c r="J769">
        <v>35387482</v>
      </c>
      <c r="K769">
        <v>306157</v>
      </c>
      <c r="L769">
        <v>35081325</v>
      </c>
      <c r="M769">
        <v>197</v>
      </c>
      <c r="N769">
        <v>0.97</v>
      </c>
      <c r="O769">
        <v>6.29</v>
      </c>
      <c r="P769">
        <v>1.2</v>
      </c>
      <c r="Q769">
        <v>10</v>
      </c>
      <c r="R769">
        <f>CORREL(BMW[units_sold],BMW[gdp_growth_percent])</f>
        <v>-5.2597817623217792E-17</v>
      </c>
    </row>
    <row r="770" spans="1:18" x14ac:dyDescent="0.35">
      <c r="A770">
        <v>2022</v>
      </c>
      <c r="B770" t="s">
        <v>49</v>
      </c>
      <c r="C770" t="s">
        <v>21</v>
      </c>
      <c r="D770" t="s">
        <v>15</v>
      </c>
      <c r="E770" t="s">
        <v>20</v>
      </c>
      <c r="F770" t="s">
        <v>17</v>
      </c>
      <c r="G770">
        <v>107104</v>
      </c>
      <c r="H770" t="s">
        <v>54</v>
      </c>
      <c r="I770">
        <v>185</v>
      </c>
      <c r="J770">
        <v>19814240</v>
      </c>
      <c r="K770">
        <v>255827</v>
      </c>
      <c r="L770">
        <v>19558413</v>
      </c>
      <c r="M770">
        <v>24</v>
      </c>
      <c r="N770">
        <v>0.97</v>
      </c>
      <c r="O770">
        <v>6.29</v>
      </c>
      <c r="P770">
        <v>1.2</v>
      </c>
      <c r="Q770">
        <v>3</v>
      </c>
      <c r="R770">
        <f>CORREL(BMW[units_sold],BMW[gdp_growth_percent])</f>
        <v>-5.2597817623217792E-17</v>
      </c>
    </row>
    <row r="771" spans="1:18" x14ac:dyDescent="0.35">
      <c r="A771">
        <v>2015</v>
      </c>
      <c r="B771" t="s">
        <v>48</v>
      </c>
      <c r="C771" t="s">
        <v>21</v>
      </c>
      <c r="D771" t="s">
        <v>34</v>
      </c>
      <c r="E771" t="s">
        <v>19</v>
      </c>
      <c r="F771" t="s">
        <v>23</v>
      </c>
      <c r="G771">
        <v>119577</v>
      </c>
      <c r="H771" t="s">
        <v>54</v>
      </c>
      <c r="I771">
        <v>678</v>
      </c>
      <c r="J771">
        <v>81073206</v>
      </c>
      <c r="K771">
        <v>252918</v>
      </c>
      <c r="L771">
        <v>80820288</v>
      </c>
      <c r="M771">
        <v>301</v>
      </c>
      <c r="N771">
        <v>0.97</v>
      </c>
      <c r="O771">
        <v>6.29</v>
      </c>
      <c r="P771">
        <v>1.2</v>
      </c>
      <c r="Q771">
        <v>1</v>
      </c>
      <c r="R771">
        <f>CORREL(BMW[units_sold],BMW[gdp_growth_percent])</f>
        <v>-5.2597817623217792E-17</v>
      </c>
    </row>
    <row r="772" spans="1:18" x14ac:dyDescent="0.35">
      <c r="A772">
        <v>2024</v>
      </c>
      <c r="B772" t="s">
        <v>51</v>
      </c>
      <c r="C772" t="s">
        <v>36</v>
      </c>
      <c r="D772" t="s">
        <v>22</v>
      </c>
      <c r="E772" t="s">
        <v>20</v>
      </c>
      <c r="F772" t="s">
        <v>20</v>
      </c>
      <c r="G772">
        <v>41080</v>
      </c>
      <c r="H772" t="s">
        <v>57</v>
      </c>
      <c r="I772">
        <v>967</v>
      </c>
      <c r="J772">
        <v>39724360</v>
      </c>
      <c r="K772">
        <v>348451</v>
      </c>
      <c r="L772">
        <v>39375909</v>
      </c>
      <c r="M772">
        <v>328</v>
      </c>
      <c r="N772">
        <v>0.97</v>
      </c>
      <c r="O772">
        <v>6.29</v>
      </c>
      <c r="P772">
        <v>1.2</v>
      </c>
      <c r="Q772">
        <v>9</v>
      </c>
      <c r="R772">
        <f>CORREL(BMW[units_sold],BMW[gdp_growth_percent])</f>
        <v>-5.2597817623217792E-17</v>
      </c>
    </row>
    <row r="773" spans="1:18" x14ac:dyDescent="0.35">
      <c r="A773">
        <v>2018</v>
      </c>
      <c r="B773" t="s">
        <v>48</v>
      </c>
      <c r="C773" t="s">
        <v>37</v>
      </c>
      <c r="D773" t="s">
        <v>15</v>
      </c>
      <c r="E773" t="s">
        <v>19</v>
      </c>
      <c r="F773" t="s">
        <v>23</v>
      </c>
      <c r="G773">
        <v>48854</v>
      </c>
      <c r="H773" t="s">
        <v>57</v>
      </c>
      <c r="I773">
        <v>966</v>
      </c>
      <c r="J773">
        <v>47192964</v>
      </c>
      <c r="K773">
        <v>392424</v>
      </c>
      <c r="L773">
        <v>46800540</v>
      </c>
      <c r="M773">
        <v>334</v>
      </c>
      <c r="N773">
        <v>0.97</v>
      </c>
      <c r="O773">
        <v>6.29</v>
      </c>
      <c r="P773">
        <v>1.2</v>
      </c>
      <c r="Q773">
        <v>10</v>
      </c>
      <c r="R773">
        <f>CORREL(BMW[units_sold],BMW[gdp_growth_percent])</f>
        <v>-5.2597817623217792E-17</v>
      </c>
    </row>
    <row r="774" spans="1:18" x14ac:dyDescent="0.35">
      <c r="A774">
        <v>2015</v>
      </c>
      <c r="B774" t="s">
        <v>52</v>
      </c>
      <c r="C774" t="s">
        <v>37</v>
      </c>
      <c r="D774" t="s">
        <v>31</v>
      </c>
      <c r="E774" t="s">
        <v>16</v>
      </c>
      <c r="F774" t="s">
        <v>27</v>
      </c>
      <c r="G774">
        <v>102695</v>
      </c>
      <c r="H774" t="s">
        <v>54</v>
      </c>
      <c r="I774">
        <v>538</v>
      </c>
      <c r="J774">
        <v>55249910</v>
      </c>
      <c r="K774">
        <v>463083</v>
      </c>
      <c r="L774">
        <v>54786827</v>
      </c>
      <c r="M774">
        <v>223</v>
      </c>
      <c r="N774">
        <v>0.97</v>
      </c>
      <c r="O774">
        <v>6.29</v>
      </c>
      <c r="P774">
        <v>1.2</v>
      </c>
      <c r="Q774">
        <v>8</v>
      </c>
      <c r="R774">
        <f>CORREL(BMW[units_sold],BMW[gdp_growth_percent])</f>
        <v>-5.2597817623217792E-17</v>
      </c>
    </row>
    <row r="775" spans="1:18" x14ac:dyDescent="0.35">
      <c r="A775">
        <v>2022</v>
      </c>
      <c r="B775" t="s">
        <v>43</v>
      </c>
      <c r="C775" t="s">
        <v>36</v>
      </c>
      <c r="D775" t="s">
        <v>22</v>
      </c>
      <c r="E775" t="s">
        <v>19</v>
      </c>
      <c r="F775" t="s">
        <v>23</v>
      </c>
      <c r="G775">
        <v>62025</v>
      </c>
      <c r="H775" t="s">
        <v>55</v>
      </c>
      <c r="I775">
        <v>880</v>
      </c>
      <c r="J775">
        <v>54582000</v>
      </c>
      <c r="K775">
        <v>368667</v>
      </c>
      <c r="L775">
        <v>54213333</v>
      </c>
      <c r="M775">
        <v>217</v>
      </c>
      <c r="N775">
        <v>0.97</v>
      </c>
      <c r="O775">
        <v>6.29</v>
      </c>
      <c r="P775">
        <v>1.2</v>
      </c>
      <c r="Q775">
        <v>5</v>
      </c>
      <c r="R775">
        <f>CORREL(BMW[units_sold],BMW[gdp_growth_percent])</f>
        <v>-5.2597817623217792E-17</v>
      </c>
    </row>
    <row r="776" spans="1:18" x14ac:dyDescent="0.35">
      <c r="A776">
        <v>2015</v>
      </c>
      <c r="B776" t="s">
        <v>42</v>
      </c>
      <c r="C776" t="s">
        <v>21</v>
      </c>
      <c r="D776" t="s">
        <v>31</v>
      </c>
      <c r="E776" t="s">
        <v>20</v>
      </c>
      <c r="F776" t="s">
        <v>17</v>
      </c>
      <c r="G776">
        <v>87982</v>
      </c>
      <c r="H776" t="s">
        <v>54</v>
      </c>
      <c r="I776">
        <v>495</v>
      </c>
      <c r="J776">
        <v>43551090</v>
      </c>
      <c r="K776">
        <v>449594</v>
      </c>
      <c r="L776">
        <v>43101496</v>
      </c>
      <c r="M776">
        <v>178</v>
      </c>
      <c r="N776">
        <v>0.97</v>
      </c>
      <c r="O776">
        <v>6.29</v>
      </c>
      <c r="P776">
        <v>1.2</v>
      </c>
      <c r="Q776">
        <v>2</v>
      </c>
      <c r="R776">
        <f>CORREL(BMW[units_sold],BMW[gdp_growth_percent])</f>
        <v>-5.2597817623217792E-17</v>
      </c>
    </row>
    <row r="777" spans="1:18" x14ac:dyDescent="0.35">
      <c r="A777">
        <v>2017</v>
      </c>
      <c r="B777" t="s">
        <v>42</v>
      </c>
      <c r="C777" t="s">
        <v>35</v>
      </c>
      <c r="D777" t="s">
        <v>39</v>
      </c>
      <c r="E777" t="s">
        <v>20</v>
      </c>
      <c r="F777" t="s">
        <v>27</v>
      </c>
      <c r="G777">
        <v>76081</v>
      </c>
      <c r="H777" t="s">
        <v>55</v>
      </c>
      <c r="I777">
        <v>879</v>
      </c>
      <c r="J777">
        <v>66875199</v>
      </c>
      <c r="K777">
        <v>265757</v>
      </c>
      <c r="L777">
        <v>66609442</v>
      </c>
      <c r="M777">
        <v>339</v>
      </c>
      <c r="N777">
        <v>0.97</v>
      </c>
      <c r="O777">
        <v>6.29</v>
      </c>
      <c r="P777">
        <v>1.2</v>
      </c>
      <c r="Q777">
        <v>5</v>
      </c>
      <c r="R777">
        <f>CORREL(BMW[units_sold],BMW[gdp_growth_percent])</f>
        <v>-5.2597817623217792E-17</v>
      </c>
    </row>
    <row r="778" spans="1:18" x14ac:dyDescent="0.35">
      <c r="A778">
        <v>2018</v>
      </c>
      <c r="B778" t="s">
        <v>52</v>
      </c>
      <c r="C778" t="s">
        <v>32</v>
      </c>
      <c r="D778" t="s">
        <v>39</v>
      </c>
      <c r="E778" t="s">
        <v>16</v>
      </c>
      <c r="F778" t="s">
        <v>27</v>
      </c>
      <c r="G778">
        <v>39368</v>
      </c>
      <c r="H778" t="s">
        <v>57</v>
      </c>
      <c r="I778">
        <v>971</v>
      </c>
      <c r="J778">
        <v>38226328</v>
      </c>
      <c r="K778">
        <v>157669</v>
      </c>
      <c r="L778">
        <v>38068659</v>
      </c>
      <c r="M778">
        <v>289</v>
      </c>
      <c r="N778">
        <v>0.97</v>
      </c>
      <c r="O778">
        <v>6.29</v>
      </c>
      <c r="P778">
        <v>1.2</v>
      </c>
      <c r="Q778">
        <v>6</v>
      </c>
      <c r="R778">
        <f>CORREL(BMW[units_sold],BMW[gdp_growth_percent])</f>
        <v>-5.2597817623217792E-17</v>
      </c>
    </row>
    <row r="779" spans="1:18" x14ac:dyDescent="0.35">
      <c r="A779">
        <v>2022</v>
      </c>
      <c r="B779" t="s">
        <v>43</v>
      </c>
      <c r="C779" t="s">
        <v>32</v>
      </c>
      <c r="D779" t="s">
        <v>15</v>
      </c>
      <c r="E779" t="s">
        <v>19</v>
      </c>
      <c r="F779" t="s">
        <v>17</v>
      </c>
      <c r="G779">
        <v>62094</v>
      </c>
      <c r="H779" t="s">
        <v>55</v>
      </c>
      <c r="I779">
        <v>1012</v>
      </c>
      <c r="J779">
        <v>62839128</v>
      </c>
      <c r="K779">
        <v>258030</v>
      </c>
      <c r="L779">
        <v>62581098</v>
      </c>
      <c r="M779">
        <v>314</v>
      </c>
      <c r="N779">
        <v>0.97</v>
      </c>
      <c r="O779">
        <v>6.29</v>
      </c>
      <c r="P779">
        <v>1.2</v>
      </c>
      <c r="Q779">
        <v>1</v>
      </c>
      <c r="R779">
        <f>CORREL(BMW[units_sold],BMW[gdp_growth_percent])</f>
        <v>-5.2597817623217792E-17</v>
      </c>
    </row>
    <row r="780" spans="1:18" x14ac:dyDescent="0.35">
      <c r="A780">
        <v>2020</v>
      </c>
      <c r="B780" t="s">
        <v>45</v>
      </c>
      <c r="C780" t="s">
        <v>36</v>
      </c>
      <c r="D780" t="s">
        <v>15</v>
      </c>
      <c r="E780" t="s">
        <v>16</v>
      </c>
      <c r="F780" t="s">
        <v>20</v>
      </c>
      <c r="G780">
        <v>81040</v>
      </c>
      <c r="H780" t="s">
        <v>54</v>
      </c>
      <c r="I780">
        <v>707</v>
      </c>
      <c r="J780">
        <v>57295280</v>
      </c>
      <c r="K780">
        <v>208998</v>
      </c>
      <c r="L780">
        <v>57086282</v>
      </c>
      <c r="M780">
        <v>155</v>
      </c>
      <c r="N780">
        <v>0.97</v>
      </c>
      <c r="O780">
        <v>6.29</v>
      </c>
      <c r="P780">
        <v>1.2</v>
      </c>
      <c r="Q780">
        <v>4</v>
      </c>
      <c r="R780">
        <f>CORREL(BMW[units_sold],BMW[gdp_growth_percent])</f>
        <v>-5.2597817623217792E-17</v>
      </c>
    </row>
    <row r="781" spans="1:18" x14ac:dyDescent="0.35">
      <c r="A781">
        <v>2024</v>
      </c>
      <c r="B781" t="s">
        <v>44</v>
      </c>
      <c r="C781" t="s">
        <v>37</v>
      </c>
      <c r="D781" t="s">
        <v>29</v>
      </c>
      <c r="E781" t="s">
        <v>16</v>
      </c>
      <c r="F781" t="s">
        <v>27</v>
      </c>
      <c r="G781">
        <v>101766</v>
      </c>
      <c r="H781" t="s">
        <v>54</v>
      </c>
      <c r="I781">
        <v>753</v>
      </c>
      <c r="J781">
        <v>76629798</v>
      </c>
      <c r="K781">
        <v>153215</v>
      </c>
      <c r="L781">
        <v>76476583</v>
      </c>
      <c r="M781">
        <v>272</v>
      </c>
      <c r="N781">
        <v>0.97</v>
      </c>
      <c r="O781">
        <v>6.29</v>
      </c>
      <c r="P781">
        <v>1.2</v>
      </c>
      <c r="Q781">
        <v>9</v>
      </c>
      <c r="R781">
        <f>CORREL(BMW[units_sold],BMW[gdp_growth_percent])</f>
        <v>-5.2597817623217792E-17</v>
      </c>
    </row>
    <row r="782" spans="1:18" x14ac:dyDescent="0.35">
      <c r="A782">
        <v>2021</v>
      </c>
      <c r="B782" t="s">
        <v>51</v>
      </c>
      <c r="C782" t="s">
        <v>25</v>
      </c>
      <c r="D782" t="s">
        <v>39</v>
      </c>
      <c r="E782" t="s">
        <v>20</v>
      </c>
      <c r="F782" t="s">
        <v>20</v>
      </c>
      <c r="G782">
        <v>118053</v>
      </c>
      <c r="H782" t="s">
        <v>54</v>
      </c>
      <c r="I782">
        <v>290</v>
      </c>
      <c r="J782">
        <v>34235370</v>
      </c>
      <c r="K782">
        <v>148707</v>
      </c>
      <c r="L782">
        <v>34086663</v>
      </c>
      <c r="M782">
        <v>13</v>
      </c>
      <c r="N782">
        <v>0.97</v>
      </c>
      <c r="O782">
        <v>6.29</v>
      </c>
      <c r="P782">
        <v>1.2</v>
      </c>
      <c r="Q782">
        <v>2</v>
      </c>
      <c r="R782">
        <f>CORREL(BMW[units_sold],BMW[gdp_growth_percent])</f>
        <v>-5.2597817623217792E-17</v>
      </c>
    </row>
    <row r="783" spans="1:18" x14ac:dyDescent="0.35">
      <c r="A783">
        <v>2022</v>
      </c>
      <c r="B783" t="s">
        <v>44</v>
      </c>
      <c r="C783" t="s">
        <v>36</v>
      </c>
      <c r="D783" t="s">
        <v>24</v>
      </c>
      <c r="E783" t="s">
        <v>19</v>
      </c>
      <c r="F783" t="s">
        <v>27</v>
      </c>
      <c r="G783">
        <v>58991</v>
      </c>
      <c r="H783" t="s">
        <v>55</v>
      </c>
      <c r="I783">
        <v>457</v>
      </c>
      <c r="J783">
        <v>26958887</v>
      </c>
      <c r="K783">
        <v>456396</v>
      </c>
      <c r="L783">
        <v>26502491</v>
      </c>
      <c r="M783">
        <v>99</v>
      </c>
      <c r="N783">
        <v>0.97</v>
      </c>
      <c r="O783">
        <v>6.29</v>
      </c>
      <c r="P783">
        <v>1.2</v>
      </c>
      <c r="Q783">
        <v>5</v>
      </c>
      <c r="R783">
        <f>CORREL(BMW[units_sold],BMW[gdp_growth_percent])</f>
        <v>-5.2597817623217792E-17</v>
      </c>
    </row>
    <row r="784" spans="1:18" x14ac:dyDescent="0.35">
      <c r="A784">
        <v>2016</v>
      </c>
      <c r="B784" t="s">
        <v>45</v>
      </c>
      <c r="C784" t="s">
        <v>35</v>
      </c>
      <c r="D784" t="s">
        <v>24</v>
      </c>
      <c r="E784" t="s">
        <v>19</v>
      </c>
      <c r="F784" t="s">
        <v>27</v>
      </c>
      <c r="G784">
        <v>36301</v>
      </c>
      <c r="H784" t="s">
        <v>57</v>
      </c>
      <c r="I784">
        <v>595</v>
      </c>
      <c r="J784">
        <v>21599095</v>
      </c>
      <c r="K784">
        <v>142837</v>
      </c>
      <c r="L784">
        <v>21456258</v>
      </c>
      <c r="M784">
        <v>69</v>
      </c>
      <c r="N784">
        <v>0.97</v>
      </c>
      <c r="O784">
        <v>6.29</v>
      </c>
      <c r="P784">
        <v>1.2</v>
      </c>
      <c r="Q784">
        <v>1</v>
      </c>
      <c r="R784">
        <f>CORREL(BMW[units_sold],BMW[gdp_growth_percent])</f>
        <v>-5.2597817623217792E-17</v>
      </c>
    </row>
    <row r="785" spans="1:18" x14ac:dyDescent="0.35">
      <c r="A785">
        <v>2024</v>
      </c>
      <c r="B785" t="s">
        <v>45</v>
      </c>
      <c r="C785" t="s">
        <v>36</v>
      </c>
      <c r="D785" t="s">
        <v>34</v>
      </c>
      <c r="E785" t="s">
        <v>19</v>
      </c>
      <c r="F785" t="s">
        <v>20</v>
      </c>
      <c r="G785">
        <v>63610</v>
      </c>
      <c r="H785" t="s">
        <v>55</v>
      </c>
      <c r="I785">
        <v>1086</v>
      </c>
      <c r="J785">
        <v>69080460</v>
      </c>
      <c r="K785">
        <v>430214</v>
      </c>
      <c r="L785">
        <v>68650246</v>
      </c>
      <c r="M785">
        <v>320</v>
      </c>
      <c r="N785">
        <v>0.97</v>
      </c>
      <c r="O785">
        <v>6.29</v>
      </c>
      <c r="P785">
        <v>1.2</v>
      </c>
      <c r="Q785">
        <v>4</v>
      </c>
      <c r="R785">
        <f>CORREL(BMW[units_sold],BMW[gdp_growth_percent])</f>
        <v>-5.2597817623217792E-17</v>
      </c>
    </row>
    <row r="786" spans="1:18" x14ac:dyDescent="0.35">
      <c r="A786">
        <v>2022</v>
      </c>
      <c r="B786" t="s">
        <v>49</v>
      </c>
      <c r="C786" t="s">
        <v>30</v>
      </c>
      <c r="D786" t="s">
        <v>39</v>
      </c>
      <c r="E786" t="s">
        <v>19</v>
      </c>
      <c r="F786" t="s">
        <v>27</v>
      </c>
      <c r="G786">
        <v>116463</v>
      </c>
      <c r="H786" t="s">
        <v>54</v>
      </c>
      <c r="I786">
        <v>244</v>
      </c>
      <c r="J786">
        <v>28416972</v>
      </c>
      <c r="K786">
        <v>480147</v>
      </c>
      <c r="L786">
        <v>27936825</v>
      </c>
      <c r="M786">
        <v>25</v>
      </c>
      <c r="N786">
        <v>0.97</v>
      </c>
      <c r="O786">
        <v>6.29</v>
      </c>
      <c r="P786">
        <v>1.2</v>
      </c>
      <c r="Q786">
        <v>4</v>
      </c>
      <c r="R786">
        <f>CORREL(BMW[units_sold],BMW[gdp_growth_percent])</f>
        <v>-5.2597817623217792E-17</v>
      </c>
    </row>
    <row r="787" spans="1:18" x14ac:dyDescent="0.35">
      <c r="A787">
        <v>2017</v>
      </c>
      <c r="B787" t="s">
        <v>47</v>
      </c>
      <c r="C787" t="s">
        <v>38</v>
      </c>
      <c r="D787" t="s">
        <v>31</v>
      </c>
      <c r="E787" t="s">
        <v>16</v>
      </c>
      <c r="F787" t="s">
        <v>20</v>
      </c>
      <c r="G787">
        <v>69678</v>
      </c>
      <c r="H787" t="s">
        <v>55</v>
      </c>
      <c r="I787">
        <v>889</v>
      </c>
      <c r="J787">
        <v>61943742</v>
      </c>
      <c r="K787">
        <v>467230</v>
      </c>
      <c r="L787">
        <v>61476512</v>
      </c>
      <c r="M787">
        <v>236</v>
      </c>
      <c r="N787">
        <v>0.97</v>
      </c>
      <c r="O787">
        <v>6.29</v>
      </c>
      <c r="P787">
        <v>1.2</v>
      </c>
      <c r="Q787">
        <v>6</v>
      </c>
      <c r="R787">
        <f>CORREL(BMW[units_sold],BMW[gdp_growth_percent])</f>
        <v>-5.2597817623217792E-17</v>
      </c>
    </row>
    <row r="788" spans="1:18" x14ac:dyDescent="0.35">
      <c r="A788">
        <v>2021</v>
      </c>
      <c r="B788" t="s">
        <v>49</v>
      </c>
      <c r="C788" t="s">
        <v>37</v>
      </c>
      <c r="D788" t="s">
        <v>31</v>
      </c>
      <c r="E788" t="s">
        <v>16</v>
      </c>
      <c r="F788" t="s">
        <v>17</v>
      </c>
      <c r="G788">
        <v>59466</v>
      </c>
      <c r="H788" t="s">
        <v>55</v>
      </c>
      <c r="I788">
        <v>415</v>
      </c>
      <c r="J788">
        <v>24678390</v>
      </c>
      <c r="K788">
        <v>295847</v>
      </c>
      <c r="L788">
        <v>24382543</v>
      </c>
      <c r="M788">
        <v>38</v>
      </c>
      <c r="N788">
        <v>0.97</v>
      </c>
      <c r="O788">
        <v>6.29</v>
      </c>
      <c r="P788">
        <v>1.2</v>
      </c>
      <c r="Q788">
        <v>10</v>
      </c>
      <c r="R788">
        <f>CORREL(BMW[units_sold],BMW[gdp_growth_percent])</f>
        <v>-5.2597817623217792E-17</v>
      </c>
    </row>
    <row r="789" spans="1:18" x14ac:dyDescent="0.35">
      <c r="A789">
        <v>2017</v>
      </c>
      <c r="B789" t="s">
        <v>47</v>
      </c>
      <c r="C789" t="s">
        <v>14</v>
      </c>
      <c r="D789" t="s">
        <v>26</v>
      </c>
      <c r="E789" t="s">
        <v>20</v>
      </c>
      <c r="F789" t="s">
        <v>20</v>
      </c>
      <c r="G789">
        <v>115440</v>
      </c>
      <c r="H789" t="s">
        <v>54</v>
      </c>
      <c r="I789">
        <v>527</v>
      </c>
      <c r="J789">
        <v>60836880</v>
      </c>
      <c r="K789">
        <v>277544</v>
      </c>
      <c r="L789">
        <v>60559336</v>
      </c>
      <c r="M789">
        <v>160</v>
      </c>
      <c r="N789">
        <v>0.97</v>
      </c>
      <c r="O789">
        <v>6.29</v>
      </c>
      <c r="P789">
        <v>1.2</v>
      </c>
      <c r="Q789">
        <v>9</v>
      </c>
      <c r="R789">
        <f>CORREL(BMW[units_sold],BMW[gdp_growth_percent])</f>
        <v>-5.2597817623217792E-17</v>
      </c>
    </row>
    <row r="790" spans="1:18" x14ac:dyDescent="0.35">
      <c r="A790">
        <v>2021</v>
      </c>
      <c r="B790" t="s">
        <v>50</v>
      </c>
      <c r="C790" t="s">
        <v>14</v>
      </c>
      <c r="D790" t="s">
        <v>22</v>
      </c>
      <c r="E790" t="s">
        <v>16</v>
      </c>
      <c r="F790" t="s">
        <v>17</v>
      </c>
      <c r="G790">
        <v>75875</v>
      </c>
      <c r="H790" t="s">
        <v>55</v>
      </c>
      <c r="I790">
        <v>694</v>
      </c>
      <c r="J790">
        <v>52657250</v>
      </c>
      <c r="K790">
        <v>392016</v>
      </c>
      <c r="L790">
        <v>52265234</v>
      </c>
      <c r="M790">
        <v>254</v>
      </c>
      <c r="N790">
        <v>0.97</v>
      </c>
      <c r="O790">
        <v>6.29</v>
      </c>
      <c r="P790">
        <v>1.2</v>
      </c>
      <c r="Q790">
        <v>3</v>
      </c>
      <c r="R790">
        <f>CORREL(BMW[units_sold],BMW[gdp_growth_percent])</f>
        <v>-5.2597817623217792E-17</v>
      </c>
    </row>
    <row r="791" spans="1:18" x14ac:dyDescent="0.35">
      <c r="A791">
        <v>2016</v>
      </c>
      <c r="B791" t="s">
        <v>48</v>
      </c>
      <c r="C791" t="s">
        <v>37</v>
      </c>
      <c r="D791" t="s">
        <v>18</v>
      </c>
      <c r="E791" t="s">
        <v>16</v>
      </c>
      <c r="F791" t="s">
        <v>27</v>
      </c>
      <c r="G791">
        <v>61081</v>
      </c>
      <c r="H791" t="s">
        <v>55</v>
      </c>
      <c r="I791">
        <v>848</v>
      </c>
      <c r="J791">
        <v>51796688</v>
      </c>
      <c r="K791">
        <v>399880</v>
      </c>
      <c r="L791">
        <v>51396808</v>
      </c>
      <c r="M791">
        <v>279</v>
      </c>
      <c r="N791">
        <v>0.97</v>
      </c>
      <c r="O791">
        <v>6.29</v>
      </c>
      <c r="P791">
        <v>1.2</v>
      </c>
      <c r="Q791">
        <v>9</v>
      </c>
      <c r="R791">
        <f>CORREL(BMW[units_sold],BMW[gdp_growth_percent])</f>
        <v>-5.2597817623217792E-17</v>
      </c>
    </row>
    <row r="792" spans="1:18" x14ac:dyDescent="0.35">
      <c r="A792">
        <v>2024</v>
      </c>
      <c r="B792" t="s">
        <v>43</v>
      </c>
      <c r="C792" t="s">
        <v>35</v>
      </c>
      <c r="D792" t="s">
        <v>24</v>
      </c>
      <c r="E792" t="s">
        <v>20</v>
      </c>
      <c r="F792" t="s">
        <v>20</v>
      </c>
      <c r="G792">
        <v>59354</v>
      </c>
      <c r="H792" t="s">
        <v>55</v>
      </c>
      <c r="I792">
        <v>426</v>
      </c>
      <c r="J792">
        <v>25284804</v>
      </c>
      <c r="K792">
        <v>317614</v>
      </c>
      <c r="L792">
        <v>24967190</v>
      </c>
      <c r="M792">
        <v>88</v>
      </c>
      <c r="N792">
        <v>0.97</v>
      </c>
      <c r="O792">
        <v>6.29</v>
      </c>
      <c r="P792">
        <v>1.2</v>
      </c>
      <c r="Q792">
        <v>6</v>
      </c>
      <c r="R792">
        <f>CORREL(BMW[units_sold],BMW[gdp_growth_percent])</f>
        <v>-5.2597817623217792E-17</v>
      </c>
    </row>
    <row r="793" spans="1:18" x14ac:dyDescent="0.35">
      <c r="A793">
        <v>2020</v>
      </c>
      <c r="B793" t="s">
        <v>47</v>
      </c>
      <c r="C793" t="s">
        <v>30</v>
      </c>
      <c r="D793" t="s">
        <v>15</v>
      </c>
      <c r="E793" t="s">
        <v>20</v>
      </c>
      <c r="F793" t="s">
        <v>27</v>
      </c>
      <c r="G793">
        <v>53300</v>
      </c>
      <c r="H793" t="s">
        <v>55</v>
      </c>
      <c r="I793">
        <v>782</v>
      </c>
      <c r="J793">
        <v>41680600</v>
      </c>
      <c r="K793">
        <v>277467</v>
      </c>
      <c r="L793">
        <v>41403133</v>
      </c>
      <c r="M793">
        <v>298</v>
      </c>
      <c r="N793">
        <v>0.97</v>
      </c>
      <c r="O793">
        <v>6.29</v>
      </c>
      <c r="P793">
        <v>1.2</v>
      </c>
      <c r="Q793">
        <v>7</v>
      </c>
      <c r="R793">
        <f>CORREL(BMW[units_sold],BMW[gdp_growth_percent])</f>
        <v>-5.2597817623217792E-17</v>
      </c>
    </row>
    <row r="794" spans="1:18" x14ac:dyDescent="0.35">
      <c r="A794">
        <v>2017</v>
      </c>
      <c r="B794" t="s">
        <v>44</v>
      </c>
      <c r="C794" t="s">
        <v>30</v>
      </c>
      <c r="D794" t="s">
        <v>34</v>
      </c>
      <c r="E794" t="s">
        <v>20</v>
      </c>
      <c r="F794" t="s">
        <v>20</v>
      </c>
      <c r="G794">
        <v>99384</v>
      </c>
      <c r="H794" t="s">
        <v>54</v>
      </c>
      <c r="I794">
        <v>515</v>
      </c>
      <c r="J794">
        <v>51182760</v>
      </c>
      <c r="K794">
        <v>196025</v>
      </c>
      <c r="L794">
        <v>50986735</v>
      </c>
      <c r="M794">
        <v>162</v>
      </c>
      <c r="N794">
        <v>0.97</v>
      </c>
      <c r="O794">
        <v>6.29</v>
      </c>
      <c r="P794">
        <v>1.2</v>
      </c>
      <c r="Q794">
        <v>10</v>
      </c>
      <c r="R794">
        <f>CORREL(BMW[units_sold],BMW[gdp_growth_percent])</f>
        <v>-5.2597817623217792E-17</v>
      </c>
    </row>
    <row r="795" spans="1:18" x14ac:dyDescent="0.35">
      <c r="A795">
        <v>2017</v>
      </c>
      <c r="B795" t="s">
        <v>52</v>
      </c>
      <c r="C795" t="s">
        <v>21</v>
      </c>
      <c r="D795" t="s">
        <v>18</v>
      </c>
      <c r="E795" t="s">
        <v>16</v>
      </c>
      <c r="F795" t="s">
        <v>17</v>
      </c>
      <c r="G795">
        <v>95892</v>
      </c>
      <c r="H795" t="s">
        <v>54</v>
      </c>
      <c r="I795">
        <v>804</v>
      </c>
      <c r="J795">
        <v>77097168</v>
      </c>
      <c r="K795">
        <v>285652</v>
      </c>
      <c r="L795">
        <v>76811516</v>
      </c>
      <c r="M795">
        <v>286</v>
      </c>
      <c r="N795">
        <v>0.97</v>
      </c>
      <c r="O795">
        <v>6.29</v>
      </c>
      <c r="P795">
        <v>1.2</v>
      </c>
      <c r="Q795">
        <v>2</v>
      </c>
      <c r="R795">
        <f>CORREL(BMW[units_sold],BMW[gdp_growth_percent])</f>
        <v>-5.2597817623217792E-17</v>
      </c>
    </row>
    <row r="796" spans="1:18" x14ac:dyDescent="0.35">
      <c r="A796">
        <v>2023</v>
      </c>
      <c r="B796" t="s">
        <v>49</v>
      </c>
      <c r="C796" t="s">
        <v>38</v>
      </c>
      <c r="D796" t="s">
        <v>33</v>
      </c>
      <c r="E796" t="s">
        <v>16</v>
      </c>
      <c r="F796" t="s">
        <v>17</v>
      </c>
      <c r="G796">
        <v>70525</v>
      </c>
      <c r="H796" t="s">
        <v>55</v>
      </c>
      <c r="I796">
        <v>869</v>
      </c>
      <c r="J796">
        <v>61286225</v>
      </c>
      <c r="K796">
        <v>481723</v>
      </c>
      <c r="L796">
        <v>60804502</v>
      </c>
      <c r="M796">
        <v>288</v>
      </c>
      <c r="N796">
        <v>0.97</v>
      </c>
      <c r="O796">
        <v>6.29</v>
      </c>
      <c r="P796">
        <v>1.2</v>
      </c>
      <c r="Q796">
        <v>10</v>
      </c>
      <c r="R796">
        <f>CORREL(BMW[units_sold],BMW[gdp_growth_percent])</f>
        <v>-5.2597817623217792E-17</v>
      </c>
    </row>
    <row r="797" spans="1:18" x14ac:dyDescent="0.35">
      <c r="A797">
        <v>2021</v>
      </c>
      <c r="B797" t="s">
        <v>43</v>
      </c>
      <c r="C797" t="s">
        <v>32</v>
      </c>
      <c r="D797" t="s">
        <v>34</v>
      </c>
      <c r="E797" t="s">
        <v>20</v>
      </c>
      <c r="F797" t="s">
        <v>20</v>
      </c>
      <c r="G797">
        <v>61532</v>
      </c>
      <c r="H797" t="s">
        <v>55</v>
      </c>
      <c r="I797">
        <v>201</v>
      </c>
      <c r="J797">
        <v>12367932</v>
      </c>
      <c r="K797">
        <v>405113</v>
      </c>
      <c r="L797">
        <v>11962819</v>
      </c>
      <c r="M797">
        <v>66</v>
      </c>
      <c r="N797">
        <v>0.97</v>
      </c>
      <c r="O797">
        <v>6.29</v>
      </c>
      <c r="P797">
        <v>1.2</v>
      </c>
      <c r="Q797">
        <v>6</v>
      </c>
      <c r="R797">
        <f>CORREL(BMW[units_sold],BMW[gdp_growth_percent])</f>
        <v>-5.2597817623217792E-17</v>
      </c>
    </row>
    <row r="798" spans="1:18" x14ac:dyDescent="0.35">
      <c r="A798">
        <v>2019</v>
      </c>
      <c r="B798" t="s">
        <v>51</v>
      </c>
      <c r="C798" t="s">
        <v>28</v>
      </c>
      <c r="D798" t="s">
        <v>33</v>
      </c>
      <c r="E798" t="s">
        <v>20</v>
      </c>
      <c r="F798" t="s">
        <v>17</v>
      </c>
      <c r="G798">
        <v>41464</v>
      </c>
      <c r="H798" t="s">
        <v>57</v>
      </c>
      <c r="I798">
        <v>524</v>
      </c>
      <c r="J798">
        <v>21727136</v>
      </c>
      <c r="K798">
        <v>141493</v>
      </c>
      <c r="L798">
        <v>21585643</v>
      </c>
      <c r="M798">
        <v>195</v>
      </c>
      <c r="N798">
        <v>0.97</v>
      </c>
      <c r="O798">
        <v>6.29</v>
      </c>
      <c r="P798">
        <v>1.2</v>
      </c>
      <c r="Q798">
        <v>6</v>
      </c>
      <c r="R798">
        <f>CORREL(BMW[units_sold],BMW[gdp_growth_percent])</f>
        <v>-5.2597817623217792E-17</v>
      </c>
    </row>
    <row r="799" spans="1:18" x14ac:dyDescent="0.35">
      <c r="A799">
        <v>2024</v>
      </c>
      <c r="B799" t="s">
        <v>43</v>
      </c>
      <c r="C799" t="s">
        <v>35</v>
      </c>
      <c r="D799" t="s">
        <v>39</v>
      </c>
      <c r="E799" t="s">
        <v>20</v>
      </c>
      <c r="F799" t="s">
        <v>27</v>
      </c>
      <c r="G799">
        <v>51562</v>
      </c>
      <c r="H799" t="s">
        <v>55</v>
      </c>
      <c r="I799">
        <v>476</v>
      </c>
      <c r="J799">
        <v>24543512</v>
      </c>
      <c r="K799">
        <v>318667</v>
      </c>
      <c r="L799">
        <v>24224845</v>
      </c>
      <c r="M799">
        <v>102</v>
      </c>
      <c r="N799">
        <v>0.97</v>
      </c>
      <c r="O799">
        <v>6.29</v>
      </c>
      <c r="P799">
        <v>1.2</v>
      </c>
      <c r="Q799">
        <v>2</v>
      </c>
      <c r="R799">
        <f>CORREL(BMW[units_sold],BMW[gdp_growth_percent])</f>
        <v>-5.2597817623217792E-17</v>
      </c>
    </row>
    <row r="800" spans="1:18" x14ac:dyDescent="0.35">
      <c r="A800">
        <v>2021</v>
      </c>
      <c r="B800" t="s">
        <v>48</v>
      </c>
      <c r="C800" t="s">
        <v>28</v>
      </c>
      <c r="D800" t="s">
        <v>33</v>
      </c>
      <c r="E800" t="s">
        <v>16</v>
      </c>
      <c r="F800" t="s">
        <v>27</v>
      </c>
      <c r="G800">
        <v>90514</v>
      </c>
      <c r="H800" t="s">
        <v>54</v>
      </c>
      <c r="I800">
        <v>884</v>
      </c>
      <c r="J800">
        <v>80014376</v>
      </c>
      <c r="K800">
        <v>267995</v>
      </c>
      <c r="L800">
        <v>79746381</v>
      </c>
      <c r="M800">
        <v>285</v>
      </c>
      <c r="N800">
        <v>0.97</v>
      </c>
      <c r="O800">
        <v>6.29</v>
      </c>
      <c r="P800">
        <v>1.2</v>
      </c>
      <c r="Q800">
        <v>2</v>
      </c>
      <c r="R800">
        <f>CORREL(BMW[units_sold],BMW[gdp_growth_percent])</f>
        <v>-5.2597817623217792E-17</v>
      </c>
    </row>
    <row r="801" spans="1:18" x14ac:dyDescent="0.35">
      <c r="A801">
        <v>2023</v>
      </c>
      <c r="B801" t="s">
        <v>50</v>
      </c>
      <c r="C801" t="s">
        <v>28</v>
      </c>
      <c r="D801" t="s">
        <v>33</v>
      </c>
      <c r="E801" t="s">
        <v>16</v>
      </c>
      <c r="F801" t="s">
        <v>23</v>
      </c>
      <c r="G801">
        <v>109219</v>
      </c>
      <c r="H801" t="s">
        <v>54</v>
      </c>
      <c r="I801">
        <v>430</v>
      </c>
      <c r="J801">
        <v>46964170</v>
      </c>
      <c r="K801">
        <v>238262</v>
      </c>
      <c r="L801">
        <v>46725908</v>
      </c>
      <c r="M801">
        <v>167</v>
      </c>
      <c r="N801">
        <v>0.97</v>
      </c>
      <c r="O801">
        <v>6.29</v>
      </c>
      <c r="P801">
        <v>1.2</v>
      </c>
      <c r="Q801">
        <v>2</v>
      </c>
      <c r="R801">
        <f>CORREL(BMW[units_sold],BMW[gdp_growth_percent])</f>
        <v>-5.2597817623217792E-17</v>
      </c>
    </row>
    <row r="802" spans="1:18" x14ac:dyDescent="0.35">
      <c r="A802">
        <v>2015</v>
      </c>
      <c r="B802" t="s">
        <v>47</v>
      </c>
      <c r="C802" t="s">
        <v>37</v>
      </c>
      <c r="D802" t="s">
        <v>29</v>
      </c>
      <c r="E802" t="s">
        <v>19</v>
      </c>
      <c r="F802" t="s">
        <v>17</v>
      </c>
      <c r="G802">
        <v>67634</v>
      </c>
      <c r="H802" t="s">
        <v>55</v>
      </c>
      <c r="I802">
        <v>849</v>
      </c>
      <c r="J802">
        <v>57421266</v>
      </c>
      <c r="K802">
        <v>490977</v>
      </c>
      <c r="L802">
        <v>56930289</v>
      </c>
      <c r="M802">
        <v>284</v>
      </c>
      <c r="N802">
        <v>0.97</v>
      </c>
      <c r="O802">
        <v>6.29</v>
      </c>
      <c r="P802">
        <v>1.2</v>
      </c>
      <c r="Q802">
        <v>10</v>
      </c>
      <c r="R802">
        <f>CORREL(BMW[units_sold],BMW[gdp_growth_percent])</f>
        <v>-5.2597817623217792E-17</v>
      </c>
    </row>
    <row r="803" spans="1:18" x14ac:dyDescent="0.35">
      <c r="A803">
        <v>2021</v>
      </c>
      <c r="B803" t="s">
        <v>50</v>
      </c>
      <c r="C803" t="s">
        <v>14</v>
      </c>
      <c r="D803" t="s">
        <v>29</v>
      </c>
      <c r="E803" t="s">
        <v>16</v>
      </c>
      <c r="F803" t="s">
        <v>27</v>
      </c>
      <c r="G803">
        <v>35060</v>
      </c>
      <c r="H803" t="s">
        <v>57</v>
      </c>
      <c r="I803">
        <v>469</v>
      </c>
      <c r="J803">
        <v>16443140</v>
      </c>
      <c r="K803">
        <v>343313</v>
      </c>
      <c r="L803">
        <v>16099827</v>
      </c>
      <c r="M803">
        <v>190</v>
      </c>
      <c r="N803">
        <v>0.97</v>
      </c>
      <c r="O803">
        <v>6.29</v>
      </c>
      <c r="P803">
        <v>1.2</v>
      </c>
      <c r="Q803">
        <v>1</v>
      </c>
      <c r="R803">
        <f>CORREL(BMW[units_sold],BMW[gdp_growth_percent])</f>
        <v>-5.2597817623217792E-17</v>
      </c>
    </row>
    <row r="804" spans="1:18" x14ac:dyDescent="0.35">
      <c r="A804">
        <v>2020</v>
      </c>
      <c r="B804" t="s">
        <v>51</v>
      </c>
      <c r="C804" t="s">
        <v>14</v>
      </c>
      <c r="D804" t="s">
        <v>29</v>
      </c>
      <c r="E804" t="s">
        <v>16</v>
      </c>
      <c r="F804" t="s">
        <v>20</v>
      </c>
      <c r="G804">
        <v>44269</v>
      </c>
      <c r="H804" t="s">
        <v>57</v>
      </c>
      <c r="I804">
        <v>994</v>
      </c>
      <c r="J804">
        <v>44003386</v>
      </c>
      <c r="K804">
        <v>95641</v>
      </c>
      <c r="L804">
        <v>43907745</v>
      </c>
      <c r="M804">
        <v>368</v>
      </c>
      <c r="N804">
        <v>0.97</v>
      </c>
      <c r="O804">
        <v>6.29</v>
      </c>
      <c r="P804">
        <v>1.2</v>
      </c>
      <c r="Q804">
        <v>5</v>
      </c>
      <c r="R804">
        <f>CORREL(BMW[units_sold],BMW[gdp_growth_percent])</f>
        <v>-5.2597817623217792E-17</v>
      </c>
    </row>
    <row r="805" spans="1:18" x14ac:dyDescent="0.35">
      <c r="A805">
        <v>2024</v>
      </c>
      <c r="B805" t="s">
        <v>45</v>
      </c>
      <c r="C805" t="s">
        <v>32</v>
      </c>
      <c r="D805" t="s">
        <v>39</v>
      </c>
      <c r="E805" t="s">
        <v>16</v>
      </c>
      <c r="F805" t="s">
        <v>17</v>
      </c>
      <c r="G805">
        <v>98143</v>
      </c>
      <c r="H805" t="s">
        <v>54</v>
      </c>
      <c r="I805">
        <v>468</v>
      </c>
      <c r="J805">
        <v>45930924</v>
      </c>
      <c r="K805">
        <v>204062</v>
      </c>
      <c r="L805">
        <v>45726862</v>
      </c>
      <c r="M805">
        <v>86</v>
      </c>
      <c r="N805">
        <v>0.97</v>
      </c>
      <c r="O805">
        <v>6.29</v>
      </c>
      <c r="P805">
        <v>1.2</v>
      </c>
      <c r="Q805">
        <v>8</v>
      </c>
      <c r="R805">
        <f>CORREL(BMW[units_sold],BMW[gdp_growth_percent])</f>
        <v>-5.2597817623217792E-17</v>
      </c>
    </row>
    <row r="806" spans="1:18" x14ac:dyDescent="0.35">
      <c r="A806">
        <v>2023</v>
      </c>
      <c r="B806" t="s">
        <v>42</v>
      </c>
      <c r="C806" t="s">
        <v>37</v>
      </c>
      <c r="D806" t="s">
        <v>18</v>
      </c>
      <c r="E806" t="s">
        <v>20</v>
      </c>
      <c r="F806" t="s">
        <v>27</v>
      </c>
      <c r="G806">
        <v>58065</v>
      </c>
      <c r="H806" t="s">
        <v>55</v>
      </c>
      <c r="I806">
        <v>786</v>
      </c>
      <c r="J806">
        <v>45639090</v>
      </c>
      <c r="K806">
        <v>79661</v>
      </c>
      <c r="L806">
        <v>45559429</v>
      </c>
      <c r="M806">
        <v>160</v>
      </c>
      <c r="N806">
        <v>0.97</v>
      </c>
      <c r="O806">
        <v>6.29</v>
      </c>
      <c r="P806">
        <v>1.2</v>
      </c>
      <c r="Q806">
        <v>2</v>
      </c>
      <c r="R806">
        <f>CORREL(BMW[units_sold],BMW[gdp_growth_percent])</f>
        <v>-5.2597817623217792E-17</v>
      </c>
    </row>
    <row r="807" spans="1:18" x14ac:dyDescent="0.35">
      <c r="A807">
        <v>2015</v>
      </c>
      <c r="B807" t="s">
        <v>51</v>
      </c>
      <c r="C807" t="s">
        <v>28</v>
      </c>
      <c r="D807" t="s">
        <v>34</v>
      </c>
      <c r="E807" t="s">
        <v>16</v>
      </c>
      <c r="F807" t="s">
        <v>17</v>
      </c>
      <c r="G807">
        <v>37895</v>
      </c>
      <c r="H807" t="s">
        <v>57</v>
      </c>
      <c r="I807">
        <v>762</v>
      </c>
      <c r="J807">
        <v>28875990</v>
      </c>
      <c r="K807">
        <v>194491</v>
      </c>
      <c r="L807">
        <v>28681499</v>
      </c>
      <c r="M807">
        <v>247</v>
      </c>
      <c r="N807">
        <v>0.97</v>
      </c>
      <c r="O807">
        <v>6.29</v>
      </c>
      <c r="P807">
        <v>1.2</v>
      </c>
      <c r="Q807">
        <v>5</v>
      </c>
      <c r="R807">
        <f>CORREL(BMW[units_sold],BMW[gdp_growth_percent])</f>
        <v>-5.2597817623217792E-17</v>
      </c>
    </row>
    <row r="808" spans="1:18" x14ac:dyDescent="0.35">
      <c r="A808">
        <v>2018</v>
      </c>
      <c r="B808" t="s">
        <v>46</v>
      </c>
      <c r="C808" t="s">
        <v>25</v>
      </c>
      <c r="D808" t="s">
        <v>34</v>
      </c>
      <c r="E808" t="s">
        <v>20</v>
      </c>
      <c r="F808" t="s">
        <v>20</v>
      </c>
      <c r="G808">
        <v>115859</v>
      </c>
      <c r="H808" t="s">
        <v>54</v>
      </c>
      <c r="I808">
        <v>640</v>
      </c>
      <c r="J808">
        <v>74149760</v>
      </c>
      <c r="K808">
        <v>326601</v>
      </c>
      <c r="L808">
        <v>73823159</v>
      </c>
      <c r="M808">
        <v>298</v>
      </c>
      <c r="N808">
        <v>0.97</v>
      </c>
      <c r="O808">
        <v>6.29</v>
      </c>
      <c r="P808">
        <v>1.2</v>
      </c>
      <c r="Q808">
        <v>8</v>
      </c>
      <c r="R808">
        <f>CORREL(BMW[units_sold],BMW[gdp_growth_percent])</f>
        <v>-5.2597817623217792E-17</v>
      </c>
    </row>
    <row r="809" spans="1:18" x14ac:dyDescent="0.35">
      <c r="A809">
        <v>2023</v>
      </c>
      <c r="B809" t="s">
        <v>51</v>
      </c>
      <c r="C809" t="s">
        <v>14</v>
      </c>
      <c r="D809" t="s">
        <v>15</v>
      </c>
      <c r="E809" t="s">
        <v>19</v>
      </c>
      <c r="F809" t="s">
        <v>27</v>
      </c>
      <c r="G809">
        <v>47352</v>
      </c>
      <c r="H809" t="s">
        <v>57</v>
      </c>
      <c r="I809">
        <v>640</v>
      </c>
      <c r="J809">
        <v>30305280</v>
      </c>
      <c r="K809">
        <v>379744</v>
      </c>
      <c r="L809">
        <v>29925536</v>
      </c>
      <c r="M809">
        <v>240</v>
      </c>
      <c r="N809">
        <v>0.97</v>
      </c>
      <c r="O809">
        <v>6.29</v>
      </c>
      <c r="P809">
        <v>1.2</v>
      </c>
      <c r="Q809">
        <v>10</v>
      </c>
      <c r="R809">
        <f>CORREL(BMW[units_sold],BMW[gdp_growth_percent])</f>
        <v>-5.2597817623217792E-17</v>
      </c>
    </row>
    <row r="810" spans="1:18" x14ac:dyDescent="0.35">
      <c r="A810">
        <v>2018</v>
      </c>
      <c r="B810" t="s">
        <v>50</v>
      </c>
      <c r="C810" t="s">
        <v>35</v>
      </c>
      <c r="D810" t="s">
        <v>29</v>
      </c>
      <c r="E810" t="s">
        <v>19</v>
      </c>
      <c r="F810" t="s">
        <v>23</v>
      </c>
      <c r="G810">
        <v>84737</v>
      </c>
      <c r="H810" t="s">
        <v>54</v>
      </c>
      <c r="I810">
        <v>224</v>
      </c>
      <c r="J810">
        <v>18981088</v>
      </c>
      <c r="K810">
        <v>153619</v>
      </c>
      <c r="L810">
        <v>18827469</v>
      </c>
      <c r="M810">
        <v>27</v>
      </c>
      <c r="N810">
        <v>0.97</v>
      </c>
      <c r="O810">
        <v>6.29</v>
      </c>
      <c r="P810">
        <v>1.2</v>
      </c>
      <c r="Q810">
        <v>5</v>
      </c>
      <c r="R810">
        <f>CORREL(BMW[units_sold],BMW[gdp_growth_percent])</f>
        <v>-5.2597817623217792E-17</v>
      </c>
    </row>
    <row r="811" spans="1:18" x14ac:dyDescent="0.35">
      <c r="A811">
        <v>2024</v>
      </c>
      <c r="B811" t="s">
        <v>43</v>
      </c>
      <c r="C811" t="s">
        <v>35</v>
      </c>
      <c r="D811" t="s">
        <v>39</v>
      </c>
      <c r="E811" t="s">
        <v>20</v>
      </c>
      <c r="F811" t="s">
        <v>23</v>
      </c>
      <c r="G811">
        <v>67016</v>
      </c>
      <c r="H811" t="s">
        <v>55</v>
      </c>
      <c r="I811">
        <v>641</v>
      </c>
      <c r="J811">
        <v>42957256</v>
      </c>
      <c r="K811">
        <v>388246</v>
      </c>
      <c r="L811">
        <v>42569010</v>
      </c>
      <c r="M811">
        <v>82</v>
      </c>
      <c r="N811">
        <v>0.97</v>
      </c>
      <c r="O811">
        <v>6.29</v>
      </c>
      <c r="P811">
        <v>1.2</v>
      </c>
      <c r="Q811">
        <v>2</v>
      </c>
      <c r="R811">
        <f>CORREL(BMW[units_sold],BMW[gdp_growth_percent])</f>
        <v>-5.2597817623217792E-17</v>
      </c>
    </row>
    <row r="812" spans="1:18" x14ac:dyDescent="0.35">
      <c r="A812">
        <v>2017</v>
      </c>
      <c r="B812" t="s">
        <v>52</v>
      </c>
      <c r="C812" t="s">
        <v>21</v>
      </c>
      <c r="D812" t="s">
        <v>15</v>
      </c>
      <c r="E812" t="s">
        <v>20</v>
      </c>
      <c r="F812" t="s">
        <v>17</v>
      </c>
      <c r="G812">
        <v>96304</v>
      </c>
      <c r="H812" t="s">
        <v>54</v>
      </c>
      <c r="I812">
        <v>668</v>
      </c>
      <c r="J812">
        <v>64331072</v>
      </c>
      <c r="K812">
        <v>83085</v>
      </c>
      <c r="L812">
        <v>64247987</v>
      </c>
      <c r="M812">
        <v>198</v>
      </c>
      <c r="N812">
        <v>0.97</v>
      </c>
      <c r="O812">
        <v>6.29</v>
      </c>
      <c r="P812">
        <v>1.2</v>
      </c>
      <c r="Q812">
        <v>3</v>
      </c>
      <c r="R812">
        <f>CORREL(BMW[units_sold],BMW[gdp_growth_percent])</f>
        <v>-5.2597817623217792E-17</v>
      </c>
    </row>
    <row r="813" spans="1:18" x14ac:dyDescent="0.35">
      <c r="A813">
        <v>2023</v>
      </c>
      <c r="B813" t="s">
        <v>49</v>
      </c>
      <c r="C813" t="s">
        <v>36</v>
      </c>
      <c r="D813" t="s">
        <v>22</v>
      </c>
      <c r="E813" t="s">
        <v>20</v>
      </c>
      <c r="F813" t="s">
        <v>20</v>
      </c>
      <c r="G813">
        <v>46962</v>
      </c>
      <c r="H813" t="s">
        <v>57</v>
      </c>
      <c r="I813">
        <v>396</v>
      </c>
      <c r="J813">
        <v>18596952</v>
      </c>
      <c r="K813">
        <v>147064</v>
      </c>
      <c r="L813">
        <v>18449888</v>
      </c>
      <c r="M813">
        <v>26</v>
      </c>
      <c r="N813">
        <v>0.97</v>
      </c>
      <c r="O813">
        <v>6.29</v>
      </c>
      <c r="P813">
        <v>1.2</v>
      </c>
      <c r="Q813">
        <v>6</v>
      </c>
      <c r="R813">
        <f>CORREL(BMW[units_sold],BMW[gdp_growth_percent])</f>
        <v>-5.2597817623217792E-17</v>
      </c>
    </row>
    <row r="814" spans="1:18" x14ac:dyDescent="0.35">
      <c r="A814">
        <v>2016</v>
      </c>
      <c r="B814" t="s">
        <v>52</v>
      </c>
      <c r="C814" t="s">
        <v>25</v>
      </c>
      <c r="D814" t="s">
        <v>15</v>
      </c>
      <c r="E814" t="s">
        <v>16</v>
      </c>
      <c r="F814" t="s">
        <v>27</v>
      </c>
      <c r="G814">
        <v>68302</v>
      </c>
      <c r="H814" t="s">
        <v>55</v>
      </c>
      <c r="I814">
        <v>438</v>
      </c>
      <c r="J814">
        <v>29916276</v>
      </c>
      <c r="K814">
        <v>231726</v>
      </c>
      <c r="L814">
        <v>29684550</v>
      </c>
      <c r="M814">
        <v>28</v>
      </c>
      <c r="N814">
        <v>0.97</v>
      </c>
      <c r="O814">
        <v>6.29</v>
      </c>
      <c r="P814">
        <v>1.2</v>
      </c>
      <c r="Q814">
        <v>5</v>
      </c>
      <c r="R814">
        <f>CORREL(BMW[units_sold],BMW[gdp_growth_percent])</f>
        <v>-5.2597817623217792E-17</v>
      </c>
    </row>
    <row r="815" spans="1:18" x14ac:dyDescent="0.35">
      <c r="A815">
        <v>2018</v>
      </c>
      <c r="B815" t="s">
        <v>50</v>
      </c>
      <c r="C815" t="s">
        <v>14</v>
      </c>
      <c r="D815" t="s">
        <v>18</v>
      </c>
      <c r="E815" t="s">
        <v>19</v>
      </c>
      <c r="F815" t="s">
        <v>20</v>
      </c>
      <c r="G815">
        <v>39011</v>
      </c>
      <c r="H815" t="s">
        <v>57</v>
      </c>
      <c r="I815">
        <v>951</v>
      </c>
      <c r="J815">
        <v>37099461</v>
      </c>
      <c r="K815">
        <v>449346</v>
      </c>
      <c r="L815">
        <v>36650115</v>
      </c>
      <c r="M815">
        <v>228</v>
      </c>
      <c r="N815">
        <v>0.97</v>
      </c>
      <c r="O815">
        <v>6.29</v>
      </c>
      <c r="P815">
        <v>1.2</v>
      </c>
      <c r="Q815">
        <v>4</v>
      </c>
      <c r="R815">
        <f>CORREL(BMW[units_sold],BMW[gdp_growth_percent])</f>
        <v>-5.2597817623217792E-17</v>
      </c>
    </row>
    <row r="816" spans="1:18" x14ac:dyDescent="0.35">
      <c r="A816">
        <v>2020</v>
      </c>
      <c r="B816" t="s">
        <v>49</v>
      </c>
      <c r="C816" t="s">
        <v>30</v>
      </c>
      <c r="D816" t="s">
        <v>24</v>
      </c>
      <c r="E816" t="s">
        <v>20</v>
      </c>
      <c r="F816" t="s">
        <v>27</v>
      </c>
      <c r="G816">
        <v>54782</v>
      </c>
      <c r="H816" t="s">
        <v>55</v>
      </c>
      <c r="I816">
        <v>1066</v>
      </c>
      <c r="J816">
        <v>58397612</v>
      </c>
      <c r="K816">
        <v>155723</v>
      </c>
      <c r="L816">
        <v>58241889</v>
      </c>
      <c r="M816">
        <v>335</v>
      </c>
      <c r="N816">
        <v>0.97</v>
      </c>
      <c r="O816">
        <v>6.29</v>
      </c>
      <c r="P816">
        <v>1.2</v>
      </c>
      <c r="Q816">
        <v>4</v>
      </c>
      <c r="R816">
        <f>CORREL(BMW[units_sold],BMW[gdp_growth_percent])</f>
        <v>-5.2597817623217792E-17</v>
      </c>
    </row>
    <row r="817" spans="1:18" x14ac:dyDescent="0.35">
      <c r="A817">
        <v>2016</v>
      </c>
      <c r="B817" t="s">
        <v>46</v>
      </c>
      <c r="C817" t="s">
        <v>14</v>
      </c>
      <c r="D817" t="s">
        <v>33</v>
      </c>
      <c r="E817" t="s">
        <v>16</v>
      </c>
      <c r="F817" t="s">
        <v>17</v>
      </c>
      <c r="G817">
        <v>102691</v>
      </c>
      <c r="H817" t="s">
        <v>54</v>
      </c>
      <c r="I817">
        <v>390</v>
      </c>
      <c r="J817">
        <v>40049490</v>
      </c>
      <c r="K817">
        <v>183114</v>
      </c>
      <c r="L817">
        <v>39866376</v>
      </c>
      <c r="M817">
        <v>129</v>
      </c>
      <c r="N817">
        <v>0.97</v>
      </c>
      <c r="O817">
        <v>6.29</v>
      </c>
      <c r="P817">
        <v>1.2</v>
      </c>
      <c r="Q817">
        <v>5</v>
      </c>
      <c r="R817">
        <f>CORREL(BMW[units_sold],BMW[gdp_growth_percent])</f>
        <v>-5.2597817623217792E-17</v>
      </c>
    </row>
    <row r="818" spans="1:18" x14ac:dyDescent="0.35">
      <c r="A818">
        <v>2022</v>
      </c>
      <c r="B818" t="s">
        <v>42</v>
      </c>
      <c r="C818" t="s">
        <v>21</v>
      </c>
      <c r="D818" t="s">
        <v>29</v>
      </c>
      <c r="E818" t="s">
        <v>19</v>
      </c>
      <c r="F818" t="s">
        <v>27</v>
      </c>
      <c r="G818">
        <v>74725</v>
      </c>
      <c r="H818" t="s">
        <v>55</v>
      </c>
      <c r="I818">
        <v>303</v>
      </c>
      <c r="J818">
        <v>22641675</v>
      </c>
      <c r="K818">
        <v>382278</v>
      </c>
      <c r="L818">
        <v>22259397</v>
      </c>
      <c r="M818">
        <v>110</v>
      </c>
      <c r="N818">
        <v>0.97</v>
      </c>
      <c r="O818">
        <v>6.29</v>
      </c>
      <c r="P818">
        <v>1.2</v>
      </c>
      <c r="Q818">
        <v>2</v>
      </c>
      <c r="R818">
        <f>CORREL(BMW[units_sold],BMW[gdp_growth_percent])</f>
        <v>-5.2597817623217792E-17</v>
      </c>
    </row>
    <row r="819" spans="1:18" x14ac:dyDescent="0.35">
      <c r="A819">
        <v>2022</v>
      </c>
      <c r="B819" t="s">
        <v>48</v>
      </c>
      <c r="C819" t="s">
        <v>35</v>
      </c>
      <c r="D819" t="s">
        <v>24</v>
      </c>
      <c r="E819" t="s">
        <v>16</v>
      </c>
      <c r="F819" t="s">
        <v>20</v>
      </c>
      <c r="G819">
        <v>44196</v>
      </c>
      <c r="H819" t="s">
        <v>57</v>
      </c>
      <c r="I819">
        <v>247</v>
      </c>
      <c r="J819">
        <v>10916412</v>
      </c>
      <c r="K819">
        <v>355126</v>
      </c>
      <c r="L819">
        <v>10561286</v>
      </c>
      <c r="M819">
        <v>43</v>
      </c>
      <c r="N819">
        <v>0.97</v>
      </c>
      <c r="O819">
        <v>6.29</v>
      </c>
      <c r="P819">
        <v>1.2</v>
      </c>
      <c r="Q819">
        <v>9</v>
      </c>
      <c r="R819">
        <f>CORREL(BMW[units_sold],BMW[gdp_growth_percent])</f>
        <v>-5.2597817623217792E-17</v>
      </c>
    </row>
    <row r="820" spans="1:18" x14ac:dyDescent="0.35">
      <c r="A820">
        <v>2015</v>
      </c>
      <c r="B820" t="s">
        <v>44</v>
      </c>
      <c r="C820" t="s">
        <v>28</v>
      </c>
      <c r="D820" t="s">
        <v>15</v>
      </c>
      <c r="E820" t="s">
        <v>19</v>
      </c>
      <c r="F820" t="s">
        <v>20</v>
      </c>
      <c r="G820">
        <v>78459</v>
      </c>
      <c r="H820" t="s">
        <v>55</v>
      </c>
      <c r="I820">
        <v>576</v>
      </c>
      <c r="J820">
        <v>45192384</v>
      </c>
      <c r="K820">
        <v>377329</v>
      </c>
      <c r="L820">
        <v>44815055</v>
      </c>
      <c r="M820">
        <v>93</v>
      </c>
      <c r="N820">
        <v>0.97</v>
      </c>
      <c r="O820">
        <v>6.29</v>
      </c>
      <c r="P820">
        <v>1.2</v>
      </c>
      <c r="Q820">
        <v>2</v>
      </c>
      <c r="R820">
        <f>CORREL(BMW[units_sold],BMW[gdp_growth_percent])</f>
        <v>-5.2597817623217792E-17</v>
      </c>
    </row>
    <row r="821" spans="1:18" x14ac:dyDescent="0.35">
      <c r="A821">
        <v>2017</v>
      </c>
      <c r="B821" t="s">
        <v>50</v>
      </c>
      <c r="C821" t="s">
        <v>30</v>
      </c>
      <c r="D821" t="s">
        <v>39</v>
      </c>
      <c r="E821" t="s">
        <v>16</v>
      </c>
      <c r="F821" t="s">
        <v>17</v>
      </c>
      <c r="G821">
        <v>113863</v>
      </c>
      <c r="H821" t="s">
        <v>54</v>
      </c>
      <c r="I821">
        <v>693</v>
      </c>
      <c r="J821">
        <v>78907059</v>
      </c>
      <c r="K821">
        <v>83477</v>
      </c>
      <c r="L821">
        <v>78823582</v>
      </c>
      <c r="M821">
        <v>205</v>
      </c>
      <c r="N821">
        <v>0.97</v>
      </c>
      <c r="O821">
        <v>6.29</v>
      </c>
      <c r="P821">
        <v>1.2</v>
      </c>
      <c r="Q821">
        <v>10</v>
      </c>
      <c r="R821">
        <f>CORREL(BMW[units_sold],BMW[gdp_growth_percent])</f>
        <v>-5.2597817623217792E-17</v>
      </c>
    </row>
    <row r="822" spans="1:18" x14ac:dyDescent="0.35">
      <c r="A822">
        <v>2024</v>
      </c>
      <c r="B822" t="s">
        <v>43</v>
      </c>
      <c r="C822" t="s">
        <v>37</v>
      </c>
      <c r="D822" t="s">
        <v>33</v>
      </c>
      <c r="E822" t="s">
        <v>19</v>
      </c>
      <c r="F822" t="s">
        <v>20</v>
      </c>
      <c r="G822">
        <v>67769</v>
      </c>
      <c r="H822" t="s">
        <v>55</v>
      </c>
      <c r="I822">
        <v>1095</v>
      </c>
      <c r="J822">
        <v>74207055</v>
      </c>
      <c r="K822">
        <v>164161</v>
      </c>
      <c r="L822">
        <v>74042894</v>
      </c>
      <c r="M822">
        <v>339</v>
      </c>
      <c r="N822">
        <v>0.97</v>
      </c>
      <c r="O822">
        <v>6.29</v>
      </c>
      <c r="P822">
        <v>1.2</v>
      </c>
      <c r="Q822">
        <v>2</v>
      </c>
      <c r="R822">
        <f>CORREL(BMW[units_sold],BMW[gdp_growth_percent])</f>
        <v>-5.2597817623217792E-17</v>
      </c>
    </row>
    <row r="823" spans="1:18" x14ac:dyDescent="0.35">
      <c r="A823">
        <v>2023</v>
      </c>
      <c r="B823" t="s">
        <v>47</v>
      </c>
      <c r="C823" t="s">
        <v>38</v>
      </c>
      <c r="D823" t="s">
        <v>34</v>
      </c>
      <c r="E823" t="s">
        <v>19</v>
      </c>
      <c r="F823" t="s">
        <v>27</v>
      </c>
      <c r="G823">
        <v>59700</v>
      </c>
      <c r="H823" t="s">
        <v>55</v>
      </c>
      <c r="I823">
        <v>482</v>
      </c>
      <c r="J823">
        <v>28775400</v>
      </c>
      <c r="K823">
        <v>364853</v>
      </c>
      <c r="L823">
        <v>28410547</v>
      </c>
      <c r="M823">
        <v>211</v>
      </c>
      <c r="N823">
        <v>0.97</v>
      </c>
      <c r="O823">
        <v>6.29</v>
      </c>
      <c r="P823">
        <v>1.2</v>
      </c>
      <c r="Q823">
        <v>10</v>
      </c>
      <c r="R823">
        <f>CORREL(BMW[units_sold],BMW[gdp_growth_percent])</f>
        <v>-5.2597817623217792E-17</v>
      </c>
    </row>
    <row r="824" spans="1:18" x14ac:dyDescent="0.35">
      <c r="A824">
        <v>2019</v>
      </c>
      <c r="B824" t="s">
        <v>50</v>
      </c>
      <c r="C824" t="s">
        <v>28</v>
      </c>
      <c r="D824" t="s">
        <v>31</v>
      </c>
      <c r="E824" t="s">
        <v>16</v>
      </c>
      <c r="F824" t="s">
        <v>17</v>
      </c>
      <c r="G824">
        <v>115356</v>
      </c>
      <c r="H824" t="s">
        <v>54</v>
      </c>
      <c r="I824">
        <v>980</v>
      </c>
      <c r="J824">
        <v>113048880</v>
      </c>
      <c r="K824">
        <v>209788</v>
      </c>
      <c r="L824">
        <v>112839092</v>
      </c>
      <c r="M824">
        <v>353</v>
      </c>
      <c r="N824">
        <v>0.97</v>
      </c>
      <c r="O824">
        <v>6.29</v>
      </c>
      <c r="P824">
        <v>1.2</v>
      </c>
      <c r="Q824">
        <v>9</v>
      </c>
      <c r="R824">
        <f>CORREL(BMW[units_sold],BMW[gdp_growth_percent])</f>
        <v>-5.2597817623217792E-17</v>
      </c>
    </row>
    <row r="825" spans="1:18" x14ac:dyDescent="0.35">
      <c r="A825">
        <v>2020</v>
      </c>
      <c r="B825" t="s">
        <v>50</v>
      </c>
      <c r="C825" t="s">
        <v>38</v>
      </c>
      <c r="D825" t="s">
        <v>33</v>
      </c>
      <c r="E825" t="s">
        <v>20</v>
      </c>
      <c r="F825" t="s">
        <v>27</v>
      </c>
      <c r="G825">
        <v>111427</v>
      </c>
      <c r="H825" t="s">
        <v>54</v>
      </c>
      <c r="I825">
        <v>1075</v>
      </c>
      <c r="J825">
        <v>119784025</v>
      </c>
      <c r="K825">
        <v>390281</v>
      </c>
      <c r="L825">
        <v>119393744</v>
      </c>
      <c r="M825">
        <v>350</v>
      </c>
      <c r="N825">
        <v>0.97</v>
      </c>
      <c r="O825">
        <v>6.29</v>
      </c>
      <c r="P825">
        <v>1.2</v>
      </c>
      <c r="Q825">
        <v>3</v>
      </c>
      <c r="R825">
        <f>CORREL(BMW[units_sold],BMW[gdp_growth_percent])</f>
        <v>-5.2597817623217792E-17</v>
      </c>
    </row>
    <row r="826" spans="1:18" x14ac:dyDescent="0.35">
      <c r="A826">
        <v>2018</v>
      </c>
      <c r="B826" t="s">
        <v>49</v>
      </c>
      <c r="C826" t="s">
        <v>25</v>
      </c>
      <c r="D826" t="s">
        <v>18</v>
      </c>
      <c r="E826" t="s">
        <v>19</v>
      </c>
      <c r="F826" t="s">
        <v>20</v>
      </c>
      <c r="G826">
        <v>40269</v>
      </c>
      <c r="H826" t="s">
        <v>57</v>
      </c>
      <c r="I826">
        <v>476</v>
      </c>
      <c r="J826">
        <v>19168044</v>
      </c>
      <c r="K826">
        <v>348162</v>
      </c>
      <c r="L826">
        <v>18819882</v>
      </c>
      <c r="M826">
        <v>20</v>
      </c>
      <c r="N826">
        <v>0.97</v>
      </c>
      <c r="O826">
        <v>6.29</v>
      </c>
      <c r="P826">
        <v>1.2</v>
      </c>
      <c r="Q826">
        <v>10</v>
      </c>
      <c r="R826">
        <f>CORREL(BMW[units_sold],BMW[gdp_growth_percent])</f>
        <v>-5.2597817623217792E-17</v>
      </c>
    </row>
    <row r="827" spans="1:18" x14ac:dyDescent="0.35">
      <c r="A827">
        <v>2024</v>
      </c>
      <c r="B827" t="s">
        <v>41</v>
      </c>
      <c r="C827" t="s">
        <v>36</v>
      </c>
      <c r="D827" t="s">
        <v>18</v>
      </c>
      <c r="E827" t="s">
        <v>20</v>
      </c>
      <c r="F827" t="s">
        <v>17</v>
      </c>
      <c r="G827">
        <v>78880</v>
      </c>
      <c r="H827" t="s">
        <v>55</v>
      </c>
      <c r="I827">
        <v>1122</v>
      </c>
      <c r="J827">
        <v>88503360</v>
      </c>
      <c r="K827">
        <v>189133</v>
      </c>
      <c r="L827">
        <v>88314227</v>
      </c>
      <c r="M827">
        <v>356</v>
      </c>
      <c r="N827">
        <v>0.97</v>
      </c>
      <c r="O827">
        <v>6.29</v>
      </c>
      <c r="P827">
        <v>1.2</v>
      </c>
      <c r="Q827">
        <v>7</v>
      </c>
      <c r="R827">
        <f>CORREL(BMW[units_sold],BMW[gdp_growth_percent])</f>
        <v>-5.2597817623217792E-17</v>
      </c>
    </row>
    <row r="828" spans="1:18" x14ac:dyDescent="0.35">
      <c r="A828">
        <v>2016</v>
      </c>
      <c r="B828" t="s">
        <v>51</v>
      </c>
      <c r="C828" t="s">
        <v>30</v>
      </c>
      <c r="D828" t="s">
        <v>15</v>
      </c>
      <c r="E828" t="s">
        <v>16</v>
      </c>
      <c r="F828" t="s">
        <v>27</v>
      </c>
      <c r="G828">
        <v>43320</v>
      </c>
      <c r="H828" t="s">
        <v>57</v>
      </c>
      <c r="I828">
        <v>641</v>
      </c>
      <c r="J828">
        <v>27768120</v>
      </c>
      <c r="K828">
        <v>189681</v>
      </c>
      <c r="L828">
        <v>27578439</v>
      </c>
      <c r="M828">
        <v>227</v>
      </c>
      <c r="N828">
        <v>0.97</v>
      </c>
      <c r="O828">
        <v>6.29</v>
      </c>
      <c r="P828">
        <v>1.2</v>
      </c>
      <c r="Q828">
        <v>4</v>
      </c>
      <c r="R828">
        <f>CORREL(BMW[units_sold],BMW[gdp_growth_percent])</f>
        <v>-5.2597817623217792E-17</v>
      </c>
    </row>
    <row r="829" spans="1:18" x14ac:dyDescent="0.35">
      <c r="A829">
        <v>2022</v>
      </c>
      <c r="B829" t="s">
        <v>43</v>
      </c>
      <c r="C829" t="s">
        <v>32</v>
      </c>
      <c r="D829" t="s">
        <v>22</v>
      </c>
      <c r="E829" t="s">
        <v>20</v>
      </c>
      <c r="F829" t="s">
        <v>20</v>
      </c>
      <c r="G829">
        <v>84589</v>
      </c>
      <c r="H829" t="s">
        <v>54</v>
      </c>
      <c r="I829">
        <v>820</v>
      </c>
      <c r="J829">
        <v>69362980</v>
      </c>
      <c r="K829">
        <v>347515</v>
      </c>
      <c r="L829">
        <v>69015465</v>
      </c>
      <c r="M829">
        <v>262</v>
      </c>
      <c r="N829">
        <v>0.97</v>
      </c>
      <c r="O829">
        <v>6.29</v>
      </c>
      <c r="P829">
        <v>1.2</v>
      </c>
      <c r="Q829">
        <v>6</v>
      </c>
      <c r="R829">
        <f>CORREL(BMW[units_sold],BMW[gdp_growth_percent])</f>
        <v>-5.2597817623217792E-17</v>
      </c>
    </row>
    <row r="830" spans="1:18" x14ac:dyDescent="0.35">
      <c r="A830">
        <v>2020</v>
      </c>
      <c r="B830" t="s">
        <v>41</v>
      </c>
      <c r="C830" t="s">
        <v>30</v>
      </c>
      <c r="D830" t="s">
        <v>18</v>
      </c>
      <c r="E830" t="s">
        <v>20</v>
      </c>
      <c r="F830" t="s">
        <v>20</v>
      </c>
      <c r="G830">
        <v>111276</v>
      </c>
      <c r="H830" t="s">
        <v>54</v>
      </c>
      <c r="I830">
        <v>789</v>
      </c>
      <c r="J830">
        <v>87796764</v>
      </c>
      <c r="K830">
        <v>291422</v>
      </c>
      <c r="L830">
        <v>87505342</v>
      </c>
      <c r="M830">
        <v>231</v>
      </c>
      <c r="N830">
        <v>0.97</v>
      </c>
      <c r="O830">
        <v>6.29</v>
      </c>
      <c r="P830">
        <v>1.2</v>
      </c>
      <c r="Q830">
        <v>4</v>
      </c>
      <c r="R830">
        <f>CORREL(BMW[units_sold],BMW[gdp_growth_percent])</f>
        <v>-5.2597817623217792E-17</v>
      </c>
    </row>
    <row r="831" spans="1:18" x14ac:dyDescent="0.35">
      <c r="A831">
        <v>2019</v>
      </c>
      <c r="B831" t="s">
        <v>46</v>
      </c>
      <c r="C831" t="s">
        <v>14</v>
      </c>
      <c r="D831" t="s">
        <v>18</v>
      </c>
      <c r="E831" t="s">
        <v>20</v>
      </c>
      <c r="F831" t="s">
        <v>23</v>
      </c>
      <c r="G831">
        <v>70897</v>
      </c>
      <c r="H831" t="s">
        <v>55</v>
      </c>
      <c r="I831">
        <v>985</v>
      </c>
      <c r="J831">
        <v>69833545</v>
      </c>
      <c r="K831">
        <v>395165</v>
      </c>
      <c r="L831">
        <v>69438380</v>
      </c>
      <c r="M831">
        <v>392</v>
      </c>
      <c r="N831">
        <v>0.97</v>
      </c>
      <c r="O831">
        <v>6.29</v>
      </c>
      <c r="P831">
        <v>1.2</v>
      </c>
      <c r="Q831">
        <v>10</v>
      </c>
      <c r="R831">
        <f>CORREL(BMW[units_sold],BMW[gdp_growth_percent])</f>
        <v>-5.2597817623217792E-17</v>
      </c>
    </row>
    <row r="832" spans="1:18" x14ac:dyDescent="0.35">
      <c r="A832">
        <v>2023</v>
      </c>
      <c r="B832" t="s">
        <v>47</v>
      </c>
      <c r="C832" t="s">
        <v>35</v>
      </c>
      <c r="D832" t="s">
        <v>39</v>
      </c>
      <c r="E832" t="s">
        <v>20</v>
      </c>
      <c r="F832" t="s">
        <v>20</v>
      </c>
      <c r="G832">
        <v>93565</v>
      </c>
      <c r="H832" t="s">
        <v>54</v>
      </c>
      <c r="I832">
        <v>928</v>
      </c>
      <c r="J832">
        <v>86828320</v>
      </c>
      <c r="K832">
        <v>464021</v>
      </c>
      <c r="L832">
        <v>86364299</v>
      </c>
      <c r="M832">
        <v>378</v>
      </c>
      <c r="N832">
        <v>0.97</v>
      </c>
      <c r="O832">
        <v>6.29</v>
      </c>
      <c r="P832">
        <v>1.2</v>
      </c>
      <c r="Q832">
        <v>7</v>
      </c>
      <c r="R832">
        <f>CORREL(BMW[units_sold],BMW[gdp_growth_percent])</f>
        <v>-5.2597817623217792E-17</v>
      </c>
    </row>
    <row r="833" spans="1:18" x14ac:dyDescent="0.35">
      <c r="A833">
        <v>2015</v>
      </c>
      <c r="B833" t="s">
        <v>42</v>
      </c>
      <c r="C833" t="s">
        <v>14</v>
      </c>
      <c r="D833" t="s">
        <v>15</v>
      </c>
      <c r="E833" t="s">
        <v>20</v>
      </c>
      <c r="F833" t="s">
        <v>27</v>
      </c>
      <c r="G833">
        <v>65930</v>
      </c>
      <c r="H833" t="s">
        <v>55</v>
      </c>
      <c r="I833">
        <v>301</v>
      </c>
      <c r="J833">
        <v>19844930</v>
      </c>
      <c r="K833">
        <v>320001</v>
      </c>
      <c r="L833">
        <v>19524929</v>
      </c>
      <c r="M833">
        <v>89</v>
      </c>
      <c r="N833">
        <v>0.97</v>
      </c>
      <c r="O833">
        <v>6.29</v>
      </c>
      <c r="P833">
        <v>1.2</v>
      </c>
      <c r="Q833">
        <v>1</v>
      </c>
      <c r="R833">
        <f>CORREL(BMW[units_sold],BMW[gdp_growth_percent])</f>
        <v>-5.2597817623217792E-17</v>
      </c>
    </row>
    <row r="834" spans="1:18" x14ac:dyDescent="0.35">
      <c r="A834">
        <v>2019</v>
      </c>
      <c r="B834" t="s">
        <v>45</v>
      </c>
      <c r="C834" t="s">
        <v>14</v>
      </c>
      <c r="D834" t="s">
        <v>33</v>
      </c>
      <c r="E834" t="s">
        <v>19</v>
      </c>
      <c r="F834" t="s">
        <v>17</v>
      </c>
      <c r="G834">
        <v>92233</v>
      </c>
      <c r="H834" t="s">
        <v>54</v>
      </c>
      <c r="I834">
        <v>70</v>
      </c>
      <c r="J834">
        <v>6456310</v>
      </c>
      <c r="K834">
        <v>192692</v>
      </c>
      <c r="L834">
        <v>6263618</v>
      </c>
      <c r="M834">
        <v>16</v>
      </c>
      <c r="N834">
        <v>0.97</v>
      </c>
      <c r="O834">
        <v>6.29</v>
      </c>
      <c r="P834">
        <v>1.2</v>
      </c>
      <c r="Q834">
        <v>3</v>
      </c>
      <c r="R834">
        <f>CORREL(BMW[units_sold],BMW[gdp_growth_percent])</f>
        <v>-5.2597817623217792E-17</v>
      </c>
    </row>
    <row r="835" spans="1:18" x14ac:dyDescent="0.35">
      <c r="A835">
        <v>2020</v>
      </c>
      <c r="B835" t="s">
        <v>46</v>
      </c>
      <c r="C835" t="s">
        <v>25</v>
      </c>
      <c r="D835" t="s">
        <v>22</v>
      </c>
      <c r="E835" t="s">
        <v>19</v>
      </c>
      <c r="F835" t="s">
        <v>23</v>
      </c>
      <c r="G835">
        <v>117821</v>
      </c>
      <c r="H835" t="s">
        <v>54</v>
      </c>
      <c r="I835">
        <v>654</v>
      </c>
      <c r="J835">
        <v>77054934</v>
      </c>
      <c r="K835">
        <v>58177</v>
      </c>
      <c r="L835">
        <v>76996757</v>
      </c>
      <c r="M835">
        <v>281</v>
      </c>
      <c r="N835">
        <v>0.97</v>
      </c>
      <c r="O835">
        <v>6.29</v>
      </c>
      <c r="P835">
        <v>1.2</v>
      </c>
      <c r="Q835">
        <v>3</v>
      </c>
      <c r="R835">
        <f>CORREL(BMW[units_sold],BMW[gdp_growth_percent])</f>
        <v>-5.2597817623217792E-17</v>
      </c>
    </row>
    <row r="836" spans="1:18" x14ac:dyDescent="0.35">
      <c r="A836">
        <v>2019</v>
      </c>
      <c r="B836" t="s">
        <v>45</v>
      </c>
      <c r="C836" t="s">
        <v>28</v>
      </c>
      <c r="D836" t="s">
        <v>24</v>
      </c>
      <c r="E836" t="s">
        <v>19</v>
      </c>
      <c r="F836" t="s">
        <v>20</v>
      </c>
      <c r="G836">
        <v>49380</v>
      </c>
      <c r="H836" t="s">
        <v>57</v>
      </c>
      <c r="I836">
        <v>584</v>
      </c>
      <c r="J836">
        <v>28837920</v>
      </c>
      <c r="K836">
        <v>473327</v>
      </c>
      <c r="L836">
        <v>28364593</v>
      </c>
      <c r="M836">
        <v>236</v>
      </c>
      <c r="N836">
        <v>0.97</v>
      </c>
      <c r="O836">
        <v>6.29</v>
      </c>
      <c r="P836">
        <v>1.2</v>
      </c>
      <c r="Q836">
        <v>1</v>
      </c>
      <c r="R836">
        <f>CORREL(BMW[units_sold],BMW[gdp_growth_percent])</f>
        <v>-5.2597817623217792E-17</v>
      </c>
    </row>
    <row r="837" spans="1:18" x14ac:dyDescent="0.35">
      <c r="A837">
        <v>2020</v>
      </c>
      <c r="B837" t="s">
        <v>43</v>
      </c>
      <c r="C837" t="s">
        <v>32</v>
      </c>
      <c r="D837" t="s">
        <v>31</v>
      </c>
      <c r="E837" t="s">
        <v>16</v>
      </c>
      <c r="F837" t="s">
        <v>20</v>
      </c>
      <c r="G837">
        <v>111896</v>
      </c>
      <c r="H837" t="s">
        <v>54</v>
      </c>
      <c r="I837">
        <v>396</v>
      </c>
      <c r="J837">
        <v>44310816</v>
      </c>
      <c r="K837">
        <v>301842</v>
      </c>
      <c r="L837">
        <v>44008974</v>
      </c>
      <c r="M837">
        <v>25</v>
      </c>
      <c r="N837">
        <v>0.97</v>
      </c>
      <c r="O837">
        <v>6.29</v>
      </c>
      <c r="P837">
        <v>1.2</v>
      </c>
      <c r="Q837">
        <v>6</v>
      </c>
      <c r="R837">
        <f>CORREL(BMW[units_sold],BMW[gdp_growth_percent])</f>
        <v>-5.2597817623217792E-17</v>
      </c>
    </row>
    <row r="838" spans="1:18" x14ac:dyDescent="0.35">
      <c r="A838">
        <v>2020</v>
      </c>
      <c r="B838" t="s">
        <v>43</v>
      </c>
      <c r="C838" t="s">
        <v>32</v>
      </c>
      <c r="D838" t="s">
        <v>29</v>
      </c>
      <c r="E838" t="s">
        <v>20</v>
      </c>
      <c r="F838" t="s">
        <v>20</v>
      </c>
      <c r="G838">
        <v>105934</v>
      </c>
      <c r="H838" t="s">
        <v>54</v>
      </c>
      <c r="I838">
        <v>238</v>
      </c>
      <c r="J838">
        <v>25212292</v>
      </c>
      <c r="K838">
        <v>400722</v>
      </c>
      <c r="L838">
        <v>24811570</v>
      </c>
      <c r="M838">
        <v>21</v>
      </c>
      <c r="N838">
        <v>0.97</v>
      </c>
      <c r="O838">
        <v>6.29</v>
      </c>
      <c r="P838">
        <v>1.2</v>
      </c>
      <c r="Q838">
        <v>9</v>
      </c>
      <c r="R838">
        <f>CORREL(BMW[units_sold],BMW[gdp_growth_percent])</f>
        <v>-5.2597817623217792E-17</v>
      </c>
    </row>
    <row r="839" spans="1:18" x14ac:dyDescent="0.35">
      <c r="A839">
        <v>2021</v>
      </c>
      <c r="B839" t="s">
        <v>45</v>
      </c>
      <c r="C839" t="s">
        <v>14</v>
      </c>
      <c r="D839" t="s">
        <v>34</v>
      </c>
      <c r="E839" t="s">
        <v>19</v>
      </c>
      <c r="F839" t="s">
        <v>27</v>
      </c>
      <c r="G839">
        <v>90830</v>
      </c>
      <c r="H839" t="s">
        <v>54</v>
      </c>
      <c r="I839">
        <v>629</v>
      </c>
      <c r="J839">
        <v>57132070</v>
      </c>
      <c r="K839">
        <v>139941</v>
      </c>
      <c r="L839">
        <v>56992129</v>
      </c>
      <c r="M839">
        <v>300</v>
      </c>
      <c r="N839">
        <v>0.97</v>
      </c>
      <c r="O839">
        <v>6.29</v>
      </c>
      <c r="P839">
        <v>1.2</v>
      </c>
      <c r="Q839">
        <v>8</v>
      </c>
      <c r="R839">
        <f>CORREL(BMW[units_sold],BMW[gdp_growth_percent])</f>
        <v>-5.2597817623217792E-17</v>
      </c>
    </row>
    <row r="840" spans="1:18" x14ac:dyDescent="0.35">
      <c r="A840">
        <v>2018</v>
      </c>
      <c r="B840" t="s">
        <v>43</v>
      </c>
      <c r="C840" t="s">
        <v>38</v>
      </c>
      <c r="D840" t="s">
        <v>18</v>
      </c>
      <c r="E840" t="s">
        <v>16</v>
      </c>
      <c r="F840" t="s">
        <v>23</v>
      </c>
      <c r="G840">
        <v>40529</v>
      </c>
      <c r="H840" t="s">
        <v>57</v>
      </c>
      <c r="I840">
        <v>662</v>
      </c>
      <c r="J840">
        <v>26830198</v>
      </c>
      <c r="K840">
        <v>308121</v>
      </c>
      <c r="L840">
        <v>26522077</v>
      </c>
      <c r="M840">
        <v>250</v>
      </c>
      <c r="N840">
        <v>0.97</v>
      </c>
      <c r="O840">
        <v>6.29</v>
      </c>
      <c r="P840">
        <v>1.2</v>
      </c>
      <c r="Q840">
        <v>7</v>
      </c>
      <c r="R840">
        <f>CORREL(BMW[units_sold],BMW[gdp_growth_percent])</f>
        <v>-5.2597817623217792E-17</v>
      </c>
    </row>
    <row r="841" spans="1:18" x14ac:dyDescent="0.35">
      <c r="A841">
        <v>2022</v>
      </c>
      <c r="B841" t="s">
        <v>42</v>
      </c>
      <c r="C841" t="s">
        <v>25</v>
      </c>
      <c r="D841" t="s">
        <v>15</v>
      </c>
      <c r="E841" t="s">
        <v>19</v>
      </c>
      <c r="F841" t="s">
        <v>27</v>
      </c>
      <c r="G841">
        <v>117987</v>
      </c>
      <c r="H841" t="s">
        <v>54</v>
      </c>
      <c r="I841">
        <v>80</v>
      </c>
      <c r="J841">
        <v>9438960</v>
      </c>
      <c r="K841">
        <v>61826</v>
      </c>
      <c r="L841">
        <v>9377134</v>
      </c>
      <c r="M841">
        <v>30</v>
      </c>
      <c r="N841">
        <v>0.97</v>
      </c>
      <c r="O841">
        <v>6.29</v>
      </c>
      <c r="P841">
        <v>1.2</v>
      </c>
      <c r="Q841">
        <v>10</v>
      </c>
      <c r="R841">
        <f>CORREL(BMW[units_sold],BMW[gdp_growth_percent])</f>
        <v>-5.2597817623217792E-17</v>
      </c>
    </row>
    <row r="842" spans="1:18" x14ac:dyDescent="0.35">
      <c r="A842">
        <v>2021</v>
      </c>
      <c r="B842" t="s">
        <v>52</v>
      </c>
      <c r="C842" t="s">
        <v>14</v>
      </c>
      <c r="D842" t="s">
        <v>29</v>
      </c>
      <c r="E842" t="s">
        <v>19</v>
      </c>
      <c r="F842" t="s">
        <v>23</v>
      </c>
      <c r="G842">
        <v>84178</v>
      </c>
      <c r="H842" t="s">
        <v>54</v>
      </c>
      <c r="I842">
        <v>401</v>
      </c>
      <c r="J842">
        <v>33755378</v>
      </c>
      <c r="K842">
        <v>194962</v>
      </c>
      <c r="L842">
        <v>33560416</v>
      </c>
      <c r="M842">
        <v>187</v>
      </c>
      <c r="N842">
        <v>0.97</v>
      </c>
      <c r="O842">
        <v>6.29</v>
      </c>
      <c r="P842">
        <v>1.2</v>
      </c>
      <c r="Q842">
        <v>8</v>
      </c>
      <c r="R842">
        <f>CORREL(BMW[units_sold],BMW[gdp_growth_percent])</f>
        <v>-5.2597817623217792E-17</v>
      </c>
    </row>
    <row r="843" spans="1:18" x14ac:dyDescent="0.35">
      <c r="A843">
        <v>2023</v>
      </c>
      <c r="B843" t="s">
        <v>41</v>
      </c>
      <c r="C843" t="s">
        <v>36</v>
      </c>
      <c r="D843" t="s">
        <v>34</v>
      </c>
      <c r="E843" t="s">
        <v>20</v>
      </c>
      <c r="F843" t="s">
        <v>17</v>
      </c>
      <c r="G843">
        <v>41937</v>
      </c>
      <c r="H843" t="s">
        <v>57</v>
      </c>
      <c r="I843">
        <v>588</v>
      </c>
      <c r="J843">
        <v>24658956</v>
      </c>
      <c r="K843">
        <v>394572</v>
      </c>
      <c r="L843">
        <v>24264384</v>
      </c>
      <c r="M843">
        <v>237</v>
      </c>
      <c r="N843">
        <v>0.97</v>
      </c>
      <c r="O843">
        <v>6.29</v>
      </c>
      <c r="P843">
        <v>1.2</v>
      </c>
      <c r="Q843">
        <v>6</v>
      </c>
      <c r="R843">
        <f>CORREL(BMW[units_sold],BMW[gdp_growth_percent])</f>
        <v>-5.2597817623217792E-17</v>
      </c>
    </row>
    <row r="844" spans="1:18" x14ac:dyDescent="0.35">
      <c r="A844">
        <v>2021</v>
      </c>
      <c r="B844" t="s">
        <v>50</v>
      </c>
      <c r="C844" t="s">
        <v>35</v>
      </c>
      <c r="D844" t="s">
        <v>34</v>
      </c>
      <c r="E844" t="s">
        <v>16</v>
      </c>
      <c r="F844" t="s">
        <v>27</v>
      </c>
      <c r="G844">
        <v>74886</v>
      </c>
      <c r="H844" t="s">
        <v>55</v>
      </c>
      <c r="I844">
        <v>935</v>
      </c>
      <c r="J844">
        <v>70018410</v>
      </c>
      <c r="K844">
        <v>176044</v>
      </c>
      <c r="L844">
        <v>69842366</v>
      </c>
      <c r="M844">
        <v>282</v>
      </c>
      <c r="N844">
        <v>0.97</v>
      </c>
      <c r="O844">
        <v>6.29</v>
      </c>
      <c r="P844">
        <v>1.2</v>
      </c>
      <c r="Q844">
        <v>9</v>
      </c>
      <c r="R844">
        <f>CORREL(BMW[units_sold],BMW[gdp_growth_percent])</f>
        <v>-5.2597817623217792E-17</v>
      </c>
    </row>
    <row r="845" spans="1:18" x14ac:dyDescent="0.35">
      <c r="A845">
        <v>2017</v>
      </c>
      <c r="B845" t="s">
        <v>48</v>
      </c>
      <c r="C845" t="s">
        <v>28</v>
      </c>
      <c r="D845" t="s">
        <v>24</v>
      </c>
      <c r="E845" t="s">
        <v>20</v>
      </c>
      <c r="F845" t="s">
        <v>27</v>
      </c>
      <c r="G845">
        <v>84699</v>
      </c>
      <c r="H845" t="s">
        <v>54</v>
      </c>
      <c r="I845">
        <v>796</v>
      </c>
      <c r="J845">
        <v>67420404</v>
      </c>
      <c r="K845">
        <v>239103</v>
      </c>
      <c r="L845">
        <v>67181301</v>
      </c>
      <c r="M845">
        <v>297</v>
      </c>
      <c r="N845">
        <v>0.97</v>
      </c>
      <c r="O845">
        <v>6.29</v>
      </c>
      <c r="P845">
        <v>1.2</v>
      </c>
      <c r="Q845">
        <v>3</v>
      </c>
      <c r="R845">
        <f>CORREL(BMW[units_sold],BMW[gdp_growth_percent])</f>
        <v>-5.2597817623217792E-17</v>
      </c>
    </row>
    <row r="846" spans="1:18" x14ac:dyDescent="0.35">
      <c r="A846">
        <v>2017</v>
      </c>
      <c r="B846" t="s">
        <v>45</v>
      </c>
      <c r="C846" t="s">
        <v>37</v>
      </c>
      <c r="D846" t="s">
        <v>24</v>
      </c>
      <c r="E846" t="s">
        <v>20</v>
      </c>
      <c r="F846" t="s">
        <v>17</v>
      </c>
      <c r="G846">
        <v>111396</v>
      </c>
      <c r="H846" t="s">
        <v>54</v>
      </c>
      <c r="I846">
        <v>964</v>
      </c>
      <c r="J846">
        <v>107385744</v>
      </c>
      <c r="K846">
        <v>387164</v>
      </c>
      <c r="L846">
        <v>106998580</v>
      </c>
      <c r="M846">
        <v>306</v>
      </c>
      <c r="N846">
        <v>0.97</v>
      </c>
      <c r="O846">
        <v>6.29</v>
      </c>
      <c r="P846">
        <v>1.2</v>
      </c>
      <c r="Q846">
        <v>10</v>
      </c>
      <c r="R846">
        <f>CORREL(BMW[units_sold],BMW[gdp_growth_percent])</f>
        <v>-5.2597817623217792E-17</v>
      </c>
    </row>
    <row r="847" spans="1:18" x14ac:dyDescent="0.35">
      <c r="A847">
        <v>2022</v>
      </c>
      <c r="B847" t="s">
        <v>47</v>
      </c>
      <c r="C847" t="s">
        <v>36</v>
      </c>
      <c r="D847" t="s">
        <v>24</v>
      </c>
      <c r="E847" t="s">
        <v>19</v>
      </c>
      <c r="F847" t="s">
        <v>23</v>
      </c>
      <c r="G847">
        <v>60279</v>
      </c>
      <c r="H847" t="s">
        <v>55</v>
      </c>
      <c r="I847">
        <v>312</v>
      </c>
      <c r="J847">
        <v>18807048</v>
      </c>
      <c r="K847">
        <v>55495</v>
      </c>
      <c r="L847">
        <v>18751553</v>
      </c>
      <c r="M847">
        <v>143</v>
      </c>
      <c r="N847">
        <v>0.97</v>
      </c>
      <c r="O847">
        <v>6.29</v>
      </c>
      <c r="P847">
        <v>1.2</v>
      </c>
      <c r="Q847">
        <v>10</v>
      </c>
      <c r="R847">
        <f>CORREL(BMW[units_sold],BMW[gdp_growth_percent])</f>
        <v>-5.2597817623217792E-17</v>
      </c>
    </row>
    <row r="848" spans="1:18" x14ac:dyDescent="0.35">
      <c r="A848">
        <v>2019</v>
      </c>
      <c r="B848" t="s">
        <v>46</v>
      </c>
      <c r="C848" t="s">
        <v>38</v>
      </c>
      <c r="D848" t="s">
        <v>26</v>
      </c>
      <c r="E848" t="s">
        <v>20</v>
      </c>
      <c r="F848" t="s">
        <v>20</v>
      </c>
      <c r="G848">
        <v>73106</v>
      </c>
      <c r="H848" t="s">
        <v>55</v>
      </c>
      <c r="I848">
        <v>977</v>
      </c>
      <c r="J848">
        <v>71424562</v>
      </c>
      <c r="K848">
        <v>78481</v>
      </c>
      <c r="L848">
        <v>71346081</v>
      </c>
      <c r="M848">
        <v>292</v>
      </c>
      <c r="N848">
        <v>0.97</v>
      </c>
      <c r="O848">
        <v>6.29</v>
      </c>
      <c r="P848">
        <v>1.2</v>
      </c>
      <c r="Q848">
        <v>9</v>
      </c>
      <c r="R848">
        <f>CORREL(BMW[units_sold],BMW[gdp_growth_percent])</f>
        <v>-5.2597817623217792E-17</v>
      </c>
    </row>
    <row r="849" spans="1:18" x14ac:dyDescent="0.35">
      <c r="A849">
        <v>2018</v>
      </c>
      <c r="B849" t="s">
        <v>52</v>
      </c>
      <c r="C849" t="s">
        <v>30</v>
      </c>
      <c r="D849" t="s">
        <v>26</v>
      </c>
      <c r="E849" t="s">
        <v>16</v>
      </c>
      <c r="F849" t="s">
        <v>17</v>
      </c>
      <c r="G849">
        <v>114737</v>
      </c>
      <c r="H849" t="s">
        <v>54</v>
      </c>
      <c r="I849">
        <v>747</v>
      </c>
      <c r="J849">
        <v>85708539</v>
      </c>
      <c r="K849">
        <v>192339</v>
      </c>
      <c r="L849">
        <v>85516200</v>
      </c>
      <c r="M849">
        <v>162</v>
      </c>
      <c r="N849">
        <v>0.97</v>
      </c>
      <c r="O849">
        <v>6.29</v>
      </c>
      <c r="P849">
        <v>1.2</v>
      </c>
      <c r="Q849">
        <v>4</v>
      </c>
      <c r="R849">
        <f>CORREL(BMW[units_sold],BMW[gdp_growth_percent])</f>
        <v>-5.2597817623217792E-17</v>
      </c>
    </row>
    <row r="850" spans="1:18" x14ac:dyDescent="0.35">
      <c r="A850">
        <v>2022</v>
      </c>
      <c r="B850" t="s">
        <v>45</v>
      </c>
      <c r="C850" t="s">
        <v>30</v>
      </c>
      <c r="D850" t="s">
        <v>34</v>
      </c>
      <c r="E850" t="s">
        <v>20</v>
      </c>
      <c r="F850" t="s">
        <v>20</v>
      </c>
      <c r="G850">
        <v>75544</v>
      </c>
      <c r="H850" t="s">
        <v>55</v>
      </c>
      <c r="I850">
        <v>581</v>
      </c>
      <c r="J850">
        <v>43891064</v>
      </c>
      <c r="K850">
        <v>430041</v>
      </c>
      <c r="L850">
        <v>43461023</v>
      </c>
      <c r="M850">
        <v>75</v>
      </c>
      <c r="N850">
        <v>0.97</v>
      </c>
      <c r="O850">
        <v>6.29</v>
      </c>
      <c r="P850">
        <v>1.2</v>
      </c>
      <c r="Q850">
        <v>7</v>
      </c>
      <c r="R850">
        <f>CORREL(BMW[units_sold],BMW[gdp_growth_percent])</f>
        <v>-5.2597817623217792E-17</v>
      </c>
    </row>
    <row r="851" spans="1:18" x14ac:dyDescent="0.35">
      <c r="A851">
        <v>2020</v>
      </c>
      <c r="B851" t="s">
        <v>52</v>
      </c>
      <c r="C851" t="s">
        <v>36</v>
      </c>
      <c r="D851" t="s">
        <v>24</v>
      </c>
      <c r="E851" t="s">
        <v>20</v>
      </c>
      <c r="F851" t="s">
        <v>20</v>
      </c>
      <c r="G851">
        <v>43997</v>
      </c>
      <c r="H851" t="s">
        <v>57</v>
      </c>
      <c r="I851">
        <v>389</v>
      </c>
      <c r="J851">
        <v>17114833</v>
      </c>
      <c r="K851">
        <v>286774</v>
      </c>
      <c r="L851">
        <v>16828059</v>
      </c>
      <c r="M851">
        <v>146</v>
      </c>
      <c r="N851">
        <v>0.97</v>
      </c>
      <c r="O851">
        <v>6.29</v>
      </c>
      <c r="P851">
        <v>1.2</v>
      </c>
      <c r="Q851">
        <v>9</v>
      </c>
      <c r="R851">
        <f>CORREL(BMW[units_sold],BMW[gdp_growth_percent])</f>
        <v>-5.2597817623217792E-17</v>
      </c>
    </row>
    <row r="852" spans="1:18" x14ac:dyDescent="0.35">
      <c r="A852">
        <v>2016</v>
      </c>
      <c r="B852" t="s">
        <v>52</v>
      </c>
      <c r="C852" t="s">
        <v>14</v>
      </c>
      <c r="D852" t="s">
        <v>39</v>
      </c>
      <c r="E852" t="s">
        <v>20</v>
      </c>
      <c r="F852" t="s">
        <v>17</v>
      </c>
      <c r="G852">
        <v>75860</v>
      </c>
      <c r="H852" t="s">
        <v>55</v>
      </c>
      <c r="I852">
        <v>330</v>
      </c>
      <c r="J852">
        <v>25033800</v>
      </c>
      <c r="K852">
        <v>187815</v>
      </c>
      <c r="L852">
        <v>24845985</v>
      </c>
      <c r="M852">
        <v>101</v>
      </c>
      <c r="N852">
        <v>0.97</v>
      </c>
      <c r="O852">
        <v>6.29</v>
      </c>
      <c r="P852">
        <v>1.2</v>
      </c>
      <c r="Q852">
        <v>2</v>
      </c>
      <c r="R852">
        <f>CORREL(BMW[units_sold],BMW[gdp_growth_percent])</f>
        <v>-5.2597817623217792E-17</v>
      </c>
    </row>
    <row r="853" spans="1:18" x14ac:dyDescent="0.35">
      <c r="A853">
        <v>2018</v>
      </c>
      <c r="B853" t="s">
        <v>45</v>
      </c>
      <c r="C853" t="s">
        <v>37</v>
      </c>
      <c r="D853" t="s">
        <v>18</v>
      </c>
      <c r="E853" t="s">
        <v>19</v>
      </c>
      <c r="F853" t="s">
        <v>23</v>
      </c>
      <c r="G853">
        <v>38225</v>
      </c>
      <c r="H853" t="s">
        <v>57</v>
      </c>
      <c r="I853">
        <v>1118</v>
      </c>
      <c r="J853">
        <v>42735550</v>
      </c>
      <c r="K853">
        <v>498016</v>
      </c>
      <c r="L853">
        <v>42237534</v>
      </c>
      <c r="M853">
        <v>326</v>
      </c>
      <c r="N853">
        <v>0.97</v>
      </c>
      <c r="O853">
        <v>6.29</v>
      </c>
      <c r="P853">
        <v>1.2</v>
      </c>
      <c r="Q853">
        <v>2</v>
      </c>
      <c r="R853">
        <f>CORREL(BMW[units_sold],BMW[gdp_growth_percent])</f>
        <v>-5.2597817623217792E-17</v>
      </c>
    </row>
    <row r="854" spans="1:18" x14ac:dyDescent="0.35">
      <c r="A854">
        <v>2018</v>
      </c>
      <c r="B854" t="s">
        <v>49</v>
      </c>
      <c r="C854" t="s">
        <v>21</v>
      </c>
      <c r="D854" t="s">
        <v>29</v>
      </c>
      <c r="E854" t="s">
        <v>16</v>
      </c>
      <c r="F854" t="s">
        <v>20</v>
      </c>
      <c r="G854">
        <v>94470</v>
      </c>
      <c r="H854" t="s">
        <v>54</v>
      </c>
      <c r="I854">
        <v>733</v>
      </c>
      <c r="J854">
        <v>69246510</v>
      </c>
      <c r="K854">
        <v>153475</v>
      </c>
      <c r="L854">
        <v>69093035</v>
      </c>
      <c r="M854">
        <v>268</v>
      </c>
      <c r="N854">
        <v>0.97</v>
      </c>
      <c r="O854">
        <v>6.29</v>
      </c>
      <c r="P854">
        <v>1.2</v>
      </c>
      <c r="Q854">
        <v>9</v>
      </c>
      <c r="R854">
        <f>CORREL(BMW[units_sold],BMW[gdp_growth_percent])</f>
        <v>-5.2597817623217792E-17</v>
      </c>
    </row>
    <row r="855" spans="1:18" x14ac:dyDescent="0.35">
      <c r="A855">
        <v>2020</v>
      </c>
      <c r="B855" t="s">
        <v>51</v>
      </c>
      <c r="C855" t="s">
        <v>21</v>
      </c>
      <c r="D855" t="s">
        <v>29</v>
      </c>
      <c r="E855" t="s">
        <v>19</v>
      </c>
      <c r="F855" t="s">
        <v>17</v>
      </c>
      <c r="G855">
        <v>98656</v>
      </c>
      <c r="H855" t="s">
        <v>54</v>
      </c>
      <c r="I855">
        <v>479</v>
      </c>
      <c r="J855">
        <v>47256224</v>
      </c>
      <c r="K855">
        <v>229845</v>
      </c>
      <c r="L855">
        <v>47026379</v>
      </c>
      <c r="M855">
        <v>112</v>
      </c>
      <c r="N855">
        <v>0.97</v>
      </c>
      <c r="O855">
        <v>6.29</v>
      </c>
      <c r="P855">
        <v>1.2</v>
      </c>
      <c r="Q855">
        <v>3</v>
      </c>
      <c r="R855">
        <f>CORREL(BMW[units_sold],BMW[gdp_growth_percent])</f>
        <v>-5.2597817623217792E-17</v>
      </c>
    </row>
    <row r="856" spans="1:18" x14ac:dyDescent="0.35">
      <c r="A856">
        <v>2020</v>
      </c>
      <c r="B856" t="s">
        <v>47</v>
      </c>
      <c r="C856" t="s">
        <v>38</v>
      </c>
      <c r="D856" t="s">
        <v>26</v>
      </c>
      <c r="E856" t="s">
        <v>19</v>
      </c>
      <c r="F856" t="s">
        <v>27</v>
      </c>
      <c r="G856">
        <v>86880</v>
      </c>
      <c r="H856" t="s">
        <v>54</v>
      </c>
      <c r="I856">
        <v>194</v>
      </c>
      <c r="J856">
        <v>16854720</v>
      </c>
      <c r="K856">
        <v>369186</v>
      </c>
      <c r="L856">
        <v>16485534</v>
      </c>
      <c r="M856">
        <v>64</v>
      </c>
      <c r="N856">
        <v>0.97</v>
      </c>
      <c r="O856">
        <v>6.29</v>
      </c>
      <c r="P856">
        <v>1.2</v>
      </c>
      <c r="Q856">
        <v>9</v>
      </c>
      <c r="R856">
        <f>CORREL(BMW[units_sold],BMW[gdp_growth_percent])</f>
        <v>-5.2597817623217792E-17</v>
      </c>
    </row>
    <row r="857" spans="1:18" x14ac:dyDescent="0.35">
      <c r="A857">
        <v>2015</v>
      </c>
      <c r="B857" t="s">
        <v>50</v>
      </c>
      <c r="C857" t="s">
        <v>14</v>
      </c>
      <c r="D857" t="s">
        <v>34</v>
      </c>
      <c r="E857" t="s">
        <v>19</v>
      </c>
      <c r="F857" t="s">
        <v>27</v>
      </c>
      <c r="G857">
        <v>96078</v>
      </c>
      <c r="H857" t="s">
        <v>54</v>
      </c>
      <c r="I857">
        <v>637</v>
      </c>
      <c r="J857">
        <v>61201686</v>
      </c>
      <c r="K857">
        <v>99476</v>
      </c>
      <c r="L857">
        <v>61102210</v>
      </c>
      <c r="M857">
        <v>266</v>
      </c>
      <c r="N857">
        <v>0.97</v>
      </c>
      <c r="O857">
        <v>6.29</v>
      </c>
      <c r="P857">
        <v>1.2</v>
      </c>
      <c r="Q857">
        <v>5</v>
      </c>
      <c r="R857">
        <f>CORREL(BMW[units_sold],BMW[gdp_growth_percent])</f>
        <v>-5.2597817623217792E-17</v>
      </c>
    </row>
    <row r="858" spans="1:18" x14ac:dyDescent="0.35">
      <c r="A858">
        <v>2022</v>
      </c>
      <c r="B858" t="s">
        <v>50</v>
      </c>
      <c r="C858" t="s">
        <v>32</v>
      </c>
      <c r="D858" t="s">
        <v>15</v>
      </c>
      <c r="E858" t="s">
        <v>19</v>
      </c>
      <c r="F858" t="s">
        <v>27</v>
      </c>
      <c r="G858">
        <v>111290</v>
      </c>
      <c r="H858" t="s">
        <v>54</v>
      </c>
      <c r="I858">
        <v>277</v>
      </c>
      <c r="J858">
        <v>30827330</v>
      </c>
      <c r="K858">
        <v>273177</v>
      </c>
      <c r="L858">
        <v>30554153</v>
      </c>
      <c r="M858">
        <v>110</v>
      </c>
      <c r="N858">
        <v>0.97</v>
      </c>
      <c r="O858">
        <v>6.29</v>
      </c>
      <c r="P858">
        <v>1.2</v>
      </c>
      <c r="Q858">
        <v>6</v>
      </c>
      <c r="R858">
        <f>CORREL(BMW[units_sold],BMW[gdp_growth_percent])</f>
        <v>-5.2597817623217792E-17</v>
      </c>
    </row>
    <row r="859" spans="1:18" x14ac:dyDescent="0.35">
      <c r="A859">
        <v>2020</v>
      </c>
      <c r="B859" t="s">
        <v>47</v>
      </c>
      <c r="C859" t="s">
        <v>32</v>
      </c>
      <c r="D859" t="s">
        <v>33</v>
      </c>
      <c r="E859" t="s">
        <v>19</v>
      </c>
      <c r="F859" t="s">
        <v>17</v>
      </c>
      <c r="G859">
        <v>91633</v>
      </c>
      <c r="H859" t="s">
        <v>54</v>
      </c>
      <c r="I859">
        <v>502</v>
      </c>
      <c r="J859">
        <v>45999766</v>
      </c>
      <c r="K859">
        <v>340696</v>
      </c>
      <c r="L859">
        <v>45659070</v>
      </c>
      <c r="M859">
        <v>207</v>
      </c>
      <c r="N859">
        <v>0.97</v>
      </c>
      <c r="O859">
        <v>6.29</v>
      </c>
      <c r="P859">
        <v>1.2</v>
      </c>
      <c r="Q859">
        <v>2</v>
      </c>
      <c r="R859">
        <f>CORREL(BMW[units_sold],BMW[gdp_growth_percent])</f>
        <v>-5.2597817623217792E-17</v>
      </c>
    </row>
    <row r="860" spans="1:18" x14ac:dyDescent="0.35">
      <c r="A860">
        <v>2017</v>
      </c>
      <c r="B860" t="s">
        <v>49</v>
      </c>
      <c r="C860" t="s">
        <v>28</v>
      </c>
      <c r="D860" t="s">
        <v>33</v>
      </c>
      <c r="E860" t="s">
        <v>16</v>
      </c>
      <c r="F860" t="s">
        <v>27</v>
      </c>
      <c r="G860">
        <v>61655</v>
      </c>
      <c r="H860" t="s">
        <v>55</v>
      </c>
      <c r="I860">
        <v>1066</v>
      </c>
      <c r="J860">
        <v>65724230</v>
      </c>
      <c r="K860">
        <v>246314</v>
      </c>
      <c r="L860">
        <v>65477916</v>
      </c>
      <c r="M860">
        <v>310</v>
      </c>
      <c r="N860">
        <v>0.97</v>
      </c>
      <c r="O860">
        <v>6.29</v>
      </c>
      <c r="P860">
        <v>1.2</v>
      </c>
      <c r="Q860">
        <v>8</v>
      </c>
      <c r="R860">
        <f>CORREL(BMW[units_sold],BMW[gdp_growth_percent])</f>
        <v>-5.2597817623217792E-17</v>
      </c>
    </row>
    <row r="861" spans="1:18" x14ac:dyDescent="0.35">
      <c r="A861">
        <v>2023</v>
      </c>
      <c r="B861" t="s">
        <v>43</v>
      </c>
      <c r="C861" t="s">
        <v>37</v>
      </c>
      <c r="D861" t="s">
        <v>26</v>
      </c>
      <c r="E861" t="s">
        <v>20</v>
      </c>
      <c r="F861" t="s">
        <v>20</v>
      </c>
      <c r="G861">
        <v>78601</v>
      </c>
      <c r="H861" t="s">
        <v>55</v>
      </c>
      <c r="I861">
        <v>810</v>
      </c>
      <c r="J861">
        <v>63666810</v>
      </c>
      <c r="K861">
        <v>488988</v>
      </c>
      <c r="L861">
        <v>63177822</v>
      </c>
      <c r="M861">
        <v>235</v>
      </c>
      <c r="N861">
        <v>0.97</v>
      </c>
      <c r="O861">
        <v>6.29</v>
      </c>
      <c r="P861">
        <v>1.2</v>
      </c>
      <c r="Q861">
        <v>9</v>
      </c>
      <c r="R861">
        <f>CORREL(BMW[units_sold],BMW[gdp_growth_percent])</f>
        <v>-5.2597817623217792E-17</v>
      </c>
    </row>
    <row r="862" spans="1:18" x14ac:dyDescent="0.35">
      <c r="A862">
        <v>2016</v>
      </c>
      <c r="B862" t="s">
        <v>50</v>
      </c>
      <c r="C862" t="s">
        <v>37</v>
      </c>
      <c r="D862" t="s">
        <v>15</v>
      </c>
      <c r="E862" t="s">
        <v>19</v>
      </c>
      <c r="F862" t="s">
        <v>27</v>
      </c>
      <c r="G862">
        <v>38114</v>
      </c>
      <c r="H862" t="s">
        <v>57</v>
      </c>
      <c r="I862">
        <v>968</v>
      </c>
      <c r="J862">
        <v>36894352</v>
      </c>
      <c r="K862">
        <v>486946</v>
      </c>
      <c r="L862">
        <v>36407406</v>
      </c>
      <c r="M862">
        <v>246</v>
      </c>
      <c r="N862">
        <v>0.97</v>
      </c>
      <c r="O862">
        <v>6.29</v>
      </c>
      <c r="P862">
        <v>1.2</v>
      </c>
      <c r="Q862">
        <v>2</v>
      </c>
      <c r="R862">
        <f>CORREL(BMW[units_sold],BMW[gdp_growth_percent])</f>
        <v>-5.2597817623217792E-17</v>
      </c>
    </row>
    <row r="863" spans="1:18" x14ac:dyDescent="0.35">
      <c r="A863">
        <v>2022</v>
      </c>
      <c r="B863" t="s">
        <v>52</v>
      </c>
      <c r="C863" t="s">
        <v>30</v>
      </c>
      <c r="D863" t="s">
        <v>26</v>
      </c>
      <c r="E863" t="s">
        <v>19</v>
      </c>
      <c r="F863" t="s">
        <v>27</v>
      </c>
      <c r="G863">
        <v>61502</v>
      </c>
      <c r="H863" t="s">
        <v>55</v>
      </c>
      <c r="I863">
        <v>270</v>
      </c>
      <c r="J863">
        <v>16605540</v>
      </c>
      <c r="K863">
        <v>210020</v>
      </c>
      <c r="L863">
        <v>16395520</v>
      </c>
      <c r="M863">
        <v>35</v>
      </c>
      <c r="N863">
        <v>0.97</v>
      </c>
      <c r="O863">
        <v>6.29</v>
      </c>
      <c r="P863">
        <v>1.2</v>
      </c>
      <c r="Q863">
        <v>6</v>
      </c>
      <c r="R863">
        <f>CORREL(BMW[units_sold],BMW[gdp_growth_percent])</f>
        <v>-5.2597817623217792E-17</v>
      </c>
    </row>
    <row r="864" spans="1:18" x14ac:dyDescent="0.35">
      <c r="A864">
        <v>2024</v>
      </c>
      <c r="B864" t="s">
        <v>42</v>
      </c>
      <c r="C864" t="s">
        <v>25</v>
      </c>
      <c r="D864" t="s">
        <v>33</v>
      </c>
      <c r="E864" t="s">
        <v>16</v>
      </c>
      <c r="F864" t="s">
        <v>20</v>
      </c>
      <c r="G864">
        <v>84768</v>
      </c>
      <c r="H864" t="s">
        <v>54</v>
      </c>
      <c r="I864">
        <v>451</v>
      </c>
      <c r="J864">
        <v>38230368</v>
      </c>
      <c r="K864">
        <v>257383</v>
      </c>
      <c r="L864">
        <v>37972985</v>
      </c>
      <c r="M864">
        <v>130</v>
      </c>
      <c r="N864">
        <v>0.97</v>
      </c>
      <c r="O864">
        <v>6.29</v>
      </c>
      <c r="P864">
        <v>1.2</v>
      </c>
      <c r="Q864">
        <v>6</v>
      </c>
      <c r="R864">
        <f>CORREL(BMW[units_sold],BMW[gdp_growth_percent])</f>
        <v>-5.2597817623217792E-17</v>
      </c>
    </row>
    <row r="865" spans="1:18" x14ac:dyDescent="0.35">
      <c r="A865">
        <v>2017</v>
      </c>
      <c r="B865" t="s">
        <v>46</v>
      </c>
      <c r="C865" t="s">
        <v>38</v>
      </c>
      <c r="D865" t="s">
        <v>15</v>
      </c>
      <c r="E865" t="s">
        <v>16</v>
      </c>
      <c r="F865" t="s">
        <v>27</v>
      </c>
      <c r="G865">
        <v>83128</v>
      </c>
      <c r="H865" t="s">
        <v>54</v>
      </c>
      <c r="I865">
        <v>512</v>
      </c>
      <c r="J865">
        <v>42561536</v>
      </c>
      <c r="K865">
        <v>119093</v>
      </c>
      <c r="L865">
        <v>42442443</v>
      </c>
      <c r="M865">
        <v>191</v>
      </c>
      <c r="N865">
        <v>0.97</v>
      </c>
      <c r="O865">
        <v>6.29</v>
      </c>
      <c r="P865">
        <v>1.2</v>
      </c>
      <c r="Q865">
        <v>8</v>
      </c>
      <c r="R865">
        <f>CORREL(BMW[units_sold],BMW[gdp_growth_percent])</f>
        <v>-5.2597817623217792E-17</v>
      </c>
    </row>
    <row r="866" spans="1:18" x14ac:dyDescent="0.35">
      <c r="A866">
        <v>2019</v>
      </c>
      <c r="B866" t="s">
        <v>41</v>
      </c>
      <c r="C866" t="s">
        <v>21</v>
      </c>
      <c r="D866" t="s">
        <v>24</v>
      </c>
      <c r="E866" t="s">
        <v>20</v>
      </c>
      <c r="F866" t="s">
        <v>20</v>
      </c>
      <c r="G866">
        <v>55028</v>
      </c>
      <c r="H866" t="s">
        <v>55</v>
      </c>
      <c r="I866">
        <v>685</v>
      </c>
      <c r="J866">
        <v>37694180</v>
      </c>
      <c r="K866">
        <v>119123</v>
      </c>
      <c r="L866">
        <v>37575057</v>
      </c>
      <c r="M866">
        <v>208</v>
      </c>
      <c r="N866">
        <v>0.97</v>
      </c>
      <c r="O866">
        <v>6.29</v>
      </c>
      <c r="P866">
        <v>1.2</v>
      </c>
      <c r="Q866">
        <v>10</v>
      </c>
      <c r="R866">
        <f>CORREL(BMW[units_sold],BMW[gdp_growth_percent])</f>
        <v>-5.2597817623217792E-17</v>
      </c>
    </row>
    <row r="867" spans="1:18" x14ac:dyDescent="0.35">
      <c r="A867">
        <v>2020</v>
      </c>
      <c r="B867" t="s">
        <v>50</v>
      </c>
      <c r="C867" t="s">
        <v>38</v>
      </c>
      <c r="D867" t="s">
        <v>34</v>
      </c>
      <c r="E867" t="s">
        <v>16</v>
      </c>
      <c r="F867" t="s">
        <v>27</v>
      </c>
      <c r="G867">
        <v>90565</v>
      </c>
      <c r="H867" t="s">
        <v>54</v>
      </c>
      <c r="I867">
        <v>1051</v>
      </c>
      <c r="J867">
        <v>95183815</v>
      </c>
      <c r="K867">
        <v>66535</v>
      </c>
      <c r="L867">
        <v>95117280</v>
      </c>
      <c r="M867">
        <v>311</v>
      </c>
      <c r="N867">
        <v>0.97</v>
      </c>
      <c r="O867">
        <v>6.29</v>
      </c>
      <c r="P867">
        <v>1.2</v>
      </c>
      <c r="Q867">
        <v>5</v>
      </c>
      <c r="R867">
        <f>CORREL(BMW[units_sold],BMW[gdp_growth_percent])</f>
        <v>-5.2597817623217792E-17</v>
      </c>
    </row>
    <row r="868" spans="1:18" x14ac:dyDescent="0.35">
      <c r="A868">
        <v>2024</v>
      </c>
      <c r="B868" t="s">
        <v>47</v>
      </c>
      <c r="C868" t="s">
        <v>32</v>
      </c>
      <c r="D868" t="s">
        <v>29</v>
      </c>
      <c r="E868" t="s">
        <v>20</v>
      </c>
      <c r="F868" t="s">
        <v>20</v>
      </c>
      <c r="G868">
        <v>118123</v>
      </c>
      <c r="H868" t="s">
        <v>54</v>
      </c>
      <c r="I868">
        <v>912</v>
      </c>
      <c r="J868">
        <v>107728176</v>
      </c>
      <c r="K868">
        <v>378634</v>
      </c>
      <c r="L868">
        <v>107349542</v>
      </c>
      <c r="M868">
        <v>264</v>
      </c>
      <c r="N868">
        <v>0.97</v>
      </c>
      <c r="O868">
        <v>6.29</v>
      </c>
      <c r="P868">
        <v>1.2</v>
      </c>
      <c r="Q868">
        <v>9</v>
      </c>
      <c r="R868">
        <f>CORREL(BMW[units_sold],BMW[gdp_growth_percent])</f>
        <v>-5.2597817623217792E-17</v>
      </c>
    </row>
    <row r="869" spans="1:18" x14ac:dyDescent="0.35">
      <c r="A869">
        <v>2020</v>
      </c>
      <c r="B869" t="s">
        <v>42</v>
      </c>
      <c r="C869" t="s">
        <v>32</v>
      </c>
      <c r="D869" t="s">
        <v>39</v>
      </c>
      <c r="E869" t="s">
        <v>19</v>
      </c>
      <c r="F869" t="s">
        <v>27</v>
      </c>
      <c r="G869">
        <v>70333</v>
      </c>
      <c r="H869" t="s">
        <v>55</v>
      </c>
      <c r="I869">
        <v>376</v>
      </c>
      <c r="J869">
        <v>26445208</v>
      </c>
      <c r="K869">
        <v>96562</v>
      </c>
      <c r="L869">
        <v>26348646</v>
      </c>
      <c r="M869">
        <v>131</v>
      </c>
      <c r="N869">
        <v>0.97</v>
      </c>
      <c r="O869">
        <v>6.29</v>
      </c>
      <c r="P869">
        <v>1.2</v>
      </c>
      <c r="Q869">
        <v>1</v>
      </c>
      <c r="R869">
        <f>CORREL(BMW[units_sold],BMW[gdp_growth_percent])</f>
        <v>-5.2597817623217792E-17</v>
      </c>
    </row>
    <row r="870" spans="1:18" x14ac:dyDescent="0.35">
      <c r="A870">
        <v>2018</v>
      </c>
      <c r="B870" t="s">
        <v>45</v>
      </c>
      <c r="C870" t="s">
        <v>36</v>
      </c>
      <c r="D870" t="s">
        <v>22</v>
      </c>
      <c r="E870" t="s">
        <v>19</v>
      </c>
      <c r="F870" t="s">
        <v>20</v>
      </c>
      <c r="G870">
        <v>38174</v>
      </c>
      <c r="H870" t="s">
        <v>57</v>
      </c>
      <c r="I870">
        <v>420</v>
      </c>
      <c r="J870">
        <v>16033080</v>
      </c>
      <c r="K870">
        <v>431186</v>
      </c>
      <c r="L870">
        <v>15601894</v>
      </c>
      <c r="M870">
        <v>40</v>
      </c>
      <c r="N870">
        <v>0.97</v>
      </c>
      <c r="O870">
        <v>6.29</v>
      </c>
      <c r="P870">
        <v>1.2</v>
      </c>
      <c r="Q870">
        <v>9</v>
      </c>
      <c r="R870">
        <f>CORREL(BMW[units_sold],BMW[gdp_growth_percent])</f>
        <v>-5.2597817623217792E-17</v>
      </c>
    </row>
    <row r="871" spans="1:18" x14ac:dyDescent="0.35">
      <c r="A871">
        <v>2017</v>
      </c>
      <c r="B871" t="s">
        <v>51</v>
      </c>
      <c r="C871" t="s">
        <v>28</v>
      </c>
      <c r="D871" t="s">
        <v>34</v>
      </c>
      <c r="E871" t="s">
        <v>20</v>
      </c>
      <c r="F871" t="s">
        <v>17</v>
      </c>
      <c r="G871">
        <v>70398</v>
      </c>
      <c r="H871" t="s">
        <v>55</v>
      </c>
      <c r="I871">
        <v>951</v>
      </c>
      <c r="J871">
        <v>66948498</v>
      </c>
      <c r="K871">
        <v>306323</v>
      </c>
      <c r="L871">
        <v>66642175</v>
      </c>
      <c r="M871">
        <v>324</v>
      </c>
      <c r="N871">
        <v>0.97</v>
      </c>
      <c r="O871">
        <v>6.29</v>
      </c>
      <c r="P871">
        <v>1.2</v>
      </c>
      <c r="Q871">
        <v>10</v>
      </c>
      <c r="R871">
        <f>CORREL(BMW[units_sold],BMW[gdp_growth_percent])</f>
        <v>-5.2597817623217792E-17</v>
      </c>
    </row>
    <row r="872" spans="1:18" x14ac:dyDescent="0.35">
      <c r="A872">
        <v>2018</v>
      </c>
      <c r="B872" t="s">
        <v>47</v>
      </c>
      <c r="C872" t="s">
        <v>37</v>
      </c>
      <c r="D872" t="s">
        <v>24</v>
      </c>
      <c r="E872" t="s">
        <v>16</v>
      </c>
      <c r="F872" t="s">
        <v>20</v>
      </c>
      <c r="G872">
        <v>70929</v>
      </c>
      <c r="H872" t="s">
        <v>55</v>
      </c>
      <c r="I872">
        <v>869</v>
      </c>
      <c r="J872">
        <v>61637301</v>
      </c>
      <c r="K872">
        <v>401224</v>
      </c>
      <c r="L872">
        <v>61236077</v>
      </c>
      <c r="M872">
        <v>294</v>
      </c>
      <c r="N872">
        <v>0.97</v>
      </c>
      <c r="O872">
        <v>6.29</v>
      </c>
      <c r="P872">
        <v>1.2</v>
      </c>
      <c r="Q872">
        <v>7</v>
      </c>
      <c r="R872">
        <f>CORREL(BMW[units_sold],BMW[gdp_growth_percent])</f>
        <v>-5.2597817623217792E-17</v>
      </c>
    </row>
    <row r="873" spans="1:18" x14ac:dyDescent="0.35">
      <c r="A873">
        <v>2015</v>
      </c>
      <c r="B873" t="s">
        <v>43</v>
      </c>
      <c r="C873" t="s">
        <v>35</v>
      </c>
      <c r="D873" t="s">
        <v>33</v>
      </c>
      <c r="E873" t="s">
        <v>20</v>
      </c>
      <c r="F873" t="s">
        <v>27</v>
      </c>
      <c r="G873">
        <v>39321</v>
      </c>
      <c r="H873" t="s">
        <v>57</v>
      </c>
      <c r="I873">
        <v>367</v>
      </c>
      <c r="J873">
        <v>14430807</v>
      </c>
      <c r="K873">
        <v>308916</v>
      </c>
      <c r="L873">
        <v>14121891</v>
      </c>
      <c r="M873">
        <v>115</v>
      </c>
      <c r="N873">
        <v>0.97</v>
      </c>
      <c r="O873">
        <v>6.29</v>
      </c>
      <c r="P873">
        <v>1.2</v>
      </c>
      <c r="Q873">
        <v>4</v>
      </c>
      <c r="R873">
        <f>CORREL(BMW[units_sold],BMW[gdp_growth_percent])</f>
        <v>-5.2597817623217792E-17</v>
      </c>
    </row>
    <row r="874" spans="1:18" x14ac:dyDescent="0.35">
      <c r="A874">
        <v>2018</v>
      </c>
      <c r="B874" t="s">
        <v>52</v>
      </c>
      <c r="C874" t="s">
        <v>38</v>
      </c>
      <c r="D874" t="s">
        <v>24</v>
      </c>
      <c r="E874" t="s">
        <v>16</v>
      </c>
      <c r="F874" t="s">
        <v>27</v>
      </c>
      <c r="G874">
        <v>90421</v>
      </c>
      <c r="H874" t="s">
        <v>54</v>
      </c>
      <c r="I874">
        <v>591</v>
      </c>
      <c r="J874">
        <v>53438811</v>
      </c>
      <c r="K874">
        <v>239607</v>
      </c>
      <c r="L874">
        <v>53199204</v>
      </c>
      <c r="M874">
        <v>233</v>
      </c>
      <c r="N874">
        <v>0.97</v>
      </c>
      <c r="O874">
        <v>6.29</v>
      </c>
      <c r="P874">
        <v>1.2</v>
      </c>
      <c r="Q874">
        <v>3</v>
      </c>
      <c r="R874">
        <f>CORREL(BMW[units_sold],BMW[gdp_growth_percent])</f>
        <v>-5.2597817623217792E-17</v>
      </c>
    </row>
    <row r="875" spans="1:18" x14ac:dyDescent="0.35">
      <c r="A875">
        <v>2015</v>
      </c>
      <c r="B875" t="s">
        <v>51</v>
      </c>
      <c r="C875" t="s">
        <v>32</v>
      </c>
      <c r="D875" t="s">
        <v>26</v>
      </c>
      <c r="E875" t="s">
        <v>19</v>
      </c>
      <c r="F875" t="s">
        <v>23</v>
      </c>
      <c r="G875">
        <v>107635</v>
      </c>
      <c r="H875" t="s">
        <v>54</v>
      </c>
      <c r="I875">
        <v>662</v>
      </c>
      <c r="J875">
        <v>71254370</v>
      </c>
      <c r="K875">
        <v>280063</v>
      </c>
      <c r="L875">
        <v>70974307</v>
      </c>
      <c r="M875">
        <v>282</v>
      </c>
      <c r="N875">
        <v>0.97</v>
      </c>
      <c r="O875">
        <v>6.29</v>
      </c>
      <c r="P875">
        <v>1.2</v>
      </c>
      <c r="Q875">
        <v>10</v>
      </c>
      <c r="R875">
        <f>CORREL(BMW[units_sold],BMW[gdp_growth_percent])</f>
        <v>-5.2597817623217792E-17</v>
      </c>
    </row>
    <row r="876" spans="1:18" x14ac:dyDescent="0.35">
      <c r="A876">
        <v>2015</v>
      </c>
      <c r="B876" t="s">
        <v>46</v>
      </c>
      <c r="C876" t="s">
        <v>25</v>
      </c>
      <c r="D876" t="s">
        <v>15</v>
      </c>
      <c r="E876" t="s">
        <v>16</v>
      </c>
      <c r="F876" t="s">
        <v>20</v>
      </c>
      <c r="G876">
        <v>58760</v>
      </c>
      <c r="H876" t="s">
        <v>55</v>
      </c>
      <c r="I876">
        <v>916</v>
      </c>
      <c r="J876">
        <v>53824160</v>
      </c>
      <c r="K876">
        <v>91269</v>
      </c>
      <c r="L876">
        <v>53732891</v>
      </c>
      <c r="M876">
        <v>241</v>
      </c>
      <c r="N876">
        <v>0.97</v>
      </c>
      <c r="O876">
        <v>6.29</v>
      </c>
      <c r="P876">
        <v>1.2</v>
      </c>
      <c r="Q876">
        <v>6</v>
      </c>
      <c r="R876">
        <f>CORREL(BMW[units_sold],BMW[gdp_growth_percent])</f>
        <v>-5.2597817623217792E-17</v>
      </c>
    </row>
    <row r="877" spans="1:18" x14ac:dyDescent="0.35">
      <c r="A877">
        <v>2024</v>
      </c>
      <c r="B877" t="s">
        <v>46</v>
      </c>
      <c r="C877" t="s">
        <v>30</v>
      </c>
      <c r="D877" t="s">
        <v>29</v>
      </c>
      <c r="E877" t="s">
        <v>20</v>
      </c>
      <c r="F877" t="s">
        <v>17</v>
      </c>
      <c r="G877">
        <v>46360</v>
      </c>
      <c r="H877" t="s">
        <v>57</v>
      </c>
      <c r="I877">
        <v>695</v>
      </c>
      <c r="J877">
        <v>32220200</v>
      </c>
      <c r="K877">
        <v>130674</v>
      </c>
      <c r="L877">
        <v>32089526</v>
      </c>
      <c r="M877">
        <v>265</v>
      </c>
      <c r="N877">
        <v>0.97</v>
      </c>
      <c r="O877">
        <v>6.29</v>
      </c>
      <c r="P877">
        <v>1.2</v>
      </c>
      <c r="Q877">
        <v>1</v>
      </c>
      <c r="R877">
        <f>CORREL(BMW[units_sold],BMW[gdp_growth_percent])</f>
        <v>-5.2597817623217792E-17</v>
      </c>
    </row>
    <row r="878" spans="1:18" x14ac:dyDescent="0.35">
      <c r="A878">
        <v>2020</v>
      </c>
      <c r="B878" t="s">
        <v>49</v>
      </c>
      <c r="C878" t="s">
        <v>21</v>
      </c>
      <c r="D878" t="s">
        <v>18</v>
      </c>
      <c r="E878" t="s">
        <v>20</v>
      </c>
      <c r="F878" t="s">
        <v>20</v>
      </c>
      <c r="G878">
        <v>45313</v>
      </c>
      <c r="H878" t="s">
        <v>57</v>
      </c>
      <c r="I878">
        <v>530</v>
      </c>
      <c r="J878">
        <v>24015890</v>
      </c>
      <c r="K878">
        <v>354606</v>
      </c>
      <c r="L878">
        <v>23661284</v>
      </c>
      <c r="M878">
        <v>33</v>
      </c>
      <c r="N878">
        <v>0.97</v>
      </c>
      <c r="O878">
        <v>6.29</v>
      </c>
      <c r="P878">
        <v>1.2</v>
      </c>
      <c r="Q878">
        <v>3</v>
      </c>
      <c r="R878">
        <f>CORREL(BMW[units_sold],BMW[gdp_growth_percent])</f>
        <v>-5.2597817623217792E-17</v>
      </c>
    </row>
    <row r="879" spans="1:18" x14ac:dyDescent="0.35">
      <c r="A879">
        <v>2019</v>
      </c>
      <c r="B879" t="s">
        <v>48</v>
      </c>
      <c r="C879" t="s">
        <v>28</v>
      </c>
      <c r="D879" t="s">
        <v>26</v>
      </c>
      <c r="E879" t="s">
        <v>19</v>
      </c>
      <c r="F879" t="s">
        <v>20</v>
      </c>
      <c r="G879">
        <v>40801</v>
      </c>
      <c r="H879" t="s">
        <v>57</v>
      </c>
      <c r="I879">
        <v>716</v>
      </c>
      <c r="J879">
        <v>29213516</v>
      </c>
      <c r="K879">
        <v>446343</v>
      </c>
      <c r="L879">
        <v>28767173</v>
      </c>
      <c r="M879">
        <v>118</v>
      </c>
      <c r="N879">
        <v>0.97</v>
      </c>
      <c r="O879">
        <v>6.29</v>
      </c>
      <c r="P879">
        <v>1.2</v>
      </c>
      <c r="Q879">
        <v>2</v>
      </c>
      <c r="R879">
        <f>CORREL(BMW[units_sold],BMW[gdp_growth_percent])</f>
        <v>-5.2597817623217792E-17</v>
      </c>
    </row>
    <row r="880" spans="1:18" x14ac:dyDescent="0.35">
      <c r="A880">
        <v>2018</v>
      </c>
      <c r="B880" t="s">
        <v>49</v>
      </c>
      <c r="C880" t="s">
        <v>25</v>
      </c>
      <c r="D880" t="s">
        <v>34</v>
      </c>
      <c r="E880" t="s">
        <v>16</v>
      </c>
      <c r="F880" t="s">
        <v>17</v>
      </c>
      <c r="G880">
        <v>49130</v>
      </c>
      <c r="H880" t="s">
        <v>57</v>
      </c>
      <c r="I880">
        <v>533</v>
      </c>
      <c r="J880">
        <v>26186290</v>
      </c>
      <c r="K880">
        <v>335291</v>
      </c>
      <c r="L880">
        <v>25850999</v>
      </c>
      <c r="M880">
        <v>200</v>
      </c>
      <c r="N880">
        <v>0.97</v>
      </c>
      <c r="O880">
        <v>6.29</v>
      </c>
      <c r="P880">
        <v>1.2</v>
      </c>
      <c r="Q880">
        <v>9</v>
      </c>
      <c r="R880">
        <f>CORREL(BMW[units_sold],BMW[gdp_growth_percent])</f>
        <v>-5.2597817623217792E-17</v>
      </c>
    </row>
    <row r="881" spans="1:18" x14ac:dyDescent="0.35">
      <c r="A881">
        <v>2017</v>
      </c>
      <c r="B881" t="s">
        <v>43</v>
      </c>
      <c r="C881" t="s">
        <v>28</v>
      </c>
      <c r="D881" t="s">
        <v>26</v>
      </c>
      <c r="E881" t="s">
        <v>16</v>
      </c>
      <c r="F881" t="s">
        <v>20</v>
      </c>
      <c r="G881">
        <v>49271</v>
      </c>
      <c r="H881" t="s">
        <v>57</v>
      </c>
      <c r="I881">
        <v>967</v>
      </c>
      <c r="J881">
        <v>47645057</v>
      </c>
      <c r="K881">
        <v>488744</v>
      </c>
      <c r="L881">
        <v>47156313</v>
      </c>
      <c r="M881">
        <v>356</v>
      </c>
      <c r="N881">
        <v>0.97</v>
      </c>
      <c r="O881">
        <v>6.29</v>
      </c>
      <c r="P881">
        <v>1.2</v>
      </c>
      <c r="Q881">
        <v>3</v>
      </c>
      <c r="R881">
        <f>CORREL(BMW[units_sold],BMW[gdp_growth_percent])</f>
        <v>-5.2597817623217792E-17</v>
      </c>
    </row>
    <row r="882" spans="1:18" x14ac:dyDescent="0.35">
      <c r="A882">
        <v>2015</v>
      </c>
      <c r="B882" t="s">
        <v>42</v>
      </c>
      <c r="C882" t="s">
        <v>36</v>
      </c>
      <c r="D882" t="s">
        <v>34</v>
      </c>
      <c r="E882" t="s">
        <v>16</v>
      </c>
      <c r="F882" t="s">
        <v>17</v>
      </c>
      <c r="G882">
        <v>51075</v>
      </c>
      <c r="H882" t="s">
        <v>55</v>
      </c>
      <c r="I882">
        <v>388</v>
      </c>
      <c r="J882">
        <v>19817100</v>
      </c>
      <c r="K882">
        <v>127095</v>
      </c>
      <c r="L882">
        <v>19690005</v>
      </c>
      <c r="M882">
        <v>34</v>
      </c>
      <c r="N882">
        <v>0.97</v>
      </c>
      <c r="O882">
        <v>6.29</v>
      </c>
      <c r="P882">
        <v>1.2</v>
      </c>
      <c r="Q882">
        <v>2</v>
      </c>
      <c r="R882">
        <f>CORREL(BMW[units_sold],BMW[gdp_growth_percent])</f>
        <v>-5.2597817623217792E-17</v>
      </c>
    </row>
    <row r="883" spans="1:18" x14ac:dyDescent="0.35">
      <c r="A883">
        <v>2020</v>
      </c>
      <c r="B883" t="s">
        <v>51</v>
      </c>
      <c r="C883" t="s">
        <v>35</v>
      </c>
      <c r="D883" t="s">
        <v>18</v>
      </c>
      <c r="E883" t="s">
        <v>19</v>
      </c>
      <c r="F883" t="s">
        <v>17</v>
      </c>
      <c r="G883">
        <v>53984</v>
      </c>
      <c r="H883" t="s">
        <v>55</v>
      </c>
      <c r="I883">
        <v>545</v>
      </c>
      <c r="J883">
        <v>29421280</v>
      </c>
      <c r="K883">
        <v>294172</v>
      </c>
      <c r="L883">
        <v>29127108</v>
      </c>
      <c r="M883">
        <v>196</v>
      </c>
      <c r="N883">
        <v>0.97</v>
      </c>
      <c r="O883">
        <v>6.29</v>
      </c>
      <c r="P883">
        <v>1.2</v>
      </c>
      <c r="Q883">
        <v>4</v>
      </c>
      <c r="R883">
        <f>CORREL(BMW[units_sold],BMW[gdp_growth_percent])</f>
        <v>-5.2597817623217792E-17</v>
      </c>
    </row>
    <row r="884" spans="1:18" x14ac:dyDescent="0.35">
      <c r="A884">
        <v>2016</v>
      </c>
      <c r="B884" t="s">
        <v>48</v>
      </c>
      <c r="C884" t="s">
        <v>32</v>
      </c>
      <c r="D884" t="s">
        <v>31</v>
      </c>
      <c r="E884" t="s">
        <v>16</v>
      </c>
      <c r="F884" t="s">
        <v>20</v>
      </c>
      <c r="G884">
        <v>95942</v>
      </c>
      <c r="H884" t="s">
        <v>54</v>
      </c>
      <c r="I884">
        <v>892</v>
      </c>
      <c r="J884">
        <v>85580264</v>
      </c>
      <c r="K884">
        <v>250003</v>
      </c>
      <c r="L884">
        <v>85330261</v>
      </c>
      <c r="M884">
        <v>297</v>
      </c>
      <c r="N884">
        <v>0.97</v>
      </c>
      <c r="O884">
        <v>6.29</v>
      </c>
      <c r="P884">
        <v>1.2</v>
      </c>
      <c r="Q884">
        <v>2</v>
      </c>
      <c r="R884">
        <f>CORREL(BMW[units_sold],BMW[gdp_growth_percent])</f>
        <v>-5.2597817623217792E-17</v>
      </c>
    </row>
    <row r="885" spans="1:18" x14ac:dyDescent="0.35">
      <c r="A885">
        <v>2022</v>
      </c>
      <c r="B885" t="s">
        <v>45</v>
      </c>
      <c r="C885" t="s">
        <v>30</v>
      </c>
      <c r="D885" t="s">
        <v>29</v>
      </c>
      <c r="E885" t="s">
        <v>20</v>
      </c>
      <c r="F885" t="s">
        <v>20</v>
      </c>
      <c r="G885">
        <v>47861</v>
      </c>
      <c r="H885" t="s">
        <v>57</v>
      </c>
      <c r="I885">
        <v>669</v>
      </c>
      <c r="J885">
        <v>32019009</v>
      </c>
      <c r="K885">
        <v>140925</v>
      </c>
      <c r="L885">
        <v>31878084</v>
      </c>
      <c r="M885">
        <v>125</v>
      </c>
      <c r="N885">
        <v>0.97</v>
      </c>
      <c r="O885">
        <v>6.29</v>
      </c>
      <c r="P885">
        <v>1.2</v>
      </c>
      <c r="Q885">
        <v>1</v>
      </c>
      <c r="R885">
        <f>CORREL(BMW[units_sold],BMW[gdp_growth_percent])</f>
        <v>-5.2597817623217792E-17</v>
      </c>
    </row>
    <row r="886" spans="1:18" x14ac:dyDescent="0.35">
      <c r="A886">
        <v>2024</v>
      </c>
      <c r="B886" t="s">
        <v>52</v>
      </c>
      <c r="C886" t="s">
        <v>25</v>
      </c>
      <c r="D886" t="s">
        <v>39</v>
      </c>
      <c r="E886" t="s">
        <v>16</v>
      </c>
      <c r="F886" t="s">
        <v>27</v>
      </c>
      <c r="G886">
        <v>117203</v>
      </c>
      <c r="H886" t="s">
        <v>54</v>
      </c>
      <c r="I886">
        <v>926</v>
      </c>
      <c r="J886">
        <v>108529978</v>
      </c>
      <c r="K886">
        <v>116381</v>
      </c>
      <c r="L886">
        <v>108413597</v>
      </c>
      <c r="M886">
        <v>347</v>
      </c>
      <c r="N886">
        <v>0.97</v>
      </c>
      <c r="O886">
        <v>6.29</v>
      </c>
      <c r="P886">
        <v>1.2</v>
      </c>
      <c r="Q886">
        <v>6</v>
      </c>
      <c r="R886">
        <f>CORREL(BMW[units_sold],BMW[gdp_growth_percent])</f>
        <v>-5.2597817623217792E-17</v>
      </c>
    </row>
    <row r="887" spans="1:18" x14ac:dyDescent="0.35">
      <c r="A887">
        <v>2019</v>
      </c>
      <c r="B887" t="s">
        <v>51</v>
      </c>
      <c r="C887" t="s">
        <v>28</v>
      </c>
      <c r="D887" t="s">
        <v>39</v>
      </c>
      <c r="E887" t="s">
        <v>19</v>
      </c>
      <c r="F887" t="s">
        <v>27</v>
      </c>
      <c r="G887">
        <v>106376</v>
      </c>
      <c r="H887" t="s">
        <v>54</v>
      </c>
      <c r="I887">
        <v>749</v>
      </c>
      <c r="J887">
        <v>79675624</v>
      </c>
      <c r="K887">
        <v>149468</v>
      </c>
      <c r="L887">
        <v>79526156</v>
      </c>
      <c r="M887">
        <v>375</v>
      </c>
      <c r="N887">
        <v>0.97</v>
      </c>
      <c r="O887">
        <v>6.29</v>
      </c>
      <c r="P887">
        <v>1.2</v>
      </c>
      <c r="Q887">
        <v>10</v>
      </c>
      <c r="R887">
        <f>CORREL(BMW[units_sold],BMW[gdp_growth_percent])</f>
        <v>-5.2597817623217792E-17</v>
      </c>
    </row>
    <row r="888" spans="1:18" x14ac:dyDescent="0.35">
      <c r="A888">
        <v>2021</v>
      </c>
      <c r="B888" t="s">
        <v>49</v>
      </c>
      <c r="C888" t="s">
        <v>37</v>
      </c>
      <c r="D888" t="s">
        <v>22</v>
      </c>
      <c r="E888" t="s">
        <v>16</v>
      </c>
      <c r="F888" t="s">
        <v>23</v>
      </c>
      <c r="G888">
        <v>96247</v>
      </c>
      <c r="H888" t="s">
        <v>54</v>
      </c>
      <c r="I888">
        <v>136</v>
      </c>
      <c r="J888">
        <v>13089592</v>
      </c>
      <c r="K888">
        <v>292330</v>
      </c>
      <c r="L888">
        <v>12797262</v>
      </c>
      <c r="M888">
        <v>46</v>
      </c>
      <c r="N888">
        <v>0.97</v>
      </c>
      <c r="O888">
        <v>6.29</v>
      </c>
      <c r="P888">
        <v>1.2</v>
      </c>
      <c r="Q888">
        <v>8</v>
      </c>
      <c r="R888">
        <f>CORREL(BMW[units_sold],BMW[gdp_growth_percent])</f>
        <v>-5.2597817623217792E-17</v>
      </c>
    </row>
    <row r="889" spans="1:18" x14ac:dyDescent="0.35">
      <c r="A889">
        <v>2024</v>
      </c>
      <c r="B889" t="s">
        <v>41</v>
      </c>
      <c r="C889" t="s">
        <v>36</v>
      </c>
      <c r="D889" t="s">
        <v>24</v>
      </c>
      <c r="E889" t="s">
        <v>16</v>
      </c>
      <c r="F889" t="s">
        <v>23</v>
      </c>
      <c r="G889">
        <v>104101</v>
      </c>
      <c r="H889" t="s">
        <v>54</v>
      </c>
      <c r="I889">
        <v>727</v>
      </c>
      <c r="J889">
        <v>75681427</v>
      </c>
      <c r="K889">
        <v>375893</v>
      </c>
      <c r="L889">
        <v>75305534</v>
      </c>
      <c r="M889">
        <v>291</v>
      </c>
      <c r="N889">
        <v>0.97</v>
      </c>
      <c r="O889">
        <v>6.29</v>
      </c>
      <c r="P889">
        <v>1.2</v>
      </c>
      <c r="Q889">
        <v>10</v>
      </c>
      <c r="R889">
        <f>CORREL(BMW[units_sold],BMW[gdp_growth_percent])</f>
        <v>-5.2597817623217792E-17</v>
      </c>
    </row>
    <row r="890" spans="1:18" x14ac:dyDescent="0.35">
      <c r="A890">
        <v>2016</v>
      </c>
      <c r="B890" t="s">
        <v>44</v>
      </c>
      <c r="C890" t="s">
        <v>37</v>
      </c>
      <c r="D890" t="s">
        <v>31</v>
      </c>
      <c r="E890" t="s">
        <v>20</v>
      </c>
      <c r="F890" t="s">
        <v>20</v>
      </c>
      <c r="G890">
        <v>55977</v>
      </c>
      <c r="H890" t="s">
        <v>55</v>
      </c>
      <c r="I890">
        <v>600</v>
      </c>
      <c r="J890">
        <v>33586200</v>
      </c>
      <c r="K890">
        <v>481888</v>
      </c>
      <c r="L890">
        <v>33104312</v>
      </c>
      <c r="M890">
        <v>146</v>
      </c>
      <c r="N890">
        <v>0.97</v>
      </c>
      <c r="O890">
        <v>6.29</v>
      </c>
      <c r="P890">
        <v>1.2</v>
      </c>
      <c r="Q890">
        <v>10</v>
      </c>
      <c r="R890">
        <f>CORREL(BMW[units_sold],BMW[gdp_growth_percent])</f>
        <v>-5.2597817623217792E-17</v>
      </c>
    </row>
    <row r="891" spans="1:18" x14ac:dyDescent="0.35">
      <c r="A891">
        <v>2022</v>
      </c>
      <c r="B891" t="s">
        <v>48</v>
      </c>
      <c r="C891" t="s">
        <v>30</v>
      </c>
      <c r="D891" t="s">
        <v>39</v>
      </c>
      <c r="E891" t="s">
        <v>16</v>
      </c>
      <c r="F891" t="s">
        <v>17</v>
      </c>
      <c r="G891">
        <v>85617</v>
      </c>
      <c r="H891" t="s">
        <v>54</v>
      </c>
      <c r="I891">
        <v>674</v>
      </c>
      <c r="J891">
        <v>57705858</v>
      </c>
      <c r="K891">
        <v>63731</v>
      </c>
      <c r="L891">
        <v>57642127</v>
      </c>
      <c r="M891">
        <v>236</v>
      </c>
      <c r="N891">
        <v>0.97</v>
      </c>
      <c r="O891">
        <v>6.29</v>
      </c>
      <c r="P891">
        <v>1.2</v>
      </c>
      <c r="Q891">
        <v>2</v>
      </c>
      <c r="R891">
        <f>CORREL(BMW[units_sold],BMW[gdp_growth_percent])</f>
        <v>-5.2597817623217792E-17</v>
      </c>
    </row>
    <row r="892" spans="1:18" x14ac:dyDescent="0.35">
      <c r="A892">
        <v>2016</v>
      </c>
      <c r="B892" t="s">
        <v>48</v>
      </c>
      <c r="C892" t="s">
        <v>25</v>
      </c>
      <c r="D892" t="s">
        <v>26</v>
      </c>
      <c r="E892" t="s">
        <v>20</v>
      </c>
      <c r="F892" t="s">
        <v>23</v>
      </c>
      <c r="G892">
        <v>92473</v>
      </c>
      <c r="H892" t="s">
        <v>54</v>
      </c>
      <c r="I892">
        <v>935</v>
      </c>
      <c r="J892">
        <v>86462255</v>
      </c>
      <c r="K892">
        <v>436791</v>
      </c>
      <c r="L892">
        <v>86025464</v>
      </c>
      <c r="M892">
        <v>329</v>
      </c>
      <c r="N892">
        <v>0.97</v>
      </c>
      <c r="O892">
        <v>6.29</v>
      </c>
      <c r="P892">
        <v>1.2</v>
      </c>
      <c r="Q892">
        <v>9</v>
      </c>
      <c r="R892">
        <f>CORREL(BMW[units_sold],BMW[gdp_growth_percent])</f>
        <v>-5.2597817623217792E-17</v>
      </c>
    </row>
    <row r="893" spans="1:18" x14ac:dyDescent="0.35">
      <c r="A893">
        <v>2018</v>
      </c>
      <c r="B893" t="s">
        <v>43</v>
      </c>
      <c r="C893" t="s">
        <v>36</v>
      </c>
      <c r="D893" t="s">
        <v>24</v>
      </c>
      <c r="E893" t="s">
        <v>20</v>
      </c>
      <c r="F893" t="s">
        <v>20</v>
      </c>
      <c r="G893">
        <v>107902</v>
      </c>
      <c r="H893" t="s">
        <v>54</v>
      </c>
      <c r="I893">
        <v>719</v>
      </c>
      <c r="J893">
        <v>77581538</v>
      </c>
      <c r="K893">
        <v>497728</v>
      </c>
      <c r="L893">
        <v>77083810</v>
      </c>
      <c r="M893">
        <v>337</v>
      </c>
      <c r="N893">
        <v>0.97</v>
      </c>
      <c r="O893">
        <v>6.29</v>
      </c>
      <c r="P893">
        <v>1.2</v>
      </c>
      <c r="Q893">
        <v>3</v>
      </c>
      <c r="R893">
        <f>CORREL(BMW[units_sold],BMW[gdp_growth_percent])</f>
        <v>-5.2597817623217792E-17</v>
      </c>
    </row>
    <row r="894" spans="1:18" x14ac:dyDescent="0.35">
      <c r="A894">
        <v>2015</v>
      </c>
      <c r="B894" t="s">
        <v>52</v>
      </c>
      <c r="C894" t="s">
        <v>25</v>
      </c>
      <c r="D894" t="s">
        <v>31</v>
      </c>
      <c r="E894" t="s">
        <v>19</v>
      </c>
      <c r="F894" t="s">
        <v>23</v>
      </c>
      <c r="G894">
        <v>50630</v>
      </c>
      <c r="H894" t="s">
        <v>55</v>
      </c>
      <c r="I894">
        <v>780</v>
      </c>
      <c r="J894">
        <v>39491400</v>
      </c>
      <c r="K894">
        <v>101024</v>
      </c>
      <c r="L894">
        <v>39390376</v>
      </c>
      <c r="M894">
        <v>191</v>
      </c>
      <c r="N894">
        <v>0.97</v>
      </c>
      <c r="O894">
        <v>6.29</v>
      </c>
      <c r="P894">
        <v>1.2</v>
      </c>
      <c r="Q894">
        <v>8</v>
      </c>
      <c r="R894">
        <f>CORREL(BMW[units_sold],BMW[gdp_growth_percent])</f>
        <v>-5.2597817623217792E-17</v>
      </c>
    </row>
    <row r="895" spans="1:18" x14ac:dyDescent="0.35">
      <c r="A895">
        <v>2019</v>
      </c>
      <c r="B895" t="s">
        <v>50</v>
      </c>
      <c r="C895" t="s">
        <v>32</v>
      </c>
      <c r="D895" t="s">
        <v>15</v>
      </c>
      <c r="E895" t="s">
        <v>20</v>
      </c>
      <c r="F895" t="s">
        <v>17</v>
      </c>
      <c r="G895">
        <v>55056</v>
      </c>
      <c r="H895" t="s">
        <v>55</v>
      </c>
      <c r="I895">
        <v>913</v>
      </c>
      <c r="J895">
        <v>50266128</v>
      </c>
      <c r="K895">
        <v>166712</v>
      </c>
      <c r="L895">
        <v>50099416</v>
      </c>
      <c r="M895">
        <v>371</v>
      </c>
      <c r="N895">
        <v>0.97</v>
      </c>
      <c r="O895">
        <v>6.29</v>
      </c>
      <c r="P895">
        <v>1.2</v>
      </c>
      <c r="Q895">
        <v>8</v>
      </c>
      <c r="R895">
        <f>CORREL(BMW[units_sold],BMW[gdp_growth_percent])</f>
        <v>-5.2597817623217792E-17</v>
      </c>
    </row>
    <row r="896" spans="1:18" x14ac:dyDescent="0.35">
      <c r="A896">
        <v>2023</v>
      </c>
      <c r="B896" t="s">
        <v>46</v>
      </c>
      <c r="C896" t="s">
        <v>14</v>
      </c>
      <c r="D896" t="s">
        <v>15</v>
      </c>
      <c r="E896" t="s">
        <v>20</v>
      </c>
      <c r="F896" t="s">
        <v>20</v>
      </c>
      <c r="G896">
        <v>42382</v>
      </c>
      <c r="H896" t="s">
        <v>57</v>
      </c>
      <c r="I896">
        <v>465</v>
      </c>
      <c r="J896">
        <v>19707630</v>
      </c>
      <c r="K896">
        <v>151121</v>
      </c>
      <c r="L896">
        <v>19556509</v>
      </c>
      <c r="M896">
        <v>95</v>
      </c>
      <c r="N896">
        <v>0.97</v>
      </c>
      <c r="O896">
        <v>6.29</v>
      </c>
      <c r="P896">
        <v>1.2</v>
      </c>
      <c r="Q896">
        <v>3</v>
      </c>
      <c r="R896">
        <f>CORREL(BMW[units_sold],BMW[gdp_growth_percent])</f>
        <v>-5.2597817623217792E-17</v>
      </c>
    </row>
    <row r="897" spans="1:18" x14ac:dyDescent="0.35">
      <c r="A897">
        <v>2015</v>
      </c>
      <c r="B897" t="s">
        <v>46</v>
      </c>
      <c r="C897" t="s">
        <v>36</v>
      </c>
      <c r="D897" t="s">
        <v>24</v>
      </c>
      <c r="E897" t="s">
        <v>19</v>
      </c>
      <c r="F897" t="s">
        <v>17</v>
      </c>
      <c r="G897">
        <v>90739</v>
      </c>
      <c r="H897" t="s">
        <v>54</v>
      </c>
      <c r="I897">
        <v>527</v>
      </c>
      <c r="J897">
        <v>47819453</v>
      </c>
      <c r="K897">
        <v>315976</v>
      </c>
      <c r="L897">
        <v>47503477</v>
      </c>
      <c r="M897">
        <v>62</v>
      </c>
      <c r="N897">
        <v>0.97</v>
      </c>
      <c r="O897">
        <v>6.29</v>
      </c>
      <c r="P897">
        <v>1.2</v>
      </c>
      <c r="Q897">
        <v>3</v>
      </c>
      <c r="R897">
        <f>CORREL(BMW[units_sold],BMW[gdp_growth_percent])</f>
        <v>-5.2597817623217792E-17</v>
      </c>
    </row>
    <row r="898" spans="1:18" x14ac:dyDescent="0.35">
      <c r="A898">
        <v>2023</v>
      </c>
      <c r="B898" t="s">
        <v>41</v>
      </c>
      <c r="C898" t="s">
        <v>37</v>
      </c>
      <c r="D898" t="s">
        <v>34</v>
      </c>
      <c r="E898" t="s">
        <v>20</v>
      </c>
      <c r="F898" t="s">
        <v>20</v>
      </c>
      <c r="G898">
        <v>116685</v>
      </c>
      <c r="H898" t="s">
        <v>54</v>
      </c>
      <c r="I898">
        <v>900</v>
      </c>
      <c r="J898">
        <v>105016500</v>
      </c>
      <c r="K898">
        <v>82332</v>
      </c>
      <c r="L898">
        <v>104934168</v>
      </c>
      <c r="M898">
        <v>357</v>
      </c>
      <c r="N898">
        <v>0.97</v>
      </c>
      <c r="O898">
        <v>6.29</v>
      </c>
      <c r="P898">
        <v>1.2</v>
      </c>
      <c r="Q898">
        <v>6</v>
      </c>
      <c r="R898">
        <f>CORREL(BMW[units_sold],BMW[gdp_growth_percent])</f>
        <v>-5.2597817623217792E-17</v>
      </c>
    </row>
    <row r="899" spans="1:18" x14ac:dyDescent="0.35">
      <c r="A899">
        <v>2022</v>
      </c>
      <c r="B899" t="s">
        <v>42</v>
      </c>
      <c r="C899" t="s">
        <v>30</v>
      </c>
      <c r="D899" t="s">
        <v>34</v>
      </c>
      <c r="E899" t="s">
        <v>19</v>
      </c>
      <c r="F899" t="s">
        <v>23</v>
      </c>
      <c r="G899">
        <v>83639</v>
      </c>
      <c r="H899" t="s">
        <v>54</v>
      </c>
      <c r="I899">
        <v>823</v>
      </c>
      <c r="J899">
        <v>68834897</v>
      </c>
      <c r="K899">
        <v>62467</v>
      </c>
      <c r="L899">
        <v>68772430</v>
      </c>
      <c r="M899">
        <v>364</v>
      </c>
      <c r="N899">
        <v>0.97</v>
      </c>
      <c r="O899">
        <v>6.29</v>
      </c>
      <c r="P899">
        <v>1.2</v>
      </c>
      <c r="Q899">
        <v>1</v>
      </c>
      <c r="R899">
        <f>CORREL(BMW[units_sold],BMW[gdp_growth_percent])</f>
        <v>-5.2597817623217792E-17</v>
      </c>
    </row>
    <row r="900" spans="1:18" x14ac:dyDescent="0.35">
      <c r="A900">
        <v>2020</v>
      </c>
      <c r="B900" t="s">
        <v>43</v>
      </c>
      <c r="C900" t="s">
        <v>35</v>
      </c>
      <c r="D900" t="s">
        <v>26</v>
      </c>
      <c r="E900" t="s">
        <v>16</v>
      </c>
      <c r="F900" t="s">
        <v>27</v>
      </c>
      <c r="G900">
        <v>94838</v>
      </c>
      <c r="H900" t="s">
        <v>54</v>
      </c>
      <c r="I900">
        <v>560</v>
      </c>
      <c r="J900">
        <v>53109280</v>
      </c>
      <c r="K900">
        <v>91025</v>
      </c>
      <c r="L900">
        <v>53018255</v>
      </c>
      <c r="M900">
        <v>244</v>
      </c>
      <c r="N900">
        <v>0.97</v>
      </c>
      <c r="O900">
        <v>6.29</v>
      </c>
      <c r="P900">
        <v>1.2</v>
      </c>
      <c r="Q900">
        <v>4</v>
      </c>
      <c r="R900">
        <f>CORREL(BMW[units_sold],BMW[gdp_growth_percent])</f>
        <v>-5.2597817623217792E-17</v>
      </c>
    </row>
    <row r="901" spans="1:18" x14ac:dyDescent="0.35">
      <c r="A901">
        <v>2021</v>
      </c>
      <c r="B901" t="s">
        <v>42</v>
      </c>
      <c r="C901" t="s">
        <v>32</v>
      </c>
      <c r="D901" t="s">
        <v>31</v>
      </c>
      <c r="E901" t="s">
        <v>19</v>
      </c>
      <c r="F901" t="s">
        <v>23</v>
      </c>
      <c r="G901">
        <v>81041</v>
      </c>
      <c r="H901" t="s">
        <v>54</v>
      </c>
      <c r="I901">
        <v>636</v>
      </c>
      <c r="J901">
        <v>51542076</v>
      </c>
      <c r="K901">
        <v>194179</v>
      </c>
      <c r="L901">
        <v>51347897</v>
      </c>
      <c r="M901">
        <v>276</v>
      </c>
      <c r="N901">
        <v>0.97</v>
      </c>
      <c r="O901">
        <v>6.29</v>
      </c>
      <c r="P901">
        <v>1.2</v>
      </c>
      <c r="Q901">
        <v>1</v>
      </c>
      <c r="R901">
        <f>CORREL(BMW[units_sold],BMW[gdp_growth_percent])</f>
        <v>-5.2597817623217792E-17</v>
      </c>
    </row>
    <row r="902" spans="1:18" x14ac:dyDescent="0.35">
      <c r="A902">
        <v>2017</v>
      </c>
      <c r="B902" t="s">
        <v>45</v>
      </c>
      <c r="C902" t="s">
        <v>14</v>
      </c>
      <c r="D902" t="s">
        <v>31</v>
      </c>
      <c r="E902" t="s">
        <v>20</v>
      </c>
      <c r="F902" t="s">
        <v>23</v>
      </c>
      <c r="G902">
        <v>35992</v>
      </c>
      <c r="H902" t="s">
        <v>57</v>
      </c>
      <c r="I902">
        <v>907</v>
      </c>
      <c r="J902">
        <v>32644744</v>
      </c>
      <c r="K902">
        <v>127994</v>
      </c>
      <c r="L902">
        <v>32516750</v>
      </c>
      <c r="M902">
        <v>296</v>
      </c>
      <c r="N902">
        <v>0.97</v>
      </c>
      <c r="O902">
        <v>6.29</v>
      </c>
      <c r="P902">
        <v>1.2</v>
      </c>
      <c r="Q902">
        <v>3</v>
      </c>
      <c r="R902">
        <f>CORREL(BMW[units_sold],BMW[gdp_growth_percent])</f>
        <v>-5.2597817623217792E-17</v>
      </c>
    </row>
    <row r="903" spans="1:18" x14ac:dyDescent="0.35">
      <c r="A903">
        <v>2015</v>
      </c>
      <c r="B903" t="s">
        <v>51</v>
      </c>
      <c r="C903" t="s">
        <v>35</v>
      </c>
      <c r="D903" t="s">
        <v>24</v>
      </c>
      <c r="E903" t="s">
        <v>19</v>
      </c>
      <c r="F903" t="s">
        <v>27</v>
      </c>
      <c r="G903">
        <v>107394</v>
      </c>
      <c r="H903" t="s">
        <v>54</v>
      </c>
      <c r="I903">
        <v>224</v>
      </c>
      <c r="J903">
        <v>24056256</v>
      </c>
      <c r="K903">
        <v>144202</v>
      </c>
      <c r="L903">
        <v>23912054</v>
      </c>
      <c r="M903">
        <v>109</v>
      </c>
      <c r="N903">
        <v>0.97</v>
      </c>
      <c r="O903">
        <v>6.29</v>
      </c>
      <c r="P903">
        <v>1.2</v>
      </c>
      <c r="Q903">
        <v>9</v>
      </c>
      <c r="R903">
        <f>CORREL(BMW[units_sold],BMW[gdp_growth_percent])</f>
        <v>-5.2597817623217792E-17</v>
      </c>
    </row>
    <row r="904" spans="1:18" x14ac:dyDescent="0.35">
      <c r="A904">
        <v>2019</v>
      </c>
      <c r="B904" t="s">
        <v>44</v>
      </c>
      <c r="C904" t="s">
        <v>21</v>
      </c>
      <c r="D904" t="s">
        <v>33</v>
      </c>
      <c r="E904" t="s">
        <v>20</v>
      </c>
      <c r="F904" t="s">
        <v>27</v>
      </c>
      <c r="G904">
        <v>102657</v>
      </c>
      <c r="H904" t="s">
        <v>54</v>
      </c>
      <c r="I904">
        <v>186</v>
      </c>
      <c r="J904">
        <v>19094202</v>
      </c>
      <c r="K904">
        <v>93481</v>
      </c>
      <c r="L904">
        <v>19000721</v>
      </c>
      <c r="M904">
        <v>96</v>
      </c>
      <c r="N904">
        <v>0.97</v>
      </c>
      <c r="O904">
        <v>6.29</v>
      </c>
      <c r="P904">
        <v>1.2</v>
      </c>
      <c r="Q904">
        <v>5</v>
      </c>
      <c r="R904">
        <f>CORREL(BMW[units_sold],BMW[gdp_growth_percent])</f>
        <v>-5.2597817623217792E-17</v>
      </c>
    </row>
    <row r="905" spans="1:18" x14ac:dyDescent="0.35">
      <c r="A905">
        <v>2016</v>
      </c>
      <c r="B905" t="s">
        <v>47</v>
      </c>
      <c r="C905" t="s">
        <v>32</v>
      </c>
      <c r="D905" t="s">
        <v>15</v>
      </c>
      <c r="E905" t="s">
        <v>16</v>
      </c>
      <c r="F905" t="s">
        <v>20</v>
      </c>
      <c r="G905">
        <v>62160</v>
      </c>
      <c r="H905" t="s">
        <v>55</v>
      </c>
      <c r="I905">
        <v>406</v>
      </c>
      <c r="J905">
        <v>25236960</v>
      </c>
      <c r="K905">
        <v>445797</v>
      </c>
      <c r="L905">
        <v>24791163</v>
      </c>
      <c r="M905">
        <v>24</v>
      </c>
      <c r="N905">
        <v>0.97</v>
      </c>
      <c r="O905">
        <v>6.29</v>
      </c>
      <c r="P905">
        <v>1.2</v>
      </c>
      <c r="Q905">
        <v>5</v>
      </c>
      <c r="R905">
        <f>CORREL(BMW[units_sold],BMW[gdp_growth_percent])</f>
        <v>-5.2597817623217792E-17</v>
      </c>
    </row>
    <row r="906" spans="1:18" x14ac:dyDescent="0.35">
      <c r="A906">
        <v>2019</v>
      </c>
      <c r="B906" t="s">
        <v>50</v>
      </c>
      <c r="C906" t="s">
        <v>30</v>
      </c>
      <c r="D906" t="s">
        <v>31</v>
      </c>
      <c r="E906" t="s">
        <v>19</v>
      </c>
      <c r="F906" t="s">
        <v>20</v>
      </c>
      <c r="G906">
        <v>80156</v>
      </c>
      <c r="H906" t="s">
        <v>54</v>
      </c>
      <c r="I906">
        <v>455</v>
      </c>
      <c r="J906">
        <v>36470980</v>
      </c>
      <c r="K906">
        <v>125118</v>
      </c>
      <c r="L906">
        <v>36345862</v>
      </c>
      <c r="M906">
        <v>110</v>
      </c>
      <c r="N906">
        <v>0.97</v>
      </c>
      <c r="O906">
        <v>6.29</v>
      </c>
      <c r="P906">
        <v>1.2</v>
      </c>
      <c r="Q906">
        <v>4</v>
      </c>
      <c r="R906">
        <f>CORREL(BMW[units_sold],BMW[gdp_growth_percent])</f>
        <v>-5.2597817623217792E-17</v>
      </c>
    </row>
    <row r="907" spans="1:18" x14ac:dyDescent="0.35">
      <c r="A907">
        <v>2022</v>
      </c>
      <c r="B907" t="s">
        <v>49</v>
      </c>
      <c r="C907" t="s">
        <v>28</v>
      </c>
      <c r="D907" t="s">
        <v>24</v>
      </c>
      <c r="E907" t="s">
        <v>16</v>
      </c>
      <c r="F907" t="s">
        <v>17</v>
      </c>
      <c r="G907">
        <v>86375</v>
      </c>
      <c r="H907" t="s">
        <v>54</v>
      </c>
      <c r="I907">
        <v>711</v>
      </c>
      <c r="J907">
        <v>61412625</v>
      </c>
      <c r="K907">
        <v>436154</v>
      </c>
      <c r="L907">
        <v>60976471</v>
      </c>
      <c r="M907">
        <v>174</v>
      </c>
      <c r="N907">
        <v>0.97</v>
      </c>
      <c r="O907">
        <v>6.29</v>
      </c>
      <c r="P907">
        <v>1.2</v>
      </c>
      <c r="Q907">
        <v>3</v>
      </c>
      <c r="R907">
        <f>CORREL(BMW[units_sold],BMW[gdp_growth_percent])</f>
        <v>-5.2597817623217792E-17</v>
      </c>
    </row>
    <row r="908" spans="1:18" x14ac:dyDescent="0.35">
      <c r="A908">
        <v>2023</v>
      </c>
      <c r="B908" t="s">
        <v>47</v>
      </c>
      <c r="C908" t="s">
        <v>36</v>
      </c>
      <c r="D908" t="s">
        <v>18</v>
      </c>
      <c r="E908" t="s">
        <v>20</v>
      </c>
      <c r="F908" t="s">
        <v>17</v>
      </c>
      <c r="G908">
        <v>54572</v>
      </c>
      <c r="H908" t="s">
        <v>55</v>
      </c>
      <c r="I908">
        <v>253</v>
      </c>
      <c r="J908">
        <v>13806716</v>
      </c>
      <c r="K908">
        <v>494854</v>
      </c>
      <c r="L908">
        <v>13311862</v>
      </c>
      <c r="M908">
        <v>38</v>
      </c>
      <c r="N908">
        <v>0.97</v>
      </c>
      <c r="O908">
        <v>6.29</v>
      </c>
      <c r="P908">
        <v>1.2</v>
      </c>
      <c r="Q908">
        <v>5</v>
      </c>
      <c r="R908">
        <f>CORREL(BMW[units_sold],BMW[gdp_growth_percent])</f>
        <v>-5.2597817623217792E-17</v>
      </c>
    </row>
    <row r="909" spans="1:18" x14ac:dyDescent="0.35">
      <c r="A909">
        <v>2016</v>
      </c>
      <c r="B909" t="s">
        <v>47</v>
      </c>
      <c r="C909" t="s">
        <v>25</v>
      </c>
      <c r="D909" t="s">
        <v>22</v>
      </c>
      <c r="E909" t="s">
        <v>20</v>
      </c>
      <c r="F909" t="s">
        <v>23</v>
      </c>
      <c r="G909">
        <v>39136</v>
      </c>
      <c r="H909" t="s">
        <v>57</v>
      </c>
      <c r="I909">
        <v>387</v>
      </c>
      <c r="J909">
        <v>15145632</v>
      </c>
      <c r="K909">
        <v>173714</v>
      </c>
      <c r="L909">
        <v>14971918</v>
      </c>
      <c r="M909">
        <v>123</v>
      </c>
      <c r="N909">
        <v>0.97</v>
      </c>
      <c r="O909">
        <v>6.29</v>
      </c>
      <c r="P909">
        <v>1.2</v>
      </c>
      <c r="Q909">
        <v>4</v>
      </c>
      <c r="R909">
        <f>CORREL(BMW[units_sold],BMW[gdp_growth_percent])</f>
        <v>-5.2597817623217792E-17</v>
      </c>
    </row>
    <row r="910" spans="1:18" x14ac:dyDescent="0.35">
      <c r="A910">
        <v>2017</v>
      </c>
      <c r="B910" t="s">
        <v>43</v>
      </c>
      <c r="C910" t="s">
        <v>30</v>
      </c>
      <c r="D910" t="s">
        <v>18</v>
      </c>
      <c r="E910" t="s">
        <v>16</v>
      </c>
      <c r="F910" t="s">
        <v>27</v>
      </c>
      <c r="G910">
        <v>96868</v>
      </c>
      <c r="H910" t="s">
        <v>54</v>
      </c>
      <c r="I910">
        <v>455</v>
      </c>
      <c r="J910">
        <v>44074940</v>
      </c>
      <c r="K910">
        <v>451634</v>
      </c>
      <c r="L910">
        <v>43623306</v>
      </c>
      <c r="M910">
        <v>116</v>
      </c>
      <c r="N910">
        <v>0.97</v>
      </c>
      <c r="O910">
        <v>6.29</v>
      </c>
      <c r="P910">
        <v>1.2</v>
      </c>
      <c r="Q910">
        <v>8</v>
      </c>
      <c r="R910">
        <f>CORREL(BMW[units_sold],BMW[gdp_growth_percent])</f>
        <v>-5.2597817623217792E-17</v>
      </c>
    </row>
    <row r="911" spans="1:18" x14ac:dyDescent="0.35">
      <c r="A911">
        <v>2017</v>
      </c>
      <c r="B911" t="s">
        <v>48</v>
      </c>
      <c r="C911" t="s">
        <v>36</v>
      </c>
      <c r="D911" t="s">
        <v>29</v>
      </c>
      <c r="E911" t="s">
        <v>19</v>
      </c>
      <c r="F911" t="s">
        <v>17</v>
      </c>
      <c r="G911">
        <v>117263</v>
      </c>
      <c r="H911" t="s">
        <v>54</v>
      </c>
      <c r="I911">
        <v>880</v>
      </c>
      <c r="J911">
        <v>103191440</v>
      </c>
      <c r="K911">
        <v>274699</v>
      </c>
      <c r="L911">
        <v>102916741</v>
      </c>
      <c r="M911">
        <v>373</v>
      </c>
      <c r="N911">
        <v>0.97</v>
      </c>
      <c r="O911">
        <v>6.29</v>
      </c>
      <c r="P911">
        <v>1.2</v>
      </c>
      <c r="Q911">
        <v>4</v>
      </c>
      <c r="R911">
        <f>CORREL(BMW[units_sold],BMW[gdp_growth_percent])</f>
        <v>-5.2597817623217792E-17</v>
      </c>
    </row>
    <row r="912" spans="1:18" x14ac:dyDescent="0.35">
      <c r="A912">
        <v>2015</v>
      </c>
      <c r="B912" t="s">
        <v>41</v>
      </c>
      <c r="C912" t="s">
        <v>35</v>
      </c>
      <c r="D912" t="s">
        <v>26</v>
      </c>
      <c r="E912" t="s">
        <v>19</v>
      </c>
      <c r="F912" t="s">
        <v>23</v>
      </c>
      <c r="G912">
        <v>67167</v>
      </c>
      <c r="H912" t="s">
        <v>55</v>
      </c>
      <c r="I912">
        <v>380</v>
      </c>
      <c r="J912">
        <v>25523460</v>
      </c>
      <c r="K912">
        <v>210185</v>
      </c>
      <c r="L912">
        <v>25313275</v>
      </c>
      <c r="M912">
        <v>139</v>
      </c>
      <c r="N912">
        <v>0.97</v>
      </c>
      <c r="O912">
        <v>6.29</v>
      </c>
      <c r="P912">
        <v>1.2</v>
      </c>
      <c r="Q912">
        <v>8</v>
      </c>
      <c r="R912">
        <f>CORREL(BMW[units_sold],BMW[gdp_growth_percent])</f>
        <v>-5.2597817623217792E-17</v>
      </c>
    </row>
    <row r="913" spans="1:18" x14ac:dyDescent="0.35">
      <c r="A913">
        <v>2022</v>
      </c>
      <c r="B913" t="s">
        <v>46</v>
      </c>
      <c r="C913" t="s">
        <v>25</v>
      </c>
      <c r="D913" t="s">
        <v>31</v>
      </c>
      <c r="E913" t="s">
        <v>20</v>
      </c>
      <c r="F913" t="s">
        <v>27</v>
      </c>
      <c r="G913">
        <v>50479</v>
      </c>
      <c r="H913" t="s">
        <v>55</v>
      </c>
      <c r="I913">
        <v>372</v>
      </c>
      <c r="J913">
        <v>18778188</v>
      </c>
      <c r="K913">
        <v>134363</v>
      </c>
      <c r="L913">
        <v>18643825</v>
      </c>
      <c r="M913">
        <v>93</v>
      </c>
      <c r="N913">
        <v>0.97</v>
      </c>
      <c r="O913">
        <v>6.29</v>
      </c>
      <c r="P913">
        <v>1.2</v>
      </c>
      <c r="Q913">
        <v>6</v>
      </c>
      <c r="R913">
        <f>CORREL(BMW[units_sold],BMW[gdp_growth_percent])</f>
        <v>-5.2597817623217792E-17</v>
      </c>
    </row>
    <row r="914" spans="1:18" x14ac:dyDescent="0.35">
      <c r="A914">
        <v>2020</v>
      </c>
      <c r="B914" t="s">
        <v>45</v>
      </c>
      <c r="C914" t="s">
        <v>38</v>
      </c>
      <c r="D914" t="s">
        <v>29</v>
      </c>
      <c r="E914" t="s">
        <v>16</v>
      </c>
      <c r="F914" t="s">
        <v>20</v>
      </c>
      <c r="G914">
        <v>66376</v>
      </c>
      <c r="H914" t="s">
        <v>55</v>
      </c>
      <c r="I914">
        <v>610</v>
      </c>
      <c r="J914">
        <v>40489360</v>
      </c>
      <c r="K914">
        <v>435751</v>
      </c>
      <c r="L914">
        <v>40053609</v>
      </c>
      <c r="M914">
        <v>280</v>
      </c>
      <c r="N914">
        <v>0.97</v>
      </c>
      <c r="O914">
        <v>6.29</v>
      </c>
      <c r="P914">
        <v>1.2</v>
      </c>
      <c r="Q914">
        <v>5</v>
      </c>
      <c r="R914">
        <f>CORREL(BMW[units_sold],BMW[gdp_growth_percent])</f>
        <v>-5.2597817623217792E-17</v>
      </c>
    </row>
    <row r="915" spans="1:18" x14ac:dyDescent="0.35">
      <c r="A915">
        <v>2022</v>
      </c>
      <c r="B915" t="s">
        <v>42</v>
      </c>
      <c r="C915" t="s">
        <v>37</v>
      </c>
      <c r="D915" t="s">
        <v>39</v>
      </c>
      <c r="E915" t="s">
        <v>16</v>
      </c>
      <c r="F915" t="s">
        <v>23</v>
      </c>
      <c r="G915">
        <v>39823</v>
      </c>
      <c r="H915" t="s">
        <v>57</v>
      </c>
      <c r="I915">
        <v>794</v>
      </c>
      <c r="J915">
        <v>31619462</v>
      </c>
      <c r="K915">
        <v>375188</v>
      </c>
      <c r="L915">
        <v>31244274</v>
      </c>
      <c r="M915">
        <v>253</v>
      </c>
      <c r="N915">
        <v>0.97</v>
      </c>
      <c r="O915">
        <v>6.29</v>
      </c>
      <c r="P915">
        <v>1.2</v>
      </c>
      <c r="Q915">
        <v>4</v>
      </c>
      <c r="R915">
        <f>CORREL(BMW[units_sold],BMW[gdp_growth_percent])</f>
        <v>-5.2597817623217792E-17</v>
      </c>
    </row>
    <row r="916" spans="1:18" x14ac:dyDescent="0.35">
      <c r="A916">
        <v>2023</v>
      </c>
      <c r="B916" t="s">
        <v>44</v>
      </c>
      <c r="C916" t="s">
        <v>21</v>
      </c>
      <c r="D916" t="s">
        <v>29</v>
      </c>
      <c r="E916" t="s">
        <v>19</v>
      </c>
      <c r="F916" t="s">
        <v>20</v>
      </c>
      <c r="G916">
        <v>105456</v>
      </c>
      <c r="H916" t="s">
        <v>54</v>
      </c>
      <c r="I916">
        <v>1130</v>
      </c>
      <c r="J916">
        <v>119165280</v>
      </c>
      <c r="K916">
        <v>261027</v>
      </c>
      <c r="L916">
        <v>118904253</v>
      </c>
      <c r="M916">
        <v>397</v>
      </c>
      <c r="N916">
        <v>0.97</v>
      </c>
      <c r="O916">
        <v>6.29</v>
      </c>
      <c r="P916">
        <v>1.2</v>
      </c>
      <c r="Q916">
        <v>4</v>
      </c>
      <c r="R916">
        <f>CORREL(BMW[units_sold],BMW[gdp_growth_percent])</f>
        <v>-5.2597817623217792E-17</v>
      </c>
    </row>
    <row r="917" spans="1:18" x14ac:dyDescent="0.35">
      <c r="A917">
        <v>2019</v>
      </c>
      <c r="B917" t="s">
        <v>43</v>
      </c>
      <c r="C917" t="s">
        <v>32</v>
      </c>
      <c r="D917" t="s">
        <v>24</v>
      </c>
      <c r="E917" t="s">
        <v>19</v>
      </c>
      <c r="F917" t="s">
        <v>17</v>
      </c>
      <c r="G917">
        <v>54585</v>
      </c>
      <c r="H917" t="s">
        <v>55</v>
      </c>
      <c r="I917">
        <v>861</v>
      </c>
      <c r="J917">
        <v>46997685</v>
      </c>
      <c r="K917">
        <v>323958</v>
      </c>
      <c r="L917">
        <v>46673727</v>
      </c>
      <c r="M917">
        <v>223</v>
      </c>
      <c r="N917">
        <v>0.97</v>
      </c>
      <c r="O917">
        <v>6.29</v>
      </c>
      <c r="P917">
        <v>1.2</v>
      </c>
      <c r="Q917">
        <v>4</v>
      </c>
      <c r="R917">
        <f>CORREL(BMW[units_sold],BMW[gdp_growth_percent])</f>
        <v>-5.2597817623217792E-17</v>
      </c>
    </row>
    <row r="918" spans="1:18" x14ac:dyDescent="0.35">
      <c r="A918">
        <v>2017</v>
      </c>
      <c r="B918" t="s">
        <v>41</v>
      </c>
      <c r="C918" t="s">
        <v>30</v>
      </c>
      <c r="D918" t="s">
        <v>31</v>
      </c>
      <c r="E918" t="s">
        <v>19</v>
      </c>
      <c r="F918" t="s">
        <v>17</v>
      </c>
      <c r="G918">
        <v>52272</v>
      </c>
      <c r="H918" t="s">
        <v>55</v>
      </c>
      <c r="I918">
        <v>1036</v>
      </c>
      <c r="J918">
        <v>54153792</v>
      </c>
      <c r="K918">
        <v>411484</v>
      </c>
      <c r="L918">
        <v>53742308</v>
      </c>
      <c r="M918">
        <v>315</v>
      </c>
      <c r="N918">
        <v>0.97</v>
      </c>
      <c r="O918">
        <v>6.29</v>
      </c>
      <c r="P918">
        <v>1.2</v>
      </c>
      <c r="Q918">
        <v>9</v>
      </c>
      <c r="R918">
        <f>CORREL(BMW[units_sold],BMW[gdp_growth_percent])</f>
        <v>-5.2597817623217792E-17</v>
      </c>
    </row>
    <row r="919" spans="1:18" x14ac:dyDescent="0.35">
      <c r="A919">
        <v>2019</v>
      </c>
      <c r="B919" t="s">
        <v>48</v>
      </c>
      <c r="C919" t="s">
        <v>21</v>
      </c>
      <c r="D919" t="s">
        <v>22</v>
      </c>
      <c r="E919" t="s">
        <v>16</v>
      </c>
      <c r="F919" t="s">
        <v>27</v>
      </c>
      <c r="G919">
        <v>61619</v>
      </c>
      <c r="H919" t="s">
        <v>55</v>
      </c>
      <c r="I919">
        <v>606</v>
      </c>
      <c r="J919">
        <v>37341114</v>
      </c>
      <c r="K919">
        <v>322168</v>
      </c>
      <c r="L919">
        <v>37018946</v>
      </c>
      <c r="M919">
        <v>175</v>
      </c>
      <c r="N919">
        <v>0.97</v>
      </c>
      <c r="O919">
        <v>6.29</v>
      </c>
      <c r="P919">
        <v>1.2</v>
      </c>
      <c r="Q919">
        <v>4</v>
      </c>
      <c r="R919">
        <f>CORREL(BMW[units_sold],BMW[gdp_growth_percent])</f>
        <v>-5.2597817623217792E-17</v>
      </c>
    </row>
    <row r="920" spans="1:18" x14ac:dyDescent="0.35">
      <c r="A920">
        <v>2019</v>
      </c>
      <c r="B920" t="s">
        <v>49</v>
      </c>
      <c r="C920" t="s">
        <v>28</v>
      </c>
      <c r="D920" t="s">
        <v>24</v>
      </c>
      <c r="E920" t="s">
        <v>19</v>
      </c>
      <c r="F920" t="s">
        <v>23</v>
      </c>
      <c r="G920">
        <v>110069</v>
      </c>
      <c r="H920" t="s">
        <v>54</v>
      </c>
      <c r="I920">
        <v>791</v>
      </c>
      <c r="J920">
        <v>87064579</v>
      </c>
      <c r="K920">
        <v>244360</v>
      </c>
      <c r="L920">
        <v>86820219</v>
      </c>
      <c r="M920">
        <v>288</v>
      </c>
      <c r="N920">
        <v>0.97</v>
      </c>
      <c r="O920">
        <v>6.29</v>
      </c>
      <c r="P920">
        <v>1.2</v>
      </c>
      <c r="Q920">
        <v>9</v>
      </c>
      <c r="R920">
        <f>CORREL(BMW[units_sold],BMW[gdp_growth_percent])</f>
        <v>-5.2597817623217792E-17</v>
      </c>
    </row>
    <row r="921" spans="1:18" x14ac:dyDescent="0.35">
      <c r="A921">
        <v>2019</v>
      </c>
      <c r="B921" t="s">
        <v>45</v>
      </c>
      <c r="C921" t="s">
        <v>36</v>
      </c>
      <c r="D921" t="s">
        <v>24</v>
      </c>
      <c r="E921" t="s">
        <v>19</v>
      </c>
      <c r="F921" t="s">
        <v>20</v>
      </c>
      <c r="G921">
        <v>74895</v>
      </c>
      <c r="H921" t="s">
        <v>55</v>
      </c>
      <c r="I921">
        <v>547</v>
      </c>
      <c r="J921">
        <v>40967565</v>
      </c>
      <c r="K921">
        <v>421380</v>
      </c>
      <c r="L921">
        <v>40546185</v>
      </c>
      <c r="M921">
        <v>68</v>
      </c>
      <c r="N921">
        <v>0.97</v>
      </c>
      <c r="O921">
        <v>6.29</v>
      </c>
      <c r="P921">
        <v>1.2</v>
      </c>
      <c r="Q921">
        <v>10</v>
      </c>
      <c r="R921">
        <f>CORREL(BMW[units_sold],BMW[gdp_growth_percent])</f>
        <v>-5.2597817623217792E-17</v>
      </c>
    </row>
    <row r="922" spans="1:18" x14ac:dyDescent="0.35">
      <c r="A922">
        <v>2017</v>
      </c>
      <c r="B922" t="s">
        <v>43</v>
      </c>
      <c r="C922" t="s">
        <v>36</v>
      </c>
      <c r="D922" t="s">
        <v>26</v>
      </c>
      <c r="E922" t="s">
        <v>20</v>
      </c>
      <c r="F922" t="s">
        <v>27</v>
      </c>
      <c r="G922">
        <v>38720</v>
      </c>
      <c r="H922" t="s">
        <v>57</v>
      </c>
      <c r="I922">
        <v>349</v>
      </c>
      <c r="J922">
        <v>13513280</v>
      </c>
      <c r="K922">
        <v>107836</v>
      </c>
      <c r="L922">
        <v>13405444</v>
      </c>
      <c r="M922">
        <v>99</v>
      </c>
      <c r="N922">
        <v>0.97</v>
      </c>
      <c r="O922">
        <v>6.29</v>
      </c>
      <c r="P922">
        <v>1.2</v>
      </c>
      <c r="Q922">
        <v>6</v>
      </c>
      <c r="R922">
        <f>CORREL(BMW[units_sold],BMW[gdp_growth_percent])</f>
        <v>-5.2597817623217792E-17</v>
      </c>
    </row>
    <row r="923" spans="1:18" x14ac:dyDescent="0.35">
      <c r="A923">
        <v>2024</v>
      </c>
      <c r="B923" t="s">
        <v>48</v>
      </c>
      <c r="C923" t="s">
        <v>30</v>
      </c>
      <c r="D923" t="s">
        <v>26</v>
      </c>
      <c r="E923" t="s">
        <v>19</v>
      </c>
      <c r="F923" t="s">
        <v>17</v>
      </c>
      <c r="G923">
        <v>54267</v>
      </c>
      <c r="H923" t="s">
        <v>55</v>
      </c>
      <c r="I923">
        <v>1149</v>
      </c>
      <c r="J923">
        <v>62352783</v>
      </c>
      <c r="K923">
        <v>319579</v>
      </c>
      <c r="L923">
        <v>62033204</v>
      </c>
      <c r="M923">
        <v>380</v>
      </c>
      <c r="N923">
        <v>0.97</v>
      </c>
      <c r="O923">
        <v>6.29</v>
      </c>
      <c r="P923">
        <v>1.2</v>
      </c>
      <c r="Q923">
        <v>10</v>
      </c>
      <c r="R923">
        <f>CORREL(BMW[units_sold],BMW[gdp_growth_percent])</f>
        <v>-5.2597817623217792E-17</v>
      </c>
    </row>
    <row r="924" spans="1:18" x14ac:dyDescent="0.35">
      <c r="A924">
        <v>2018</v>
      </c>
      <c r="B924" t="s">
        <v>44</v>
      </c>
      <c r="C924" t="s">
        <v>14</v>
      </c>
      <c r="D924" t="s">
        <v>15</v>
      </c>
      <c r="E924" t="s">
        <v>19</v>
      </c>
      <c r="F924" t="s">
        <v>17</v>
      </c>
      <c r="G924">
        <v>50696</v>
      </c>
      <c r="H924" t="s">
        <v>55</v>
      </c>
      <c r="I924">
        <v>898</v>
      </c>
      <c r="J924">
        <v>45525008</v>
      </c>
      <c r="K924">
        <v>305095</v>
      </c>
      <c r="L924">
        <v>45219913</v>
      </c>
      <c r="M924">
        <v>340</v>
      </c>
      <c r="N924">
        <v>0.97</v>
      </c>
      <c r="O924">
        <v>6.29</v>
      </c>
      <c r="P924">
        <v>1.2</v>
      </c>
      <c r="Q924">
        <v>7</v>
      </c>
      <c r="R924">
        <f>CORREL(BMW[units_sold],BMW[gdp_growth_percent])</f>
        <v>-5.2597817623217792E-17</v>
      </c>
    </row>
    <row r="925" spans="1:18" x14ac:dyDescent="0.35">
      <c r="A925">
        <v>2023</v>
      </c>
      <c r="B925" t="s">
        <v>46</v>
      </c>
      <c r="C925" t="s">
        <v>14</v>
      </c>
      <c r="D925" t="s">
        <v>15</v>
      </c>
      <c r="E925" t="s">
        <v>16</v>
      </c>
      <c r="F925" t="s">
        <v>23</v>
      </c>
      <c r="G925">
        <v>64968</v>
      </c>
      <c r="H925" t="s">
        <v>55</v>
      </c>
      <c r="I925">
        <v>522</v>
      </c>
      <c r="J925">
        <v>33913296</v>
      </c>
      <c r="K925">
        <v>382745</v>
      </c>
      <c r="L925">
        <v>33530551</v>
      </c>
      <c r="M925">
        <v>203</v>
      </c>
      <c r="N925">
        <v>0.97</v>
      </c>
      <c r="O925">
        <v>6.29</v>
      </c>
      <c r="P925">
        <v>1.2</v>
      </c>
      <c r="Q925">
        <v>10</v>
      </c>
      <c r="R925">
        <f>CORREL(BMW[units_sold],BMW[gdp_growth_percent])</f>
        <v>-5.2597817623217792E-17</v>
      </c>
    </row>
    <row r="926" spans="1:18" x14ac:dyDescent="0.35">
      <c r="A926">
        <v>2024</v>
      </c>
      <c r="B926" t="s">
        <v>46</v>
      </c>
      <c r="C926" t="s">
        <v>38</v>
      </c>
      <c r="D926" t="s">
        <v>34</v>
      </c>
      <c r="E926" t="s">
        <v>16</v>
      </c>
      <c r="F926" t="s">
        <v>20</v>
      </c>
      <c r="G926">
        <v>88364</v>
      </c>
      <c r="H926" t="s">
        <v>54</v>
      </c>
      <c r="I926">
        <v>411</v>
      </c>
      <c r="J926">
        <v>36317604</v>
      </c>
      <c r="K926">
        <v>311176</v>
      </c>
      <c r="L926">
        <v>36006428</v>
      </c>
      <c r="M926">
        <v>132</v>
      </c>
      <c r="N926">
        <v>0.97</v>
      </c>
      <c r="O926">
        <v>6.29</v>
      </c>
      <c r="P926">
        <v>1.2</v>
      </c>
      <c r="Q926">
        <v>3</v>
      </c>
      <c r="R926">
        <f>CORREL(BMW[units_sold],BMW[gdp_growth_percent])</f>
        <v>-5.2597817623217792E-17</v>
      </c>
    </row>
    <row r="927" spans="1:18" x14ac:dyDescent="0.35">
      <c r="A927">
        <v>2023</v>
      </c>
      <c r="B927" t="s">
        <v>43</v>
      </c>
      <c r="C927" t="s">
        <v>37</v>
      </c>
      <c r="D927" t="s">
        <v>33</v>
      </c>
      <c r="E927" t="s">
        <v>20</v>
      </c>
      <c r="F927" t="s">
        <v>23</v>
      </c>
      <c r="G927">
        <v>58345</v>
      </c>
      <c r="H927" t="s">
        <v>55</v>
      </c>
      <c r="I927">
        <v>334</v>
      </c>
      <c r="J927">
        <v>19487230</v>
      </c>
      <c r="K927">
        <v>433015</v>
      </c>
      <c r="L927">
        <v>19054215</v>
      </c>
      <c r="M927">
        <v>145</v>
      </c>
      <c r="N927">
        <v>0.97</v>
      </c>
      <c r="O927">
        <v>6.29</v>
      </c>
      <c r="P927">
        <v>1.2</v>
      </c>
      <c r="Q927">
        <v>8</v>
      </c>
      <c r="R927">
        <f>CORREL(BMW[units_sold],BMW[gdp_growth_percent])</f>
        <v>-5.2597817623217792E-17</v>
      </c>
    </row>
    <row r="928" spans="1:18" x14ac:dyDescent="0.35">
      <c r="A928">
        <v>2016</v>
      </c>
      <c r="B928" t="s">
        <v>46</v>
      </c>
      <c r="C928" t="s">
        <v>25</v>
      </c>
      <c r="D928" t="s">
        <v>31</v>
      </c>
      <c r="E928" t="s">
        <v>19</v>
      </c>
      <c r="F928" t="s">
        <v>20</v>
      </c>
      <c r="G928">
        <v>86567</v>
      </c>
      <c r="H928" t="s">
        <v>54</v>
      </c>
      <c r="I928">
        <v>463</v>
      </c>
      <c r="J928">
        <v>40080521</v>
      </c>
      <c r="K928">
        <v>299717</v>
      </c>
      <c r="L928">
        <v>39780804</v>
      </c>
      <c r="M928">
        <v>148</v>
      </c>
      <c r="N928">
        <v>0.97</v>
      </c>
      <c r="O928">
        <v>6.29</v>
      </c>
      <c r="P928">
        <v>1.2</v>
      </c>
      <c r="Q928">
        <v>3</v>
      </c>
      <c r="R928">
        <f>CORREL(BMW[units_sold],BMW[gdp_growth_percent])</f>
        <v>-5.2597817623217792E-17</v>
      </c>
    </row>
    <row r="929" spans="1:18" x14ac:dyDescent="0.35">
      <c r="A929">
        <v>2022</v>
      </c>
      <c r="B929" t="s">
        <v>41</v>
      </c>
      <c r="C929" t="s">
        <v>28</v>
      </c>
      <c r="D929" t="s">
        <v>31</v>
      </c>
      <c r="E929" t="s">
        <v>20</v>
      </c>
      <c r="F929" t="s">
        <v>20</v>
      </c>
      <c r="G929">
        <v>96607</v>
      </c>
      <c r="H929" t="s">
        <v>54</v>
      </c>
      <c r="I929">
        <v>579</v>
      </c>
      <c r="J929">
        <v>55935453</v>
      </c>
      <c r="K929">
        <v>184479</v>
      </c>
      <c r="L929">
        <v>55750974</v>
      </c>
      <c r="M929">
        <v>238</v>
      </c>
      <c r="N929">
        <v>0.97</v>
      </c>
      <c r="O929">
        <v>6.29</v>
      </c>
      <c r="P929">
        <v>1.2</v>
      </c>
      <c r="Q929">
        <v>1</v>
      </c>
      <c r="R929">
        <f>CORREL(BMW[units_sold],BMW[gdp_growth_percent])</f>
        <v>-5.2597817623217792E-17</v>
      </c>
    </row>
    <row r="930" spans="1:18" x14ac:dyDescent="0.35">
      <c r="A930">
        <v>2022</v>
      </c>
      <c r="B930" t="s">
        <v>41</v>
      </c>
      <c r="C930" t="s">
        <v>21</v>
      </c>
      <c r="D930" t="s">
        <v>29</v>
      </c>
      <c r="E930" t="s">
        <v>16</v>
      </c>
      <c r="F930" t="s">
        <v>23</v>
      </c>
      <c r="G930">
        <v>54385</v>
      </c>
      <c r="H930" t="s">
        <v>55</v>
      </c>
      <c r="I930">
        <v>881</v>
      </c>
      <c r="J930">
        <v>47913185</v>
      </c>
      <c r="K930">
        <v>411087</v>
      </c>
      <c r="L930">
        <v>47502098</v>
      </c>
      <c r="M930">
        <v>283</v>
      </c>
      <c r="N930">
        <v>0.97</v>
      </c>
      <c r="O930">
        <v>6.29</v>
      </c>
      <c r="P930">
        <v>1.2</v>
      </c>
      <c r="Q930">
        <v>10</v>
      </c>
      <c r="R930">
        <f>CORREL(BMW[units_sold],BMW[gdp_growth_percent])</f>
        <v>-5.2597817623217792E-17</v>
      </c>
    </row>
    <row r="931" spans="1:18" x14ac:dyDescent="0.35">
      <c r="A931">
        <v>2021</v>
      </c>
      <c r="B931" t="s">
        <v>42</v>
      </c>
      <c r="C931" t="s">
        <v>14</v>
      </c>
      <c r="D931" t="s">
        <v>31</v>
      </c>
      <c r="E931" t="s">
        <v>20</v>
      </c>
      <c r="F931" t="s">
        <v>27</v>
      </c>
      <c r="G931">
        <v>118658</v>
      </c>
      <c r="H931" t="s">
        <v>54</v>
      </c>
      <c r="I931">
        <v>496</v>
      </c>
      <c r="J931">
        <v>58854368</v>
      </c>
      <c r="K931">
        <v>82940</v>
      </c>
      <c r="L931">
        <v>58771428</v>
      </c>
      <c r="M931">
        <v>59</v>
      </c>
      <c r="N931">
        <v>0.97</v>
      </c>
      <c r="O931">
        <v>6.29</v>
      </c>
      <c r="P931">
        <v>1.2</v>
      </c>
      <c r="Q931">
        <v>5</v>
      </c>
      <c r="R931">
        <f>CORREL(BMW[units_sold],BMW[gdp_growth_percent])</f>
        <v>-5.2597817623217792E-17</v>
      </c>
    </row>
    <row r="932" spans="1:18" x14ac:dyDescent="0.35">
      <c r="A932">
        <v>2022</v>
      </c>
      <c r="B932" t="s">
        <v>43</v>
      </c>
      <c r="C932" t="s">
        <v>38</v>
      </c>
      <c r="D932" t="s">
        <v>31</v>
      </c>
      <c r="E932" t="s">
        <v>16</v>
      </c>
      <c r="F932" t="s">
        <v>23</v>
      </c>
      <c r="G932">
        <v>101900</v>
      </c>
      <c r="H932" t="s">
        <v>54</v>
      </c>
      <c r="I932">
        <v>450</v>
      </c>
      <c r="J932">
        <v>45855000</v>
      </c>
      <c r="K932">
        <v>55666</v>
      </c>
      <c r="L932">
        <v>45799334</v>
      </c>
      <c r="M932">
        <v>127</v>
      </c>
      <c r="N932">
        <v>0.97</v>
      </c>
      <c r="O932">
        <v>6.29</v>
      </c>
      <c r="P932">
        <v>1.2</v>
      </c>
      <c r="Q932">
        <v>2</v>
      </c>
      <c r="R932">
        <f>CORREL(BMW[units_sold],BMW[gdp_growth_percent])</f>
        <v>-5.2597817623217792E-17</v>
      </c>
    </row>
    <row r="933" spans="1:18" x14ac:dyDescent="0.35">
      <c r="A933">
        <v>2017</v>
      </c>
      <c r="B933" t="s">
        <v>42</v>
      </c>
      <c r="C933" t="s">
        <v>38</v>
      </c>
      <c r="D933" t="s">
        <v>33</v>
      </c>
      <c r="E933" t="s">
        <v>20</v>
      </c>
      <c r="F933" t="s">
        <v>23</v>
      </c>
      <c r="G933">
        <v>103244</v>
      </c>
      <c r="H933" t="s">
        <v>54</v>
      </c>
      <c r="I933">
        <v>821</v>
      </c>
      <c r="J933">
        <v>84763324</v>
      </c>
      <c r="K933">
        <v>349266</v>
      </c>
      <c r="L933">
        <v>84414058</v>
      </c>
      <c r="M933">
        <v>211</v>
      </c>
      <c r="N933">
        <v>0.97</v>
      </c>
      <c r="O933">
        <v>6.29</v>
      </c>
      <c r="P933">
        <v>1.2</v>
      </c>
      <c r="Q933">
        <v>10</v>
      </c>
      <c r="R933">
        <f>CORREL(BMW[units_sold],BMW[gdp_growth_percent])</f>
        <v>-5.2597817623217792E-17</v>
      </c>
    </row>
    <row r="934" spans="1:18" x14ac:dyDescent="0.35">
      <c r="A934">
        <v>2020</v>
      </c>
      <c r="B934" t="s">
        <v>43</v>
      </c>
      <c r="C934" t="s">
        <v>30</v>
      </c>
      <c r="D934" t="s">
        <v>39</v>
      </c>
      <c r="E934" t="s">
        <v>20</v>
      </c>
      <c r="F934" t="s">
        <v>17</v>
      </c>
      <c r="G934">
        <v>100425</v>
      </c>
      <c r="H934" t="s">
        <v>54</v>
      </c>
      <c r="I934">
        <v>827</v>
      </c>
      <c r="J934">
        <v>83051475</v>
      </c>
      <c r="K934">
        <v>430791</v>
      </c>
      <c r="L934">
        <v>82620684</v>
      </c>
      <c r="M934">
        <v>200</v>
      </c>
      <c r="N934">
        <v>0.97</v>
      </c>
      <c r="O934">
        <v>6.29</v>
      </c>
      <c r="P934">
        <v>1.2</v>
      </c>
      <c r="Q934">
        <v>6</v>
      </c>
      <c r="R934">
        <f>CORREL(BMW[units_sold],BMW[gdp_growth_percent])</f>
        <v>-5.2597817623217792E-17</v>
      </c>
    </row>
    <row r="935" spans="1:18" x14ac:dyDescent="0.35">
      <c r="A935">
        <v>2015</v>
      </c>
      <c r="B935" t="s">
        <v>49</v>
      </c>
      <c r="C935" t="s">
        <v>28</v>
      </c>
      <c r="D935" t="s">
        <v>15</v>
      </c>
      <c r="E935" t="s">
        <v>19</v>
      </c>
      <c r="F935" t="s">
        <v>17</v>
      </c>
      <c r="G935">
        <v>113518</v>
      </c>
      <c r="H935" t="s">
        <v>54</v>
      </c>
      <c r="I935">
        <v>1156</v>
      </c>
      <c r="J935">
        <v>131226808</v>
      </c>
      <c r="K935">
        <v>206164</v>
      </c>
      <c r="L935">
        <v>131020644</v>
      </c>
      <c r="M935">
        <v>373</v>
      </c>
      <c r="N935">
        <v>0.97</v>
      </c>
      <c r="O935">
        <v>6.29</v>
      </c>
      <c r="P935">
        <v>1.2</v>
      </c>
      <c r="Q935">
        <v>10</v>
      </c>
      <c r="R935">
        <f>CORREL(BMW[units_sold],BMW[gdp_growth_percent])</f>
        <v>-5.2597817623217792E-17</v>
      </c>
    </row>
    <row r="936" spans="1:18" x14ac:dyDescent="0.35">
      <c r="A936">
        <v>2021</v>
      </c>
      <c r="B936" t="s">
        <v>43</v>
      </c>
      <c r="C936" t="s">
        <v>35</v>
      </c>
      <c r="D936" t="s">
        <v>15</v>
      </c>
      <c r="E936" t="s">
        <v>20</v>
      </c>
      <c r="F936" t="s">
        <v>23</v>
      </c>
      <c r="G936">
        <v>117844</v>
      </c>
      <c r="H936" t="s">
        <v>54</v>
      </c>
      <c r="I936">
        <v>738</v>
      </c>
      <c r="J936">
        <v>86968872</v>
      </c>
      <c r="K936">
        <v>441897</v>
      </c>
      <c r="L936">
        <v>86526975</v>
      </c>
      <c r="M936">
        <v>332</v>
      </c>
      <c r="N936">
        <v>0.97</v>
      </c>
      <c r="O936">
        <v>6.29</v>
      </c>
      <c r="P936">
        <v>1.2</v>
      </c>
      <c r="Q936">
        <v>9</v>
      </c>
      <c r="R936">
        <f>CORREL(BMW[units_sold],BMW[gdp_growth_percent])</f>
        <v>-5.2597817623217792E-17</v>
      </c>
    </row>
    <row r="937" spans="1:18" x14ac:dyDescent="0.35">
      <c r="A937">
        <v>2015</v>
      </c>
      <c r="B937" t="s">
        <v>44</v>
      </c>
      <c r="C937" t="s">
        <v>25</v>
      </c>
      <c r="D937" t="s">
        <v>22</v>
      </c>
      <c r="E937" t="s">
        <v>19</v>
      </c>
      <c r="F937" t="s">
        <v>23</v>
      </c>
      <c r="G937">
        <v>67919</v>
      </c>
      <c r="H937" t="s">
        <v>55</v>
      </c>
      <c r="I937">
        <v>600</v>
      </c>
      <c r="J937">
        <v>40751400</v>
      </c>
      <c r="K937">
        <v>435546</v>
      </c>
      <c r="L937">
        <v>40315854</v>
      </c>
      <c r="M937">
        <v>190</v>
      </c>
      <c r="N937">
        <v>0.97</v>
      </c>
      <c r="O937">
        <v>6.29</v>
      </c>
      <c r="P937">
        <v>1.2</v>
      </c>
      <c r="Q937">
        <v>1</v>
      </c>
      <c r="R937">
        <f>CORREL(BMW[units_sold],BMW[gdp_growth_percent])</f>
        <v>-5.2597817623217792E-17</v>
      </c>
    </row>
    <row r="938" spans="1:18" x14ac:dyDescent="0.35">
      <c r="A938">
        <v>2023</v>
      </c>
      <c r="B938" t="s">
        <v>45</v>
      </c>
      <c r="C938" t="s">
        <v>37</v>
      </c>
      <c r="D938" t="s">
        <v>31</v>
      </c>
      <c r="E938" t="s">
        <v>19</v>
      </c>
      <c r="F938" t="s">
        <v>17</v>
      </c>
      <c r="G938">
        <v>92196</v>
      </c>
      <c r="H938" t="s">
        <v>54</v>
      </c>
      <c r="I938">
        <v>566</v>
      </c>
      <c r="J938">
        <v>52182936</v>
      </c>
      <c r="K938">
        <v>256717</v>
      </c>
      <c r="L938">
        <v>51926219</v>
      </c>
      <c r="M938">
        <v>87</v>
      </c>
      <c r="N938">
        <v>0.97</v>
      </c>
      <c r="O938">
        <v>6.29</v>
      </c>
      <c r="P938">
        <v>1.2</v>
      </c>
      <c r="Q938">
        <v>4</v>
      </c>
      <c r="R938">
        <f>CORREL(BMW[units_sold],BMW[gdp_growth_percent])</f>
        <v>-5.2597817623217792E-17</v>
      </c>
    </row>
    <row r="939" spans="1:18" x14ac:dyDescent="0.35">
      <c r="A939">
        <v>2015</v>
      </c>
      <c r="B939" t="s">
        <v>52</v>
      </c>
      <c r="C939" t="s">
        <v>32</v>
      </c>
      <c r="D939" t="s">
        <v>33</v>
      </c>
      <c r="E939" t="s">
        <v>19</v>
      </c>
      <c r="F939" t="s">
        <v>20</v>
      </c>
      <c r="G939">
        <v>114401</v>
      </c>
      <c r="H939" t="s">
        <v>54</v>
      </c>
      <c r="I939">
        <v>268</v>
      </c>
      <c r="J939">
        <v>30659468</v>
      </c>
      <c r="K939">
        <v>413334</v>
      </c>
      <c r="L939">
        <v>30246134</v>
      </c>
      <c r="M939">
        <v>84</v>
      </c>
      <c r="N939">
        <v>0.97</v>
      </c>
      <c r="O939">
        <v>6.29</v>
      </c>
      <c r="P939">
        <v>1.2</v>
      </c>
      <c r="Q939">
        <v>1</v>
      </c>
      <c r="R939">
        <f>CORREL(BMW[units_sold],BMW[gdp_growth_percent])</f>
        <v>-5.2597817623217792E-17</v>
      </c>
    </row>
    <row r="940" spans="1:18" x14ac:dyDescent="0.35">
      <c r="A940">
        <v>2015</v>
      </c>
      <c r="B940" t="s">
        <v>52</v>
      </c>
      <c r="C940" t="s">
        <v>30</v>
      </c>
      <c r="D940" t="s">
        <v>15</v>
      </c>
      <c r="E940" t="s">
        <v>19</v>
      </c>
      <c r="F940" t="s">
        <v>23</v>
      </c>
      <c r="G940">
        <v>35495</v>
      </c>
      <c r="H940" t="s">
        <v>57</v>
      </c>
      <c r="I940">
        <v>973</v>
      </c>
      <c r="J940">
        <v>34536635</v>
      </c>
      <c r="K940">
        <v>412612</v>
      </c>
      <c r="L940">
        <v>34124023</v>
      </c>
      <c r="M940">
        <v>304</v>
      </c>
      <c r="N940">
        <v>0.97</v>
      </c>
      <c r="O940">
        <v>6.29</v>
      </c>
      <c r="P940">
        <v>1.2</v>
      </c>
      <c r="Q940">
        <v>1</v>
      </c>
      <c r="R940">
        <f>CORREL(BMW[units_sold],BMW[gdp_growth_percent])</f>
        <v>-5.2597817623217792E-17</v>
      </c>
    </row>
    <row r="941" spans="1:18" x14ac:dyDescent="0.35">
      <c r="A941">
        <v>2021</v>
      </c>
      <c r="B941" t="s">
        <v>48</v>
      </c>
      <c r="C941" t="s">
        <v>25</v>
      </c>
      <c r="D941" t="s">
        <v>33</v>
      </c>
      <c r="E941" t="s">
        <v>20</v>
      </c>
      <c r="F941" t="s">
        <v>27</v>
      </c>
      <c r="G941">
        <v>79755</v>
      </c>
      <c r="H941" t="s">
        <v>55</v>
      </c>
      <c r="I941">
        <v>602</v>
      </c>
      <c r="J941">
        <v>48012510</v>
      </c>
      <c r="K941">
        <v>441351</v>
      </c>
      <c r="L941">
        <v>47571159</v>
      </c>
      <c r="M941">
        <v>290</v>
      </c>
      <c r="N941">
        <v>0.97</v>
      </c>
      <c r="O941">
        <v>6.29</v>
      </c>
      <c r="P941">
        <v>1.2</v>
      </c>
      <c r="Q941">
        <v>8</v>
      </c>
      <c r="R941">
        <f>CORREL(BMW[units_sold],BMW[gdp_growth_percent])</f>
        <v>-5.2597817623217792E-17</v>
      </c>
    </row>
    <row r="942" spans="1:18" x14ac:dyDescent="0.35">
      <c r="A942">
        <v>2016</v>
      </c>
      <c r="B942" t="s">
        <v>46</v>
      </c>
      <c r="C942" t="s">
        <v>32</v>
      </c>
      <c r="D942" t="s">
        <v>18</v>
      </c>
      <c r="E942" t="s">
        <v>16</v>
      </c>
      <c r="F942" t="s">
        <v>27</v>
      </c>
      <c r="G942">
        <v>102684</v>
      </c>
      <c r="H942" t="s">
        <v>54</v>
      </c>
      <c r="I942">
        <v>336</v>
      </c>
      <c r="J942">
        <v>34501824</v>
      </c>
      <c r="K942">
        <v>76505</v>
      </c>
      <c r="L942">
        <v>34425319</v>
      </c>
      <c r="M942">
        <v>30</v>
      </c>
      <c r="N942">
        <v>0.97</v>
      </c>
      <c r="O942">
        <v>6.29</v>
      </c>
      <c r="P942">
        <v>1.2</v>
      </c>
      <c r="Q942">
        <v>2</v>
      </c>
      <c r="R942">
        <f>CORREL(BMW[units_sold],BMW[gdp_growth_percent])</f>
        <v>-5.2597817623217792E-17</v>
      </c>
    </row>
    <row r="943" spans="1:18" x14ac:dyDescent="0.35">
      <c r="A943">
        <v>2019</v>
      </c>
      <c r="B943" t="s">
        <v>45</v>
      </c>
      <c r="C943" t="s">
        <v>32</v>
      </c>
      <c r="D943" t="s">
        <v>39</v>
      </c>
      <c r="E943" t="s">
        <v>16</v>
      </c>
      <c r="F943" t="s">
        <v>27</v>
      </c>
      <c r="G943">
        <v>68324</v>
      </c>
      <c r="H943" t="s">
        <v>55</v>
      </c>
      <c r="I943">
        <v>636</v>
      </c>
      <c r="J943">
        <v>43454064</v>
      </c>
      <c r="K943">
        <v>86713</v>
      </c>
      <c r="L943">
        <v>43367351</v>
      </c>
      <c r="M943">
        <v>180</v>
      </c>
      <c r="N943">
        <v>0.97</v>
      </c>
      <c r="O943">
        <v>6.29</v>
      </c>
      <c r="P943">
        <v>1.2</v>
      </c>
      <c r="Q943">
        <v>1</v>
      </c>
      <c r="R943">
        <f>CORREL(BMW[units_sold],BMW[gdp_growth_percent])</f>
        <v>-5.2597817623217792E-17</v>
      </c>
    </row>
    <row r="944" spans="1:18" x14ac:dyDescent="0.35">
      <c r="A944">
        <v>2022</v>
      </c>
      <c r="B944" t="s">
        <v>47</v>
      </c>
      <c r="C944" t="s">
        <v>28</v>
      </c>
      <c r="D944" t="s">
        <v>31</v>
      </c>
      <c r="E944" t="s">
        <v>16</v>
      </c>
      <c r="F944" t="s">
        <v>23</v>
      </c>
      <c r="G944">
        <v>113929</v>
      </c>
      <c r="H944" t="s">
        <v>54</v>
      </c>
      <c r="I944">
        <v>324</v>
      </c>
      <c r="J944">
        <v>36912996</v>
      </c>
      <c r="K944">
        <v>497603</v>
      </c>
      <c r="L944">
        <v>36415393</v>
      </c>
      <c r="M944">
        <v>24</v>
      </c>
      <c r="N944">
        <v>0.97</v>
      </c>
      <c r="O944">
        <v>6.29</v>
      </c>
      <c r="P944">
        <v>1.2</v>
      </c>
      <c r="Q944">
        <v>8</v>
      </c>
      <c r="R944">
        <f>CORREL(BMW[units_sold],BMW[gdp_growth_percent])</f>
        <v>-5.2597817623217792E-17</v>
      </c>
    </row>
    <row r="945" spans="1:18" x14ac:dyDescent="0.35">
      <c r="A945">
        <v>2022</v>
      </c>
      <c r="B945" t="s">
        <v>41</v>
      </c>
      <c r="C945" t="s">
        <v>28</v>
      </c>
      <c r="D945" t="s">
        <v>22</v>
      </c>
      <c r="E945" t="s">
        <v>20</v>
      </c>
      <c r="F945" t="s">
        <v>20</v>
      </c>
      <c r="G945">
        <v>36552</v>
      </c>
      <c r="H945" t="s">
        <v>57</v>
      </c>
      <c r="I945">
        <v>724</v>
      </c>
      <c r="J945">
        <v>26463648</v>
      </c>
      <c r="K945">
        <v>355313</v>
      </c>
      <c r="L945">
        <v>26108335</v>
      </c>
      <c r="M945">
        <v>220</v>
      </c>
      <c r="N945">
        <v>0.97</v>
      </c>
      <c r="O945">
        <v>6.29</v>
      </c>
      <c r="P945">
        <v>1.2</v>
      </c>
      <c r="Q945">
        <v>4</v>
      </c>
      <c r="R945">
        <f>CORREL(BMW[units_sold],BMW[gdp_growth_percent])</f>
        <v>-5.2597817623217792E-17</v>
      </c>
    </row>
    <row r="946" spans="1:18" x14ac:dyDescent="0.35">
      <c r="A946">
        <v>2017</v>
      </c>
      <c r="B946" t="s">
        <v>51</v>
      </c>
      <c r="C946" t="s">
        <v>21</v>
      </c>
      <c r="D946" t="s">
        <v>29</v>
      </c>
      <c r="E946" t="s">
        <v>19</v>
      </c>
      <c r="F946" t="s">
        <v>20</v>
      </c>
      <c r="G946">
        <v>86272</v>
      </c>
      <c r="H946" t="s">
        <v>54</v>
      </c>
      <c r="I946">
        <v>150</v>
      </c>
      <c r="J946">
        <v>12940800</v>
      </c>
      <c r="K946">
        <v>254354</v>
      </c>
      <c r="L946">
        <v>12686446</v>
      </c>
      <c r="M946">
        <v>57</v>
      </c>
      <c r="N946">
        <v>0.97</v>
      </c>
      <c r="O946">
        <v>6.29</v>
      </c>
      <c r="P946">
        <v>1.2</v>
      </c>
      <c r="Q946">
        <v>3</v>
      </c>
      <c r="R946">
        <f>CORREL(BMW[units_sold],BMW[gdp_growth_percent])</f>
        <v>-5.2597817623217792E-17</v>
      </c>
    </row>
    <row r="947" spans="1:18" x14ac:dyDescent="0.35">
      <c r="A947">
        <v>2021</v>
      </c>
      <c r="B947" t="s">
        <v>50</v>
      </c>
      <c r="C947" t="s">
        <v>38</v>
      </c>
      <c r="D947" t="s">
        <v>15</v>
      </c>
      <c r="E947" t="s">
        <v>16</v>
      </c>
      <c r="F947" t="s">
        <v>17</v>
      </c>
      <c r="G947">
        <v>70853</v>
      </c>
      <c r="H947" t="s">
        <v>55</v>
      </c>
      <c r="I947">
        <v>429</v>
      </c>
      <c r="J947">
        <v>30395937</v>
      </c>
      <c r="K947">
        <v>127511</v>
      </c>
      <c r="L947">
        <v>30268426</v>
      </c>
      <c r="M947">
        <v>95</v>
      </c>
      <c r="N947">
        <v>0.97</v>
      </c>
      <c r="O947">
        <v>6.29</v>
      </c>
      <c r="P947">
        <v>1.2</v>
      </c>
      <c r="Q947">
        <v>4</v>
      </c>
      <c r="R947">
        <f>CORREL(BMW[units_sold],BMW[gdp_growth_percent])</f>
        <v>-5.2597817623217792E-17</v>
      </c>
    </row>
    <row r="948" spans="1:18" x14ac:dyDescent="0.35">
      <c r="A948">
        <v>2017</v>
      </c>
      <c r="B948" t="s">
        <v>49</v>
      </c>
      <c r="C948" t="s">
        <v>25</v>
      </c>
      <c r="D948" t="s">
        <v>18</v>
      </c>
      <c r="E948" t="s">
        <v>20</v>
      </c>
      <c r="F948" t="s">
        <v>23</v>
      </c>
      <c r="G948">
        <v>67924</v>
      </c>
      <c r="H948" t="s">
        <v>55</v>
      </c>
      <c r="I948">
        <v>576</v>
      </c>
      <c r="J948">
        <v>39124224</v>
      </c>
      <c r="K948">
        <v>494958</v>
      </c>
      <c r="L948">
        <v>38629266</v>
      </c>
      <c r="M948">
        <v>158</v>
      </c>
      <c r="N948">
        <v>0.97</v>
      </c>
      <c r="O948">
        <v>6.29</v>
      </c>
      <c r="P948">
        <v>1.2</v>
      </c>
      <c r="Q948">
        <v>5</v>
      </c>
      <c r="R948">
        <f>CORREL(BMW[units_sold],BMW[gdp_growth_percent])</f>
        <v>-5.2597817623217792E-17</v>
      </c>
    </row>
    <row r="949" spans="1:18" x14ac:dyDescent="0.35">
      <c r="A949">
        <v>2020</v>
      </c>
      <c r="B949" t="s">
        <v>46</v>
      </c>
      <c r="C949" t="s">
        <v>30</v>
      </c>
      <c r="D949" t="s">
        <v>33</v>
      </c>
      <c r="E949" t="s">
        <v>19</v>
      </c>
      <c r="F949" t="s">
        <v>20</v>
      </c>
      <c r="G949">
        <v>109462</v>
      </c>
      <c r="H949" t="s">
        <v>54</v>
      </c>
      <c r="I949">
        <v>744</v>
      </c>
      <c r="J949">
        <v>81439728</v>
      </c>
      <c r="K949">
        <v>352666</v>
      </c>
      <c r="L949">
        <v>81087062</v>
      </c>
      <c r="M949">
        <v>197</v>
      </c>
      <c r="N949">
        <v>0.97</v>
      </c>
      <c r="O949">
        <v>6.29</v>
      </c>
      <c r="P949">
        <v>1.2</v>
      </c>
      <c r="Q949">
        <v>1</v>
      </c>
      <c r="R949">
        <f>CORREL(BMW[units_sold],BMW[gdp_growth_percent])</f>
        <v>-5.2597817623217792E-17</v>
      </c>
    </row>
    <row r="950" spans="1:18" x14ac:dyDescent="0.35">
      <c r="A950">
        <v>2020</v>
      </c>
      <c r="B950" t="s">
        <v>46</v>
      </c>
      <c r="C950" t="s">
        <v>36</v>
      </c>
      <c r="D950" t="s">
        <v>26</v>
      </c>
      <c r="E950" t="s">
        <v>16</v>
      </c>
      <c r="F950" t="s">
        <v>23</v>
      </c>
      <c r="G950">
        <v>58889</v>
      </c>
      <c r="H950" t="s">
        <v>55</v>
      </c>
      <c r="I950">
        <v>819</v>
      </c>
      <c r="J950">
        <v>48230091</v>
      </c>
      <c r="K950">
        <v>262204</v>
      </c>
      <c r="L950">
        <v>47967887</v>
      </c>
      <c r="M950">
        <v>381</v>
      </c>
      <c r="N950">
        <v>0.97</v>
      </c>
      <c r="O950">
        <v>6.29</v>
      </c>
      <c r="P950">
        <v>1.2</v>
      </c>
      <c r="Q950">
        <v>1</v>
      </c>
      <c r="R950">
        <f>CORREL(BMW[units_sold],BMW[gdp_growth_percent])</f>
        <v>-5.2597817623217792E-17</v>
      </c>
    </row>
    <row r="951" spans="1:18" x14ac:dyDescent="0.35">
      <c r="A951">
        <v>2017</v>
      </c>
      <c r="B951" t="s">
        <v>44</v>
      </c>
      <c r="C951" t="s">
        <v>30</v>
      </c>
      <c r="D951" t="s">
        <v>24</v>
      </c>
      <c r="E951" t="s">
        <v>19</v>
      </c>
      <c r="F951" t="s">
        <v>17</v>
      </c>
      <c r="G951">
        <v>89675</v>
      </c>
      <c r="H951" t="s">
        <v>54</v>
      </c>
      <c r="I951">
        <v>1029</v>
      </c>
      <c r="J951">
        <v>92275575</v>
      </c>
      <c r="K951">
        <v>300694</v>
      </c>
      <c r="L951">
        <v>91974881</v>
      </c>
      <c r="M951">
        <v>315</v>
      </c>
      <c r="N951">
        <v>0.97</v>
      </c>
      <c r="O951">
        <v>6.29</v>
      </c>
      <c r="P951">
        <v>1.2</v>
      </c>
      <c r="Q951">
        <v>3</v>
      </c>
      <c r="R951">
        <f>CORREL(BMW[units_sold],BMW[gdp_growth_percent])</f>
        <v>-5.2597817623217792E-17</v>
      </c>
    </row>
    <row r="952" spans="1:18" x14ac:dyDescent="0.35">
      <c r="A952">
        <v>2021</v>
      </c>
      <c r="B952" t="s">
        <v>46</v>
      </c>
      <c r="C952" t="s">
        <v>21</v>
      </c>
      <c r="D952" t="s">
        <v>31</v>
      </c>
      <c r="E952" t="s">
        <v>16</v>
      </c>
      <c r="F952" t="s">
        <v>17</v>
      </c>
      <c r="G952">
        <v>108591</v>
      </c>
      <c r="H952" t="s">
        <v>54</v>
      </c>
      <c r="I952">
        <v>403</v>
      </c>
      <c r="J952">
        <v>43762173</v>
      </c>
      <c r="K952">
        <v>299836</v>
      </c>
      <c r="L952">
        <v>43462337</v>
      </c>
      <c r="M952">
        <v>160</v>
      </c>
      <c r="N952">
        <v>0.97</v>
      </c>
      <c r="O952">
        <v>6.29</v>
      </c>
      <c r="P952">
        <v>1.2</v>
      </c>
      <c r="Q952">
        <v>6</v>
      </c>
      <c r="R952">
        <f>CORREL(BMW[units_sold],BMW[gdp_growth_percent])</f>
        <v>-5.2597817623217792E-17</v>
      </c>
    </row>
    <row r="953" spans="1:18" x14ac:dyDescent="0.35">
      <c r="A953">
        <v>2017</v>
      </c>
      <c r="B953" t="s">
        <v>41</v>
      </c>
      <c r="C953" t="s">
        <v>37</v>
      </c>
      <c r="D953" t="s">
        <v>31</v>
      </c>
      <c r="E953" t="s">
        <v>16</v>
      </c>
      <c r="F953" t="s">
        <v>17</v>
      </c>
      <c r="G953">
        <v>105190</v>
      </c>
      <c r="H953" t="s">
        <v>54</v>
      </c>
      <c r="I953">
        <v>515</v>
      </c>
      <c r="J953">
        <v>54172850</v>
      </c>
      <c r="K953">
        <v>284561</v>
      </c>
      <c r="L953">
        <v>53888289</v>
      </c>
      <c r="M953">
        <v>150</v>
      </c>
      <c r="N953">
        <v>0.97</v>
      </c>
      <c r="O953">
        <v>6.29</v>
      </c>
      <c r="P953">
        <v>1.2</v>
      </c>
      <c r="Q953">
        <v>1</v>
      </c>
      <c r="R953">
        <f>CORREL(BMW[units_sold],BMW[gdp_growth_percent])</f>
        <v>-5.2597817623217792E-17</v>
      </c>
    </row>
    <row r="954" spans="1:18" x14ac:dyDescent="0.35">
      <c r="A954">
        <v>2022</v>
      </c>
      <c r="B954" t="s">
        <v>41</v>
      </c>
      <c r="C954" t="s">
        <v>38</v>
      </c>
      <c r="D954" t="s">
        <v>18</v>
      </c>
      <c r="E954" t="s">
        <v>16</v>
      </c>
      <c r="F954" t="s">
        <v>27</v>
      </c>
      <c r="G954">
        <v>57634</v>
      </c>
      <c r="H954" t="s">
        <v>55</v>
      </c>
      <c r="I954">
        <v>557</v>
      </c>
      <c r="J954">
        <v>32102138</v>
      </c>
      <c r="K954">
        <v>411541</v>
      </c>
      <c r="L954">
        <v>31690597</v>
      </c>
      <c r="M954">
        <v>78</v>
      </c>
      <c r="N954">
        <v>0.97</v>
      </c>
      <c r="O954">
        <v>6.29</v>
      </c>
      <c r="P954">
        <v>1.2</v>
      </c>
      <c r="Q954">
        <v>2</v>
      </c>
      <c r="R954">
        <f>CORREL(BMW[units_sold],BMW[gdp_growth_percent])</f>
        <v>-5.2597817623217792E-17</v>
      </c>
    </row>
    <row r="955" spans="1:18" x14ac:dyDescent="0.35">
      <c r="A955">
        <v>2024</v>
      </c>
      <c r="B955" t="s">
        <v>50</v>
      </c>
      <c r="C955" t="s">
        <v>36</v>
      </c>
      <c r="D955" t="s">
        <v>33</v>
      </c>
      <c r="E955" t="s">
        <v>19</v>
      </c>
      <c r="F955" t="s">
        <v>23</v>
      </c>
      <c r="G955">
        <v>67363</v>
      </c>
      <c r="H955" t="s">
        <v>55</v>
      </c>
      <c r="I955">
        <v>607</v>
      </c>
      <c r="J955">
        <v>40889341</v>
      </c>
      <c r="K955">
        <v>53880</v>
      </c>
      <c r="L955">
        <v>40835461</v>
      </c>
      <c r="M955">
        <v>269</v>
      </c>
      <c r="N955">
        <v>0.97</v>
      </c>
      <c r="O955">
        <v>6.29</v>
      </c>
      <c r="P955">
        <v>1.2</v>
      </c>
      <c r="Q955">
        <v>7</v>
      </c>
      <c r="R955">
        <f>CORREL(BMW[units_sold],BMW[gdp_growth_percent])</f>
        <v>-5.2597817623217792E-17</v>
      </c>
    </row>
    <row r="956" spans="1:18" x14ac:dyDescent="0.35">
      <c r="A956">
        <v>2018</v>
      </c>
      <c r="B956" t="s">
        <v>43</v>
      </c>
      <c r="C956" t="s">
        <v>14</v>
      </c>
      <c r="D956" t="s">
        <v>34</v>
      </c>
      <c r="E956" t="s">
        <v>20</v>
      </c>
      <c r="F956" t="s">
        <v>17</v>
      </c>
      <c r="G956">
        <v>98752</v>
      </c>
      <c r="H956" t="s">
        <v>54</v>
      </c>
      <c r="I956">
        <v>1116</v>
      </c>
      <c r="J956">
        <v>110207232</v>
      </c>
      <c r="K956">
        <v>486670</v>
      </c>
      <c r="L956">
        <v>109720562</v>
      </c>
      <c r="M956">
        <v>343</v>
      </c>
      <c r="N956">
        <v>0.97</v>
      </c>
      <c r="O956">
        <v>6.29</v>
      </c>
      <c r="P956">
        <v>1.2</v>
      </c>
      <c r="Q956">
        <v>1</v>
      </c>
      <c r="R956">
        <f>CORREL(BMW[units_sold],BMW[gdp_growth_percent])</f>
        <v>-5.2597817623217792E-17</v>
      </c>
    </row>
    <row r="957" spans="1:18" x14ac:dyDescent="0.35">
      <c r="A957">
        <v>2015</v>
      </c>
      <c r="B957" t="s">
        <v>47</v>
      </c>
      <c r="C957" t="s">
        <v>37</v>
      </c>
      <c r="D957" t="s">
        <v>31</v>
      </c>
      <c r="E957" t="s">
        <v>19</v>
      </c>
      <c r="F957" t="s">
        <v>23</v>
      </c>
      <c r="G957">
        <v>112004</v>
      </c>
      <c r="H957" t="s">
        <v>54</v>
      </c>
      <c r="I957">
        <v>130</v>
      </c>
      <c r="J957">
        <v>14560520</v>
      </c>
      <c r="K957">
        <v>498927</v>
      </c>
      <c r="L957">
        <v>14061593</v>
      </c>
      <c r="M957">
        <v>18</v>
      </c>
      <c r="N957">
        <v>0.97</v>
      </c>
      <c r="O957">
        <v>6.29</v>
      </c>
      <c r="P957">
        <v>1.2</v>
      </c>
      <c r="Q957">
        <v>7</v>
      </c>
      <c r="R957">
        <f>CORREL(BMW[units_sold],BMW[gdp_growth_percent])</f>
        <v>-5.2597817623217792E-17</v>
      </c>
    </row>
    <row r="958" spans="1:18" x14ac:dyDescent="0.35">
      <c r="A958">
        <v>2018</v>
      </c>
      <c r="B958" t="s">
        <v>45</v>
      </c>
      <c r="C958" t="s">
        <v>28</v>
      </c>
      <c r="D958" t="s">
        <v>34</v>
      </c>
      <c r="E958" t="s">
        <v>16</v>
      </c>
      <c r="F958" t="s">
        <v>27</v>
      </c>
      <c r="G958">
        <v>91398</v>
      </c>
      <c r="H958" t="s">
        <v>54</v>
      </c>
      <c r="I958">
        <v>559</v>
      </c>
      <c r="J958">
        <v>51091482</v>
      </c>
      <c r="K958">
        <v>93539</v>
      </c>
      <c r="L958">
        <v>50997943</v>
      </c>
      <c r="M958">
        <v>130</v>
      </c>
      <c r="N958">
        <v>0.97</v>
      </c>
      <c r="O958">
        <v>6.29</v>
      </c>
      <c r="P958">
        <v>1.2</v>
      </c>
      <c r="Q958">
        <v>4</v>
      </c>
      <c r="R958">
        <f>CORREL(BMW[units_sold],BMW[gdp_growth_percent])</f>
        <v>-5.2597817623217792E-17</v>
      </c>
    </row>
    <row r="959" spans="1:18" x14ac:dyDescent="0.35">
      <c r="A959">
        <v>2021</v>
      </c>
      <c r="B959" t="s">
        <v>46</v>
      </c>
      <c r="C959" t="s">
        <v>32</v>
      </c>
      <c r="D959" t="s">
        <v>26</v>
      </c>
      <c r="E959" t="s">
        <v>19</v>
      </c>
      <c r="F959" t="s">
        <v>27</v>
      </c>
      <c r="G959">
        <v>75718</v>
      </c>
      <c r="H959" t="s">
        <v>55</v>
      </c>
      <c r="I959">
        <v>1088</v>
      </c>
      <c r="J959">
        <v>82381184</v>
      </c>
      <c r="K959">
        <v>290056</v>
      </c>
      <c r="L959">
        <v>82091128</v>
      </c>
      <c r="M959">
        <v>380</v>
      </c>
      <c r="N959">
        <v>0.97</v>
      </c>
      <c r="O959">
        <v>6.29</v>
      </c>
      <c r="P959">
        <v>1.2</v>
      </c>
      <c r="Q959">
        <v>10</v>
      </c>
      <c r="R959">
        <f>CORREL(BMW[units_sold],BMW[gdp_growth_percent])</f>
        <v>-5.2597817623217792E-17</v>
      </c>
    </row>
    <row r="960" spans="1:18" x14ac:dyDescent="0.35">
      <c r="A960">
        <v>2018</v>
      </c>
      <c r="B960" t="s">
        <v>52</v>
      </c>
      <c r="C960" t="s">
        <v>14</v>
      </c>
      <c r="D960" t="s">
        <v>18</v>
      </c>
      <c r="E960" t="s">
        <v>20</v>
      </c>
      <c r="F960" t="s">
        <v>17</v>
      </c>
      <c r="G960">
        <v>117916</v>
      </c>
      <c r="H960" t="s">
        <v>54</v>
      </c>
      <c r="I960">
        <v>360</v>
      </c>
      <c r="J960">
        <v>42449760</v>
      </c>
      <c r="K960">
        <v>269057</v>
      </c>
      <c r="L960">
        <v>42180703</v>
      </c>
      <c r="M960">
        <v>110</v>
      </c>
      <c r="N960">
        <v>0.97</v>
      </c>
      <c r="O960">
        <v>6.29</v>
      </c>
      <c r="P960">
        <v>1.2</v>
      </c>
      <c r="Q960">
        <v>6</v>
      </c>
      <c r="R960">
        <f>CORREL(BMW[units_sold],BMW[gdp_growth_percent])</f>
        <v>-5.2597817623217792E-17</v>
      </c>
    </row>
    <row r="961" spans="1:18" x14ac:dyDescent="0.35">
      <c r="A961">
        <v>2020</v>
      </c>
      <c r="B961" t="s">
        <v>42</v>
      </c>
      <c r="C961" t="s">
        <v>30</v>
      </c>
      <c r="D961" t="s">
        <v>33</v>
      </c>
      <c r="E961" t="s">
        <v>19</v>
      </c>
      <c r="F961" t="s">
        <v>17</v>
      </c>
      <c r="G961">
        <v>61870</v>
      </c>
      <c r="H961" t="s">
        <v>55</v>
      </c>
      <c r="I961">
        <v>740</v>
      </c>
      <c r="J961">
        <v>45783800</v>
      </c>
      <c r="K961">
        <v>64799</v>
      </c>
      <c r="L961">
        <v>45719001</v>
      </c>
      <c r="M961">
        <v>158</v>
      </c>
      <c r="N961">
        <v>0.97</v>
      </c>
      <c r="O961">
        <v>6.29</v>
      </c>
      <c r="P961">
        <v>1.2</v>
      </c>
      <c r="Q961">
        <v>8</v>
      </c>
      <c r="R961">
        <f>CORREL(BMW[units_sold],BMW[gdp_growth_percent])</f>
        <v>-5.2597817623217792E-17</v>
      </c>
    </row>
    <row r="962" spans="1:18" x14ac:dyDescent="0.35">
      <c r="A962">
        <v>2023</v>
      </c>
      <c r="B962" t="s">
        <v>44</v>
      </c>
      <c r="C962" t="s">
        <v>30</v>
      </c>
      <c r="D962" t="s">
        <v>33</v>
      </c>
      <c r="E962" t="s">
        <v>20</v>
      </c>
      <c r="F962" t="s">
        <v>20</v>
      </c>
      <c r="G962">
        <v>72394</v>
      </c>
      <c r="H962" t="s">
        <v>55</v>
      </c>
      <c r="I962">
        <v>521</v>
      </c>
      <c r="J962">
        <v>37717274</v>
      </c>
      <c r="K962">
        <v>154843</v>
      </c>
      <c r="L962">
        <v>37562431</v>
      </c>
      <c r="M962">
        <v>155</v>
      </c>
      <c r="N962">
        <v>0.97</v>
      </c>
      <c r="O962">
        <v>6.29</v>
      </c>
      <c r="P962">
        <v>1.2</v>
      </c>
      <c r="Q962">
        <v>9</v>
      </c>
      <c r="R962">
        <f>CORREL(BMW[units_sold],BMW[gdp_growth_percent])</f>
        <v>-5.2597817623217792E-17</v>
      </c>
    </row>
    <row r="963" spans="1:18" x14ac:dyDescent="0.35">
      <c r="A963">
        <v>2015</v>
      </c>
      <c r="B963" t="s">
        <v>44</v>
      </c>
      <c r="C963" t="s">
        <v>28</v>
      </c>
      <c r="D963" t="s">
        <v>39</v>
      </c>
      <c r="E963" t="s">
        <v>20</v>
      </c>
      <c r="F963" t="s">
        <v>23</v>
      </c>
      <c r="G963">
        <v>87057</v>
      </c>
      <c r="H963" t="s">
        <v>54</v>
      </c>
      <c r="I963">
        <v>1196</v>
      </c>
      <c r="J963">
        <v>104120172</v>
      </c>
      <c r="K963">
        <v>493942</v>
      </c>
      <c r="L963">
        <v>103626230</v>
      </c>
      <c r="M963">
        <v>362</v>
      </c>
      <c r="N963">
        <v>0.97</v>
      </c>
      <c r="O963">
        <v>6.29</v>
      </c>
      <c r="P963">
        <v>1.2</v>
      </c>
      <c r="Q963">
        <v>6</v>
      </c>
      <c r="R963">
        <f>CORREL(BMW[units_sold],BMW[gdp_growth_percent])</f>
        <v>-5.2597817623217792E-17</v>
      </c>
    </row>
    <row r="964" spans="1:18" x14ac:dyDescent="0.35">
      <c r="A964">
        <v>2019</v>
      </c>
      <c r="B964" t="s">
        <v>52</v>
      </c>
      <c r="C964" t="s">
        <v>21</v>
      </c>
      <c r="D964" t="s">
        <v>24</v>
      </c>
      <c r="E964" t="s">
        <v>19</v>
      </c>
      <c r="F964" t="s">
        <v>17</v>
      </c>
      <c r="G964">
        <v>114795</v>
      </c>
      <c r="H964" t="s">
        <v>54</v>
      </c>
      <c r="I964">
        <v>724</v>
      </c>
      <c r="J964">
        <v>83111580</v>
      </c>
      <c r="K964">
        <v>98784</v>
      </c>
      <c r="L964">
        <v>83012796</v>
      </c>
      <c r="M964">
        <v>252</v>
      </c>
      <c r="N964">
        <v>0.97</v>
      </c>
      <c r="O964">
        <v>6.29</v>
      </c>
      <c r="P964">
        <v>1.2</v>
      </c>
      <c r="Q964">
        <v>9</v>
      </c>
      <c r="R964">
        <f>CORREL(BMW[units_sold],BMW[gdp_growth_percent])</f>
        <v>-5.2597817623217792E-17</v>
      </c>
    </row>
    <row r="965" spans="1:18" x14ac:dyDescent="0.35">
      <c r="A965">
        <v>2021</v>
      </c>
      <c r="B965" t="s">
        <v>48</v>
      </c>
      <c r="C965" t="s">
        <v>25</v>
      </c>
      <c r="D965" t="s">
        <v>15</v>
      </c>
      <c r="E965" t="s">
        <v>16</v>
      </c>
      <c r="F965" t="s">
        <v>20</v>
      </c>
      <c r="G965">
        <v>115409</v>
      </c>
      <c r="H965" t="s">
        <v>54</v>
      </c>
      <c r="I965">
        <v>710</v>
      </c>
      <c r="J965">
        <v>81940390</v>
      </c>
      <c r="K965">
        <v>163034</v>
      </c>
      <c r="L965">
        <v>81777356</v>
      </c>
      <c r="M965">
        <v>250</v>
      </c>
      <c r="N965">
        <v>0.97</v>
      </c>
      <c r="O965">
        <v>6.29</v>
      </c>
      <c r="P965">
        <v>1.2</v>
      </c>
      <c r="Q965">
        <v>4</v>
      </c>
      <c r="R965">
        <f>CORREL(BMW[units_sold],BMW[gdp_growth_percent])</f>
        <v>-5.2597817623217792E-17</v>
      </c>
    </row>
    <row r="966" spans="1:18" x14ac:dyDescent="0.35">
      <c r="A966">
        <v>2015</v>
      </c>
      <c r="B966" t="s">
        <v>52</v>
      </c>
      <c r="C966" t="s">
        <v>14</v>
      </c>
      <c r="D966" t="s">
        <v>15</v>
      </c>
      <c r="E966" t="s">
        <v>20</v>
      </c>
      <c r="F966" t="s">
        <v>23</v>
      </c>
      <c r="G966">
        <v>48016</v>
      </c>
      <c r="H966" t="s">
        <v>57</v>
      </c>
      <c r="I966">
        <v>1156</v>
      </c>
      <c r="J966">
        <v>55506496</v>
      </c>
      <c r="K966">
        <v>486549</v>
      </c>
      <c r="L966">
        <v>55019947</v>
      </c>
      <c r="M966">
        <v>346</v>
      </c>
      <c r="N966">
        <v>0.97</v>
      </c>
      <c r="O966">
        <v>6.29</v>
      </c>
      <c r="P966">
        <v>1.2</v>
      </c>
      <c r="Q966">
        <v>6</v>
      </c>
      <c r="R966">
        <f>CORREL(BMW[units_sold],BMW[gdp_growth_percent])</f>
        <v>-5.2597817623217792E-17</v>
      </c>
    </row>
    <row r="967" spans="1:18" x14ac:dyDescent="0.35">
      <c r="A967">
        <v>2018</v>
      </c>
      <c r="B967" t="s">
        <v>48</v>
      </c>
      <c r="C967" t="s">
        <v>14</v>
      </c>
      <c r="D967" t="s">
        <v>29</v>
      </c>
      <c r="E967" t="s">
        <v>19</v>
      </c>
      <c r="F967" t="s">
        <v>17</v>
      </c>
      <c r="G967">
        <v>77137</v>
      </c>
      <c r="H967" t="s">
        <v>55</v>
      </c>
      <c r="I967">
        <v>243</v>
      </c>
      <c r="J967">
        <v>18744291</v>
      </c>
      <c r="K967">
        <v>484044</v>
      </c>
      <c r="L967">
        <v>18260247</v>
      </c>
      <c r="M967">
        <v>52</v>
      </c>
      <c r="N967">
        <v>0.97</v>
      </c>
      <c r="O967">
        <v>6.29</v>
      </c>
      <c r="P967">
        <v>1.2</v>
      </c>
      <c r="Q967">
        <v>8</v>
      </c>
      <c r="R967">
        <f>CORREL(BMW[units_sold],BMW[gdp_growth_percent])</f>
        <v>-5.2597817623217792E-17</v>
      </c>
    </row>
    <row r="968" spans="1:18" x14ac:dyDescent="0.35">
      <c r="A968">
        <v>2020</v>
      </c>
      <c r="B968" t="s">
        <v>51</v>
      </c>
      <c r="C968" t="s">
        <v>35</v>
      </c>
      <c r="D968" t="s">
        <v>22</v>
      </c>
      <c r="E968" t="s">
        <v>20</v>
      </c>
      <c r="F968" t="s">
        <v>20</v>
      </c>
      <c r="G968">
        <v>35153</v>
      </c>
      <c r="H968" t="s">
        <v>57</v>
      </c>
      <c r="I968">
        <v>630</v>
      </c>
      <c r="J968">
        <v>22146390</v>
      </c>
      <c r="K968">
        <v>250598</v>
      </c>
      <c r="L968">
        <v>21895792</v>
      </c>
      <c r="M968">
        <v>104</v>
      </c>
      <c r="N968">
        <v>0.97</v>
      </c>
      <c r="O968">
        <v>6.29</v>
      </c>
      <c r="P968">
        <v>1.2</v>
      </c>
      <c r="Q968">
        <v>9</v>
      </c>
      <c r="R968">
        <f>CORREL(BMW[units_sold],BMW[gdp_growth_percent])</f>
        <v>-5.2597817623217792E-17</v>
      </c>
    </row>
    <row r="969" spans="1:18" x14ac:dyDescent="0.35">
      <c r="A969">
        <v>2016</v>
      </c>
      <c r="B969" t="s">
        <v>42</v>
      </c>
      <c r="C969" t="s">
        <v>37</v>
      </c>
      <c r="D969" t="s">
        <v>18</v>
      </c>
      <c r="E969" t="s">
        <v>16</v>
      </c>
      <c r="F969" t="s">
        <v>20</v>
      </c>
      <c r="G969">
        <v>42853</v>
      </c>
      <c r="H969" t="s">
        <v>57</v>
      </c>
      <c r="I969">
        <v>666</v>
      </c>
      <c r="J969">
        <v>28540098</v>
      </c>
      <c r="K969">
        <v>104362</v>
      </c>
      <c r="L969">
        <v>28435736</v>
      </c>
      <c r="M969">
        <v>235</v>
      </c>
      <c r="N969">
        <v>0.97</v>
      </c>
      <c r="O969">
        <v>6.29</v>
      </c>
      <c r="P969">
        <v>1.2</v>
      </c>
      <c r="Q969">
        <v>3</v>
      </c>
      <c r="R969">
        <f>CORREL(BMW[units_sold],BMW[gdp_growth_percent])</f>
        <v>-5.2597817623217792E-17</v>
      </c>
    </row>
    <row r="970" spans="1:18" x14ac:dyDescent="0.35">
      <c r="A970">
        <v>2024</v>
      </c>
      <c r="B970" t="s">
        <v>44</v>
      </c>
      <c r="C970" t="s">
        <v>38</v>
      </c>
      <c r="D970" t="s">
        <v>26</v>
      </c>
      <c r="E970" t="s">
        <v>19</v>
      </c>
      <c r="F970" t="s">
        <v>23</v>
      </c>
      <c r="G970">
        <v>47379</v>
      </c>
      <c r="H970" t="s">
        <v>57</v>
      </c>
      <c r="I970">
        <v>59</v>
      </c>
      <c r="J970">
        <v>2795361</v>
      </c>
      <c r="K970">
        <v>103997</v>
      </c>
      <c r="L970">
        <v>2691364</v>
      </c>
      <c r="M970">
        <v>15</v>
      </c>
      <c r="N970">
        <v>0.97</v>
      </c>
      <c r="O970">
        <v>6.29</v>
      </c>
      <c r="P970">
        <v>1.2</v>
      </c>
      <c r="Q970">
        <v>2</v>
      </c>
      <c r="R970">
        <f>CORREL(BMW[units_sold],BMW[gdp_growth_percent])</f>
        <v>-5.2597817623217792E-17</v>
      </c>
    </row>
    <row r="971" spans="1:18" x14ac:dyDescent="0.35">
      <c r="A971">
        <v>2019</v>
      </c>
      <c r="B971" t="s">
        <v>52</v>
      </c>
      <c r="C971" t="s">
        <v>37</v>
      </c>
      <c r="D971" t="s">
        <v>33</v>
      </c>
      <c r="E971" t="s">
        <v>19</v>
      </c>
      <c r="F971" t="s">
        <v>20</v>
      </c>
      <c r="G971">
        <v>50792</v>
      </c>
      <c r="H971" t="s">
        <v>55</v>
      </c>
      <c r="I971">
        <v>804</v>
      </c>
      <c r="J971">
        <v>40836768</v>
      </c>
      <c r="K971">
        <v>231413</v>
      </c>
      <c r="L971">
        <v>40605355</v>
      </c>
      <c r="M971">
        <v>223</v>
      </c>
      <c r="N971">
        <v>0.97</v>
      </c>
      <c r="O971">
        <v>6.29</v>
      </c>
      <c r="P971">
        <v>1.2</v>
      </c>
      <c r="Q971">
        <v>6</v>
      </c>
      <c r="R971">
        <f>CORREL(BMW[units_sold],BMW[gdp_growth_percent])</f>
        <v>-5.2597817623217792E-17</v>
      </c>
    </row>
    <row r="972" spans="1:18" x14ac:dyDescent="0.35">
      <c r="A972">
        <v>2024</v>
      </c>
      <c r="B972" t="s">
        <v>51</v>
      </c>
      <c r="C972" t="s">
        <v>25</v>
      </c>
      <c r="D972" t="s">
        <v>24</v>
      </c>
      <c r="E972" t="s">
        <v>19</v>
      </c>
      <c r="F972" t="s">
        <v>23</v>
      </c>
      <c r="G972">
        <v>73367</v>
      </c>
      <c r="H972" t="s">
        <v>55</v>
      </c>
      <c r="I972">
        <v>596</v>
      </c>
      <c r="J972">
        <v>43726732</v>
      </c>
      <c r="K972">
        <v>462289</v>
      </c>
      <c r="L972">
        <v>43264443</v>
      </c>
      <c r="M972">
        <v>215</v>
      </c>
      <c r="N972">
        <v>0.97</v>
      </c>
      <c r="O972">
        <v>6.29</v>
      </c>
      <c r="P972">
        <v>1.2</v>
      </c>
      <c r="Q972">
        <v>4</v>
      </c>
      <c r="R972">
        <f>CORREL(BMW[units_sold],BMW[gdp_growth_percent])</f>
        <v>-5.2597817623217792E-17</v>
      </c>
    </row>
    <row r="973" spans="1:18" x14ac:dyDescent="0.35">
      <c r="A973">
        <v>2015</v>
      </c>
      <c r="B973" t="s">
        <v>43</v>
      </c>
      <c r="C973" t="s">
        <v>30</v>
      </c>
      <c r="D973" t="s">
        <v>34</v>
      </c>
      <c r="E973" t="s">
        <v>16</v>
      </c>
      <c r="F973" t="s">
        <v>23</v>
      </c>
      <c r="G973">
        <v>53100</v>
      </c>
      <c r="H973" t="s">
        <v>55</v>
      </c>
      <c r="I973">
        <v>320</v>
      </c>
      <c r="J973">
        <v>16992000</v>
      </c>
      <c r="K973">
        <v>414543</v>
      </c>
      <c r="L973">
        <v>16577457</v>
      </c>
      <c r="M973">
        <v>76</v>
      </c>
      <c r="N973">
        <v>0.97</v>
      </c>
      <c r="O973">
        <v>6.29</v>
      </c>
      <c r="P973">
        <v>1.2</v>
      </c>
      <c r="Q973">
        <v>1</v>
      </c>
      <c r="R973">
        <f>CORREL(BMW[units_sold],BMW[gdp_growth_percent])</f>
        <v>-5.2597817623217792E-17</v>
      </c>
    </row>
    <row r="974" spans="1:18" x14ac:dyDescent="0.35">
      <c r="A974">
        <v>2020</v>
      </c>
      <c r="B974" t="s">
        <v>49</v>
      </c>
      <c r="C974" t="s">
        <v>30</v>
      </c>
      <c r="D974" t="s">
        <v>18</v>
      </c>
      <c r="E974" t="s">
        <v>20</v>
      </c>
      <c r="F974" t="s">
        <v>23</v>
      </c>
      <c r="G974">
        <v>98456</v>
      </c>
      <c r="H974" t="s">
        <v>54</v>
      </c>
      <c r="I974">
        <v>565</v>
      </c>
      <c r="J974">
        <v>55627640</v>
      </c>
      <c r="K974">
        <v>326693</v>
      </c>
      <c r="L974">
        <v>55300947</v>
      </c>
      <c r="M974">
        <v>109</v>
      </c>
      <c r="N974">
        <v>0.97</v>
      </c>
      <c r="O974">
        <v>6.29</v>
      </c>
      <c r="P974">
        <v>1.2</v>
      </c>
      <c r="Q974">
        <v>8</v>
      </c>
      <c r="R974">
        <f>CORREL(BMW[units_sold],BMW[gdp_growth_percent])</f>
        <v>-5.2597817623217792E-17</v>
      </c>
    </row>
    <row r="975" spans="1:18" x14ac:dyDescent="0.35">
      <c r="A975">
        <v>2020</v>
      </c>
      <c r="B975" t="s">
        <v>45</v>
      </c>
      <c r="C975" t="s">
        <v>30</v>
      </c>
      <c r="D975" t="s">
        <v>29</v>
      </c>
      <c r="E975" t="s">
        <v>19</v>
      </c>
      <c r="F975" t="s">
        <v>27</v>
      </c>
      <c r="G975">
        <v>46049</v>
      </c>
      <c r="H975" t="s">
        <v>57</v>
      </c>
      <c r="I975">
        <v>96</v>
      </c>
      <c r="J975">
        <v>4420704</v>
      </c>
      <c r="K975">
        <v>369064</v>
      </c>
      <c r="L975">
        <v>4051640</v>
      </c>
      <c r="M975">
        <v>21</v>
      </c>
      <c r="N975">
        <v>0.97</v>
      </c>
      <c r="O975">
        <v>6.29</v>
      </c>
      <c r="P975">
        <v>1.2</v>
      </c>
      <c r="Q975">
        <v>9</v>
      </c>
      <c r="R975">
        <f>CORREL(BMW[units_sold],BMW[gdp_growth_percent])</f>
        <v>-5.2597817623217792E-17</v>
      </c>
    </row>
    <row r="976" spans="1:18" x14ac:dyDescent="0.35">
      <c r="A976">
        <v>2018</v>
      </c>
      <c r="B976" t="s">
        <v>51</v>
      </c>
      <c r="C976" t="s">
        <v>35</v>
      </c>
      <c r="D976" t="s">
        <v>18</v>
      </c>
      <c r="E976" t="s">
        <v>20</v>
      </c>
      <c r="F976" t="s">
        <v>20</v>
      </c>
      <c r="G976">
        <v>35786</v>
      </c>
      <c r="H976" t="s">
        <v>57</v>
      </c>
      <c r="I976">
        <v>575</v>
      </c>
      <c r="J976">
        <v>20576950</v>
      </c>
      <c r="K976">
        <v>266398</v>
      </c>
      <c r="L976">
        <v>20310552</v>
      </c>
      <c r="M976">
        <v>246</v>
      </c>
      <c r="N976">
        <v>0.97</v>
      </c>
      <c r="O976">
        <v>6.29</v>
      </c>
      <c r="P976">
        <v>1.2</v>
      </c>
      <c r="Q976">
        <v>9</v>
      </c>
      <c r="R976">
        <f>CORREL(BMW[units_sold],BMW[gdp_growth_percent])</f>
        <v>-5.2597817623217792E-17</v>
      </c>
    </row>
    <row r="977" spans="1:18" x14ac:dyDescent="0.35">
      <c r="A977">
        <v>2022</v>
      </c>
      <c r="B977" t="s">
        <v>45</v>
      </c>
      <c r="C977" t="s">
        <v>30</v>
      </c>
      <c r="D977" t="s">
        <v>29</v>
      </c>
      <c r="E977" t="s">
        <v>20</v>
      </c>
      <c r="F977" t="s">
        <v>23</v>
      </c>
      <c r="G977">
        <v>104904</v>
      </c>
      <c r="H977" t="s">
        <v>54</v>
      </c>
      <c r="I977">
        <v>968</v>
      </c>
      <c r="J977">
        <v>101547072</v>
      </c>
      <c r="K977">
        <v>310464</v>
      </c>
      <c r="L977">
        <v>101236608</v>
      </c>
      <c r="M977">
        <v>331</v>
      </c>
      <c r="N977">
        <v>0.97</v>
      </c>
      <c r="O977">
        <v>6.29</v>
      </c>
      <c r="P977">
        <v>1.2</v>
      </c>
      <c r="Q977">
        <v>2</v>
      </c>
      <c r="R977">
        <f>CORREL(BMW[units_sold],BMW[gdp_growth_percent])</f>
        <v>-5.2597817623217792E-17</v>
      </c>
    </row>
    <row r="978" spans="1:18" x14ac:dyDescent="0.35">
      <c r="A978">
        <v>2018</v>
      </c>
      <c r="B978" t="s">
        <v>52</v>
      </c>
      <c r="C978" t="s">
        <v>25</v>
      </c>
      <c r="D978" t="s">
        <v>33</v>
      </c>
      <c r="E978" t="s">
        <v>16</v>
      </c>
      <c r="F978" t="s">
        <v>17</v>
      </c>
      <c r="G978">
        <v>65699</v>
      </c>
      <c r="H978" t="s">
        <v>55</v>
      </c>
      <c r="I978">
        <v>582</v>
      </c>
      <c r="J978">
        <v>38236818</v>
      </c>
      <c r="K978">
        <v>463532</v>
      </c>
      <c r="L978">
        <v>37773286</v>
      </c>
      <c r="M978">
        <v>267</v>
      </c>
      <c r="N978">
        <v>0.97</v>
      </c>
      <c r="O978">
        <v>6.29</v>
      </c>
      <c r="P978">
        <v>1.2</v>
      </c>
      <c r="Q978">
        <v>9</v>
      </c>
      <c r="R978">
        <f>CORREL(BMW[units_sold],BMW[gdp_growth_percent])</f>
        <v>-5.2597817623217792E-17</v>
      </c>
    </row>
    <row r="979" spans="1:18" x14ac:dyDescent="0.35">
      <c r="A979">
        <v>2022</v>
      </c>
      <c r="B979" t="s">
        <v>47</v>
      </c>
      <c r="C979" t="s">
        <v>28</v>
      </c>
      <c r="D979" t="s">
        <v>22</v>
      </c>
      <c r="E979" t="s">
        <v>19</v>
      </c>
      <c r="F979" t="s">
        <v>27</v>
      </c>
      <c r="G979">
        <v>82691</v>
      </c>
      <c r="H979" t="s">
        <v>54</v>
      </c>
      <c r="I979">
        <v>1124</v>
      </c>
      <c r="J979">
        <v>92944684</v>
      </c>
      <c r="K979">
        <v>207255</v>
      </c>
      <c r="L979">
        <v>92737429</v>
      </c>
      <c r="M979">
        <v>346</v>
      </c>
      <c r="N979">
        <v>0.97</v>
      </c>
      <c r="O979">
        <v>6.29</v>
      </c>
      <c r="P979">
        <v>1.2</v>
      </c>
      <c r="Q979">
        <v>7</v>
      </c>
      <c r="R979">
        <f>CORREL(BMW[units_sold],BMW[gdp_growth_percent])</f>
        <v>-5.2597817623217792E-17</v>
      </c>
    </row>
    <row r="980" spans="1:18" x14ac:dyDescent="0.35">
      <c r="A980">
        <v>2022</v>
      </c>
      <c r="B980" t="s">
        <v>43</v>
      </c>
      <c r="C980" t="s">
        <v>38</v>
      </c>
      <c r="D980" t="s">
        <v>29</v>
      </c>
      <c r="E980" t="s">
        <v>20</v>
      </c>
      <c r="F980" t="s">
        <v>27</v>
      </c>
      <c r="G980">
        <v>72040</v>
      </c>
      <c r="H980" t="s">
        <v>55</v>
      </c>
      <c r="I980">
        <v>697</v>
      </c>
      <c r="J980">
        <v>50211880</v>
      </c>
      <c r="K980">
        <v>406004</v>
      </c>
      <c r="L980">
        <v>49805876</v>
      </c>
      <c r="M980">
        <v>144</v>
      </c>
      <c r="N980">
        <v>0.97</v>
      </c>
      <c r="O980">
        <v>6.29</v>
      </c>
      <c r="P980">
        <v>1.2</v>
      </c>
      <c r="Q980">
        <v>5</v>
      </c>
      <c r="R980">
        <f>CORREL(BMW[units_sold],BMW[gdp_growth_percent])</f>
        <v>-5.2597817623217792E-17</v>
      </c>
    </row>
    <row r="981" spans="1:18" x14ac:dyDescent="0.35">
      <c r="A981">
        <v>2019</v>
      </c>
      <c r="B981" t="s">
        <v>51</v>
      </c>
      <c r="C981" t="s">
        <v>25</v>
      </c>
      <c r="D981" t="s">
        <v>33</v>
      </c>
      <c r="E981" t="s">
        <v>19</v>
      </c>
      <c r="F981" t="s">
        <v>20</v>
      </c>
      <c r="G981">
        <v>92986</v>
      </c>
      <c r="H981" t="s">
        <v>54</v>
      </c>
      <c r="I981">
        <v>704</v>
      </c>
      <c r="J981">
        <v>65462144</v>
      </c>
      <c r="K981">
        <v>74624</v>
      </c>
      <c r="L981">
        <v>65387520</v>
      </c>
      <c r="M981">
        <v>231</v>
      </c>
      <c r="N981">
        <v>0.97</v>
      </c>
      <c r="O981">
        <v>6.29</v>
      </c>
      <c r="P981">
        <v>1.2</v>
      </c>
      <c r="Q981">
        <v>7</v>
      </c>
      <c r="R981">
        <f>CORREL(BMW[units_sold],BMW[gdp_growth_percent])</f>
        <v>-5.2597817623217792E-17</v>
      </c>
    </row>
    <row r="982" spans="1:18" x14ac:dyDescent="0.35">
      <c r="A982">
        <v>2018</v>
      </c>
      <c r="B982" t="s">
        <v>42</v>
      </c>
      <c r="C982" t="s">
        <v>38</v>
      </c>
      <c r="D982" t="s">
        <v>33</v>
      </c>
      <c r="E982" t="s">
        <v>19</v>
      </c>
      <c r="F982" t="s">
        <v>23</v>
      </c>
      <c r="G982">
        <v>73762</v>
      </c>
      <c r="H982" t="s">
        <v>55</v>
      </c>
      <c r="I982">
        <v>332</v>
      </c>
      <c r="J982">
        <v>24488984</v>
      </c>
      <c r="K982">
        <v>243587</v>
      </c>
      <c r="L982">
        <v>24245397</v>
      </c>
      <c r="M982">
        <v>165</v>
      </c>
      <c r="N982">
        <v>0.97</v>
      </c>
      <c r="O982">
        <v>6.29</v>
      </c>
      <c r="P982">
        <v>1.2</v>
      </c>
      <c r="Q982">
        <v>9</v>
      </c>
      <c r="R982">
        <f>CORREL(BMW[units_sold],BMW[gdp_growth_percent])</f>
        <v>-5.2597817623217792E-17</v>
      </c>
    </row>
    <row r="983" spans="1:18" x14ac:dyDescent="0.35">
      <c r="A983">
        <v>2016</v>
      </c>
      <c r="B983" t="s">
        <v>52</v>
      </c>
      <c r="C983" t="s">
        <v>25</v>
      </c>
      <c r="D983" t="s">
        <v>22</v>
      </c>
      <c r="E983" t="s">
        <v>16</v>
      </c>
      <c r="F983" t="s">
        <v>20</v>
      </c>
      <c r="G983">
        <v>58600</v>
      </c>
      <c r="H983" t="s">
        <v>55</v>
      </c>
      <c r="I983">
        <v>654</v>
      </c>
      <c r="J983">
        <v>38324400</v>
      </c>
      <c r="K983">
        <v>284784</v>
      </c>
      <c r="L983">
        <v>38039616</v>
      </c>
      <c r="M983">
        <v>151</v>
      </c>
      <c r="N983">
        <v>0.97</v>
      </c>
      <c r="O983">
        <v>6.29</v>
      </c>
      <c r="P983">
        <v>1.2</v>
      </c>
      <c r="Q983">
        <v>8</v>
      </c>
      <c r="R983">
        <f>CORREL(BMW[units_sold],BMW[gdp_growth_percent])</f>
        <v>-5.2597817623217792E-17</v>
      </c>
    </row>
    <row r="984" spans="1:18" x14ac:dyDescent="0.35">
      <c r="A984">
        <v>2017</v>
      </c>
      <c r="B984" t="s">
        <v>46</v>
      </c>
      <c r="C984" t="s">
        <v>30</v>
      </c>
      <c r="D984" t="s">
        <v>15</v>
      </c>
      <c r="E984" t="s">
        <v>19</v>
      </c>
      <c r="F984" t="s">
        <v>27</v>
      </c>
      <c r="G984">
        <v>54810</v>
      </c>
      <c r="H984" t="s">
        <v>55</v>
      </c>
      <c r="I984">
        <v>663</v>
      </c>
      <c r="J984">
        <v>36339030</v>
      </c>
      <c r="K984">
        <v>96705</v>
      </c>
      <c r="L984">
        <v>36242325</v>
      </c>
      <c r="M984">
        <v>167</v>
      </c>
      <c r="N984">
        <v>0.97</v>
      </c>
      <c r="O984">
        <v>6.29</v>
      </c>
      <c r="P984">
        <v>1.2</v>
      </c>
      <c r="Q984">
        <v>6</v>
      </c>
      <c r="R984">
        <f>CORREL(BMW[units_sold],BMW[gdp_growth_percent])</f>
        <v>-5.2597817623217792E-17</v>
      </c>
    </row>
    <row r="985" spans="1:18" x14ac:dyDescent="0.35">
      <c r="A985">
        <v>2017</v>
      </c>
      <c r="B985" t="s">
        <v>41</v>
      </c>
      <c r="C985" t="s">
        <v>28</v>
      </c>
      <c r="D985" t="s">
        <v>18</v>
      </c>
      <c r="E985" t="s">
        <v>19</v>
      </c>
      <c r="F985" t="s">
        <v>23</v>
      </c>
      <c r="G985">
        <v>92204</v>
      </c>
      <c r="H985" t="s">
        <v>54</v>
      </c>
      <c r="I985">
        <v>698</v>
      </c>
      <c r="J985">
        <v>64358392</v>
      </c>
      <c r="K985">
        <v>139326</v>
      </c>
      <c r="L985">
        <v>64219066</v>
      </c>
      <c r="M985">
        <v>335</v>
      </c>
      <c r="N985">
        <v>0.97</v>
      </c>
      <c r="O985">
        <v>6.29</v>
      </c>
      <c r="P985">
        <v>1.2</v>
      </c>
      <c r="Q985">
        <v>4</v>
      </c>
      <c r="R985">
        <f>CORREL(BMW[units_sold],BMW[gdp_growth_percent])</f>
        <v>-5.2597817623217792E-17</v>
      </c>
    </row>
    <row r="986" spans="1:18" x14ac:dyDescent="0.35">
      <c r="A986">
        <v>2018</v>
      </c>
      <c r="B986" t="s">
        <v>51</v>
      </c>
      <c r="C986" t="s">
        <v>14</v>
      </c>
      <c r="D986" t="s">
        <v>31</v>
      </c>
      <c r="E986" t="s">
        <v>20</v>
      </c>
      <c r="F986" t="s">
        <v>17</v>
      </c>
      <c r="G986">
        <v>55085</v>
      </c>
      <c r="H986" t="s">
        <v>55</v>
      </c>
      <c r="I986">
        <v>880</v>
      </c>
      <c r="J986">
        <v>48474800</v>
      </c>
      <c r="K986">
        <v>469972</v>
      </c>
      <c r="L986">
        <v>48004828</v>
      </c>
      <c r="M986">
        <v>380</v>
      </c>
      <c r="N986">
        <v>0.97</v>
      </c>
      <c r="O986">
        <v>6.29</v>
      </c>
      <c r="P986">
        <v>1.2</v>
      </c>
      <c r="Q986">
        <v>1</v>
      </c>
      <c r="R986">
        <f>CORREL(BMW[units_sold],BMW[gdp_growth_percent])</f>
        <v>-5.2597817623217792E-17</v>
      </c>
    </row>
    <row r="987" spans="1:18" x14ac:dyDescent="0.35">
      <c r="A987">
        <v>2018</v>
      </c>
      <c r="B987" t="s">
        <v>42</v>
      </c>
      <c r="C987" t="s">
        <v>37</v>
      </c>
      <c r="D987" t="s">
        <v>31</v>
      </c>
      <c r="E987" t="s">
        <v>16</v>
      </c>
      <c r="F987" t="s">
        <v>23</v>
      </c>
      <c r="G987">
        <v>81854</v>
      </c>
      <c r="H987" t="s">
        <v>54</v>
      </c>
      <c r="I987">
        <v>887</v>
      </c>
      <c r="J987">
        <v>72604498</v>
      </c>
      <c r="K987">
        <v>372534</v>
      </c>
      <c r="L987">
        <v>72231964</v>
      </c>
      <c r="M987">
        <v>353</v>
      </c>
      <c r="N987">
        <v>0.97</v>
      </c>
      <c r="O987">
        <v>6.29</v>
      </c>
      <c r="P987">
        <v>1.2</v>
      </c>
      <c r="Q987">
        <v>6</v>
      </c>
      <c r="R987">
        <f>CORREL(BMW[units_sold],BMW[gdp_growth_percent])</f>
        <v>-5.2597817623217792E-17</v>
      </c>
    </row>
    <row r="988" spans="1:18" x14ac:dyDescent="0.35">
      <c r="A988">
        <v>2024</v>
      </c>
      <c r="B988" t="s">
        <v>49</v>
      </c>
      <c r="C988" t="s">
        <v>32</v>
      </c>
      <c r="D988" t="s">
        <v>34</v>
      </c>
      <c r="E988" t="s">
        <v>19</v>
      </c>
      <c r="F988" t="s">
        <v>27</v>
      </c>
      <c r="G988">
        <v>109797</v>
      </c>
      <c r="H988" t="s">
        <v>54</v>
      </c>
      <c r="I988">
        <v>720</v>
      </c>
      <c r="J988">
        <v>79053840</v>
      </c>
      <c r="K988">
        <v>118369</v>
      </c>
      <c r="L988">
        <v>78935471</v>
      </c>
      <c r="M988">
        <v>271</v>
      </c>
      <c r="N988">
        <v>0.97</v>
      </c>
      <c r="O988">
        <v>6.29</v>
      </c>
      <c r="P988">
        <v>1.2</v>
      </c>
      <c r="Q988">
        <v>3</v>
      </c>
      <c r="R988">
        <f>CORREL(BMW[units_sold],BMW[gdp_growth_percent])</f>
        <v>-5.2597817623217792E-17</v>
      </c>
    </row>
    <row r="989" spans="1:18" x14ac:dyDescent="0.35">
      <c r="A989">
        <v>2019</v>
      </c>
      <c r="B989" t="s">
        <v>46</v>
      </c>
      <c r="C989" t="s">
        <v>28</v>
      </c>
      <c r="D989" t="s">
        <v>34</v>
      </c>
      <c r="E989" t="s">
        <v>20</v>
      </c>
      <c r="F989" t="s">
        <v>17</v>
      </c>
      <c r="G989">
        <v>119269</v>
      </c>
      <c r="H989" t="s">
        <v>54</v>
      </c>
      <c r="I989">
        <v>910</v>
      </c>
      <c r="J989">
        <v>108534790</v>
      </c>
      <c r="K989">
        <v>251893</v>
      </c>
      <c r="L989">
        <v>108282897</v>
      </c>
      <c r="M989">
        <v>292</v>
      </c>
      <c r="N989">
        <v>0.97</v>
      </c>
      <c r="O989">
        <v>6.29</v>
      </c>
      <c r="P989">
        <v>1.2</v>
      </c>
      <c r="Q989">
        <v>6</v>
      </c>
      <c r="R989">
        <f>CORREL(BMW[units_sold],BMW[gdp_growth_percent])</f>
        <v>-5.2597817623217792E-17</v>
      </c>
    </row>
    <row r="990" spans="1:18" x14ac:dyDescent="0.35">
      <c r="A990">
        <v>2018</v>
      </c>
      <c r="B990" t="s">
        <v>49</v>
      </c>
      <c r="C990" t="s">
        <v>14</v>
      </c>
      <c r="D990" t="s">
        <v>31</v>
      </c>
      <c r="E990" t="s">
        <v>16</v>
      </c>
      <c r="F990" t="s">
        <v>23</v>
      </c>
      <c r="G990">
        <v>74779</v>
      </c>
      <c r="H990" t="s">
        <v>55</v>
      </c>
      <c r="I990">
        <v>726</v>
      </c>
      <c r="J990">
        <v>54289554</v>
      </c>
      <c r="K990">
        <v>321733</v>
      </c>
      <c r="L990">
        <v>53967821</v>
      </c>
      <c r="M990">
        <v>347</v>
      </c>
      <c r="N990">
        <v>0.97</v>
      </c>
      <c r="O990">
        <v>6.29</v>
      </c>
      <c r="P990">
        <v>1.2</v>
      </c>
      <c r="Q990">
        <v>6</v>
      </c>
      <c r="R990">
        <f>CORREL(BMW[units_sold],BMW[gdp_growth_percent])</f>
        <v>-5.2597817623217792E-17</v>
      </c>
    </row>
    <row r="991" spans="1:18" x14ac:dyDescent="0.35">
      <c r="A991">
        <v>2024</v>
      </c>
      <c r="B991" t="s">
        <v>52</v>
      </c>
      <c r="C991" t="s">
        <v>21</v>
      </c>
      <c r="D991" t="s">
        <v>26</v>
      </c>
      <c r="E991" t="s">
        <v>16</v>
      </c>
      <c r="F991" t="s">
        <v>17</v>
      </c>
      <c r="G991">
        <v>91207</v>
      </c>
      <c r="H991" t="s">
        <v>54</v>
      </c>
      <c r="I991">
        <v>821</v>
      </c>
      <c r="J991">
        <v>74880947</v>
      </c>
      <c r="K991">
        <v>163012</v>
      </c>
      <c r="L991">
        <v>74717935</v>
      </c>
      <c r="M991">
        <v>353</v>
      </c>
      <c r="N991">
        <v>0.97</v>
      </c>
      <c r="O991">
        <v>6.29</v>
      </c>
      <c r="P991">
        <v>1.2</v>
      </c>
      <c r="Q991">
        <v>4</v>
      </c>
      <c r="R991">
        <f>CORREL(BMW[units_sold],BMW[gdp_growth_percent])</f>
        <v>-5.2597817623217792E-17</v>
      </c>
    </row>
    <row r="992" spans="1:18" x14ac:dyDescent="0.35">
      <c r="A992">
        <v>2022</v>
      </c>
      <c r="B992" t="s">
        <v>41</v>
      </c>
      <c r="C992" t="s">
        <v>25</v>
      </c>
      <c r="D992" t="s">
        <v>31</v>
      </c>
      <c r="E992" t="s">
        <v>20</v>
      </c>
      <c r="F992" t="s">
        <v>17</v>
      </c>
      <c r="G992">
        <v>68980</v>
      </c>
      <c r="H992" t="s">
        <v>55</v>
      </c>
      <c r="I992">
        <v>710</v>
      </c>
      <c r="J992">
        <v>48975800</v>
      </c>
      <c r="K992">
        <v>457332</v>
      </c>
      <c r="L992">
        <v>48518468</v>
      </c>
      <c r="M992">
        <v>238</v>
      </c>
      <c r="N992">
        <v>0.97</v>
      </c>
      <c r="O992">
        <v>6.29</v>
      </c>
      <c r="P992">
        <v>1.2</v>
      </c>
      <c r="Q992">
        <v>2</v>
      </c>
      <c r="R992">
        <f>CORREL(BMW[units_sold],BMW[gdp_growth_percent])</f>
        <v>-5.2597817623217792E-17</v>
      </c>
    </row>
    <row r="993" spans="1:18" x14ac:dyDescent="0.35">
      <c r="A993">
        <v>2020</v>
      </c>
      <c r="B993" t="s">
        <v>51</v>
      </c>
      <c r="C993" t="s">
        <v>21</v>
      </c>
      <c r="D993" t="s">
        <v>34</v>
      </c>
      <c r="E993" t="s">
        <v>20</v>
      </c>
      <c r="F993" t="s">
        <v>27</v>
      </c>
      <c r="G993">
        <v>91117</v>
      </c>
      <c r="H993" t="s">
        <v>54</v>
      </c>
      <c r="I993">
        <v>1036</v>
      </c>
      <c r="J993">
        <v>94397212</v>
      </c>
      <c r="K993">
        <v>385325</v>
      </c>
      <c r="L993">
        <v>94011887</v>
      </c>
      <c r="M993">
        <v>385</v>
      </c>
      <c r="N993">
        <v>0.97</v>
      </c>
      <c r="O993">
        <v>6.29</v>
      </c>
      <c r="P993">
        <v>1.2</v>
      </c>
      <c r="Q993">
        <v>9</v>
      </c>
      <c r="R993">
        <f>CORREL(BMW[units_sold],BMW[gdp_growth_percent])</f>
        <v>-5.2597817623217792E-17</v>
      </c>
    </row>
    <row r="994" spans="1:18" x14ac:dyDescent="0.35">
      <c r="A994">
        <v>2020</v>
      </c>
      <c r="B994" t="s">
        <v>51</v>
      </c>
      <c r="C994" t="s">
        <v>14</v>
      </c>
      <c r="D994" t="s">
        <v>24</v>
      </c>
      <c r="E994" t="s">
        <v>20</v>
      </c>
      <c r="F994" t="s">
        <v>17</v>
      </c>
      <c r="G994">
        <v>49141</v>
      </c>
      <c r="H994" t="s">
        <v>57</v>
      </c>
      <c r="I994">
        <v>648</v>
      </c>
      <c r="J994">
        <v>31843368</v>
      </c>
      <c r="K994">
        <v>225858</v>
      </c>
      <c r="L994">
        <v>31617510</v>
      </c>
      <c r="M994">
        <v>289</v>
      </c>
      <c r="N994">
        <v>0.97</v>
      </c>
      <c r="O994">
        <v>6.29</v>
      </c>
      <c r="P994">
        <v>1.2</v>
      </c>
      <c r="Q994">
        <v>2</v>
      </c>
      <c r="R994">
        <f>CORREL(BMW[units_sold],BMW[gdp_growth_percent])</f>
        <v>-5.2597817623217792E-17</v>
      </c>
    </row>
    <row r="995" spans="1:18" x14ac:dyDescent="0.35">
      <c r="A995">
        <v>2022</v>
      </c>
      <c r="B995" t="s">
        <v>47</v>
      </c>
      <c r="C995" t="s">
        <v>28</v>
      </c>
      <c r="D995" t="s">
        <v>34</v>
      </c>
      <c r="E995" t="s">
        <v>20</v>
      </c>
      <c r="F995" t="s">
        <v>20</v>
      </c>
      <c r="G995">
        <v>44344</v>
      </c>
      <c r="H995" t="s">
        <v>57</v>
      </c>
      <c r="I995">
        <v>783</v>
      </c>
      <c r="J995">
        <v>34721352</v>
      </c>
      <c r="K995">
        <v>275758</v>
      </c>
      <c r="L995">
        <v>34445594</v>
      </c>
      <c r="M995">
        <v>367</v>
      </c>
      <c r="N995">
        <v>0.97</v>
      </c>
      <c r="O995">
        <v>6.29</v>
      </c>
      <c r="P995">
        <v>1.2</v>
      </c>
      <c r="Q995">
        <v>3</v>
      </c>
      <c r="R995">
        <f>CORREL(BMW[units_sold],BMW[gdp_growth_percent])</f>
        <v>-5.2597817623217792E-17</v>
      </c>
    </row>
    <row r="996" spans="1:18" x14ac:dyDescent="0.35">
      <c r="A996">
        <v>2021</v>
      </c>
      <c r="B996" t="s">
        <v>44</v>
      </c>
      <c r="C996" t="s">
        <v>25</v>
      </c>
      <c r="D996" t="s">
        <v>26</v>
      </c>
      <c r="E996" t="s">
        <v>20</v>
      </c>
      <c r="F996" t="s">
        <v>27</v>
      </c>
      <c r="G996">
        <v>50896</v>
      </c>
      <c r="H996" t="s">
        <v>55</v>
      </c>
      <c r="I996">
        <v>668</v>
      </c>
      <c r="J996">
        <v>33998528</v>
      </c>
      <c r="K996">
        <v>173711</v>
      </c>
      <c r="L996">
        <v>33824817</v>
      </c>
      <c r="M996">
        <v>299</v>
      </c>
      <c r="N996">
        <v>0.97</v>
      </c>
      <c r="O996">
        <v>6.29</v>
      </c>
      <c r="P996">
        <v>1.2</v>
      </c>
      <c r="Q996">
        <v>10</v>
      </c>
      <c r="R996">
        <f>CORREL(BMW[units_sold],BMW[gdp_growth_percent])</f>
        <v>-5.2597817623217792E-17</v>
      </c>
    </row>
    <row r="997" spans="1:18" x14ac:dyDescent="0.35">
      <c r="A997">
        <v>2024</v>
      </c>
      <c r="B997" t="s">
        <v>47</v>
      </c>
      <c r="C997" t="s">
        <v>32</v>
      </c>
      <c r="D997" t="s">
        <v>18</v>
      </c>
      <c r="E997" t="s">
        <v>19</v>
      </c>
      <c r="F997" t="s">
        <v>20</v>
      </c>
      <c r="G997">
        <v>64813</v>
      </c>
      <c r="H997" t="s">
        <v>55</v>
      </c>
      <c r="I997">
        <v>570</v>
      </c>
      <c r="J997">
        <v>36943410</v>
      </c>
      <c r="K997">
        <v>126425</v>
      </c>
      <c r="L997">
        <v>36816985</v>
      </c>
      <c r="M997">
        <v>177</v>
      </c>
      <c r="N997">
        <v>0.97</v>
      </c>
      <c r="O997">
        <v>6.29</v>
      </c>
      <c r="P997">
        <v>1.2</v>
      </c>
      <c r="Q997">
        <v>1</v>
      </c>
      <c r="R997">
        <f>CORREL(BMW[units_sold],BMW[gdp_growth_percent])</f>
        <v>-5.2597817623217792E-17</v>
      </c>
    </row>
    <row r="998" spans="1:18" x14ac:dyDescent="0.35">
      <c r="A998">
        <v>2024</v>
      </c>
      <c r="B998" t="s">
        <v>52</v>
      </c>
      <c r="C998" t="s">
        <v>30</v>
      </c>
      <c r="D998" t="s">
        <v>31</v>
      </c>
      <c r="E998" t="s">
        <v>19</v>
      </c>
      <c r="F998" t="s">
        <v>17</v>
      </c>
      <c r="G998">
        <v>119431</v>
      </c>
      <c r="H998" t="s">
        <v>54</v>
      </c>
      <c r="I998">
        <v>433</v>
      </c>
      <c r="J998">
        <v>51713623</v>
      </c>
      <c r="K998">
        <v>473502</v>
      </c>
      <c r="L998">
        <v>51240121</v>
      </c>
      <c r="M998">
        <v>56</v>
      </c>
      <c r="N998">
        <v>0.97</v>
      </c>
      <c r="O998">
        <v>6.29</v>
      </c>
      <c r="P998">
        <v>1.2</v>
      </c>
      <c r="Q998">
        <v>7</v>
      </c>
      <c r="R998">
        <f>CORREL(BMW[units_sold],BMW[gdp_growth_percent])</f>
        <v>-5.2597817623217792E-17</v>
      </c>
    </row>
    <row r="999" spans="1:18" x14ac:dyDescent="0.35">
      <c r="A999">
        <v>2022</v>
      </c>
      <c r="B999" t="s">
        <v>52</v>
      </c>
      <c r="C999" t="s">
        <v>25</v>
      </c>
      <c r="D999" t="s">
        <v>22</v>
      </c>
      <c r="E999" t="s">
        <v>16</v>
      </c>
      <c r="F999" t="s">
        <v>20</v>
      </c>
      <c r="G999">
        <v>100679</v>
      </c>
      <c r="H999" t="s">
        <v>54</v>
      </c>
      <c r="I999">
        <v>614</v>
      </c>
      <c r="J999">
        <v>61816906</v>
      </c>
      <c r="K999">
        <v>65994</v>
      </c>
      <c r="L999">
        <v>61750912</v>
      </c>
      <c r="M999">
        <v>212</v>
      </c>
      <c r="N999">
        <v>0.97</v>
      </c>
      <c r="O999">
        <v>6.29</v>
      </c>
      <c r="P999">
        <v>1.2</v>
      </c>
      <c r="Q999">
        <v>1</v>
      </c>
      <c r="R999">
        <f>CORREL(BMW[units_sold],BMW[gdp_growth_percent])</f>
        <v>-5.2597817623217792E-17</v>
      </c>
    </row>
    <row r="1000" spans="1:18" x14ac:dyDescent="0.35">
      <c r="A1000">
        <v>2016</v>
      </c>
      <c r="B1000" t="s">
        <v>41</v>
      </c>
      <c r="C1000" t="s">
        <v>25</v>
      </c>
      <c r="D1000" t="s">
        <v>24</v>
      </c>
      <c r="E1000" t="s">
        <v>19</v>
      </c>
      <c r="F1000" t="s">
        <v>23</v>
      </c>
      <c r="G1000">
        <v>45681</v>
      </c>
      <c r="H1000" t="s">
        <v>57</v>
      </c>
      <c r="I1000">
        <v>511</v>
      </c>
      <c r="J1000">
        <v>23342991</v>
      </c>
      <c r="K1000">
        <v>161915</v>
      </c>
      <c r="L1000">
        <v>23181076</v>
      </c>
      <c r="M1000">
        <v>223</v>
      </c>
      <c r="N1000">
        <v>0.97</v>
      </c>
      <c r="O1000">
        <v>6.29</v>
      </c>
      <c r="P1000">
        <v>1.2</v>
      </c>
      <c r="Q1000">
        <v>9</v>
      </c>
      <c r="R1000">
        <f>CORREL(BMW[units_sold],BMW[gdp_growth_percent])</f>
        <v>-5.2597817623217792E-17</v>
      </c>
    </row>
    <row r="1001" spans="1:18" x14ac:dyDescent="0.35">
      <c r="A1001">
        <v>2023</v>
      </c>
      <c r="B1001" t="s">
        <v>47</v>
      </c>
      <c r="C1001" t="s">
        <v>28</v>
      </c>
      <c r="D1001" t="s">
        <v>33</v>
      </c>
      <c r="E1001" t="s">
        <v>19</v>
      </c>
      <c r="F1001" t="s">
        <v>17</v>
      </c>
      <c r="G1001">
        <v>107903</v>
      </c>
      <c r="H1001" t="s">
        <v>54</v>
      </c>
      <c r="I1001">
        <v>891</v>
      </c>
      <c r="J1001">
        <v>96141573</v>
      </c>
      <c r="K1001">
        <v>435105</v>
      </c>
      <c r="L1001">
        <v>95706468</v>
      </c>
      <c r="M1001">
        <v>255</v>
      </c>
      <c r="N1001">
        <v>0.97</v>
      </c>
      <c r="O1001">
        <v>6.29</v>
      </c>
      <c r="P1001">
        <v>1.2</v>
      </c>
      <c r="Q1001">
        <v>1</v>
      </c>
      <c r="R1001">
        <f>CORREL(BMW[units_sold],BMW[gdp_growth_percent])</f>
        <v>-5.2597817623217792E-17</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9AD5-512E-46A9-939F-4D04947ED47F}">
  <dimension ref="A1:C5"/>
  <sheetViews>
    <sheetView workbookViewId="0">
      <selection activeCell="C3" sqref="C3"/>
    </sheetView>
  </sheetViews>
  <sheetFormatPr defaultRowHeight="14.5" x14ac:dyDescent="0.35"/>
  <sheetData>
    <row r="1" spans="1:3" x14ac:dyDescent="0.35">
      <c r="A1" t="s">
        <v>75</v>
      </c>
      <c r="B1" t="s">
        <v>76</v>
      </c>
    </row>
    <row r="2" spans="1:3" x14ac:dyDescent="0.35">
      <c r="A2">
        <v>10</v>
      </c>
      <c r="B2">
        <v>50</v>
      </c>
      <c r="C2">
        <f>CORREL(A2:A5,B2:B5)</f>
        <v>0.98754143975738817</v>
      </c>
    </row>
    <row r="3" spans="1:3" x14ac:dyDescent="0.35">
      <c r="A3">
        <v>9</v>
      </c>
      <c r="B3">
        <v>40</v>
      </c>
    </row>
    <row r="4" spans="1:3" x14ac:dyDescent="0.35">
      <c r="A4">
        <v>8</v>
      </c>
      <c r="B4">
        <v>35</v>
      </c>
    </row>
    <row r="5" spans="1:3" x14ac:dyDescent="0.35">
      <c r="A5">
        <v>5</v>
      </c>
      <c r="B5">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B0596-032E-4220-BD0B-E85EF6C1E306}">
  <dimension ref="A1:N1001"/>
  <sheetViews>
    <sheetView topLeftCell="G456" workbookViewId="0">
      <selection activeCell="I2" sqref="I2:I1001"/>
    </sheetView>
  </sheetViews>
  <sheetFormatPr defaultColWidth="4.7265625" defaultRowHeight="14.5" x14ac:dyDescent="0.35"/>
  <cols>
    <col min="1" max="1" width="8.90625" style="2" bestFit="1" customWidth="1"/>
    <col min="2" max="2" width="10.81640625" style="2" bestFit="1" customWidth="1"/>
    <col min="3" max="3" width="11.7265625" style="2" bestFit="1" customWidth="1"/>
    <col min="4" max="4" width="10.6328125" style="2" bestFit="1" customWidth="1"/>
    <col min="5" max="5" width="12.54296875" style="2" bestFit="1" customWidth="1"/>
    <col min="6" max="6" width="15.453125" style="2" bestFit="1" customWidth="1"/>
    <col min="7" max="7" width="13.54296875" style="2" bestFit="1" customWidth="1"/>
    <col min="8" max="8" width="13.54296875" style="2" customWidth="1"/>
    <col min="9" max="9" width="23.90625" style="2" bestFit="1" customWidth="1"/>
    <col min="10" max="10" width="20" style="2" bestFit="1" customWidth="1"/>
    <col min="11" max="11" width="17.7265625" style="2" bestFit="1" customWidth="1"/>
    <col min="12" max="12" width="22.36328125" style="2" bestFit="1" customWidth="1"/>
    <col min="13" max="13" width="23.36328125" style="2" bestFit="1" customWidth="1"/>
    <col min="14" max="14" width="21.08984375" style="2" bestFit="1" customWidth="1"/>
    <col min="15" max="16384" width="4.7265625" style="2"/>
  </cols>
  <sheetData>
    <row r="1" spans="1:14" x14ac:dyDescent="0.35">
      <c r="A1" s="5" t="s">
        <v>0</v>
      </c>
      <c r="B1" s="6" t="s">
        <v>1</v>
      </c>
      <c r="C1" s="6" t="s">
        <v>2</v>
      </c>
      <c r="D1" s="6" t="s">
        <v>3</v>
      </c>
      <c r="E1" s="6" t="s">
        <v>4</v>
      </c>
      <c r="F1" s="6" t="s">
        <v>5</v>
      </c>
      <c r="G1" s="6" t="s">
        <v>6</v>
      </c>
      <c r="H1" s="6" t="s">
        <v>13</v>
      </c>
      <c r="I1" s="6" t="s">
        <v>7</v>
      </c>
      <c r="J1" s="6" t="s">
        <v>8</v>
      </c>
      <c r="K1" s="6" t="s">
        <v>9</v>
      </c>
      <c r="L1" s="6" t="s">
        <v>10</v>
      </c>
      <c r="M1" s="6" t="s">
        <v>11</v>
      </c>
      <c r="N1" s="7" t="s">
        <v>12</v>
      </c>
    </row>
    <row r="2" spans="1:14" x14ac:dyDescent="0.35">
      <c r="A2" s="3">
        <v>2021</v>
      </c>
      <c r="B2" s="2">
        <v>1</v>
      </c>
      <c r="C2" s="2" t="s">
        <v>14</v>
      </c>
      <c r="D2" s="2" t="s">
        <v>15</v>
      </c>
      <c r="E2" s="2" t="s">
        <v>16</v>
      </c>
      <c r="F2" s="2" t="s">
        <v>17</v>
      </c>
      <c r="G2" s="2">
        <v>82234</v>
      </c>
      <c r="H2" s="2">
        <v>324</v>
      </c>
      <c r="I2" s="2">
        <v>315372</v>
      </c>
      <c r="J2" s="2">
        <v>96</v>
      </c>
      <c r="K2" s="2">
        <v>0.97</v>
      </c>
      <c r="L2" s="2">
        <v>6.29</v>
      </c>
      <c r="M2" s="2">
        <v>1.2</v>
      </c>
      <c r="N2" s="4">
        <v>8</v>
      </c>
    </row>
    <row r="3" spans="1:14" x14ac:dyDescent="0.35">
      <c r="A3" s="3">
        <v>2018</v>
      </c>
      <c r="B3" s="2">
        <v>8</v>
      </c>
      <c r="C3" s="2" t="s">
        <v>14</v>
      </c>
      <c r="D3" s="2" t="s">
        <v>18</v>
      </c>
      <c r="E3" s="2" t="s">
        <v>19</v>
      </c>
      <c r="F3" s="2" t="s">
        <v>20</v>
      </c>
      <c r="G3" s="2">
        <v>82291</v>
      </c>
      <c r="H3" s="2">
        <v>556</v>
      </c>
      <c r="I3" s="2">
        <v>447798</v>
      </c>
      <c r="J3" s="2">
        <v>234</v>
      </c>
      <c r="K3" s="2">
        <v>0.97</v>
      </c>
      <c r="L3" s="2">
        <v>6.29</v>
      </c>
      <c r="M3" s="2">
        <v>1.2</v>
      </c>
      <c r="N3" s="4">
        <v>7</v>
      </c>
    </row>
    <row r="4" spans="1:14" x14ac:dyDescent="0.35">
      <c r="A4" s="3">
        <v>2022</v>
      </c>
      <c r="B4" s="2">
        <v>12</v>
      </c>
      <c r="C4" s="2" t="s">
        <v>21</v>
      </c>
      <c r="D4" s="2" t="s">
        <v>22</v>
      </c>
      <c r="E4" s="2" t="s">
        <v>20</v>
      </c>
      <c r="F4" s="2" t="s">
        <v>23</v>
      </c>
      <c r="G4" s="2">
        <v>40594</v>
      </c>
      <c r="H4" s="2">
        <v>152</v>
      </c>
      <c r="I4" s="2">
        <v>259755</v>
      </c>
      <c r="J4" s="2">
        <v>25</v>
      </c>
      <c r="K4" s="2">
        <v>0.97</v>
      </c>
      <c r="L4" s="2">
        <v>6.29</v>
      </c>
      <c r="M4" s="2">
        <v>1.2</v>
      </c>
      <c r="N4" s="4">
        <v>7</v>
      </c>
    </row>
    <row r="5" spans="1:14" x14ac:dyDescent="0.35">
      <c r="A5" s="3">
        <v>2019</v>
      </c>
      <c r="B5" s="2">
        <v>11</v>
      </c>
      <c r="C5" s="2" t="s">
        <v>14</v>
      </c>
      <c r="D5" s="2" t="s">
        <v>24</v>
      </c>
      <c r="E5" s="2" t="s">
        <v>16</v>
      </c>
      <c r="F5" s="2" t="s">
        <v>20</v>
      </c>
      <c r="G5" s="2">
        <v>42371</v>
      </c>
      <c r="H5" s="2">
        <v>730</v>
      </c>
      <c r="I5" s="2">
        <v>323541</v>
      </c>
      <c r="J5" s="2">
        <v>319</v>
      </c>
      <c r="K5" s="2">
        <v>0.97</v>
      </c>
      <c r="L5" s="2">
        <v>6.29</v>
      </c>
      <c r="M5" s="2">
        <v>1.2</v>
      </c>
      <c r="N5" s="4">
        <v>5</v>
      </c>
    </row>
    <row r="6" spans="1:14" x14ac:dyDescent="0.35">
      <c r="A6" s="3">
        <v>2021</v>
      </c>
      <c r="B6" s="2">
        <v>12</v>
      </c>
      <c r="C6" s="2" t="s">
        <v>25</v>
      </c>
      <c r="D6" s="2" t="s">
        <v>26</v>
      </c>
      <c r="E6" s="2" t="s">
        <v>16</v>
      </c>
      <c r="F6" s="2" t="s">
        <v>27</v>
      </c>
      <c r="G6" s="2">
        <v>82315</v>
      </c>
      <c r="H6" s="2">
        <v>1156</v>
      </c>
      <c r="I6" s="2">
        <v>482015</v>
      </c>
      <c r="J6" s="2">
        <v>367</v>
      </c>
      <c r="K6" s="2">
        <v>0.97</v>
      </c>
      <c r="L6" s="2">
        <v>6.29</v>
      </c>
      <c r="M6" s="2">
        <v>1.2</v>
      </c>
      <c r="N6" s="4">
        <v>2</v>
      </c>
    </row>
    <row r="7" spans="1:14" x14ac:dyDescent="0.35">
      <c r="A7" s="3">
        <v>2024</v>
      </c>
      <c r="B7" s="2">
        <v>12</v>
      </c>
      <c r="C7" s="2" t="s">
        <v>28</v>
      </c>
      <c r="D7" s="2" t="s">
        <v>24</v>
      </c>
      <c r="E7" s="2" t="s">
        <v>20</v>
      </c>
      <c r="F7" s="2" t="s">
        <v>27</v>
      </c>
      <c r="G7" s="2">
        <v>118564</v>
      </c>
      <c r="H7" s="2">
        <v>687</v>
      </c>
      <c r="I7" s="2">
        <v>349155</v>
      </c>
      <c r="J7" s="2">
        <v>172</v>
      </c>
      <c r="K7" s="2">
        <v>0.97</v>
      </c>
      <c r="L7" s="2">
        <v>6.29</v>
      </c>
      <c r="M7" s="2">
        <v>1.2</v>
      </c>
      <c r="N7" s="4">
        <v>6</v>
      </c>
    </row>
    <row r="8" spans="1:14" x14ac:dyDescent="0.35">
      <c r="A8" s="3">
        <v>2017</v>
      </c>
      <c r="B8" s="2">
        <v>4</v>
      </c>
      <c r="C8" s="2" t="s">
        <v>21</v>
      </c>
      <c r="D8" s="2" t="s">
        <v>18</v>
      </c>
      <c r="E8" s="2" t="s">
        <v>20</v>
      </c>
      <c r="F8" s="2" t="s">
        <v>27</v>
      </c>
      <c r="G8" s="2">
        <v>114526</v>
      </c>
      <c r="H8" s="2">
        <v>439</v>
      </c>
      <c r="I8" s="2">
        <v>129183</v>
      </c>
      <c r="J8" s="2">
        <v>107</v>
      </c>
      <c r="K8" s="2">
        <v>0.97</v>
      </c>
      <c r="L8" s="2">
        <v>6.29</v>
      </c>
      <c r="M8" s="2">
        <v>1.2</v>
      </c>
      <c r="N8" s="4">
        <v>10</v>
      </c>
    </row>
    <row r="9" spans="1:14" x14ac:dyDescent="0.35">
      <c r="A9" s="3">
        <v>2021</v>
      </c>
      <c r="B9" s="2">
        <v>4</v>
      </c>
      <c r="C9" s="2" t="s">
        <v>21</v>
      </c>
      <c r="D9" s="2" t="s">
        <v>29</v>
      </c>
      <c r="E9" s="2" t="s">
        <v>19</v>
      </c>
      <c r="F9" s="2" t="s">
        <v>27</v>
      </c>
      <c r="G9" s="2">
        <v>51626</v>
      </c>
      <c r="H9" s="2">
        <v>489</v>
      </c>
      <c r="I9" s="2">
        <v>405398</v>
      </c>
      <c r="J9" s="2">
        <v>165</v>
      </c>
      <c r="K9" s="2">
        <v>0.97</v>
      </c>
      <c r="L9" s="2">
        <v>6.29</v>
      </c>
      <c r="M9" s="2">
        <v>1.2</v>
      </c>
      <c r="N9" s="4">
        <v>3</v>
      </c>
    </row>
    <row r="10" spans="1:14" x14ac:dyDescent="0.35">
      <c r="A10" s="3">
        <v>2022</v>
      </c>
      <c r="B10" s="2">
        <v>5</v>
      </c>
      <c r="C10" s="2" t="s">
        <v>30</v>
      </c>
      <c r="D10" s="2" t="s">
        <v>31</v>
      </c>
      <c r="E10" s="2" t="s">
        <v>19</v>
      </c>
      <c r="F10" s="2" t="s">
        <v>17</v>
      </c>
      <c r="G10" s="2">
        <v>42130</v>
      </c>
      <c r="H10" s="2">
        <v>435</v>
      </c>
      <c r="I10" s="2">
        <v>487480</v>
      </c>
      <c r="J10" s="2">
        <v>11</v>
      </c>
      <c r="K10" s="2">
        <v>0.97</v>
      </c>
      <c r="L10" s="2">
        <v>6.29</v>
      </c>
      <c r="M10" s="2">
        <v>1.2</v>
      </c>
      <c r="N10" s="4">
        <v>4</v>
      </c>
    </row>
    <row r="11" spans="1:14" x14ac:dyDescent="0.35">
      <c r="A11" s="3">
        <v>2019</v>
      </c>
      <c r="B11" s="2">
        <v>8</v>
      </c>
      <c r="C11" s="2" t="s">
        <v>32</v>
      </c>
      <c r="D11" s="2" t="s">
        <v>33</v>
      </c>
      <c r="E11" s="2" t="s">
        <v>16</v>
      </c>
      <c r="F11" s="2" t="s">
        <v>17</v>
      </c>
      <c r="G11" s="2">
        <v>41828</v>
      </c>
      <c r="H11" s="2">
        <v>1080</v>
      </c>
      <c r="I11" s="2">
        <v>92317</v>
      </c>
      <c r="J11" s="2">
        <v>359</v>
      </c>
      <c r="K11" s="2">
        <v>0.97</v>
      </c>
      <c r="L11" s="2">
        <v>6.29</v>
      </c>
      <c r="M11" s="2">
        <v>1.2</v>
      </c>
      <c r="N11" s="4">
        <v>10</v>
      </c>
    </row>
    <row r="12" spans="1:14" x14ac:dyDescent="0.35">
      <c r="A12" s="3">
        <v>2018</v>
      </c>
      <c r="B12" s="2">
        <v>5</v>
      </c>
      <c r="C12" s="2" t="s">
        <v>32</v>
      </c>
      <c r="D12" s="2" t="s">
        <v>22</v>
      </c>
      <c r="E12" s="2" t="s">
        <v>20</v>
      </c>
      <c r="F12" s="2" t="s">
        <v>20</v>
      </c>
      <c r="G12" s="2">
        <v>92514</v>
      </c>
      <c r="H12" s="2">
        <v>447</v>
      </c>
      <c r="I12" s="2">
        <v>228986</v>
      </c>
      <c r="J12" s="2">
        <v>178</v>
      </c>
      <c r="K12" s="2">
        <v>0.97</v>
      </c>
      <c r="L12" s="2">
        <v>6.29</v>
      </c>
      <c r="M12" s="2">
        <v>1.2</v>
      </c>
      <c r="N12" s="4">
        <v>2</v>
      </c>
    </row>
    <row r="13" spans="1:14" x14ac:dyDescent="0.35">
      <c r="A13" s="3">
        <v>2022</v>
      </c>
      <c r="B13" s="2">
        <v>8</v>
      </c>
      <c r="C13" s="2" t="s">
        <v>25</v>
      </c>
      <c r="D13" s="2" t="s">
        <v>34</v>
      </c>
      <c r="E13" s="2" t="s">
        <v>20</v>
      </c>
      <c r="F13" s="2" t="s">
        <v>23</v>
      </c>
      <c r="G13" s="2">
        <v>87664</v>
      </c>
      <c r="H13" s="2">
        <v>827</v>
      </c>
      <c r="I13" s="2">
        <v>265705</v>
      </c>
      <c r="J13" s="2">
        <v>324</v>
      </c>
      <c r="K13" s="2">
        <v>0.97</v>
      </c>
      <c r="L13" s="2">
        <v>6.29</v>
      </c>
      <c r="M13" s="2">
        <v>1.2</v>
      </c>
      <c r="N13" s="4">
        <v>2</v>
      </c>
    </row>
    <row r="14" spans="1:14" x14ac:dyDescent="0.35">
      <c r="A14" s="3">
        <v>2022</v>
      </c>
      <c r="B14" s="2">
        <v>10</v>
      </c>
      <c r="C14" s="2" t="s">
        <v>35</v>
      </c>
      <c r="D14" s="2" t="s">
        <v>34</v>
      </c>
      <c r="E14" s="2" t="s">
        <v>20</v>
      </c>
      <c r="F14" s="2" t="s">
        <v>27</v>
      </c>
      <c r="G14" s="2">
        <v>52883</v>
      </c>
      <c r="H14" s="2">
        <v>712</v>
      </c>
      <c r="I14" s="2">
        <v>414633</v>
      </c>
      <c r="J14" s="2">
        <v>334</v>
      </c>
      <c r="K14" s="2">
        <v>0.97</v>
      </c>
      <c r="L14" s="2">
        <v>6.29</v>
      </c>
      <c r="M14" s="2">
        <v>1.2</v>
      </c>
      <c r="N14" s="4">
        <v>8</v>
      </c>
    </row>
    <row r="15" spans="1:14" x14ac:dyDescent="0.35">
      <c r="A15" s="3">
        <v>2017</v>
      </c>
      <c r="B15" s="2">
        <v>1</v>
      </c>
      <c r="C15" s="2" t="s">
        <v>36</v>
      </c>
      <c r="D15" s="2" t="s">
        <v>34</v>
      </c>
      <c r="E15" s="2" t="s">
        <v>16</v>
      </c>
      <c r="F15" s="2" t="s">
        <v>20</v>
      </c>
      <c r="G15" s="2">
        <v>78059</v>
      </c>
      <c r="H15" s="2">
        <v>1181</v>
      </c>
      <c r="I15" s="2">
        <v>226326</v>
      </c>
      <c r="J15" s="2">
        <v>384</v>
      </c>
      <c r="K15" s="2">
        <v>0.97</v>
      </c>
      <c r="L15" s="2">
        <v>6.29</v>
      </c>
      <c r="M15" s="2">
        <v>1.2</v>
      </c>
      <c r="N15" s="4">
        <v>8</v>
      </c>
    </row>
    <row r="16" spans="1:14" x14ac:dyDescent="0.35">
      <c r="A16" s="3">
        <v>2020</v>
      </c>
      <c r="B16" s="2">
        <v>12</v>
      </c>
      <c r="C16" s="2" t="s">
        <v>36</v>
      </c>
      <c r="D16" s="2" t="s">
        <v>15</v>
      </c>
      <c r="E16" s="2" t="s">
        <v>20</v>
      </c>
      <c r="F16" s="2" t="s">
        <v>17</v>
      </c>
      <c r="G16" s="2">
        <v>119078</v>
      </c>
      <c r="H16" s="2">
        <v>307</v>
      </c>
      <c r="I16" s="2">
        <v>352240</v>
      </c>
      <c r="J16" s="2">
        <v>101</v>
      </c>
      <c r="K16" s="2">
        <v>0.97</v>
      </c>
      <c r="L16" s="2">
        <v>6.29</v>
      </c>
      <c r="M16" s="2">
        <v>1.2</v>
      </c>
      <c r="N16" s="4">
        <v>10</v>
      </c>
    </row>
    <row r="17" spans="1:14" x14ac:dyDescent="0.35">
      <c r="A17" s="3">
        <v>2019</v>
      </c>
      <c r="B17" s="2">
        <v>10</v>
      </c>
      <c r="C17" s="2" t="s">
        <v>37</v>
      </c>
      <c r="D17" s="2" t="s">
        <v>34</v>
      </c>
      <c r="E17" s="2" t="s">
        <v>20</v>
      </c>
      <c r="F17" s="2" t="s">
        <v>17</v>
      </c>
      <c r="G17" s="2">
        <v>77932</v>
      </c>
      <c r="H17" s="2">
        <v>725</v>
      </c>
      <c r="I17" s="2">
        <v>365929</v>
      </c>
      <c r="J17" s="2">
        <v>190</v>
      </c>
      <c r="K17" s="2">
        <v>0.97</v>
      </c>
      <c r="L17" s="2">
        <v>6.29</v>
      </c>
      <c r="M17" s="2">
        <v>1.2</v>
      </c>
      <c r="N17" s="4">
        <v>6</v>
      </c>
    </row>
    <row r="18" spans="1:14" x14ac:dyDescent="0.35">
      <c r="A18" s="3">
        <v>2016</v>
      </c>
      <c r="B18" s="2">
        <v>9</v>
      </c>
      <c r="C18" s="2" t="s">
        <v>25</v>
      </c>
      <c r="D18" s="2" t="s">
        <v>33</v>
      </c>
      <c r="E18" s="2" t="s">
        <v>16</v>
      </c>
      <c r="F18" s="2" t="s">
        <v>23</v>
      </c>
      <c r="G18" s="2">
        <v>96269</v>
      </c>
      <c r="H18" s="2">
        <v>588</v>
      </c>
      <c r="I18" s="2">
        <v>102344</v>
      </c>
      <c r="J18" s="2">
        <v>240</v>
      </c>
      <c r="K18" s="2">
        <v>0.97</v>
      </c>
      <c r="L18" s="2">
        <v>6.29</v>
      </c>
      <c r="M18" s="2">
        <v>1.2</v>
      </c>
      <c r="N18" s="4">
        <v>5</v>
      </c>
    </row>
    <row r="19" spans="1:14" x14ac:dyDescent="0.35">
      <c r="A19" s="3">
        <v>2022</v>
      </c>
      <c r="B19" s="2">
        <v>6</v>
      </c>
      <c r="C19" s="2" t="s">
        <v>21</v>
      </c>
      <c r="D19" s="2" t="s">
        <v>31</v>
      </c>
      <c r="E19" s="2" t="s">
        <v>19</v>
      </c>
      <c r="F19" s="2" t="s">
        <v>23</v>
      </c>
      <c r="G19" s="2">
        <v>110986</v>
      </c>
      <c r="H19" s="2">
        <v>644</v>
      </c>
      <c r="I19" s="2">
        <v>296060</v>
      </c>
      <c r="J19" s="2">
        <v>310</v>
      </c>
      <c r="K19" s="2">
        <v>0.97</v>
      </c>
      <c r="L19" s="2">
        <v>6.29</v>
      </c>
      <c r="M19" s="2">
        <v>1.2</v>
      </c>
      <c r="N19" s="4">
        <v>8</v>
      </c>
    </row>
    <row r="20" spans="1:14" x14ac:dyDescent="0.35">
      <c r="A20" s="3">
        <v>2020</v>
      </c>
      <c r="B20" s="2">
        <v>3</v>
      </c>
      <c r="C20" s="2" t="s">
        <v>25</v>
      </c>
      <c r="D20" s="2" t="s">
        <v>34</v>
      </c>
      <c r="E20" s="2" t="s">
        <v>19</v>
      </c>
      <c r="F20" s="2" t="s">
        <v>23</v>
      </c>
      <c r="G20" s="2">
        <v>37035</v>
      </c>
      <c r="H20" s="2">
        <v>534</v>
      </c>
      <c r="I20" s="2">
        <v>432526</v>
      </c>
      <c r="J20" s="2">
        <v>157</v>
      </c>
      <c r="K20" s="2">
        <v>0.97</v>
      </c>
      <c r="L20" s="2">
        <v>6.29</v>
      </c>
      <c r="M20" s="2">
        <v>1.2</v>
      </c>
      <c r="N20" s="4">
        <v>4</v>
      </c>
    </row>
    <row r="21" spans="1:14" x14ac:dyDescent="0.35">
      <c r="A21" s="3">
        <v>2016</v>
      </c>
      <c r="B21" s="2">
        <v>8</v>
      </c>
      <c r="C21" s="2" t="s">
        <v>25</v>
      </c>
      <c r="D21" s="2" t="s">
        <v>24</v>
      </c>
      <c r="E21" s="2" t="s">
        <v>16</v>
      </c>
      <c r="F21" s="2" t="s">
        <v>20</v>
      </c>
      <c r="G21" s="2">
        <v>75745</v>
      </c>
      <c r="H21" s="2">
        <v>1004</v>
      </c>
      <c r="I21" s="2">
        <v>249618</v>
      </c>
      <c r="J21" s="2">
        <v>289</v>
      </c>
      <c r="K21" s="2">
        <v>0.97</v>
      </c>
      <c r="L21" s="2">
        <v>6.29</v>
      </c>
      <c r="M21" s="2">
        <v>1.2</v>
      </c>
      <c r="N21" s="4">
        <v>4</v>
      </c>
    </row>
    <row r="22" spans="1:14" x14ac:dyDescent="0.35">
      <c r="A22" s="3">
        <v>2019</v>
      </c>
      <c r="B22" s="2">
        <v>9</v>
      </c>
      <c r="C22" s="2" t="s">
        <v>25</v>
      </c>
      <c r="D22" s="2" t="s">
        <v>24</v>
      </c>
      <c r="E22" s="2" t="s">
        <v>20</v>
      </c>
      <c r="F22" s="2" t="s">
        <v>17</v>
      </c>
      <c r="G22" s="2">
        <v>52241</v>
      </c>
      <c r="H22" s="2">
        <v>544</v>
      </c>
      <c r="I22" s="2">
        <v>209484</v>
      </c>
      <c r="J22" s="2">
        <v>198</v>
      </c>
      <c r="K22" s="2">
        <v>0.97</v>
      </c>
      <c r="L22" s="2">
        <v>6.29</v>
      </c>
      <c r="M22" s="2">
        <v>1.2</v>
      </c>
      <c r="N22" s="4">
        <v>5</v>
      </c>
    </row>
    <row r="23" spans="1:14" x14ac:dyDescent="0.35">
      <c r="A23" s="3">
        <v>2015</v>
      </c>
      <c r="B23" s="2">
        <v>6</v>
      </c>
      <c r="C23" s="2" t="s">
        <v>32</v>
      </c>
      <c r="D23" s="2" t="s">
        <v>15</v>
      </c>
      <c r="E23" s="2" t="s">
        <v>16</v>
      </c>
      <c r="F23" s="2" t="s">
        <v>17</v>
      </c>
      <c r="G23" s="2">
        <v>87975</v>
      </c>
      <c r="H23" s="2">
        <v>751</v>
      </c>
      <c r="I23" s="2">
        <v>160489</v>
      </c>
      <c r="J23" s="2">
        <v>356</v>
      </c>
      <c r="K23" s="2">
        <v>0.97</v>
      </c>
      <c r="L23" s="2">
        <v>6.29</v>
      </c>
      <c r="M23" s="2">
        <v>1.2</v>
      </c>
      <c r="N23" s="4">
        <v>1</v>
      </c>
    </row>
    <row r="24" spans="1:14" x14ac:dyDescent="0.35">
      <c r="A24" s="3">
        <v>2024</v>
      </c>
      <c r="B24" s="2">
        <v>11</v>
      </c>
      <c r="C24" s="2" t="s">
        <v>25</v>
      </c>
      <c r="D24" s="2" t="s">
        <v>33</v>
      </c>
      <c r="E24" s="2" t="s">
        <v>19</v>
      </c>
      <c r="F24" s="2" t="s">
        <v>23</v>
      </c>
      <c r="G24" s="2">
        <v>58154</v>
      </c>
      <c r="H24" s="2">
        <v>1061</v>
      </c>
      <c r="I24" s="2">
        <v>494874</v>
      </c>
      <c r="J24" s="2">
        <v>359</v>
      </c>
      <c r="K24" s="2">
        <v>0.97</v>
      </c>
      <c r="L24" s="2">
        <v>6.29</v>
      </c>
      <c r="M24" s="2">
        <v>1.2</v>
      </c>
      <c r="N24" s="4">
        <v>1</v>
      </c>
    </row>
    <row r="25" spans="1:14" x14ac:dyDescent="0.35">
      <c r="A25" s="3">
        <v>2020</v>
      </c>
      <c r="B25" s="2">
        <v>7</v>
      </c>
      <c r="C25" s="2" t="s">
        <v>28</v>
      </c>
      <c r="D25" s="2" t="s">
        <v>31</v>
      </c>
      <c r="E25" s="2" t="s">
        <v>19</v>
      </c>
      <c r="F25" s="2" t="s">
        <v>27</v>
      </c>
      <c r="G25" s="2">
        <v>60625</v>
      </c>
      <c r="H25" s="2">
        <v>954</v>
      </c>
      <c r="I25" s="2">
        <v>492765</v>
      </c>
      <c r="J25" s="2">
        <v>323</v>
      </c>
      <c r="K25" s="2">
        <v>0.97</v>
      </c>
      <c r="L25" s="2">
        <v>6.29</v>
      </c>
      <c r="M25" s="2">
        <v>1.2</v>
      </c>
      <c r="N25" s="4">
        <v>2</v>
      </c>
    </row>
    <row r="26" spans="1:14" x14ac:dyDescent="0.35">
      <c r="A26" s="3">
        <v>2023</v>
      </c>
      <c r="B26" s="2">
        <v>1</v>
      </c>
      <c r="C26" s="2" t="s">
        <v>36</v>
      </c>
      <c r="D26" s="2" t="s">
        <v>22</v>
      </c>
      <c r="E26" s="2" t="s">
        <v>16</v>
      </c>
      <c r="F26" s="2" t="s">
        <v>23</v>
      </c>
      <c r="G26" s="2">
        <v>79950</v>
      </c>
      <c r="H26" s="2">
        <v>673</v>
      </c>
      <c r="I26" s="2">
        <v>308667</v>
      </c>
      <c r="J26" s="2">
        <v>137</v>
      </c>
      <c r="K26" s="2">
        <v>0.97</v>
      </c>
      <c r="L26" s="2">
        <v>6.29</v>
      </c>
      <c r="M26" s="2">
        <v>1.2</v>
      </c>
      <c r="N26" s="4">
        <v>8</v>
      </c>
    </row>
    <row r="27" spans="1:14" x14ac:dyDescent="0.35">
      <c r="A27" s="3">
        <v>2015</v>
      </c>
      <c r="B27" s="2">
        <v>5</v>
      </c>
      <c r="C27" s="2" t="s">
        <v>37</v>
      </c>
      <c r="D27" s="2" t="s">
        <v>18</v>
      </c>
      <c r="E27" s="2" t="s">
        <v>16</v>
      </c>
      <c r="F27" s="2" t="s">
        <v>20</v>
      </c>
      <c r="G27" s="2">
        <v>91396</v>
      </c>
      <c r="H27" s="2">
        <v>15</v>
      </c>
      <c r="I27" s="2">
        <v>61549</v>
      </c>
      <c r="J27" s="2">
        <v>16</v>
      </c>
      <c r="K27" s="2">
        <v>0.97</v>
      </c>
      <c r="L27" s="2">
        <v>6.29</v>
      </c>
      <c r="M27" s="2">
        <v>1.2</v>
      </c>
      <c r="N27" s="4">
        <v>7</v>
      </c>
    </row>
    <row r="28" spans="1:14" x14ac:dyDescent="0.35">
      <c r="A28" s="3">
        <v>2024</v>
      </c>
      <c r="B28" s="2">
        <v>5</v>
      </c>
      <c r="C28" s="2" t="s">
        <v>28</v>
      </c>
      <c r="D28" s="2" t="s">
        <v>31</v>
      </c>
      <c r="E28" s="2" t="s">
        <v>19</v>
      </c>
      <c r="F28" s="2" t="s">
        <v>23</v>
      </c>
      <c r="G28" s="2">
        <v>48331</v>
      </c>
      <c r="H28" s="2">
        <v>107</v>
      </c>
      <c r="I28" s="2">
        <v>75739</v>
      </c>
      <c r="J28" s="2">
        <v>56</v>
      </c>
      <c r="K28" s="2">
        <v>0.97</v>
      </c>
      <c r="L28" s="2">
        <v>6.29</v>
      </c>
      <c r="M28" s="2">
        <v>1.2</v>
      </c>
      <c r="N28" s="4">
        <v>10</v>
      </c>
    </row>
    <row r="29" spans="1:14" x14ac:dyDescent="0.35">
      <c r="A29" s="3">
        <v>2017</v>
      </c>
      <c r="B29" s="2">
        <v>10</v>
      </c>
      <c r="C29" s="2" t="s">
        <v>37</v>
      </c>
      <c r="D29" s="2" t="s">
        <v>18</v>
      </c>
      <c r="E29" s="2" t="s">
        <v>16</v>
      </c>
      <c r="F29" s="2" t="s">
        <v>23</v>
      </c>
      <c r="G29" s="2">
        <v>98927</v>
      </c>
      <c r="H29" s="2">
        <v>523</v>
      </c>
      <c r="I29" s="2">
        <v>333353</v>
      </c>
      <c r="J29" s="2">
        <v>62</v>
      </c>
      <c r="K29" s="2">
        <v>0.97</v>
      </c>
      <c r="L29" s="2">
        <v>6.29</v>
      </c>
      <c r="M29" s="2">
        <v>1.2</v>
      </c>
      <c r="N29" s="4">
        <v>9</v>
      </c>
    </row>
    <row r="30" spans="1:14" x14ac:dyDescent="0.35">
      <c r="A30" s="3">
        <v>2021</v>
      </c>
      <c r="B30" s="2">
        <v>4</v>
      </c>
      <c r="C30" s="2" t="s">
        <v>30</v>
      </c>
      <c r="D30" s="2" t="s">
        <v>29</v>
      </c>
      <c r="E30" s="2" t="s">
        <v>19</v>
      </c>
      <c r="F30" s="2" t="s">
        <v>20</v>
      </c>
      <c r="G30" s="2">
        <v>119719</v>
      </c>
      <c r="H30" s="2">
        <v>782</v>
      </c>
      <c r="I30" s="2">
        <v>157051</v>
      </c>
      <c r="J30" s="2">
        <v>196</v>
      </c>
      <c r="K30" s="2">
        <v>0.97</v>
      </c>
      <c r="L30" s="2">
        <v>6.29</v>
      </c>
      <c r="M30" s="2">
        <v>1.2</v>
      </c>
      <c r="N30" s="4">
        <v>5</v>
      </c>
    </row>
    <row r="31" spans="1:14" x14ac:dyDescent="0.35">
      <c r="A31" s="3">
        <v>2018</v>
      </c>
      <c r="B31" s="2">
        <v>6</v>
      </c>
      <c r="C31" s="2" t="s">
        <v>37</v>
      </c>
      <c r="D31" s="2" t="s">
        <v>18</v>
      </c>
      <c r="E31" s="2" t="s">
        <v>16</v>
      </c>
      <c r="F31" s="2" t="s">
        <v>23</v>
      </c>
      <c r="G31" s="2">
        <v>98014</v>
      </c>
      <c r="H31" s="2">
        <v>397</v>
      </c>
      <c r="I31" s="2">
        <v>65116</v>
      </c>
      <c r="J31" s="2">
        <v>47</v>
      </c>
      <c r="K31" s="2">
        <v>0.97</v>
      </c>
      <c r="L31" s="2">
        <v>6.29</v>
      </c>
      <c r="M31" s="2">
        <v>1.2</v>
      </c>
      <c r="N31" s="4">
        <v>2</v>
      </c>
    </row>
    <row r="32" spans="1:14" x14ac:dyDescent="0.35">
      <c r="A32" s="3">
        <v>2023</v>
      </c>
      <c r="B32" s="2">
        <v>7</v>
      </c>
      <c r="C32" s="2" t="s">
        <v>36</v>
      </c>
      <c r="D32" s="2" t="s">
        <v>26</v>
      </c>
      <c r="E32" s="2" t="s">
        <v>16</v>
      </c>
      <c r="F32" s="2" t="s">
        <v>17</v>
      </c>
      <c r="G32" s="2">
        <v>74346</v>
      </c>
      <c r="H32" s="2">
        <v>773</v>
      </c>
      <c r="I32" s="2">
        <v>70045</v>
      </c>
      <c r="J32" s="2">
        <v>235</v>
      </c>
      <c r="K32" s="2">
        <v>0.97</v>
      </c>
      <c r="L32" s="2">
        <v>6.29</v>
      </c>
      <c r="M32" s="2">
        <v>1.2</v>
      </c>
      <c r="N32" s="4">
        <v>7</v>
      </c>
    </row>
    <row r="33" spans="1:14" x14ac:dyDescent="0.35">
      <c r="A33" s="3">
        <v>2017</v>
      </c>
      <c r="B33" s="2">
        <v>9</v>
      </c>
      <c r="C33" s="2" t="s">
        <v>36</v>
      </c>
      <c r="D33" s="2" t="s">
        <v>24</v>
      </c>
      <c r="E33" s="2" t="s">
        <v>16</v>
      </c>
      <c r="F33" s="2" t="s">
        <v>27</v>
      </c>
      <c r="G33" s="2">
        <v>105411</v>
      </c>
      <c r="H33" s="2">
        <v>179</v>
      </c>
      <c r="I33" s="2">
        <v>469543</v>
      </c>
      <c r="J33" s="2">
        <v>62</v>
      </c>
      <c r="K33" s="2">
        <v>0.97</v>
      </c>
      <c r="L33" s="2">
        <v>6.29</v>
      </c>
      <c r="M33" s="2">
        <v>1.2</v>
      </c>
      <c r="N33" s="4">
        <v>8</v>
      </c>
    </row>
    <row r="34" spans="1:14" x14ac:dyDescent="0.35">
      <c r="A34" s="3">
        <v>2019</v>
      </c>
      <c r="B34" s="2">
        <v>1</v>
      </c>
      <c r="C34" s="2" t="s">
        <v>25</v>
      </c>
      <c r="D34" s="2" t="s">
        <v>33</v>
      </c>
      <c r="E34" s="2" t="s">
        <v>19</v>
      </c>
      <c r="F34" s="2" t="s">
        <v>23</v>
      </c>
      <c r="G34" s="2">
        <v>89478</v>
      </c>
      <c r="H34" s="2">
        <v>652</v>
      </c>
      <c r="I34" s="2">
        <v>85709</v>
      </c>
      <c r="J34" s="2">
        <v>233</v>
      </c>
      <c r="K34" s="2">
        <v>0.97</v>
      </c>
      <c r="L34" s="2">
        <v>6.29</v>
      </c>
      <c r="M34" s="2">
        <v>1.2</v>
      </c>
      <c r="N34" s="4">
        <v>7</v>
      </c>
    </row>
    <row r="35" spans="1:14" x14ac:dyDescent="0.35">
      <c r="A35" s="3">
        <v>2017</v>
      </c>
      <c r="B35" s="2">
        <v>6</v>
      </c>
      <c r="C35" s="2" t="s">
        <v>38</v>
      </c>
      <c r="D35" s="2" t="s">
        <v>39</v>
      </c>
      <c r="E35" s="2" t="s">
        <v>16</v>
      </c>
      <c r="F35" s="2" t="s">
        <v>20</v>
      </c>
      <c r="G35" s="2">
        <v>47254</v>
      </c>
      <c r="H35" s="2">
        <v>389</v>
      </c>
      <c r="I35" s="2">
        <v>355761</v>
      </c>
      <c r="J35" s="2">
        <v>163</v>
      </c>
      <c r="K35" s="2">
        <v>0.97</v>
      </c>
      <c r="L35" s="2">
        <v>6.29</v>
      </c>
      <c r="M35" s="2">
        <v>1.2</v>
      </c>
      <c r="N35" s="4">
        <v>7</v>
      </c>
    </row>
    <row r="36" spans="1:14" x14ac:dyDescent="0.35">
      <c r="A36" s="3">
        <v>2021</v>
      </c>
      <c r="B36" s="2">
        <v>7</v>
      </c>
      <c r="C36" s="2" t="s">
        <v>30</v>
      </c>
      <c r="D36" s="2" t="s">
        <v>15</v>
      </c>
      <c r="E36" s="2" t="s">
        <v>19</v>
      </c>
      <c r="F36" s="2" t="s">
        <v>27</v>
      </c>
      <c r="G36" s="2">
        <v>90734</v>
      </c>
      <c r="H36" s="2">
        <v>213</v>
      </c>
      <c r="I36" s="2">
        <v>207977</v>
      </c>
      <c r="J36" s="2">
        <v>57</v>
      </c>
      <c r="K36" s="2">
        <v>0.97</v>
      </c>
      <c r="L36" s="2">
        <v>6.29</v>
      </c>
      <c r="M36" s="2">
        <v>1.2</v>
      </c>
      <c r="N36" s="4">
        <v>5</v>
      </c>
    </row>
    <row r="37" spans="1:14" x14ac:dyDescent="0.35">
      <c r="A37" s="3">
        <v>2019</v>
      </c>
      <c r="B37" s="2">
        <v>3</v>
      </c>
      <c r="C37" s="2" t="s">
        <v>21</v>
      </c>
      <c r="D37" s="2" t="s">
        <v>26</v>
      </c>
      <c r="E37" s="2" t="s">
        <v>19</v>
      </c>
      <c r="F37" s="2" t="s">
        <v>20</v>
      </c>
      <c r="G37" s="2">
        <v>63621</v>
      </c>
      <c r="H37" s="2">
        <v>945</v>
      </c>
      <c r="I37" s="2">
        <v>253675</v>
      </c>
      <c r="J37" s="2">
        <v>360</v>
      </c>
      <c r="K37" s="2">
        <v>0.97</v>
      </c>
      <c r="L37" s="2">
        <v>6.29</v>
      </c>
      <c r="M37" s="2">
        <v>1.2</v>
      </c>
      <c r="N37" s="4">
        <v>2</v>
      </c>
    </row>
    <row r="38" spans="1:14" x14ac:dyDescent="0.35">
      <c r="A38" s="3">
        <v>2023</v>
      </c>
      <c r="B38" s="2">
        <v>8</v>
      </c>
      <c r="C38" s="2" t="s">
        <v>14</v>
      </c>
      <c r="D38" s="2" t="s">
        <v>18</v>
      </c>
      <c r="E38" s="2" t="s">
        <v>16</v>
      </c>
      <c r="F38" s="2" t="s">
        <v>27</v>
      </c>
      <c r="G38" s="2">
        <v>111441</v>
      </c>
      <c r="H38" s="2">
        <v>705</v>
      </c>
      <c r="I38" s="2">
        <v>279167</v>
      </c>
      <c r="J38" s="2">
        <v>156</v>
      </c>
      <c r="K38" s="2">
        <v>0.97</v>
      </c>
      <c r="L38" s="2">
        <v>6.29</v>
      </c>
      <c r="M38" s="2">
        <v>1.2</v>
      </c>
      <c r="N38" s="4">
        <v>6</v>
      </c>
    </row>
    <row r="39" spans="1:14" x14ac:dyDescent="0.35">
      <c r="A39" s="3">
        <v>2021</v>
      </c>
      <c r="B39" s="2">
        <v>5</v>
      </c>
      <c r="C39" s="2" t="s">
        <v>37</v>
      </c>
      <c r="D39" s="2" t="s">
        <v>34</v>
      </c>
      <c r="E39" s="2" t="s">
        <v>16</v>
      </c>
      <c r="F39" s="2" t="s">
        <v>27</v>
      </c>
      <c r="G39" s="2">
        <v>81121</v>
      </c>
      <c r="H39" s="2">
        <v>368</v>
      </c>
      <c r="I39" s="2">
        <v>431923</v>
      </c>
      <c r="J39" s="2">
        <v>73</v>
      </c>
      <c r="K39" s="2">
        <v>0.97</v>
      </c>
      <c r="L39" s="2">
        <v>6.29</v>
      </c>
      <c r="M39" s="2">
        <v>1.2</v>
      </c>
      <c r="N39" s="4">
        <v>4</v>
      </c>
    </row>
    <row r="40" spans="1:14" x14ac:dyDescent="0.35">
      <c r="A40" s="3">
        <v>2016</v>
      </c>
      <c r="B40" s="2">
        <v>9</v>
      </c>
      <c r="C40" s="2" t="s">
        <v>38</v>
      </c>
      <c r="D40" s="2" t="s">
        <v>33</v>
      </c>
      <c r="E40" s="2" t="s">
        <v>19</v>
      </c>
      <c r="F40" s="2" t="s">
        <v>23</v>
      </c>
      <c r="G40" s="2">
        <v>116418</v>
      </c>
      <c r="H40" s="2">
        <v>743</v>
      </c>
      <c r="I40" s="2">
        <v>355063</v>
      </c>
      <c r="J40" s="2">
        <v>358</v>
      </c>
      <c r="K40" s="2">
        <v>0.97</v>
      </c>
      <c r="L40" s="2">
        <v>6.29</v>
      </c>
      <c r="M40" s="2">
        <v>1.2</v>
      </c>
      <c r="N40" s="4">
        <v>10</v>
      </c>
    </row>
    <row r="41" spans="1:14" x14ac:dyDescent="0.35">
      <c r="A41" s="3">
        <v>2018</v>
      </c>
      <c r="B41" s="2">
        <v>5</v>
      </c>
      <c r="C41" s="2" t="s">
        <v>25</v>
      </c>
      <c r="D41" s="2" t="s">
        <v>26</v>
      </c>
      <c r="E41" s="2" t="s">
        <v>19</v>
      </c>
      <c r="F41" s="2" t="s">
        <v>17</v>
      </c>
      <c r="G41" s="2">
        <v>95197</v>
      </c>
      <c r="H41" s="2">
        <v>805</v>
      </c>
      <c r="I41" s="2">
        <v>395665</v>
      </c>
      <c r="J41" s="2">
        <v>191</v>
      </c>
      <c r="K41" s="2">
        <v>0.97</v>
      </c>
      <c r="L41" s="2">
        <v>6.29</v>
      </c>
      <c r="M41" s="2">
        <v>1.2</v>
      </c>
      <c r="N41" s="4">
        <v>2</v>
      </c>
    </row>
    <row r="42" spans="1:14" x14ac:dyDescent="0.35">
      <c r="A42" s="3">
        <v>2023</v>
      </c>
      <c r="B42" s="2">
        <v>9</v>
      </c>
      <c r="C42" s="2" t="s">
        <v>32</v>
      </c>
      <c r="D42" s="2" t="s">
        <v>15</v>
      </c>
      <c r="E42" s="2" t="s">
        <v>20</v>
      </c>
      <c r="F42" s="2" t="s">
        <v>23</v>
      </c>
      <c r="G42" s="2">
        <v>119577</v>
      </c>
      <c r="H42" s="2">
        <v>380</v>
      </c>
      <c r="I42" s="2">
        <v>269222</v>
      </c>
      <c r="J42" s="2">
        <v>134</v>
      </c>
      <c r="K42" s="2">
        <v>0.97</v>
      </c>
      <c r="L42" s="2">
        <v>6.29</v>
      </c>
      <c r="M42" s="2">
        <v>1.2</v>
      </c>
      <c r="N42" s="4">
        <v>9</v>
      </c>
    </row>
    <row r="43" spans="1:14" x14ac:dyDescent="0.35">
      <c r="A43" s="3">
        <v>2016</v>
      </c>
      <c r="B43" s="2">
        <v>10</v>
      </c>
      <c r="C43" s="2" t="s">
        <v>21</v>
      </c>
      <c r="D43" s="2" t="s">
        <v>24</v>
      </c>
      <c r="E43" s="2" t="s">
        <v>19</v>
      </c>
      <c r="F43" s="2" t="s">
        <v>20</v>
      </c>
      <c r="G43" s="2">
        <v>77431</v>
      </c>
      <c r="H43" s="2">
        <v>543</v>
      </c>
      <c r="I43" s="2">
        <v>239518</v>
      </c>
      <c r="J43" s="2">
        <v>188</v>
      </c>
      <c r="K43" s="2">
        <v>0.97</v>
      </c>
      <c r="L43" s="2">
        <v>6.29</v>
      </c>
      <c r="M43" s="2">
        <v>1.2</v>
      </c>
      <c r="N43" s="4">
        <v>7</v>
      </c>
    </row>
    <row r="44" spans="1:14" x14ac:dyDescent="0.35">
      <c r="A44" s="3">
        <v>2024</v>
      </c>
      <c r="B44" s="2">
        <v>4</v>
      </c>
      <c r="C44" s="2" t="s">
        <v>35</v>
      </c>
      <c r="D44" s="2" t="s">
        <v>33</v>
      </c>
      <c r="E44" s="2" t="s">
        <v>20</v>
      </c>
      <c r="F44" s="2" t="s">
        <v>20</v>
      </c>
      <c r="G44" s="2">
        <v>39837</v>
      </c>
      <c r="H44" s="2">
        <v>429</v>
      </c>
      <c r="I44" s="2">
        <v>233500</v>
      </c>
      <c r="J44" s="2">
        <v>48</v>
      </c>
      <c r="K44" s="2">
        <v>0.97</v>
      </c>
      <c r="L44" s="2">
        <v>6.29</v>
      </c>
      <c r="M44" s="2">
        <v>1.2</v>
      </c>
      <c r="N44" s="4">
        <v>6</v>
      </c>
    </row>
    <row r="45" spans="1:14" x14ac:dyDescent="0.35">
      <c r="A45" s="3">
        <v>2023</v>
      </c>
      <c r="B45" s="2">
        <v>9</v>
      </c>
      <c r="C45" s="2" t="s">
        <v>38</v>
      </c>
      <c r="D45" s="2" t="s">
        <v>15</v>
      </c>
      <c r="E45" s="2" t="s">
        <v>20</v>
      </c>
      <c r="F45" s="2" t="s">
        <v>27</v>
      </c>
      <c r="G45" s="2">
        <v>118163</v>
      </c>
      <c r="H45" s="2">
        <v>661</v>
      </c>
      <c r="I45" s="2">
        <v>491110</v>
      </c>
      <c r="J45" s="2">
        <v>269</v>
      </c>
      <c r="K45" s="2">
        <v>0.97</v>
      </c>
      <c r="L45" s="2">
        <v>6.29</v>
      </c>
      <c r="M45" s="2">
        <v>1.2</v>
      </c>
      <c r="N45" s="4">
        <v>5</v>
      </c>
    </row>
    <row r="46" spans="1:14" x14ac:dyDescent="0.35">
      <c r="A46" s="3">
        <v>2024</v>
      </c>
      <c r="B46" s="2">
        <v>5</v>
      </c>
      <c r="C46" s="2" t="s">
        <v>32</v>
      </c>
      <c r="D46" s="2" t="s">
        <v>29</v>
      </c>
      <c r="E46" s="2" t="s">
        <v>20</v>
      </c>
      <c r="F46" s="2" t="s">
        <v>27</v>
      </c>
      <c r="G46" s="2">
        <v>106232</v>
      </c>
      <c r="H46" s="2">
        <v>1001</v>
      </c>
      <c r="I46" s="2">
        <v>318591</v>
      </c>
      <c r="J46" s="2">
        <v>391</v>
      </c>
      <c r="K46" s="2">
        <v>0.97</v>
      </c>
      <c r="L46" s="2">
        <v>6.29</v>
      </c>
      <c r="M46" s="2">
        <v>1.2</v>
      </c>
      <c r="N46" s="4">
        <v>3</v>
      </c>
    </row>
    <row r="47" spans="1:14" x14ac:dyDescent="0.35">
      <c r="A47" s="3">
        <v>2019</v>
      </c>
      <c r="B47" s="2">
        <v>10</v>
      </c>
      <c r="C47" s="2" t="s">
        <v>30</v>
      </c>
      <c r="D47" s="2" t="s">
        <v>29</v>
      </c>
      <c r="E47" s="2" t="s">
        <v>16</v>
      </c>
      <c r="F47" s="2" t="s">
        <v>17</v>
      </c>
      <c r="G47" s="2">
        <v>83994</v>
      </c>
      <c r="H47" s="2">
        <v>413</v>
      </c>
      <c r="I47" s="2">
        <v>55499</v>
      </c>
      <c r="J47" s="2">
        <v>12</v>
      </c>
      <c r="K47" s="2">
        <v>0.97</v>
      </c>
      <c r="L47" s="2">
        <v>6.29</v>
      </c>
      <c r="M47" s="2">
        <v>1.2</v>
      </c>
      <c r="N47" s="4">
        <v>10</v>
      </c>
    </row>
    <row r="48" spans="1:14" x14ac:dyDescent="0.35">
      <c r="A48" s="3">
        <v>2016</v>
      </c>
      <c r="B48" s="2">
        <v>9</v>
      </c>
      <c r="C48" s="2" t="s">
        <v>25</v>
      </c>
      <c r="D48" s="2" t="s">
        <v>15</v>
      </c>
      <c r="E48" s="2" t="s">
        <v>16</v>
      </c>
      <c r="F48" s="2" t="s">
        <v>23</v>
      </c>
      <c r="G48" s="2">
        <v>114079</v>
      </c>
      <c r="H48" s="2">
        <v>396</v>
      </c>
      <c r="I48" s="2">
        <v>89041</v>
      </c>
      <c r="J48" s="2">
        <v>73</v>
      </c>
      <c r="K48" s="2">
        <v>0.97</v>
      </c>
      <c r="L48" s="2">
        <v>6.29</v>
      </c>
      <c r="M48" s="2">
        <v>1.2</v>
      </c>
      <c r="N48" s="4">
        <v>10</v>
      </c>
    </row>
    <row r="49" spans="1:14" x14ac:dyDescent="0.35">
      <c r="A49" s="3">
        <v>2018</v>
      </c>
      <c r="B49" s="2">
        <v>3</v>
      </c>
      <c r="C49" s="2" t="s">
        <v>21</v>
      </c>
      <c r="D49" s="2" t="s">
        <v>26</v>
      </c>
      <c r="E49" s="2" t="s">
        <v>19</v>
      </c>
      <c r="F49" s="2" t="s">
        <v>20</v>
      </c>
      <c r="G49" s="2">
        <v>47615</v>
      </c>
      <c r="H49" s="2">
        <v>225</v>
      </c>
      <c r="I49" s="2">
        <v>343459</v>
      </c>
      <c r="J49" s="2">
        <v>38</v>
      </c>
      <c r="K49" s="2">
        <v>0.97</v>
      </c>
      <c r="L49" s="2">
        <v>6.29</v>
      </c>
      <c r="M49" s="2">
        <v>1.2</v>
      </c>
      <c r="N49" s="4">
        <v>4</v>
      </c>
    </row>
    <row r="50" spans="1:14" x14ac:dyDescent="0.35">
      <c r="A50" s="3">
        <v>2021</v>
      </c>
      <c r="B50" s="2">
        <v>4</v>
      </c>
      <c r="C50" s="2" t="s">
        <v>21</v>
      </c>
      <c r="D50" s="2" t="s">
        <v>33</v>
      </c>
      <c r="E50" s="2" t="s">
        <v>20</v>
      </c>
      <c r="F50" s="2" t="s">
        <v>27</v>
      </c>
      <c r="G50" s="2">
        <v>36466</v>
      </c>
      <c r="H50" s="2">
        <v>992</v>
      </c>
      <c r="I50" s="2">
        <v>182371</v>
      </c>
      <c r="J50" s="2">
        <v>381</v>
      </c>
      <c r="K50" s="2">
        <v>0.97</v>
      </c>
      <c r="L50" s="2">
        <v>6.29</v>
      </c>
      <c r="M50" s="2">
        <v>1.2</v>
      </c>
      <c r="N50" s="4">
        <v>3</v>
      </c>
    </row>
    <row r="51" spans="1:14" x14ac:dyDescent="0.35">
      <c r="A51" s="3">
        <v>2022</v>
      </c>
      <c r="B51" s="2">
        <v>9</v>
      </c>
      <c r="C51" s="2" t="s">
        <v>21</v>
      </c>
      <c r="D51" s="2" t="s">
        <v>26</v>
      </c>
      <c r="E51" s="2" t="s">
        <v>16</v>
      </c>
      <c r="F51" s="2" t="s">
        <v>17</v>
      </c>
      <c r="G51" s="2">
        <v>65771</v>
      </c>
      <c r="H51" s="2">
        <v>476</v>
      </c>
      <c r="I51" s="2">
        <v>432650</v>
      </c>
      <c r="J51" s="2">
        <v>20</v>
      </c>
      <c r="K51" s="2">
        <v>0.97</v>
      </c>
      <c r="L51" s="2">
        <v>6.29</v>
      </c>
      <c r="M51" s="2">
        <v>1.2</v>
      </c>
      <c r="N51" s="4">
        <v>8</v>
      </c>
    </row>
    <row r="52" spans="1:14" x14ac:dyDescent="0.35">
      <c r="A52" s="3">
        <v>2017</v>
      </c>
      <c r="B52" s="2">
        <v>10</v>
      </c>
      <c r="C52" s="2" t="s">
        <v>30</v>
      </c>
      <c r="D52" s="2" t="s">
        <v>22</v>
      </c>
      <c r="E52" s="2" t="s">
        <v>16</v>
      </c>
      <c r="F52" s="2" t="s">
        <v>20</v>
      </c>
      <c r="G52" s="2">
        <v>118886</v>
      </c>
      <c r="H52" s="2">
        <v>357</v>
      </c>
      <c r="I52" s="2">
        <v>186066</v>
      </c>
      <c r="J52" s="2">
        <v>106</v>
      </c>
      <c r="K52" s="2">
        <v>0.97</v>
      </c>
      <c r="L52" s="2">
        <v>6.29</v>
      </c>
      <c r="M52" s="2">
        <v>1.2</v>
      </c>
      <c r="N52" s="4">
        <v>3</v>
      </c>
    </row>
    <row r="53" spans="1:14" x14ac:dyDescent="0.35">
      <c r="A53" s="3">
        <v>2015</v>
      </c>
      <c r="B53" s="2">
        <v>11</v>
      </c>
      <c r="C53" s="2" t="s">
        <v>37</v>
      </c>
      <c r="D53" s="2" t="s">
        <v>18</v>
      </c>
      <c r="E53" s="2" t="s">
        <v>16</v>
      </c>
      <c r="F53" s="2" t="s">
        <v>27</v>
      </c>
      <c r="G53" s="2">
        <v>100911</v>
      </c>
      <c r="H53" s="2">
        <v>1145</v>
      </c>
      <c r="I53" s="2">
        <v>276486</v>
      </c>
      <c r="J53" s="2">
        <v>367</v>
      </c>
      <c r="K53" s="2">
        <v>0.97</v>
      </c>
      <c r="L53" s="2">
        <v>6.29</v>
      </c>
      <c r="M53" s="2">
        <v>1.2</v>
      </c>
      <c r="N53" s="4">
        <v>7</v>
      </c>
    </row>
    <row r="54" spans="1:14" x14ac:dyDescent="0.35">
      <c r="A54" s="3">
        <v>2018</v>
      </c>
      <c r="B54" s="2">
        <v>6</v>
      </c>
      <c r="C54" s="2" t="s">
        <v>35</v>
      </c>
      <c r="D54" s="2" t="s">
        <v>22</v>
      </c>
      <c r="E54" s="2" t="s">
        <v>16</v>
      </c>
      <c r="F54" s="2" t="s">
        <v>20</v>
      </c>
      <c r="G54" s="2">
        <v>55746</v>
      </c>
      <c r="H54" s="2">
        <v>679</v>
      </c>
      <c r="I54" s="2">
        <v>262235</v>
      </c>
      <c r="J54" s="2">
        <v>212</v>
      </c>
      <c r="K54" s="2">
        <v>0.97</v>
      </c>
      <c r="L54" s="2">
        <v>6.29</v>
      </c>
      <c r="M54" s="2">
        <v>1.2</v>
      </c>
      <c r="N54" s="4">
        <v>7</v>
      </c>
    </row>
    <row r="55" spans="1:14" x14ac:dyDescent="0.35">
      <c r="A55" s="3">
        <v>2016</v>
      </c>
      <c r="B55" s="2">
        <v>2</v>
      </c>
      <c r="C55" s="2" t="s">
        <v>30</v>
      </c>
      <c r="D55" s="2" t="s">
        <v>29</v>
      </c>
      <c r="E55" s="2" t="s">
        <v>16</v>
      </c>
      <c r="F55" s="2" t="s">
        <v>17</v>
      </c>
      <c r="G55" s="2">
        <v>95739</v>
      </c>
      <c r="H55" s="2">
        <v>184</v>
      </c>
      <c r="I55" s="2">
        <v>307831</v>
      </c>
      <c r="J55" s="2">
        <v>30</v>
      </c>
      <c r="K55" s="2">
        <v>0.97</v>
      </c>
      <c r="L55" s="2">
        <v>6.29</v>
      </c>
      <c r="M55" s="2">
        <v>1.2</v>
      </c>
      <c r="N55" s="4">
        <v>7</v>
      </c>
    </row>
    <row r="56" spans="1:14" x14ac:dyDescent="0.35">
      <c r="A56" s="3">
        <v>2022</v>
      </c>
      <c r="B56" s="2">
        <v>7</v>
      </c>
      <c r="C56" s="2" t="s">
        <v>14</v>
      </c>
      <c r="D56" s="2" t="s">
        <v>24</v>
      </c>
      <c r="E56" s="2" t="s">
        <v>20</v>
      </c>
      <c r="F56" s="2" t="s">
        <v>17</v>
      </c>
      <c r="G56" s="2">
        <v>108369</v>
      </c>
      <c r="H56" s="2">
        <v>205</v>
      </c>
      <c r="I56" s="2">
        <v>450705</v>
      </c>
      <c r="J56" s="2">
        <v>48</v>
      </c>
      <c r="K56" s="2">
        <v>0.97</v>
      </c>
      <c r="L56" s="2">
        <v>6.29</v>
      </c>
      <c r="M56" s="2">
        <v>1.2</v>
      </c>
      <c r="N56" s="4">
        <v>7</v>
      </c>
    </row>
    <row r="57" spans="1:14" x14ac:dyDescent="0.35">
      <c r="A57" s="3">
        <v>2018</v>
      </c>
      <c r="B57" s="2">
        <v>2</v>
      </c>
      <c r="C57" s="2" t="s">
        <v>35</v>
      </c>
      <c r="D57" s="2" t="s">
        <v>31</v>
      </c>
      <c r="E57" s="2" t="s">
        <v>20</v>
      </c>
      <c r="F57" s="2" t="s">
        <v>20</v>
      </c>
      <c r="G57" s="2">
        <v>36893</v>
      </c>
      <c r="H57" s="2">
        <v>534</v>
      </c>
      <c r="I57" s="2">
        <v>403791</v>
      </c>
      <c r="J57" s="2">
        <v>232</v>
      </c>
      <c r="K57" s="2">
        <v>0.97</v>
      </c>
      <c r="L57" s="2">
        <v>6.29</v>
      </c>
      <c r="M57" s="2">
        <v>1.2</v>
      </c>
      <c r="N57" s="4">
        <v>2</v>
      </c>
    </row>
    <row r="58" spans="1:14" x14ac:dyDescent="0.35">
      <c r="A58" s="3">
        <v>2016</v>
      </c>
      <c r="B58" s="2">
        <v>11</v>
      </c>
      <c r="C58" s="2" t="s">
        <v>36</v>
      </c>
      <c r="D58" s="2" t="s">
        <v>18</v>
      </c>
      <c r="E58" s="2" t="s">
        <v>20</v>
      </c>
      <c r="F58" s="2" t="s">
        <v>23</v>
      </c>
      <c r="G58" s="2">
        <v>65573</v>
      </c>
      <c r="H58" s="2">
        <v>578</v>
      </c>
      <c r="I58" s="2">
        <v>344499</v>
      </c>
      <c r="J58" s="2">
        <v>111</v>
      </c>
      <c r="K58" s="2">
        <v>0.97</v>
      </c>
      <c r="L58" s="2">
        <v>6.29</v>
      </c>
      <c r="M58" s="2">
        <v>1.2</v>
      </c>
      <c r="N58" s="4">
        <v>10</v>
      </c>
    </row>
    <row r="59" spans="1:14" x14ac:dyDescent="0.35">
      <c r="A59" s="3">
        <v>2020</v>
      </c>
      <c r="B59" s="2">
        <v>2</v>
      </c>
      <c r="C59" s="2" t="s">
        <v>25</v>
      </c>
      <c r="D59" s="2" t="s">
        <v>29</v>
      </c>
      <c r="E59" s="2" t="s">
        <v>20</v>
      </c>
      <c r="F59" s="2" t="s">
        <v>20</v>
      </c>
      <c r="G59" s="2">
        <v>75874</v>
      </c>
      <c r="H59" s="2">
        <v>292</v>
      </c>
      <c r="I59" s="2">
        <v>385949</v>
      </c>
      <c r="J59" s="2">
        <v>55</v>
      </c>
      <c r="K59" s="2">
        <v>0.97</v>
      </c>
      <c r="L59" s="2">
        <v>6.29</v>
      </c>
      <c r="M59" s="2">
        <v>1.2</v>
      </c>
      <c r="N59" s="4">
        <v>3</v>
      </c>
    </row>
    <row r="60" spans="1:14" x14ac:dyDescent="0.35">
      <c r="A60" s="3">
        <v>2020</v>
      </c>
      <c r="B60" s="2">
        <v>11</v>
      </c>
      <c r="C60" s="2" t="s">
        <v>30</v>
      </c>
      <c r="D60" s="2" t="s">
        <v>26</v>
      </c>
      <c r="E60" s="2" t="s">
        <v>19</v>
      </c>
      <c r="F60" s="2" t="s">
        <v>27</v>
      </c>
      <c r="G60" s="2">
        <v>112362</v>
      </c>
      <c r="H60" s="2">
        <v>495</v>
      </c>
      <c r="I60" s="2">
        <v>380511</v>
      </c>
      <c r="J60" s="2">
        <v>75</v>
      </c>
      <c r="K60" s="2">
        <v>0.97</v>
      </c>
      <c r="L60" s="2">
        <v>6.29</v>
      </c>
      <c r="M60" s="2">
        <v>1.2</v>
      </c>
      <c r="N60" s="4">
        <v>10</v>
      </c>
    </row>
    <row r="61" spans="1:14" x14ac:dyDescent="0.35">
      <c r="A61" s="3">
        <v>2024</v>
      </c>
      <c r="B61" s="2">
        <v>1</v>
      </c>
      <c r="C61" s="2" t="s">
        <v>32</v>
      </c>
      <c r="D61" s="2" t="s">
        <v>26</v>
      </c>
      <c r="E61" s="2" t="s">
        <v>20</v>
      </c>
      <c r="F61" s="2" t="s">
        <v>23</v>
      </c>
      <c r="G61" s="2">
        <v>68367</v>
      </c>
      <c r="H61" s="2">
        <v>576</v>
      </c>
      <c r="I61" s="2">
        <v>422050</v>
      </c>
      <c r="J61" s="2">
        <v>100</v>
      </c>
      <c r="K61" s="2">
        <v>0.97</v>
      </c>
      <c r="L61" s="2">
        <v>6.29</v>
      </c>
      <c r="M61" s="2">
        <v>1.2</v>
      </c>
      <c r="N61" s="4">
        <v>9</v>
      </c>
    </row>
    <row r="62" spans="1:14" x14ac:dyDescent="0.35">
      <c r="A62" s="3">
        <v>2018</v>
      </c>
      <c r="B62" s="2">
        <v>11</v>
      </c>
      <c r="C62" s="2" t="s">
        <v>35</v>
      </c>
      <c r="D62" s="2" t="s">
        <v>26</v>
      </c>
      <c r="E62" s="2" t="s">
        <v>16</v>
      </c>
      <c r="F62" s="2" t="s">
        <v>27</v>
      </c>
      <c r="G62" s="2">
        <v>56199</v>
      </c>
      <c r="H62" s="2">
        <v>534</v>
      </c>
      <c r="I62" s="2">
        <v>429553</v>
      </c>
      <c r="J62" s="2">
        <v>173</v>
      </c>
      <c r="K62" s="2">
        <v>0.97</v>
      </c>
      <c r="L62" s="2">
        <v>6.29</v>
      </c>
      <c r="M62" s="2">
        <v>1.2</v>
      </c>
      <c r="N62" s="4">
        <v>3</v>
      </c>
    </row>
    <row r="63" spans="1:14" x14ac:dyDescent="0.35">
      <c r="A63" s="3">
        <v>2020</v>
      </c>
      <c r="B63" s="2">
        <v>11</v>
      </c>
      <c r="C63" s="2" t="s">
        <v>14</v>
      </c>
      <c r="D63" s="2" t="s">
        <v>24</v>
      </c>
      <c r="E63" s="2" t="s">
        <v>20</v>
      </c>
      <c r="F63" s="2" t="s">
        <v>20</v>
      </c>
      <c r="G63" s="2">
        <v>109328</v>
      </c>
      <c r="H63" s="2">
        <v>453</v>
      </c>
      <c r="I63" s="2">
        <v>389499</v>
      </c>
      <c r="J63" s="2">
        <v>120</v>
      </c>
      <c r="K63" s="2">
        <v>0.97</v>
      </c>
      <c r="L63" s="2">
        <v>6.29</v>
      </c>
      <c r="M63" s="2">
        <v>1.2</v>
      </c>
      <c r="N63" s="4">
        <v>2</v>
      </c>
    </row>
    <row r="64" spans="1:14" x14ac:dyDescent="0.35">
      <c r="A64" s="3">
        <v>2016</v>
      </c>
      <c r="B64" s="2">
        <v>12</v>
      </c>
      <c r="C64" s="2" t="s">
        <v>36</v>
      </c>
      <c r="D64" s="2" t="s">
        <v>22</v>
      </c>
      <c r="E64" s="2" t="s">
        <v>19</v>
      </c>
      <c r="F64" s="2" t="s">
        <v>23</v>
      </c>
      <c r="G64" s="2">
        <v>92724</v>
      </c>
      <c r="H64" s="2">
        <v>1070</v>
      </c>
      <c r="I64" s="2">
        <v>166220</v>
      </c>
      <c r="J64" s="2">
        <v>347</v>
      </c>
      <c r="K64" s="2">
        <v>0.97</v>
      </c>
      <c r="L64" s="2">
        <v>6.29</v>
      </c>
      <c r="M64" s="2">
        <v>1.2</v>
      </c>
      <c r="N64" s="4">
        <v>9</v>
      </c>
    </row>
    <row r="65" spans="1:14" x14ac:dyDescent="0.35">
      <c r="A65" s="3">
        <v>2024</v>
      </c>
      <c r="B65" s="2">
        <v>11</v>
      </c>
      <c r="C65" s="2" t="s">
        <v>37</v>
      </c>
      <c r="D65" s="2" t="s">
        <v>31</v>
      </c>
      <c r="E65" s="2" t="s">
        <v>16</v>
      </c>
      <c r="F65" s="2" t="s">
        <v>27</v>
      </c>
      <c r="G65" s="2">
        <v>71405</v>
      </c>
      <c r="H65" s="2">
        <v>348</v>
      </c>
      <c r="I65" s="2">
        <v>271421</v>
      </c>
      <c r="J65" s="2">
        <v>132</v>
      </c>
      <c r="K65" s="2">
        <v>0.97</v>
      </c>
      <c r="L65" s="2">
        <v>6.29</v>
      </c>
      <c r="M65" s="2">
        <v>1.2</v>
      </c>
      <c r="N65" s="4">
        <v>10</v>
      </c>
    </row>
    <row r="66" spans="1:14" x14ac:dyDescent="0.35">
      <c r="A66" s="3">
        <v>2016</v>
      </c>
      <c r="B66" s="2">
        <v>3</v>
      </c>
      <c r="C66" s="2" t="s">
        <v>32</v>
      </c>
      <c r="D66" s="2" t="s">
        <v>26</v>
      </c>
      <c r="E66" s="2" t="s">
        <v>20</v>
      </c>
      <c r="F66" s="2" t="s">
        <v>20</v>
      </c>
      <c r="G66" s="2">
        <v>50989</v>
      </c>
      <c r="H66" s="2">
        <v>651</v>
      </c>
      <c r="I66" s="2">
        <v>399317</v>
      </c>
      <c r="J66" s="2">
        <v>202</v>
      </c>
      <c r="K66" s="2">
        <v>0.97</v>
      </c>
      <c r="L66" s="2">
        <v>6.29</v>
      </c>
      <c r="M66" s="2">
        <v>1.2</v>
      </c>
      <c r="N66" s="4">
        <v>9</v>
      </c>
    </row>
    <row r="67" spans="1:14" x14ac:dyDescent="0.35">
      <c r="A67" s="3">
        <v>2024</v>
      </c>
      <c r="B67" s="2">
        <v>6</v>
      </c>
      <c r="C67" s="2" t="s">
        <v>35</v>
      </c>
      <c r="D67" s="2" t="s">
        <v>39</v>
      </c>
      <c r="E67" s="2" t="s">
        <v>20</v>
      </c>
      <c r="F67" s="2" t="s">
        <v>20</v>
      </c>
      <c r="G67" s="2">
        <v>63931</v>
      </c>
      <c r="H67" s="2">
        <v>307</v>
      </c>
      <c r="I67" s="2">
        <v>314140</v>
      </c>
      <c r="J67" s="2">
        <v>108</v>
      </c>
      <c r="K67" s="2">
        <v>0.97</v>
      </c>
      <c r="L67" s="2">
        <v>6.29</v>
      </c>
      <c r="M67" s="2">
        <v>1.2</v>
      </c>
      <c r="N67" s="4">
        <v>4</v>
      </c>
    </row>
    <row r="68" spans="1:14" x14ac:dyDescent="0.35">
      <c r="A68" s="3">
        <v>2018</v>
      </c>
      <c r="B68" s="2">
        <v>8</v>
      </c>
      <c r="C68" s="2" t="s">
        <v>25</v>
      </c>
      <c r="D68" s="2" t="s">
        <v>18</v>
      </c>
      <c r="E68" s="2" t="s">
        <v>20</v>
      </c>
      <c r="F68" s="2" t="s">
        <v>23</v>
      </c>
      <c r="G68" s="2">
        <v>44290</v>
      </c>
      <c r="H68" s="2">
        <v>951</v>
      </c>
      <c r="I68" s="2">
        <v>301071</v>
      </c>
      <c r="J68" s="2">
        <v>300</v>
      </c>
      <c r="K68" s="2">
        <v>0.97</v>
      </c>
      <c r="L68" s="2">
        <v>6.29</v>
      </c>
      <c r="M68" s="2">
        <v>1.2</v>
      </c>
      <c r="N68" s="4">
        <v>9</v>
      </c>
    </row>
    <row r="69" spans="1:14" x14ac:dyDescent="0.35">
      <c r="A69" s="3">
        <v>2022</v>
      </c>
      <c r="B69" s="2">
        <v>9</v>
      </c>
      <c r="C69" s="2" t="s">
        <v>32</v>
      </c>
      <c r="D69" s="2" t="s">
        <v>33</v>
      </c>
      <c r="E69" s="2" t="s">
        <v>16</v>
      </c>
      <c r="F69" s="2" t="s">
        <v>20</v>
      </c>
      <c r="G69" s="2">
        <v>73367</v>
      </c>
      <c r="H69" s="2">
        <v>393</v>
      </c>
      <c r="I69" s="2">
        <v>356531</v>
      </c>
      <c r="J69" s="2">
        <v>168</v>
      </c>
      <c r="K69" s="2">
        <v>0.97</v>
      </c>
      <c r="L69" s="2">
        <v>6.29</v>
      </c>
      <c r="M69" s="2">
        <v>1.2</v>
      </c>
      <c r="N69" s="4">
        <v>3</v>
      </c>
    </row>
    <row r="70" spans="1:14" x14ac:dyDescent="0.35">
      <c r="A70" s="3">
        <v>2021</v>
      </c>
      <c r="B70" s="2">
        <v>7</v>
      </c>
      <c r="C70" s="2" t="s">
        <v>36</v>
      </c>
      <c r="D70" s="2" t="s">
        <v>39</v>
      </c>
      <c r="E70" s="2" t="s">
        <v>16</v>
      </c>
      <c r="F70" s="2" t="s">
        <v>17</v>
      </c>
      <c r="G70" s="2">
        <v>114878</v>
      </c>
      <c r="H70" s="2">
        <v>453</v>
      </c>
      <c r="I70" s="2">
        <v>53089</v>
      </c>
      <c r="J70" s="2">
        <v>112</v>
      </c>
      <c r="K70" s="2">
        <v>0.97</v>
      </c>
      <c r="L70" s="2">
        <v>6.29</v>
      </c>
      <c r="M70" s="2">
        <v>1.2</v>
      </c>
      <c r="N70" s="4">
        <v>7</v>
      </c>
    </row>
    <row r="71" spans="1:14" x14ac:dyDescent="0.35">
      <c r="A71" s="3">
        <v>2023</v>
      </c>
      <c r="B71" s="2">
        <v>4</v>
      </c>
      <c r="C71" s="2" t="s">
        <v>32</v>
      </c>
      <c r="D71" s="2" t="s">
        <v>31</v>
      </c>
      <c r="E71" s="2" t="s">
        <v>19</v>
      </c>
      <c r="F71" s="2" t="s">
        <v>27</v>
      </c>
      <c r="G71" s="2">
        <v>114481</v>
      </c>
      <c r="H71" s="2">
        <v>1190</v>
      </c>
      <c r="I71" s="2">
        <v>410971</v>
      </c>
      <c r="J71" s="2">
        <v>394</v>
      </c>
      <c r="K71" s="2">
        <v>0.97</v>
      </c>
      <c r="L71" s="2">
        <v>6.29</v>
      </c>
      <c r="M71" s="2">
        <v>1.2</v>
      </c>
      <c r="N71" s="4">
        <v>7</v>
      </c>
    </row>
    <row r="72" spans="1:14" x14ac:dyDescent="0.35">
      <c r="A72" s="3">
        <v>2022</v>
      </c>
      <c r="B72" s="2">
        <v>6</v>
      </c>
      <c r="C72" s="2" t="s">
        <v>28</v>
      </c>
      <c r="D72" s="2" t="s">
        <v>24</v>
      </c>
      <c r="E72" s="2" t="s">
        <v>16</v>
      </c>
      <c r="F72" s="2" t="s">
        <v>27</v>
      </c>
      <c r="G72" s="2">
        <v>111298</v>
      </c>
      <c r="H72" s="2">
        <v>847</v>
      </c>
      <c r="I72" s="2">
        <v>332803</v>
      </c>
      <c r="J72" s="2">
        <v>290</v>
      </c>
      <c r="K72" s="2">
        <v>0.97</v>
      </c>
      <c r="L72" s="2">
        <v>6.29</v>
      </c>
      <c r="M72" s="2">
        <v>1.2</v>
      </c>
      <c r="N72" s="4">
        <v>8</v>
      </c>
    </row>
    <row r="73" spans="1:14" x14ac:dyDescent="0.35">
      <c r="A73" s="3">
        <v>2019</v>
      </c>
      <c r="B73" s="2">
        <v>5</v>
      </c>
      <c r="C73" s="2" t="s">
        <v>38</v>
      </c>
      <c r="D73" s="2" t="s">
        <v>31</v>
      </c>
      <c r="E73" s="2" t="s">
        <v>16</v>
      </c>
      <c r="F73" s="2" t="s">
        <v>20</v>
      </c>
      <c r="G73" s="2">
        <v>65133</v>
      </c>
      <c r="H73" s="2">
        <v>117</v>
      </c>
      <c r="I73" s="2">
        <v>357322</v>
      </c>
      <c r="J73" s="2">
        <v>52</v>
      </c>
      <c r="K73" s="2">
        <v>0.97</v>
      </c>
      <c r="L73" s="2">
        <v>6.29</v>
      </c>
      <c r="M73" s="2">
        <v>1.2</v>
      </c>
      <c r="N73" s="4">
        <v>10</v>
      </c>
    </row>
    <row r="74" spans="1:14" x14ac:dyDescent="0.35">
      <c r="A74" s="3">
        <v>2016</v>
      </c>
      <c r="B74" s="2">
        <v>8</v>
      </c>
      <c r="C74" s="2" t="s">
        <v>37</v>
      </c>
      <c r="D74" s="2" t="s">
        <v>33</v>
      </c>
      <c r="E74" s="2" t="s">
        <v>20</v>
      </c>
      <c r="F74" s="2" t="s">
        <v>20</v>
      </c>
      <c r="G74" s="2">
        <v>62052</v>
      </c>
      <c r="H74" s="2">
        <v>518</v>
      </c>
      <c r="I74" s="2">
        <v>145965</v>
      </c>
      <c r="J74" s="2">
        <v>93</v>
      </c>
      <c r="K74" s="2">
        <v>0.97</v>
      </c>
      <c r="L74" s="2">
        <v>6.29</v>
      </c>
      <c r="M74" s="2">
        <v>1.2</v>
      </c>
      <c r="N74" s="4">
        <v>4</v>
      </c>
    </row>
    <row r="75" spans="1:14" x14ac:dyDescent="0.35">
      <c r="A75" s="3">
        <v>2019</v>
      </c>
      <c r="B75" s="2">
        <v>1</v>
      </c>
      <c r="C75" s="2" t="s">
        <v>36</v>
      </c>
      <c r="D75" s="2" t="s">
        <v>18</v>
      </c>
      <c r="E75" s="2" t="s">
        <v>16</v>
      </c>
      <c r="F75" s="2" t="s">
        <v>17</v>
      </c>
      <c r="G75" s="2">
        <v>75475</v>
      </c>
      <c r="H75" s="2">
        <v>610</v>
      </c>
      <c r="I75" s="2">
        <v>131268</v>
      </c>
      <c r="J75" s="2">
        <v>200</v>
      </c>
      <c r="K75" s="2">
        <v>0.97</v>
      </c>
      <c r="L75" s="2">
        <v>6.29</v>
      </c>
      <c r="M75" s="2">
        <v>1.2</v>
      </c>
      <c r="N75" s="4">
        <v>3</v>
      </c>
    </row>
    <row r="76" spans="1:14" x14ac:dyDescent="0.35">
      <c r="A76" s="3">
        <v>2022</v>
      </c>
      <c r="B76" s="2">
        <v>1</v>
      </c>
      <c r="C76" s="2" t="s">
        <v>32</v>
      </c>
      <c r="D76" s="2" t="s">
        <v>33</v>
      </c>
      <c r="E76" s="2" t="s">
        <v>20</v>
      </c>
      <c r="F76" s="2" t="s">
        <v>23</v>
      </c>
      <c r="G76" s="2">
        <v>117666</v>
      </c>
      <c r="H76" s="2">
        <v>260</v>
      </c>
      <c r="I76" s="2">
        <v>397186</v>
      </c>
      <c r="J76" s="2">
        <v>60</v>
      </c>
      <c r="K76" s="2">
        <v>0.97</v>
      </c>
      <c r="L76" s="2">
        <v>6.29</v>
      </c>
      <c r="M76" s="2">
        <v>1.2</v>
      </c>
      <c r="N76" s="4">
        <v>3</v>
      </c>
    </row>
    <row r="77" spans="1:14" x14ac:dyDescent="0.35">
      <c r="A77" s="3">
        <v>2024</v>
      </c>
      <c r="B77" s="2">
        <v>11</v>
      </c>
      <c r="C77" s="2" t="s">
        <v>38</v>
      </c>
      <c r="D77" s="2" t="s">
        <v>15</v>
      </c>
      <c r="E77" s="2" t="s">
        <v>20</v>
      </c>
      <c r="F77" s="2" t="s">
        <v>20</v>
      </c>
      <c r="G77" s="2">
        <v>92656</v>
      </c>
      <c r="H77" s="2">
        <v>1115</v>
      </c>
      <c r="I77" s="2">
        <v>418615</v>
      </c>
      <c r="J77" s="2">
        <v>395</v>
      </c>
      <c r="K77" s="2">
        <v>0.97</v>
      </c>
      <c r="L77" s="2">
        <v>6.29</v>
      </c>
      <c r="M77" s="2">
        <v>1.2</v>
      </c>
      <c r="N77" s="4">
        <v>5</v>
      </c>
    </row>
    <row r="78" spans="1:14" x14ac:dyDescent="0.35">
      <c r="A78" s="3">
        <v>2023</v>
      </c>
      <c r="B78" s="2">
        <v>6</v>
      </c>
      <c r="C78" s="2" t="s">
        <v>38</v>
      </c>
      <c r="D78" s="2" t="s">
        <v>18</v>
      </c>
      <c r="E78" s="2" t="s">
        <v>16</v>
      </c>
      <c r="F78" s="2" t="s">
        <v>20</v>
      </c>
      <c r="G78" s="2">
        <v>39633</v>
      </c>
      <c r="H78" s="2">
        <v>677</v>
      </c>
      <c r="I78" s="2">
        <v>251798</v>
      </c>
      <c r="J78" s="2">
        <v>219</v>
      </c>
      <c r="K78" s="2">
        <v>0.97</v>
      </c>
      <c r="L78" s="2">
        <v>6.29</v>
      </c>
      <c r="M78" s="2">
        <v>1.2</v>
      </c>
      <c r="N78" s="4">
        <v>1</v>
      </c>
    </row>
    <row r="79" spans="1:14" x14ac:dyDescent="0.35">
      <c r="A79" s="3">
        <v>2023</v>
      </c>
      <c r="B79" s="2">
        <v>10</v>
      </c>
      <c r="C79" s="2" t="s">
        <v>32</v>
      </c>
      <c r="D79" s="2" t="s">
        <v>31</v>
      </c>
      <c r="E79" s="2" t="s">
        <v>19</v>
      </c>
      <c r="F79" s="2" t="s">
        <v>20</v>
      </c>
      <c r="G79" s="2">
        <v>52304</v>
      </c>
      <c r="H79" s="2">
        <v>370</v>
      </c>
      <c r="I79" s="2">
        <v>382255</v>
      </c>
      <c r="J79" s="2">
        <v>135</v>
      </c>
      <c r="K79" s="2">
        <v>0.97</v>
      </c>
      <c r="L79" s="2">
        <v>6.29</v>
      </c>
      <c r="M79" s="2">
        <v>1.2</v>
      </c>
      <c r="N79" s="4">
        <v>10</v>
      </c>
    </row>
    <row r="80" spans="1:14" x14ac:dyDescent="0.35">
      <c r="A80" s="3">
        <v>2015</v>
      </c>
      <c r="B80" s="2">
        <v>12</v>
      </c>
      <c r="C80" s="2" t="s">
        <v>25</v>
      </c>
      <c r="D80" s="2" t="s">
        <v>26</v>
      </c>
      <c r="E80" s="2" t="s">
        <v>19</v>
      </c>
      <c r="F80" s="2" t="s">
        <v>20</v>
      </c>
      <c r="G80" s="2">
        <v>81546</v>
      </c>
      <c r="H80" s="2">
        <v>532</v>
      </c>
      <c r="I80" s="2">
        <v>287103</v>
      </c>
      <c r="J80" s="2">
        <v>78</v>
      </c>
      <c r="K80" s="2">
        <v>0.97</v>
      </c>
      <c r="L80" s="2">
        <v>6.29</v>
      </c>
      <c r="M80" s="2">
        <v>1.2</v>
      </c>
      <c r="N80" s="4">
        <v>3</v>
      </c>
    </row>
    <row r="81" spans="1:14" x14ac:dyDescent="0.35">
      <c r="A81" s="3">
        <v>2023</v>
      </c>
      <c r="B81" s="2">
        <v>2</v>
      </c>
      <c r="C81" s="2" t="s">
        <v>28</v>
      </c>
      <c r="D81" s="2" t="s">
        <v>31</v>
      </c>
      <c r="E81" s="2" t="s">
        <v>16</v>
      </c>
      <c r="F81" s="2" t="s">
        <v>27</v>
      </c>
      <c r="G81" s="2">
        <v>42008</v>
      </c>
      <c r="H81" s="2">
        <v>691</v>
      </c>
      <c r="I81" s="2">
        <v>294754</v>
      </c>
      <c r="J81" s="2">
        <v>274</v>
      </c>
      <c r="K81" s="2">
        <v>0.97</v>
      </c>
      <c r="L81" s="2">
        <v>6.29</v>
      </c>
      <c r="M81" s="2">
        <v>1.2</v>
      </c>
      <c r="N81" s="4">
        <v>6</v>
      </c>
    </row>
    <row r="82" spans="1:14" x14ac:dyDescent="0.35">
      <c r="A82" s="3">
        <v>2021</v>
      </c>
      <c r="B82" s="2">
        <v>5</v>
      </c>
      <c r="C82" s="2" t="s">
        <v>30</v>
      </c>
      <c r="D82" s="2" t="s">
        <v>31</v>
      </c>
      <c r="E82" s="2" t="s">
        <v>19</v>
      </c>
      <c r="F82" s="2" t="s">
        <v>20</v>
      </c>
      <c r="G82" s="2">
        <v>83291</v>
      </c>
      <c r="H82" s="2">
        <v>899</v>
      </c>
      <c r="I82" s="2">
        <v>215637</v>
      </c>
      <c r="J82" s="2">
        <v>267</v>
      </c>
      <c r="K82" s="2">
        <v>0.97</v>
      </c>
      <c r="L82" s="2">
        <v>6.29</v>
      </c>
      <c r="M82" s="2">
        <v>1.2</v>
      </c>
      <c r="N82" s="4">
        <v>3</v>
      </c>
    </row>
    <row r="83" spans="1:14" x14ac:dyDescent="0.35">
      <c r="A83" s="3">
        <v>2023</v>
      </c>
      <c r="B83" s="2">
        <v>1</v>
      </c>
      <c r="C83" s="2" t="s">
        <v>28</v>
      </c>
      <c r="D83" s="2" t="s">
        <v>18</v>
      </c>
      <c r="E83" s="2" t="s">
        <v>20</v>
      </c>
      <c r="F83" s="2" t="s">
        <v>27</v>
      </c>
      <c r="G83" s="2">
        <v>62405</v>
      </c>
      <c r="H83" s="2">
        <v>605</v>
      </c>
      <c r="I83" s="2">
        <v>412579</v>
      </c>
      <c r="J83" s="2">
        <v>197</v>
      </c>
      <c r="K83" s="2">
        <v>0.97</v>
      </c>
      <c r="L83" s="2">
        <v>6.29</v>
      </c>
      <c r="M83" s="2">
        <v>1.2</v>
      </c>
      <c r="N83" s="4">
        <v>5</v>
      </c>
    </row>
    <row r="84" spans="1:14" x14ac:dyDescent="0.35">
      <c r="A84" s="3">
        <v>2022</v>
      </c>
      <c r="B84" s="2">
        <v>7</v>
      </c>
      <c r="C84" s="2" t="s">
        <v>32</v>
      </c>
      <c r="D84" s="2" t="s">
        <v>15</v>
      </c>
      <c r="E84" s="2" t="s">
        <v>20</v>
      </c>
      <c r="F84" s="2" t="s">
        <v>20</v>
      </c>
      <c r="G84" s="2">
        <v>71386</v>
      </c>
      <c r="H84" s="2">
        <v>474</v>
      </c>
      <c r="I84" s="2">
        <v>139242</v>
      </c>
      <c r="J84" s="2">
        <v>239</v>
      </c>
      <c r="K84" s="2">
        <v>0.97</v>
      </c>
      <c r="L84" s="2">
        <v>6.29</v>
      </c>
      <c r="M84" s="2">
        <v>1.2</v>
      </c>
      <c r="N84" s="4">
        <v>9</v>
      </c>
    </row>
    <row r="85" spans="1:14" x14ac:dyDescent="0.35">
      <c r="A85" s="3">
        <v>2015</v>
      </c>
      <c r="B85" s="2">
        <v>1</v>
      </c>
      <c r="C85" s="2" t="s">
        <v>37</v>
      </c>
      <c r="D85" s="2" t="s">
        <v>31</v>
      </c>
      <c r="E85" s="2" t="s">
        <v>16</v>
      </c>
      <c r="F85" s="2" t="s">
        <v>23</v>
      </c>
      <c r="G85" s="2">
        <v>55827</v>
      </c>
      <c r="H85" s="2">
        <v>706</v>
      </c>
      <c r="I85" s="2">
        <v>425348</v>
      </c>
      <c r="J85" s="2">
        <v>198</v>
      </c>
      <c r="K85" s="2">
        <v>0.97</v>
      </c>
      <c r="L85" s="2">
        <v>6.29</v>
      </c>
      <c r="M85" s="2">
        <v>1.2</v>
      </c>
      <c r="N85" s="4">
        <v>2</v>
      </c>
    </row>
    <row r="86" spans="1:14" x14ac:dyDescent="0.35">
      <c r="A86" s="3">
        <v>2022</v>
      </c>
      <c r="B86" s="2">
        <v>4</v>
      </c>
      <c r="C86" s="2" t="s">
        <v>30</v>
      </c>
      <c r="D86" s="2" t="s">
        <v>39</v>
      </c>
      <c r="E86" s="2" t="s">
        <v>19</v>
      </c>
      <c r="F86" s="2" t="s">
        <v>17</v>
      </c>
      <c r="G86" s="2">
        <v>68040</v>
      </c>
      <c r="H86" s="2">
        <v>272</v>
      </c>
      <c r="I86" s="2">
        <v>203956</v>
      </c>
      <c r="J86" s="2">
        <v>19</v>
      </c>
      <c r="K86" s="2">
        <v>0.97</v>
      </c>
      <c r="L86" s="2">
        <v>6.29</v>
      </c>
      <c r="M86" s="2">
        <v>1.2</v>
      </c>
      <c r="N86" s="4">
        <v>2</v>
      </c>
    </row>
    <row r="87" spans="1:14" x14ac:dyDescent="0.35">
      <c r="A87" s="3">
        <v>2022</v>
      </c>
      <c r="B87" s="2">
        <v>9</v>
      </c>
      <c r="C87" s="2" t="s">
        <v>36</v>
      </c>
      <c r="D87" s="2" t="s">
        <v>29</v>
      </c>
      <c r="E87" s="2" t="s">
        <v>19</v>
      </c>
      <c r="F87" s="2" t="s">
        <v>23</v>
      </c>
      <c r="G87" s="2">
        <v>95354</v>
      </c>
      <c r="H87" s="2">
        <v>531</v>
      </c>
      <c r="I87" s="2">
        <v>329343</v>
      </c>
      <c r="J87" s="2">
        <v>123</v>
      </c>
      <c r="K87" s="2">
        <v>0.97</v>
      </c>
      <c r="L87" s="2">
        <v>6.29</v>
      </c>
      <c r="M87" s="2">
        <v>1.2</v>
      </c>
      <c r="N87" s="4">
        <v>6</v>
      </c>
    </row>
    <row r="88" spans="1:14" x14ac:dyDescent="0.35">
      <c r="A88" s="3">
        <v>2017</v>
      </c>
      <c r="B88" s="2">
        <v>1</v>
      </c>
      <c r="C88" s="2" t="s">
        <v>28</v>
      </c>
      <c r="D88" s="2" t="s">
        <v>34</v>
      </c>
      <c r="E88" s="2" t="s">
        <v>20</v>
      </c>
      <c r="F88" s="2" t="s">
        <v>20</v>
      </c>
      <c r="G88" s="2">
        <v>113543</v>
      </c>
      <c r="H88" s="2">
        <v>586</v>
      </c>
      <c r="I88" s="2">
        <v>110038</v>
      </c>
      <c r="J88" s="2">
        <v>85</v>
      </c>
      <c r="K88" s="2">
        <v>0.97</v>
      </c>
      <c r="L88" s="2">
        <v>6.29</v>
      </c>
      <c r="M88" s="2">
        <v>1.2</v>
      </c>
      <c r="N88" s="4">
        <v>6</v>
      </c>
    </row>
    <row r="89" spans="1:14" x14ac:dyDescent="0.35">
      <c r="A89" s="3">
        <v>2015</v>
      </c>
      <c r="B89" s="2">
        <v>4</v>
      </c>
      <c r="C89" s="2" t="s">
        <v>32</v>
      </c>
      <c r="D89" s="2" t="s">
        <v>34</v>
      </c>
      <c r="E89" s="2" t="s">
        <v>16</v>
      </c>
      <c r="F89" s="2" t="s">
        <v>20</v>
      </c>
      <c r="G89" s="2">
        <v>53157</v>
      </c>
      <c r="H89" s="2">
        <v>667</v>
      </c>
      <c r="I89" s="2">
        <v>107786</v>
      </c>
      <c r="J89" s="2">
        <v>173</v>
      </c>
      <c r="K89" s="2">
        <v>0.97</v>
      </c>
      <c r="L89" s="2">
        <v>6.29</v>
      </c>
      <c r="M89" s="2">
        <v>1.2</v>
      </c>
      <c r="N89" s="4">
        <v>8</v>
      </c>
    </row>
    <row r="90" spans="1:14" x14ac:dyDescent="0.35">
      <c r="A90" s="3">
        <v>2022</v>
      </c>
      <c r="B90" s="2">
        <v>6</v>
      </c>
      <c r="C90" s="2" t="s">
        <v>28</v>
      </c>
      <c r="D90" s="2" t="s">
        <v>31</v>
      </c>
      <c r="E90" s="2" t="s">
        <v>19</v>
      </c>
      <c r="F90" s="2" t="s">
        <v>20</v>
      </c>
      <c r="G90" s="2">
        <v>70315</v>
      </c>
      <c r="H90" s="2">
        <v>559</v>
      </c>
      <c r="I90" s="2">
        <v>421780</v>
      </c>
      <c r="J90" s="2">
        <v>94</v>
      </c>
      <c r="K90" s="2">
        <v>0.97</v>
      </c>
      <c r="L90" s="2">
        <v>6.29</v>
      </c>
      <c r="M90" s="2">
        <v>1.2</v>
      </c>
      <c r="N90" s="4">
        <v>2</v>
      </c>
    </row>
    <row r="91" spans="1:14" x14ac:dyDescent="0.35">
      <c r="A91" s="3">
        <v>2017</v>
      </c>
      <c r="B91" s="2">
        <v>6</v>
      </c>
      <c r="C91" s="2" t="s">
        <v>30</v>
      </c>
      <c r="D91" s="2" t="s">
        <v>39</v>
      </c>
      <c r="E91" s="2" t="s">
        <v>16</v>
      </c>
      <c r="F91" s="2" t="s">
        <v>23</v>
      </c>
      <c r="G91" s="2">
        <v>70932</v>
      </c>
      <c r="H91" s="2">
        <v>502</v>
      </c>
      <c r="I91" s="2">
        <v>286042</v>
      </c>
      <c r="J91" s="2">
        <v>58</v>
      </c>
      <c r="K91" s="2">
        <v>0.97</v>
      </c>
      <c r="L91" s="2">
        <v>6.29</v>
      </c>
      <c r="M91" s="2">
        <v>1.2</v>
      </c>
      <c r="N91" s="4">
        <v>9</v>
      </c>
    </row>
    <row r="92" spans="1:14" x14ac:dyDescent="0.35">
      <c r="A92" s="3">
        <v>2017</v>
      </c>
      <c r="B92" s="2">
        <v>12</v>
      </c>
      <c r="C92" s="2" t="s">
        <v>14</v>
      </c>
      <c r="D92" s="2" t="s">
        <v>26</v>
      </c>
      <c r="E92" s="2" t="s">
        <v>19</v>
      </c>
      <c r="F92" s="2" t="s">
        <v>20</v>
      </c>
      <c r="G92" s="2">
        <v>56164</v>
      </c>
      <c r="H92" s="2">
        <v>822</v>
      </c>
      <c r="I92" s="2">
        <v>361438</v>
      </c>
      <c r="J92" s="2">
        <v>335</v>
      </c>
      <c r="K92" s="2">
        <v>0.97</v>
      </c>
      <c r="L92" s="2">
        <v>6.29</v>
      </c>
      <c r="M92" s="2">
        <v>1.2</v>
      </c>
      <c r="N92" s="4">
        <v>2</v>
      </c>
    </row>
    <row r="93" spans="1:14" x14ac:dyDescent="0.35">
      <c r="A93" s="3">
        <v>2015</v>
      </c>
      <c r="B93" s="2">
        <v>8</v>
      </c>
      <c r="C93" s="2" t="s">
        <v>35</v>
      </c>
      <c r="D93" s="2" t="s">
        <v>24</v>
      </c>
      <c r="E93" s="2" t="s">
        <v>20</v>
      </c>
      <c r="F93" s="2" t="s">
        <v>23</v>
      </c>
      <c r="G93" s="2">
        <v>49414</v>
      </c>
      <c r="H93" s="2">
        <v>564</v>
      </c>
      <c r="I93" s="2">
        <v>259087</v>
      </c>
      <c r="J93" s="2">
        <v>186</v>
      </c>
      <c r="K93" s="2">
        <v>0.97</v>
      </c>
      <c r="L93" s="2">
        <v>6.29</v>
      </c>
      <c r="M93" s="2">
        <v>1.2</v>
      </c>
      <c r="N93" s="4">
        <v>1</v>
      </c>
    </row>
    <row r="94" spans="1:14" x14ac:dyDescent="0.35">
      <c r="A94" s="3">
        <v>2019</v>
      </c>
      <c r="B94" s="2">
        <v>1</v>
      </c>
      <c r="C94" s="2" t="s">
        <v>28</v>
      </c>
      <c r="D94" s="2" t="s">
        <v>24</v>
      </c>
      <c r="E94" s="2" t="s">
        <v>20</v>
      </c>
      <c r="F94" s="2" t="s">
        <v>27</v>
      </c>
      <c r="G94" s="2">
        <v>49327</v>
      </c>
      <c r="H94" s="2">
        <v>1066</v>
      </c>
      <c r="I94" s="2">
        <v>215250</v>
      </c>
      <c r="J94" s="2">
        <v>396</v>
      </c>
      <c r="K94" s="2">
        <v>0.97</v>
      </c>
      <c r="L94" s="2">
        <v>6.29</v>
      </c>
      <c r="M94" s="2">
        <v>1.2</v>
      </c>
      <c r="N94" s="4">
        <v>10</v>
      </c>
    </row>
    <row r="95" spans="1:14" x14ac:dyDescent="0.35">
      <c r="A95" s="3">
        <v>2024</v>
      </c>
      <c r="B95" s="2">
        <v>7</v>
      </c>
      <c r="C95" s="2" t="s">
        <v>36</v>
      </c>
      <c r="D95" s="2" t="s">
        <v>18</v>
      </c>
      <c r="E95" s="2" t="s">
        <v>16</v>
      </c>
      <c r="F95" s="2" t="s">
        <v>17</v>
      </c>
      <c r="G95" s="2">
        <v>35946</v>
      </c>
      <c r="H95" s="2">
        <v>871</v>
      </c>
      <c r="I95" s="2">
        <v>455881</v>
      </c>
      <c r="J95" s="2">
        <v>398</v>
      </c>
      <c r="K95" s="2">
        <v>0.97</v>
      </c>
      <c r="L95" s="2">
        <v>6.29</v>
      </c>
      <c r="M95" s="2">
        <v>1.2</v>
      </c>
      <c r="N95" s="4">
        <v>2</v>
      </c>
    </row>
    <row r="96" spans="1:14" x14ac:dyDescent="0.35">
      <c r="A96" s="3">
        <v>2021</v>
      </c>
      <c r="B96" s="2">
        <v>1</v>
      </c>
      <c r="C96" s="2" t="s">
        <v>36</v>
      </c>
      <c r="D96" s="2" t="s">
        <v>34</v>
      </c>
      <c r="E96" s="2" t="s">
        <v>20</v>
      </c>
      <c r="F96" s="2" t="s">
        <v>17</v>
      </c>
      <c r="G96" s="2">
        <v>49693</v>
      </c>
      <c r="H96" s="2">
        <v>592</v>
      </c>
      <c r="I96" s="2">
        <v>312678</v>
      </c>
      <c r="J96" s="2">
        <v>227</v>
      </c>
      <c r="K96" s="2">
        <v>0.97</v>
      </c>
      <c r="L96" s="2">
        <v>6.29</v>
      </c>
      <c r="M96" s="2">
        <v>1.2</v>
      </c>
      <c r="N96" s="4">
        <v>7</v>
      </c>
    </row>
    <row r="97" spans="1:14" x14ac:dyDescent="0.35">
      <c r="A97" s="3">
        <v>2024</v>
      </c>
      <c r="B97" s="2">
        <v>7</v>
      </c>
      <c r="C97" s="2" t="s">
        <v>21</v>
      </c>
      <c r="D97" s="2" t="s">
        <v>31</v>
      </c>
      <c r="E97" s="2" t="s">
        <v>19</v>
      </c>
      <c r="F97" s="2" t="s">
        <v>23</v>
      </c>
      <c r="G97" s="2">
        <v>62241</v>
      </c>
      <c r="H97" s="2">
        <v>508</v>
      </c>
      <c r="I97" s="2">
        <v>403972</v>
      </c>
      <c r="J97" s="2">
        <v>198</v>
      </c>
      <c r="K97" s="2">
        <v>0.97</v>
      </c>
      <c r="L97" s="2">
        <v>6.29</v>
      </c>
      <c r="M97" s="2">
        <v>1.2</v>
      </c>
      <c r="N97" s="4">
        <v>8</v>
      </c>
    </row>
    <row r="98" spans="1:14" x14ac:dyDescent="0.35">
      <c r="A98" s="3">
        <v>2023</v>
      </c>
      <c r="B98" s="2">
        <v>3</v>
      </c>
      <c r="C98" s="2" t="s">
        <v>28</v>
      </c>
      <c r="D98" s="2" t="s">
        <v>24</v>
      </c>
      <c r="E98" s="2" t="s">
        <v>20</v>
      </c>
      <c r="F98" s="2" t="s">
        <v>27</v>
      </c>
      <c r="G98" s="2">
        <v>50540</v>
      </c>
      <c r="H98" s="2">
        <v>1177</v>
      </c>
      <c r="I98" s="2">
        <v>348276</v>
      </c>
      <c r="J98" s="2">
        <v>355</v>
      </c>
      <c r="K98" s="2">
        <v>0.97</v>
      </c>
      <c r="L98" s="2">
        <v>6.29</v>
      </c>
      <c r="M98" s="2">
        <v>1.2</v>
      </c>
      <c r="N98" s="4">
        <v>5</v>
      </c>
    </row>
    <row r="99" spans="1:14" x14ac:dyDescent="0.35">
      <c r="A99" s="3">
        <v>2021</v>
      </c>
      <c r="B99" s="2">
        <v>11</v>
      </c>
      <c r="C99" s="2" t="s">
        <v>35</v>
      </c>
      <c r="D99" s="2" t="s">
        <v>31</v>
      </c>
      <c r="E99" s="2" t="s">
        <v>16</v>
      </c>
      <c r="F99" s="2" t="s">
        <v>23</v>
      </c>
      <c r="G99" s="2">
        <v>107255</v>
      </c>
      <c r="H99" s="2">
        <v>630</v>
      </c>
      <c r="I99" s="2">
        <v>427864</v>
      </c>
      <c r="J99" s="2">
        <v>239</v>
      </c>
      <c r="K99" s="2">
        <v>0.97</v>
      </c>
      <c r="L99" s="2">
        <v>6.29</v>
      </c>
      <c r="M99" s="2">
        <v>1.2</v>
      </c>
      <c r="N99" s="4">
        <v>6</v>
      </c>
    </row>
    <row r="100" spans="1:14" x14ac:dyDescent="0.35">
      <c r="A100" s="3">
        <v>2023</v>
      </c>
      <c r="B100" s="2">
        <v>8</v>
      </c>
      <c r="C100" s="2" t="s">
        <v>25</v>
      </c>
      <c r="D100" s="2" t="s">
        <v>18</v>
      </c>
      <c r="E100" s="2" t="s">
        <v>16</v>
      </c>
      <c r="F100" s="2" t="s">
        <v>27</v>
      </c>
      <c r="G100" s="2">
        <v>99757</v>
      </c>
      <c r="H100" s="2">
        <v>845</v>
      </c>
      <c r="I100" s="2">
        <v>348254</v>
      </c>
      <c r="J100" s="2">
        <v>264</v>
      </c>
      <c r="K100" s="2">
        <v>0.97</v>
      </c>
      <c r="L100" s="2">
        <v>6.29</v>
      </c>
      <c r="M100" s="2">
        <v>1.2</v>
      </c>
      <c r="N100" s="4">
        <v>1</v>
      </c>
    </row>
    <row r="101" spans="1:14" x14ac:dyDescent="0.35">
      <c r="A101" s="3">
        <v>2022</v>
      </c>
      <c r="B101" s="2">
        <v>3</v>
      </c>
      <c r="C101" s="2" t="s">
        <v>38</v>
      </c>
      <c r="D101" s="2" t="s">
        <v>34</v>
      </c>
      <c r="E101" s="2" t="s">
        <v>16</v>
      </c>
      <c r="F101" s="2" t="s">
        <v>20</v>
      </c>
      <c r="G101" s="2">
        <v>76203</v>
      </c>
      <c r="H101" s="2">
        <v>880</v>
      </c>
      <c r="I101" s="2">
        <v>239826</v>
      </c>
      <c r="J101" s="2">
        <v>245</v>
      </c>
      <c r="K101" s="2">
        <v>0.97</v>
      </c>
      <c r="L101" s="2">
        <v>6.29</v>
      </c>
      <c r="M101" s="2">
        <v>1.2</v>
      </c>
      <c r="N101" s="4">
        <v>6</v>
      </c>
    </row>
    <row r="102" spans="1:14" x14ac:dyDescent="0.35">
      <c r="A102" s="3">
        <v>2016</v>
      </c>
      <c r="B102" s="2">
        <v>1</v>
      </c>
      <c r="C102" s="2" t="s">
        <v>35</v>
      </c>
      <c r="D102" s="2" t="s">
        <v>33</v>
      </c>
      <c r="E102" s="2" t="s">
        <v>19</v>
      </c>
      <c r="F102" s="2" t="s">
        <v>27</v>
      </c>
      <c r="G102" s="2">
        <v>60081</v>
      </c>
      <c r="H102" s="2">
        <v>100</v>
      </c>
      <c r="I102" s="2">
        <v>375724</v>
      </c>
      <c r="J102" s="2">
        <v>35</v>
      </c>
      <c r="K102" s="2">
        <v>0.97</v>
      </c>
      <c r="L102" s="2">
        <v>6.29</v>
      </c>
      <c r="M102" s="2">
        <v>1.2</v>
      </c>
      <c r="N102" s="4">
        <v>8</v>
      </c>
    </row>
    <row r="103" spans="1:14" x14ac:dyDescent="0.35">
      <c r="A103" s="3">
        <v>2015</v>
      </c>
      <c r="B103" s="2">
        <v>8</v>
      </c>
      <c r="C103" s="2" t="s">
        <v>38</v>
      </c>
      <c r="D103" s="2" t="s">
        <v>29</v>
      </c>
      <c r="E103" s="2" t="s">
        <v>19</v>
      </c>
      <c r="F103" s="2" t="s">
        <v>27</v>
      </c>
      <c r="G103" s="2">
        <v>96861</v>
      </c>
      <c r="H103" s="2">
        <v>451</v>
      </c>
      <c r="I103" s="2">
        <v>465685</v>
      </c>
      <c r="J103" s="2">
        <v>81</v>
      </c>
      <c r="K103" s="2">
        <v>0.97</v>
      </c>
      <c r="L103" s="2">
        <v>6.29</v>
      </c>
      <c r="M103" s="2">
        <v>1.2</v>
      </c>
      <c r="N103" s="4">
        <v>3</v>
      </c>
    </row>
    <row r="104" spans="1:14" x14ac:dyDescent="0.35">
      <c r="A104" s="3">
        <v>2021</v>
      </c>
      <c r="B104" s="2">
        <v>3</v>
      </c>
      <c r="C104" s="2" t="s">
        <v>38</v>
      </c>
      <c r="D104" s="2" t="s">
        <v>29</v>
      </c>
      <c r="E104" s="2" t="s">
        <v>19</v>
      </c>
      <c r="F104" s="2" t="s">
        <v>27</v>
      </c>
      <c r="G104" s="2">
        <v>46350</v>
      </c>
      <c r="H104" s="2">
        <v>944</v>
      </c>
      <c r="I104" s="2">
        <v>376160</v>
      </c>
      <c r="J104" s="2">
        <v>270</v>
      </c>
      <c r="K104" s="2">
        <v>0.97</v>
      </c>
      <c r="L104" s="2">
        <v>6.29</v>
      </c>
      <c r="M104" s="2">
        <v>1.2</v>
      </c>
      <c r="N104" s="4">
        <v>1</v>
      </c>
    </row>
    <row r="105" spans="1:14" x14ac:dyDescent="0.35">
      <c r="A105" s="3">
        <v>2021</v>
      </c>
      <c r="B105" s="2">
        <v>2</v>
      </c>
      <c r="C105" s="2" t="s">
        <v>14</v>
      </c>
      <c r="D105" s="2" t="s">
        <v>24</v>
      </c>
      <c r="E105" s="2" t="s">
        <v>19</v>
      </c>
      <c r="F105" s="2" t="s">
        <v>17</v>
      </c>
      <c r="G105" s="2">
        <v>90512</v>
      </c>
      <c r="H105" s="2">
        <v>705</v>
      </c>
      <c r="I105" s="2">
        <v>96233</v>
      </c>
      <c r="J105" s="2">
        <v>263</v>
      </c>
      <c r="K105" s="2">
        <v>0.97</v>
      </c>
      <c r="L105" s="2">
        <v>6.29</v>
      </c>
      <c r="M105" s="2">
        <v>1.2</v>
      </c>
      <c r="N105" s="4">
        <v>4</v>
      </c>
    </row>
    <row r="106" spans="1:14" x14ac:dyDescent="0.35">
      <c r="A106" s="3">
        <v>2022</v>
      </c>
      <c r="B106" s="2">
        <v>1</v>
      </c>
      <c r="C106" s="2" t="s">
        <v>21</v>
      </c>
      <c r="D106" s="2" t="s">
        <v>29</v>
      </c>
      <c r="E106" s="2" t="s">
        <v>19</v>
      </c>
      <c r="F106" s="2" t="s">
        <v>27</v>
      </c>
      <c r="G106" s="2">
        <v>91809</v>
      </c>
      <c r="H106" s="2">
        <v>947</v>
      </c>
      <c r="I106" s="2">
        <v>442007</v>
      </c>
      <c r="J106" s="2">
        <v>280</v>
      </c>
      <c r="K106" s="2">
        <v>0.97</v>
      </c>
      <c r="L106" s="2">
        <v>6.29</v>
      </c>
      <c r="M106" s="2">
        <v>1.2</v>
      </c>
      <c r="N106" s="4">
        <v>1</v>
      </c>
    </row>
    <row r="107" spans="1:14" x14ac:dyDescent="0.35">
      <c r="A107" s="3">
        <v>2019</v>
      </c>
      <c r="B107" s="2">
        <v>3</v>
      </c>
      <c r="C107" s="2" t="s">
        <v>35</v>
      </c>
      <c r="D107" s="2" t="s">
        <v>33</v>
      </c>
      <c r="E107" s="2" t="s">
        <v>20</v>
      </c>
      <c r="F107" s="2" t="s">
        <v>20</v>
      </c>
      <c r="G107" s="2">
        <v>77832</v>
      </c>
      <c r="H107" s="2">
        <v>658</v>
      </c>
      <c r="I107" s="2">
        <v>247780</v>
      </c>
      <c r="J107" s="2">
        <v>132</v>
      </c>
      <c r="K107" s="2">
        <v>0.97</v>
      </c>
      <c r="L107" s="2">
        <v>6.29</v>
      </c>
      <c r="M107" s="2">
        <v>1.2</v>
      </c>
      <c r="N107" s="4">
        <v>8</v>
      </c>
    </row>
    <row r="108" spans="1:14" x14ac:dyDescent="0.35">
      <c r="A108" s="3">
        <v>2017</v>
      </c>
      <c r="B108" s="2">
        <v>2</v>
      </c>
      <c r="C108" s="2" t="s">
        <v>35</v>
      </c>
      <c r="D108" s="2" t="s">
        <v>31</v>
      </c>
      <c r="E108" s="2" t="s">
        <v>19</v>
      </c>
      <c r="F108" s="2" t="s">
        <v>20</v>
      </c>
      <c r="G108" s="2">
        <v>63369</v>
      </c>
      <c r="H108" s="2">
        <v>532</v>
      </c>
      <c r="I108" s="2">
        <v>274522</v>
      </c>
      <c r="J108" s="2">
        <v>153</v>
      </c>
      <c r="K108" s="2">
        <v>0.97</v>
      </c>
      <c r="L108" s="2">
        <v>6.29</v>
      </c>
      <c r="M108" s="2">
        <v>1.2</v>
      </c>
      <c r="N108" s="4">
        <v>5</v>
      </c>
    </row>
    <row r="109" spans="1:14" x14ac:dyDescent="0.35">
      <c r="A109" s="3">
        <v>2022</v>
      </c>
      <c r="B109" s="2">
        <v>2</v>
      </c>
      <c r="C109" s="2" t="s">
        <v>14</v>
      </c>
      <c r="D109" s="2" t="s">
        <v>18</v>
      </c>
      <c r="E109" s="2" t="s">
        <v>19</v>
      </c>
      <c r="F109" s="2" t="s">
        <v>20</v>
      </c>
      <c r="G109" s="2">
        <v>66728</v>
      </c>
      <c r="H109" s="2">
        <v>904</v>
      </c>
      <c r="I109" s="2">
        <v>156311</v>
      </c>
      <c r="J109" s="2">
        <v>266</v>
      </c>
      <c r="K109" s="2">
        <v>0.97</v>
      </c>
      <c r="L109" s="2">
        <v>6.29</v>
      </c>
      <c r="M109" s="2">
        <v>1.2</v>
      </c>
      <c r="N109" s="4">
        <v>1</v>
      </c>
    </row>
    <row r="110" spans="1:14" x14ac:dyDescent="0.35">
      <c r="A110" s="3">
        <v>2020</v>
      </c>
      <c r="B110" s="2">
        <v>6</v>
      </c>
      <c r="C110" s="2" t="s">
        <v>28</v>
      </c>
      <c r="D110" s="2" t="s">
        <v>33</v>
      </c>
      <c r="E110" s="2" t="s">
        <v>20</v>
      </c>
      <c r="F110" s="2" t="s">
        <v>27</v>
      </c>
      <c r="G110" s="2">
        <v>52576</v>
      </c>
      <c r="H110" s="2">
        <v>728</v>
      </c>
      <c r="I110" s="2">
        <v>84409</v>
      </c>
      <c r="J110" s="2">
        <v>153</v>
      </c>
      <c r="K110" s="2">
        <v>0.97</v>
      </c>
      <c r="L110" s="2">
        <v>6.29</v>
      </c>
      <c r="M110" s="2">
        <v>1.2</v>
      </c>
      <c r="N110" s="4">
        <v>8</v>
      </c>
    </row>
    <row r="111" spans="1:14" x14ac:dyDescent="0.35">
      <c r="A111" s="3">
        <v>2017</v>
      </c>
      <c r="B111" s="2">
        <v>12</v>
      </c>
      <c r="C111" s="2" t="s">
        <v>28</v>
      </c>
      <c r="D111" s="2" t="s">
        <v>18</v>
      </c>
      <c r="E111" s="2" t="s">
        <v>19</v>
      </c>
      <c r="F111" s="2" t="s">
        <v>23</v>
      </c>
      <c r="G111" s="2">
        <v>64001</v>
      </c>
      <c r="H111" s="2">
        <v>709</v>
      </c>
      <c r="I111" s="2">
        <v>296231</v>
      </c>
      <c r="J111" s="2">
        <v>268</v>
      </c>
      <c r="K111" s="2">
        <v>0.97</v>
      </c>
      <c r="L111" s="2">
        <v>6.29</v>
      </c>
      <c r="M111" s="2">
        <v>1.2</v>
      </c>
      <c r="N111" s="4">
        <v>9</v>
      </c>
    </row>
    <row r="112" spans="1:14" x14ac:dyDescent="0.35">
      <c r="A112" s="3">
        <v>2015</v>
      </c>
      <c r="B112" s="2">
        <v>1</v>
      </c>
      <c r="C112" s="2" t="s">
        <v>28</v>
      </c>
      <c r="D112" s="2" t="s">
        <v>18</v>
      </c>
      <c r="E112" s="2" t="s">
        <v>16</v>
      </c>
      <c r="F112" s="2" t="s">
        <v>23</v>
      </c>
      <c r="G112" s="2">
        <v>118384</v>
      </c>
      <c r="H112" s="2">
        <v>368</v>
      </c>
      <c r="I112" s="2">
        <v>462540</v>
      </c>
      <c r="J112" s="2">
        <v>56</v>
      </c>
      <c r="K112" s="2">
        <v>0.97</v>
      </c>
      <c r="L112" s="2">
        <v>6.29</v>
      </c>
      <c r="M112" s="2">
        <v>1.2</v>
      </c>
      <c r="N112" s="4">
        <v>10</v>
      </c>
    </row>
    <row r="113" spans="1:14" x14ac:dyDescent="0.35">
      <c r="A113" s="3">
        <v>2017</v>
      </c>
      <c r="B113" s="2">
        <v>2</v>
      </c>
      <c r="C113" s="2" t="s">
        <v>37</v>
      </c>
      <c r="D113" s="2" t="s">
        <v>34</v>
      </c>
      <c r="E113" s="2" t="s">
        <v>19</v>
      </c>
      <c r="F113" s="2" t="s">
        <v>20</v>
      </c>
      <c r="G113" s="2">
        <v>35390</v>
      </c>
      <c r="H113" s="2">
        <v>1007</v>
      </c>
      <c r="I113" s="2">
        <v>451954</v>
      </c>
      <c r="J113" s="2">
        <v>360</v>
      </c>
      <c r="K113" s="2">
        <v>0.97</v>
      </c>
      <c r="L113" s="2">
        <v>6.29</v>
      </c>
      <c r="M113" s="2">
        <v>1.2</v>
      </c>
      <c r="N113" s="4">
        <v>2</v>
      </c>
    </row>
    <row r="114" spans="1:14" x14ac:dyDescent="0.35">
      <c r="A114" s="3">
        <v>2019</v>
      </c>
      <c r="B114" s="2">
        <v>6</v>
      </c>
      <c r="C114" s="2" t="s">
        <v>38</v>
      </c>
      <c r="D114" s="2" t="s">
        <v>31</v>
      </c>
      <c r="E114" s="2" t="s">
        <v>19</v>
      </c>
      <c r="F114" s="2" t="s">
        <v>17</v>
      </c>
      <c r="G114" s="2">
        <v>80436</v>
      </c>
      <c r="H114" s="2">
        <v>193</v>
      </c>
      <c r="I114" s="2">
        <v>336198</v>
      </c>
      <c r="J114" s="2">
        <v>22</v>
      </c>
      <c r="K114" s="2">
        <v>0.97</v>
      </c>
      <c r="L114" s="2">
        <v>6.29</v>
      </c>
      <c r="M114" s="2">
        <v>1.2</v>
      </c>
      <c r="N114" s="4">
        <v>9</v>
      </c>
    </row>
    <row r="115" spans="1:14" x14ac:dyDescent="0.35">
      <c r="A115" s="3">
        <v>2017</v>
      </c>
      <c r="B115" s="2">
        <v>3</v>
      </c>
      <c r="C115" s="2" t="s">
        <v>37</v>
      </c>
      <c r="D115" s="2" t="s">
        <v>39</v>
      </c>
      <c r="E115" s="2" t="s">
        <v>16</v>
      </c>
      <c r="F115" s="2" t="s">
        <v>23</v>
      </c>
      <c r="G115" s="2">
        <v>46569</v>
      </c>
      <c r="H115" s="2">
        <v>874</v>
      </c>
      <c r="I115" s="2">
        <v>79709</v>
      </c>
      <c r="J115" s="2">
        <v>385</v>
      </c>
      <c r="K115" s="2">
        <v>0.97</v>
      </c>
      <c r="L115" s="2">
        <v>6.29</v>
      </c>
      <c r="M115" s="2">
        <v>1.2</v>
      </c>
      <c r="N115" s="4">
        <v>8</v>
      </c>
    </row>
    <row r="116" spans="1:14" x14ac:dyDescent="0.35">
      <c r="A116" s="3">
        <v>2015</v>
      </c>
      <c r="B116" s="2">
        <v>4</v>
      </c>
      <c r="C116" s="2" t="s">
        <v>21</v>
      </c>
      <c r="D116" s="2" t="s">
        <v>29</v>
      </c>
      <c r="E116" s="2" t="s">
        <v>16</v>
      </c>
      <c r="F116" s="2" t="s">
        <v>27</v>
      </c>
      <c r="G116" s="2">
        <v>48029</v>
      </c>
      <c r="H116" s="2">
        <v>622</v>
      </c>
      <c r="I116" s="2">
        <v>159321</v>
      </c>
      <c r="J116" s="2">
        <v>217</v>
      </c>
      <c r="K116" s="2">
        <v>0.97</v>
      </c>
      <c r="L116" s="2">
        <v>6.29</v>
      </c>
      <c r="M116" s="2">
        <v>1.2</v>
      </c>
      <c r="N116" s="4">
        <v>7</v>
      </c>
    </row>
    <row r="117" spans="1:14" x14ac:dyDescent="0.35">
      <c r="A117" s="3">
        <v>2019</v>
      </c>
      <c r="B117" s="2">
        <v>1</v>
      </c>
      <c r="C117" s="2" t="s">
        <v>14</v>
      </c>
      <c r="D117" s="2" t="s">
        <v>39</v>
      </c>
      <c r="E117" s="2" t="s">
        <v>16</v>
      </c>
      <c r="F117" s="2" t="s">
        <v>23</v>
      </c>
      <c r="G117" s="2">
        <v>57490</v>
      </c>
      <c r="H117" s="2">
        <v>1049</v>
      </c>
      <c r="I117" s="2">
        <v>50363</v>
      </c>
      <c r="J117" s="2">
        <v>320</v>
      </c>
      <c r="K117" s="2">
        <v>0.97</v>
      </c>
      <c r="L117" s="2">
        <v>6.29</v>
      </c>
      <c r="M117" s="2">
        <v>1.2</v>
      </c>
      <c r="N117" s="4">
        <v>3</v>
      </c>
    </row>
    <row r="118" spans="1:14" x14ac:dyDescent="0.35">
      <c r="A118" s="3">
        <v>2024</v>
      </c>
      <c r="B118" s="2">
        <v>8</v>
      </c>
      <c r="C118" s="2" t="s">
        <v>35</v>
      </c>
      <c r="D118" s="2" t="s">
        <v>34</v>
      </c>
      <c r="E118" s="2" t="s">
        <v>16</v>
      </c>
      <c r="F118" s="2" t="s">
        <v>20</v>
      </c>
      <c r="G118" s="2">
        <v>80875</v>
      </c>
      <c r="H118" s="2">
        <v>857</v>
      </c>
      <c r="I118" s="2">
        <v>322502</v>
      </c>
      <c r="J118" s="2">
        <v>244</v>
      </c>
      <c r="K118" s="2">
        <v>0.97</v>
      </c>
      <c r="L118" s="2">
        <v>6.29</v>
      </c>
      <c r="M118" s="2">
        <v>1.2</v>
      </c>
      <c r="N118" s="4">
        <v>2</v>
      </c>
    </row>
    <row r="119" spans="1:14" x14ac:dyDescent="0.35">
      <c r="A119" s="3">
        <v>2021</v>
      </c>
      <c r="B119" s="2">
        <v>7</v>
      </c>
      <c r="C119" s="2" t="s">
        <v>38</v>
      </c>
      <c r="D119" s="2" t="s">
        <v>18</v>
      </c>
      <c r="E119" s="2" t="s">
        <v>19</v>
      </c>
      <c r="F119" s="2" t="s">
        <v>17</v>
      </c>
      <c r="G119" s="2">
        <v>40867</v>
      </c>
      <c r="H119" s="2">
        <v>426</v>
      </c>
      <c r="I119" s="2">
        <v>446456</v>
      </c>
      <c r="J119" s="2">
        <v>158</v>
      </c>
      <c r="K119" s="2">
        <v>0.97</v>
      </c>
      <c r="L119" s="2">
        <v>6.29</v>
      </c>
      <c r="M119" s="2">
        <v>1.2</v>
      </c>
      <c r="N119" s="4">
        <v>7</v>
      </c>
    </row>
    <row r="120" spans="1:14" x14ac:dyDescent="0.35">
      <c r="A120" s="3">
        <v>2021</v>
      </c>
      <c r="B120" s="2">
        <v>7</v>
      </c>
      <c r="C120" s="2" t="s">
        <v>37</v>
      </c>
      <c r="D120" s="2" t="s">
        <v>24</v>
      </c>
      <c r="E120" s="2" t="s">
        <v>16</v>
      </c>
      <c r="F120" s="2" t="s">
        <v>23</v>
      </c>
      <c r="G120" s="2">
        <v>115820</v>
      </c>
      <c r="H120" s="2">
        <v>1055</v>
      </c>
      <c r="I120" s="2">
        <v>95689</v>
      </c>
      <c r="J120" s="2">
        <v>331</v>
      </c>
      <c r="K120" s="2">
        <v>0.97</v>
      </c>
      <c r="L120" s="2">
        <v>6.29</v>
      </c>
      <c r="M120" s="2">
        <v>1.2</v>
      </c>
      <c r="N120" s="4">
        <v>5</v>
      </c>
    </row>
    <row r="121" spans="1:14" x14ac:dyDescent="0.35">
      <c r="A121" s="3">
        <v>2023</v>
      </c>
      <c r="B121" s="2">
        <v>3</v>
      </c>
      <c r="C121" s="2" t="s">
        <v>37</v>
      </c>
      <c r="D121" s="2" t="s">
        <v>29</v>
      </c>
      <c r="E121" s="2" t="s">
        <v>16</v>
      </c>
      <c r="F121" s="2" t="s">
        <v>23</v>
      </c>
      <c r="G121" s="2">
        <v>44121</v>
      </c>
      <c r="H121" s="2">
        <v>742</v>
      </c>
      <c r="I121" s="2">
        <v>314080</v>
      </c>
      <c r="J121" s="2">
        <v>164</v>
      </c>
      <c r="K121" s="2">
        <v>0.97</v>
      </c>
      <c r="L121" s="2">
        <v>6.29</v>
      </c>
      <c r="M121" s="2">
        <v>1.2</v>
      </c>
      <c r="N121" s="4">
        <v>6</v>
      </c>
    </row>
    <row r="122" spans="1:14" x14ac:dyDescent="0.35">
      <c r="A122" s="3">
        <v>2024</v>
      </c>
      <c r="B122" s="2">
        <v>10</v>
      </c>
      <c r="C122" s="2" t="s">
        <v>32</v>
      </c>
      <c r="D122" s="2" t="s">
        <v>29</v>
      </c>
      <c r="E122" s="2" t="s">
        <v>20</v>
      </c>
      <c r="F122" s="2" t="s">
        <v>20</v>
      </c>
      <c r="G122" s="2">
        <v>36539</v>
      </c>
      <c r="H122" s="2">
        <v>686</v>
      </c>
      <c r="I122" s="2">
        <v>424416</v>
      </c>
      <c r="J122" s="2">
        <v>175</v>
      </c>
      <c r="K122" s="2">
        <v>0.97</v>
      </c>
      <c r="L122" s="2">
        <v>6.29</v>
      </c>
      <c r="M122" s="2">
        <v>1.2</v>
      </c>
      <c r="N122" s="4">
        <v>4</v>
      </c>
    </row>
    <row r="123" spans="1:14" x14ac:dyDescent="0.35">
      <c r="A123" s="3">
        <v>2024</v>
      </c>
      <c r="B123" s="2">
        <v>10</v>
      </c>
      <c r="C123" s="2" t="s">
        <v>37</v>
      </c>
      <c r="D123" s="2" t="s">
        <v>31</v>
      </c>
      <c r="E123" s="2" t="s">
        <v>16</v>
      </c>
      <c r="F123" s="2" t="s">
        <v>17</v>
      </c>
      <c r="G123" s="2">
        <v>52027</v>
      </c>
      <c r="H123" s="2">
        <v>299</v>
      </c>
      <c r="I123" s="2">
        <v>141074</v>
      </c>
      <c r="J123" s="2">
        <v>99</v>
      </c>
      <c r="K123" s="2">
        <v>0.97</v>
      </c>
      <c r="L123" s="2">
        <v>6.29</v>
      </c>
      <c r="M123" s="2">
        <v>1.2</v>
      </c>
      <c r="N123" s="4">
        <v>2</v>
      </c>
    </row>
    <row r="124" spans="1:14" x14ac:dyDescent="0.35">
      <c r="A124" s="3">
        <v>2017</v>
      </c>
      <c r="B124" s="2">
        <v>3</v>
      </c>
      <c r="C124" s="2" t="s">
        <v>25</v>
      </c>
      <c r="D124" s="2" t="s">
        <v>15</v>
      </c>
      <c r="E124" s="2" t="s">
        <v>16</v>
      </c>
      <c r="F124" s="2" t="s">
        <v>17</v>
      </c>
      <c r="G124" s="2">
        <v>109229</v>
      </c>
      <c r="H124" s="2">
        <v>716</v>
      </c>
      <c r="I124" s="2">
        <v>225037</v>
      </c>
      <c r="J124" s="2">
        <v>195</v>
      </c>
      <c r="K124" s="2">
        <v>0.97</v>
      </c>
      <c r="L124" s="2">
        <v>6.29</v>
      </c>
      <c r="M124" s="2">
        <v>1.2</v>
      </c>
      <c r="N124" s="4">
        <v>9</v>
      </c>
    </row>
    <row r="125" spans="1:14" x14ac:dyDescent="0.35">
      <c r="A125" s="3">
        <v>2021</v>
      </c>
      <c r="B125" s="2">
        <v>2</v>
      </c>
      <c r="C125" s="2" t="s">
        <v>35</v>
      </c>
      <c r="D125" s="2" t="s">
        <v>22</v>
      </c>
      <c r="E125" s="2" t="s">
        <v>20</v>
      </c>
      <c r="F125" s="2" t="s">
        <v>20</v>
      </c>
      <c r="G125" s="2">
        <v>43921</v>
      </c>
      <c r="H125" s="2">
        <v>906</v>
      </c>
      <c r="I125" s="2">
        <v>258606</v>
      </c>
      <c r="J125" s="2">
        <v>327</v>
      </c>
      <c r="K125" s="2">
        <v>0.97</v>
      </c>
      <c r="L125" s="2">
        <v>6.29</v>
      </c>
      <c r="M125" s="2">
        <v>1.2</v>
      </c>
      <c r="N125" s="4">
        <v>3</v>
      </c>
    </row>
    <row r="126" spans="1:14" x14ac:dyDescent="0.35">
      <c r="A126" s="3">
        <v>2015</v>
      </c>
      <c r="B126" s="2">
        <v>12</v>
      </c>
      <c r="C126" s="2" t="s">
        <v>25</v>
      </c>
      <c r="D126" s="2" t="s">
        <v>22</v>
      </c>
      <c r="E126" s="2" t="s">
        <v>20</v>
      </c>
      <c r="F126" s="2" t="s">
        <v>27</v>
      </c>
      <c r="G126" s="2">
        <v>85435</v>
      </c>
      <c r="H126" s="2">
        <v>1038</v>
      </c>
      <c r="I126" s="2">
        <v>50882</v>
      </c>
      <c r="J126" s="2">
        <v>367</v>
      </c>
      <c r="K126" s="2">
        <v>0.97</v>
      </c>
      <c r="L126" s="2">
        <v>6.29</v>
      </c>
      <c r="M126" s="2">
        <v>1.2</v>
      </c>
      <c r="N126" s="4">
        <v>7</v>
      </c>
    </row>
    <row r="127" spans="1:14" x14ac:dyDescent="0.35">
      <c r="A127" s="3">
        <v>2018</v>
      </c>
      <c r="B127" s="2">
        <v>1</v>
      </c>
      <c r="C127" s="2" t="s">
        <v>35</v>
      </c>
      <c r="D127" s="2" t="s">
        <v>22</v>
      </c>
      <c r="E127" s="2" t="s">
        <v>19</v>
      </c>
      <c r="F127" s="2" t="s">
        <v>23</v>
      </c>
      <c r="G127" s="2">
        <v>45310</v>
      </c>
      <c r="H127" s="2">
        <v>421</v>
      </c>
      <c r="I127" s="2">
        <v>463440</v>
      </c>
      <c r="J127" s="2">
        <v>183</v>
      </c>
      <c r="K127" s="2">
        <v>0.97</v>
      </c>
      <c r="L127" s="2">
        <v>6.29</v>
      </c>
      <c r="M127" s="2">
        <v>1.2</v>
      </c>
      <c r="N127" s="4">
        <v>8</v>
      </c>
    </row>
    <row r="128" spans="1:14" x14ac:dyDescent="0.35">
      <c r="A128" s="3">
        <v>2018</v>
      </c>
      <c r="B128" s="2">
        <v>7</v>
      </c>
      <c r="C128" s="2" t="s">
        <v>14</v>
      </c>
      <c r="D128" s="2" t="s">
        <v>15</v>
      </c>
      <c r="E128" s="2" t="s">
        <v>20</v>
      </c>
      <c r="F128" s="2" t="s">
        <v>27</v>
      </c>
      <c r="G128" s="2">
        <v>98965</v>
      </c>
      <c r="H128" s="2">
        <v>551</v>
      </c>
      <c r="I128" s="2">
        <v>417371</v>
      </c>
      <c r="J128" s="2">
        <v>226</v>
      </c>
      <c r="K128" s="2">
        <v>0.97</v>
      </c>
      <c r="L128" s="2">
        <v>6.29</v>
      </c>
      <c r="M128" s="2">
        <v>1.2</v>
      </c>
      <c r="N128" s="4">
        <v>2</v>
      </c>
    </row>
    <row r="129" spans="1:14" x14ac:dyDescent="0.35">
      <c r="A129" s="3">
        <v>2019</v>
      </c>
      <c r="B129" s="2">
        <v>7</v>
      </c>
      <c r="C129" s="2" t="s">
        <v>35</v>
      </c>
      <c r="D129" s="2" t="s">
        <v>31</v>
      </c>
      <c r="E129" s="2" t="s">
        <v>19</v>
      </c>
      <c r="F129" s="2" t="s">
        <v>23</v>
      </c>
      <c r="G129" s="2">
        <v>104922</v>
      </c>
      <c r="H129" s="2">
        <v>941</v>
      </c>
      <c r="I129" s="2">
        <v>304822</v>
      </c>
      <c r="J129" s="2">
        <v>273</v>
      </c>
      <c r="K129" s="2">
        <v>0.97</v>
      </c>
      <c r="L129" s="2">
        <v>6.29</v>
      </c>
      <c r="M129" s="2">
        <v>1.2</v>
      </c>
      <c r="N129" s="4">
        <v>6</v>
      </c>
    </row>
    <row r="130" spans="1:14" x14ac:dyDescent="0.35">
      <c r="A130" s="3">
        <v>2021</v>
      </c>
      <c r="B130" s="2">
        <v>12</v>
      </c>
      <c r="C130" s="2" t="s">
        <v>25</v>
      </c>
      <c r="D130" s="2" t="s">
        <v>15</v>
      </c>
      <c r="E130" s="2" t="s">
        <v>20</v>
      </c>
      <c r="F130" s="2" t="s">
        <v>23</v>
      </c>
      <c r="G130" s="2">
        <v>117839</v>
      </c>
      <c r="H130" s="2">
        <v>626</v>
      </c>
      <c r="I130" s="2">
        <v>175865</v>
      </c>
      <c r="J130" s="2">
        <v>106</v>
      </c>
      <c r="K130" s="2">
        <v>0.97</v>
      </c>
      <c r="L130" s="2">
        <v>6.29</v>
      </c>
      <c r="M130" s="2">
        <v>1.2</v>
      </c>
      <c r="N130" s="4">
        <v>8</v>
      </c>
    </row>
    <row r="131" spans="1:14" x14ac:dyDescent="0.35">
      <c r="A131" s="3">
        <v>2021</v>
      </c>
      <c r="B131" s="2">
        <v>2</v>
      </c>
      <c r="C131" s="2" t="s">
        <v>35</v>
      </c>
      <c r="D131" s="2" t="s">
        <v>22</v>
      </c>
      <c r="E131" s="2" t="s">
        <v>20</v>
      </c>
      <c r="F131" s="2" t="s">
        <v>27</v>
      </c>
      <c r="G131" s="2">
        <v>47242</v>
      </c>
      <c r="H131" s="2">
        <v>632</v>
      </c>
      <c r="I131" s="2">
        <v>173745</v>
      </c>
      <c r="J131" s="2">
        <v>126</v>
      </c>
      <c r="K131" s="2">
        <v>0.97</v>
      </c>
      <c r="L131" s="2">
        <v>6.29</v>
      </c>
      <c r="M131" s="2">
        <v>1.2</v>
      </c>
      <c r="N131" s="4">
        <v>7</v>
      </c>
    </row>
    <row r="132" spans="1:14" x14ac:dyDescent="0.35">
      <c r="A132" s="3">
        <v>2018</v>
      </c>
      <c r="B132" s="2">
        <v>7</v>
      </c>
      <c r="C132" s="2" t="s">
        <v>14</v>
      </c>
      <c r="D132" s="2" t="s">
        <v>34</v>
      </c>
      <c r="E132" s="2" t="s">
        <v>19</v>
      </c>
      <c r="F132" s="2" t="s">
        <v>20</v>
      </c>
      <c r="G132" s="2">
        <v>43947</v>
      </c>
      <c r="H132" s="2">
        <v>837</v>
      </c>
      <c r="I132" s="2">
        <v>474041</v>
      </c>
      <c r="J132" s="2">
        <v>208</v>
      </c>
      <c r="K132" s="2">
        <v>0.97</v>
      </c>
      <c r="L132" s="2">
        <v>6.29</v>
      </c>
      <c r="M132" s="2">
        <v>1.2</v>
      </c>
      <c r="N132" s="4">
        <v>3</v>
      </c>
    </row>
    <row r="133" spans="1:14" x14ac:dyDescent="0.35">
      <c r="A133" s="3">
        <v>2021</v>
      </c>
      <c r="B133" s="2">
        <v>8</v>
      </c>
      <c r="C133" s="2" t="s">
        <v>14</v>
      </c>
      <c r="D133" s="2" t="s">
        <v>33</v>
      </c>
      <c r="E133" s="2" t="s">
        <v>20</v>
      </c>
      <c r="F133" s="2" t="s">
        <v>20</v>
      </c>
      <c r="G133" s="2">
        <v>106466</v>
      </c>
      <c r="H133" s="2">
        <v>749</v>
      </c>
      <c r="I133" s="2">
        <v>78885</v>
      </c>
      <c r="J133" s="2">
        <v>329</v>
      </c>
      <c r="K133" s="2">
        <v>0.97</v>
      </c>
      <c r="L133" s="2">
        <v>6.29</v>
      </c>
      <c r="M133" s="2">
        <v>1.2</v>
      </c>
      <c r="N133" s="4">
        <v>1</v>
      </c>
    </row>
    <row r="134" spans="1:14" x14ac:dyDescent="0.35">
      <c r="A134" s="3">
        <v>2017</v>
      </c>
      <c r="B134" s="2">
        <v>1</v>
      </c>
      <c r="C134" s="2" t="s">
        <v>21</v>
      </c>
      <c r="D134" s="2" t="s">
        <v>18</v>
      </c>
      <c r="E134" s="2" t="s">
        <v>19</v>
      </c>
      <c r="F134" s="2" t="s">
        <v>23</v>
      </c>
      <c r="G134" s="2">
        <v>96816</v>
      </c>
      <c r="H134" s="2">
        <v>373</v>
      </c>
      <c r="I134" s="2">
        <v>221128</v>
      </c>
      <c r="J134" s="2">
        <v>30</v>
      </c>
      <c r="K134" s="2">
        <v>0.97</v>
      </c>
      <c r="L134" s="2">
        <v>6.29</v>
      </c>
      <c r="M134" s="2">
        <v>1.2</v>
      </c>
      <c r="N134" s="4">
        <v>6</v>
      </c>
    </row>
    <row r="135" spans="1:14" x14ac:dyDescent="0.35">
      <c r="A135" s="3">
        <v>2020</v>
      </c>
      <c r="B135" s="2">
        <v>9</v>
      </c>
      <c r="C135" s="2" t="s">
        <v>35</v>
      </c>
      <c r="D135" s="2" t="s">
        <v>15</v>
      </c>
      <c r="E135" s="2" t="s">
        <v>20</v>
      </c>
      <c r="F135" s="2" t="s">
        <v>20</v>
      </c>
      <c r="G135" s="2">
        <v>83785</v>
      </c>
      <c r="H135" s="2">
        <v>753</v>
      </c>
      <c r="I135" s="2">
        <v>446419</v>
      </c>
      <c r="J135" s="2">
        <v>209</v>
      </c>
      <c r="K135" s="2">
        <v>0.97</v>
      </c>
      <c r="L135" s="2">
        <v>6.29</v>
      </c>
      <c r="M135" s="2">
        <v>1.2</v>
      </c>
      <c r="N135" s="4">
        <v>8</v>
      </c>
    </row>
    <row r="136" spans="1:14" x14ac:dyDescent="0.35">
      <c r="A136" s="3">
        <v>2016</v>
      </c>
      <c r="B136" s="2">
        <v>7</v>
      </c>
      <c r="C136" s="2" t="s">
        <v>32</v>
      </c>
      <c r="D136" s="2" t="s">
        <v>31</v>
      </c>
      <c r="E136" s="2" t="s">
        <v>16</v>
      </c>
      <c r="F136" s="2" t="s">
        <v>23</v>
      </c>
      <c r="G136" s="2">
        <v>35507</v>
      </c>
      <c r="H136" s="2">
        <v>1169</v>
      </c>
      <c r="I136" s="2">
        <v>241313</v>
      </c>
      <c r="J136" s="2">
        <v>380</v>
      </c>
      <c r="K136" s="2">
        <v>0.97</v>
      </c>
      <c r="L136" s="2">
        <v>6.29</v>
      </c>
      <c r="M136" s="2">
        <v>1.2</v>
      </c>
      <c r="N136" s="4">
        <v>6</v>
      </c>
    </row>
    <row r="137" spans="1:14" x14ac:dyDescent="0.35">
      <c r="A137" s="3">
        <v>2024</v>
      </c>
      <c r="B137" s="2">
        <v>3</v>
      </c>
      <c r="C137" s="2" t="s">
        <v>28</v>
      </c>
      <c r="D137" s="2" t="s">
        <v>31</v>
      </c>
      <c r="E137" s="2" t="s">
        <v>20</v>
      </c>
      <c r="F137" s="2" t="s">
        <v>20</v>
      </c>
      <c r="G137" s="2">
        <v>101972</v>
      </c>
      <c r="H137" s="2">
        <v>780</v>
      </c>
      <c r="I137" s="2">
        <v>445460</v>
      </c>
      <c r="J137" s="2">
        <v>350</v>
      </c>
      <c r="K137" s="2">
        <v>0.97</v>
      </c>
      <c r="L137" s="2">
        <v>6.29</v>
      </c>
      <c r="M137" s="2">
        <v>1.2</v>
      </c>
      <c r="N137" s="4">
        <v>5</v>
      </c>
    </row>
    <row r="138" spans="1:14" x14ac:dyDescent="0.35">
      <c r="A138" s="3">
        <v>2023</v>
      </c>
      <c r="B138" s="2">
        <v>8</v>
      </c>
      <c r="C138" s="2" t="s">
        <v>36</v>
      </c>
      <c r="D138" s="2" t="s">
        <v>39</v>
      </c>
      <c r="E138" s="2" t="s">
        <v>19</v>
      </c>
      <c r="F138" s="2" t="s">
        <v>23</v>
      </c>
      <c r="G138" s="2">
        <v>62151</v>
      </c>
      <c r="H138" s="2">
        <v>756</v>
      </c>
      <c r="I138" s="2">
        <v>410466</v>
      </c>
      <c r="J138" s="2">
        <v>257</v>
      </c>
      <c r="K138" s="2">
        <v>0.97</v>
      </c>
      <c r="L138" s="2">
        <v>6.29</v>
      </c>
      <c r="M138" s="2">
        <v>1.2</v>
      </c>
      <c r="N138" s="4">
        <v>8</v>
      </c>
    </row>
    <row r="139" spans="1:14" x14ac:dyDescent="0.35">
      <c r="A139" s="3">
        <v>2019</v>
      </c>
      <c r="B139" s="2">
        <v>7</v>
      </c>
      <c r="C139" s="2" t="s">
        <v>14</v>
      </c>
      <c r="D139" s="2" t="s">
        <v>33</v>
      </c>
      <c r="E139" s="2" t="s">
        <v>20</v>
      </c>
      <c r="F139" s="2" t="s">
        <v>20</v>
      </c>
      <c r="G139" s="2">
        <v>46618</v>
      </c>
      <c r="H139" s="2">
        <v>848</v>
      </c>
      <c r="I139" s="2">
        <v>380763</v>
      </c>
      <c r="J139" s="2">
        <v>285</v>
      </c>
      <c r="K139" s="2">
        <v>0.97</v>
      </c>
      <c r="L139" s="2">
        <v>6.29</v>
      </c>
      <c r="M139" s="2">
        <v>1.2</v>
      </c>
      <c r="N139" s="4">
        <v>2</v>
      </c>
    </row>
    <row r="140" spans="1:14" x14ac:dyDescent="0.35">
      <c r="A140" s="3">
        <v>2020</v>
      </c>
      <c r="B140" s="2">
        <v>11</v>
      </c>
      <c r="C140" s="2" t="s">
        <v>30</v>
      </c>
      <c r="D140" s="2" t="s">
        <v>24</v>
      </c>
      <c r="E140" s="2" t="s">
        <v>19</v>
      </c>
      <c r="F140" s="2" t="s">
        <v>17</v>
      </c>
      <c r="G140" s="2">
        <v>109286</v>
      </c>
      <c r="H140" s="2">
        <v>911</v>
      </c>
      <c r="I140" s="2">
        <v>71584</v>
      </c>
      <c r="J140" s="2">
        <v>273</v>
      </c>
      <c r="K140" s="2">
        <v>0.97</v>
      </c>
      <c r="L140" s="2">
        <v>6.29</v>
      </c>
      <c r="M140" s="2">
        <v>1.2</v>
      </c>
      <c r="N140" s="4">
        <v>1</v>
      </c>
    </row>
    <row r="141" spans="1:14" x14ac:dyDescent="0.35">
      <c r="A141" s="3">
        <v>2018</v>
      </c>
      <c r="B141" s="2">
        <v>8</v>
      </c>
      <c r="C141" s="2" t="s">
        <v>28</v>
      </c>
      <c r="D141" s="2" t="s">
        <v>29</v>
      </c>
      <c r="E141" s="2" t="s">
        <v>19</v>
      </c>
      <c r="F141" s="2" t="s">
        <v>27</v>
      </c>
      <c r="G141" s="2">
        <v>51122</v>
      </c>
      <c r="H141" s="2">
        <v>530</v>
      </c>
      <c r="I141" s="2">
        <v>320665</v>
      </c>
      <c r="J141" s="2">
        <v>67</v>
      </c>
      <c r="K141" s="2">
        <v>0.97</v>
      </c>
      <c r="L141" s="2">
        <v>6.29</v>
      </c>
      <c r="M141" s="2">
        <v>1.2</v>
      </c>
      <c r="N141" s="4">
        <v>1</v>
      </c>
    </row>
    <row r="142" spans="1:14" x14ac:dyDescent="0.35">
      <c r="A142" s="3">
        <v>2024</v>
      </c>
      <c r="B142" s="2">
        <v>6</v>
      </c>
      <c r="C142" s="2" t="s">
        <v>38</v>
      </c>
      <c r="D142" s="2" t="s">
        <v>22</v>
      </c>
      <c r="E142" s="2" t="s">
        <v>16</v>
      </c>
      <c r="F142" s="2" t="s">
        <v>17</v>
      </c>
      <c r="G142" s="2">
        <v>42354</v>
      </c>
      <c r="H142" s="2">
        <v>989</v>
      </c>
      <c r="I142" s="2">
        <v>231089</v>
      </c>
      <c r="J142" s="2">
        <v>311</v>
      </c>
      <c r="K142" s="2">
        <v>0.97</v>
      </c>
      <c r="L142" s="2">
        <v>6.29</v>
      </c>
      <c r="M142" s="2">
        <v>1.2</v>
      </c>
      <c r="N142" s="4">
        <v>4</v>
      </c>
    </row>
    <row r="143" spans="1:14" x14ac:dyDescent="0.35">
      <c r="A143" s="3">
        <v>2021</v>
      </c>
      <c r="B143" s="2">
        <v>9</v>
      </c>
      <c r="C143" s="2" t="s">
        <v>35</v>
      </c>
      <c r="D143" s="2" t="s">
        <v>24</v>
      </c>
      <c r="E143" s="2" t="s">
        <v>16</v>
      </c>
      <c r="F143" s="2" t="s">
        <v>27</v>
      </c>
      <c r="G143" s="2">
        <v>65979</v>
      </c>
      <c r="H143" s="2">
        <v>203</v>
      </c>
      <c r="I143" s="2">
        <v>345685</v>
      </c>
      <c r="J143" s="2">
        <v>40</v>
      </c>
      <c r="K143" s="2">
        <v>0.97</v>
      </c>
      <c r="L143" s="2">
        <v>6.29</v>
      </c>
      <c r="M143" s="2">
        <v>1.2</v>
      </c>
      <c r="N143" s="4">
        <v>6</v>
      </c>
    </row>
    <row r="144" spans="1:14" x14ac:dyDescent="0.35">
      <c r="A144" s="3">
        <v>2023</v>
      </c>
      <c r="B144" s="2">
        <v>5</v>
      </c>
      <c r="C144" s="2" t="s">
        <v>25</v>
      </c>
      <c r="D144" s="2" t="s">
        <v>39</v>
      </c>
      <c r="E144" s="2" t="s">
        <v>19</v>
      </c>
      <c r="F144" s="2" t="s">
        <v>27</v>
      </c>
      <c r="G144" s="2">
        <v>114376</v>
      </c>
      <c r="H144" s="2">
        <v>685</v>
      </c>
      <c r="I144" s="2">
        <v>79063</v>
      </c>
      <c r="J144" s="2">
        <v>258</v>
      </c>
      <c r="K144" s="2">
        <v>0.97</v>
      </c>
      <c r="L144" s="2">
        <v>6.29</v>
      </c>
      <c r="M144" s="2">
        <v>1.2</v>
      </c>
      <c r="N144" s="4">
        <v>9</v>
      </c>
    </row>
    <row r="145" spans="1:14" x14ac:dyDescent="0.35">
      <c r="A145" s="3">
        <v>2021</v>
      </c>
      <c r="B145" s="2">
        <v>3</v>
      </c>
      <c r="C145" s="2" t="s">
        <v>36</v>
      </c>
      <c r="D145" s="2" t="s">
        <v>22</v>
      </c>
      <c r="E145" s="2" t="s">
        <v>20</v>
      </c>
      <c r="F145" s="2" t="s">
        <v>23</v>
      </c>
      <c r="G145" s="2">
        <v>87774</v>
      </c>
      <c r="H145" s="2">
        <v>408</v>
      </c>
      <c r="I145" s="2">
        <v>120268</v>
      </c>
      <c r="J145" s="2">
        <v>102</v>
      </c>
      <c r="K145" s="2">
        <v>0.97</v>
      </c>
      <c r="L145" s="2">
        <v>6.29</v>
      </c>
      <c r="M145" s="2">
        <v>1.2</v>
      </c>
      <c r="N145" s="4">
        <v>1</v>
      </c>
    </row>
    <row r="146" spans="1:14" x14ac:dyDescent="0.35">
      <c r="A146" s="3">
        <v>2015</v>
      </c>
      <c r="B146" s="2">
        <v>3</v>
      </c>
      <c r="C146" s="2" t="s">
        <v>30</v>
      </c>
      <c r="D146" s="2" t="s">
        <v>33</v>
      </c>
      <c r="E146" s="2" t="s">
        <v>19</v>
      </c>
      <c r="F146" s="2" t="s">
        <v>27</v>
      </c>
      <c r="G146" s="2">
        <v>40037</v>
      </c>
      <c r="H146" s="2">
        <v>762</v>
      </c>
      <c r="I146" s="2">
        <v>306306</v>
      </c>
      <c r="J146" s="2">
        <v>274</v>
      </c>
      <c r="K146" s="2">
        <v>0.97</v>
      </c>
      <c r="L146" s="2">
        <v>6.29</v>
      </c>
      <c r="M146" s="2">
        <v>1.2</v>
      </c>
      <c r="N146" s="4">
        <v>1</v>
      </c>
    </row>
    <row r="147" spans="1:14" x14ac:dyDescent="0.35">
      <c r="A147" s="3">
        <v>2015</v>
      </c>
      <c r="B147" s="2">
        <v>1</v>
      </c>
      <c r="C147" s="2" t="s">
        <v>28</v>
      </c>
      <c r="D147" s="2" t="s">
        <v>39</v>
      </c>
      <c r="E147" s="2" t="s">
        <v>19</v>
      </c>
      <c r="F147" s="2" t="s">
        <v>17</v>
      </c>
      <c r="G147" s="2">
        <v>63633</v>
      </c>
      <c r="H147" s="2">
        <v>941</v>
      </c>
      <c r="I147" s="2">
        <v>176218</v>
      </c>
      <c r="J147" s="2">
        <v>280</v>
      </c>
      <c r="K147" s="2">
        <v>0.97</v>
      </c>
      <c r="L147" s="2">
        <v>6.29</v>
      </c>
      <c r="M147" s="2">
        <v>1.2</v>
      </c>
      <c r="N147" s="4">
        <v>5</v>
      </c>
    </row>
    <row r="148" spans="1:14" x14ac:dyDescent="0.35">
      <c r="A148" s="3">
        <v>2023</v>
      </c>
      <c r="B148" s="2">
        <v>12</v>
      </c>
      <c r="C148" s="2" t="s">
        <v>35</v>
      </c>
      <c r="D148" s="2" t="s">
        <v>22</v>
      </c>
      <c r="E148" s="2" t="s">
        <v>20</v>
      </c>
      <c r="F148" s="2" t="s">
        <v>17</v>
      </c>
      <c r="G148" s="2">
        <v>59495</v>
      </c>
      <c r="H148" s="2">
        <v>425</v>
      </c>
      <c r="I148" s="2">
        <v>430350</v>
      </c>
      <c r="J148" s="2">
        <v>103</v>
      </c>
      <c r="K148" s="2">
        <v>0.97</v>
      </c>
      <c r="L148" s="2">
        <v>6.29</v>
      </c>
      <c r="M148" s="2">
        <v>1.2</v>
      </c>
      <c r="N148" s="4">
        <v>10</v>
      </c>
    </row>
    <row r="149" spans="1:14" x14ac:dyDescent="0.35">
      <c r="A149" s="3">
        <v>2023</v>
      </c>
      <c r="B149" s="2">
        <v>8</v>
      </c>
      <c r="C149" s="2" t="s">
        <v>21</v>
      </c>
      <c r="D149" s="2" t="s">
        <v>33</v>
      </c>
      <c r="E149" s="2" t="s">
        <v>20</v>
      </c>
      <c r="F149" s="2" t="s">
        <v>20</v>
      </c>
      <c r="G149" s="2">
        <v>99550</v>
      </c>
      <c r="H149" s="2">
        <v>596</v>
      </c>
      <c r="I149" s="2">
        <v>274126</v>
      </c>
      <c r="J149" s="2">
        <v>163</v>
      </c>
      <c r="K149" s="2">
        <v>0.97</v>
      </c>
      <c r="L149" s="2">
        <v>6.29</v>
      </c>
      <c r="M149" s="2">
        <v>1.2</v>
      </c>
      <c r="N149" s="4">
        <v>5</v>
      </c>
    </row>
    <row r="150" spans="1:14" x14ac:dyDescent="0.35">
      <c r="A150" s="3">
        <v>2018</v>
      </c>
      <c r="B150" s="2">
        <v>2</v>
      </c>
      <c r="C150" s="2" t="s">
        <v>38</v>
      </c>
      <c r="D150" s="2" t="s">
        <v>26</v>
      </c>
      <c r="E150" s="2" t="s">
        <v>20</v>
      </c>
      <c r="F150" s="2" t="s">
        <v>17</v>
      </c>
      <c r="G150" s="2">
        <v>116384</v>
      </c>
      <c r="H150" s="2">
        <v>769</v>
      </c>
      <c r="I150" s="2">
        <v>220635</v>
      </c>
      <c r="J150" s="2">
        <v>294</v>
      </c>
      <c r="K150" s="2">
        <v>0.97</v>
      </c>
      <c r="L150" s="2">
        <v>6.29</v>
      </c>
      <c r="M150" s="2">
        <v>1.2</v>
      </c>
      <c r="N150" s="4">
        <v>5</v>
      </c>
    </row>
    <row r="151" spans="1:14" x14ac:dyDescent="0.35">
      <c r="A151" s="3">
        <v>2023</v>
      </c>
      <c r="B151" s="2">
        <v>3</v>
      </c>
      <c r="C151" s="2" t="s">
        <v>36</v>
      </c>
      <c r="D151" s="2" t="s">
        <v>24</v>
      </c>
      <c r="E151" s="2" t="s">
        <v>20</v>
      </c>
      <c r="F151" s="2" t="s">
        <v>20</v>
      </c>
      <c r="G151" s="2">
        <v>71483</v>
      </c>
      <c r="H151" s="2">
        <v>543</v>
      </c>
      <c r="I151" s="2">
        <v>220824</v>
      </c>
      <c r="J151" s="2">
        <v>89</v>
      </c>
      <c r="K151" s="2">
        <v>0.97</v>
      </c>
      <c r="L151" s="2">
        <v>6.29</v>
      </c>
      <c r="M151" s="2">
        <v>1.2</v>
      </c>
      <c r="N151" s="4">
        <v>10</v>
      </c>
    </row>
    <row r="152" spans="1:14" x14ac:dyDescent="0.35">
      <c r="A152" s="3">
        <v>2017</v>
      </c>
      <c r="B152" s="2">
        <v>8</v>
      </c>
      <c r="C152" s="2" t="s">
        <v>32</v>
      </c>
      <c r="D152" s="2" t="s">
        <v>24</v>
      </c>
      <c r="E152" s="2" t="s">
        <v>19</v>
      </c>
      <c r="F152" s="2" t="s">
        <v>27</v>
      </c>
      <c r="G152" s="2">
        <v>108373</v>
      </c>
      <c r="H152" s="2">
        <v>997</v>
      </c>
      <c r="I152" s="2">
        <v>276305</v>
      </c>
      <c r="J152" s="2">
        <v>301</v>
      </c>
      <c r="K152" s="2">
        <v>0.97</v>
      </c>
      <c r="L152" s="2">
        <v>6.29</v>
      </c>
      <c r="M152" s="2">
        <v>1.2</v>
      </c>
      <c r="N152" s="4">
        <v>6</v>
      </c>
    </row>
    <row r="153" spans="1:14" x14ac:dyDescent="0.35">
      <c r="A153" s="3">
        <v>2021</v>
      </c>
      <c r="B153" s="2">
        <v>8</v>
      </c>
      <c r="C153" s="2" t="s">
        <v>21</v>
      </c>
      <c r="D153" s="2" t="s">
        <v>29</v>
      </c>
      <c r="E153" s="2" t="s">
        <v>19</v>
      </c>
      <c r="F153" s="2" t="s">
        <v>17</v>
      </c>
      <c r="G153" s="2">
        <v>69069</v>
      </c>
      <c r="H153" s="2">
        <v>357</v>
      </c>
      <c r="I153" s="2">
        <v>445783</v>
      </c>
      <c r="J153" s="2">
        <v>93</v>
      </c>
      <c r="K153" s="2">
        <v>0.97</v>
      </c>
      <c r="L153" s="2">
        <v>6.29</v>
      </c>
      <c r="M153" s="2">
        <v>1.2</v>
      </c>
      <c r="N153" s="4">
        <v>8</v>
      </c>
    </row>
    <row r="154" spans="1:14" x14ac:dyDescent="0.35">
      <c r="A154" s="3">
        <v>2020</v>
      </c>
      <c r="B154" s="2">
        <v>11</v>
      </c>
      <c r="C154" s="2" t="s">
        <v>30</v>
      </c>
      <c r="D154" s="2" t="s">
        <v>33</v>
      </c>
      <c r="E154" s="2" t="s">
        <v>16</v>
      </c>
      <c r="F154" s="2" t="s">
        <v>27</v>
      </c>
      <c r="G154" s="2">
        <v>42370</v>
      </c>
      <c r="H154" s="2">
        <v>1043</v>
      </c>
      <c r="I154" s="2">
        <v>459337</v>
      </c>
      <c r="J154" s="2">
        <v>374</v>
      </c>
      <c r="K154" s="2">
        <v>0.97</v>
      </c>
      <c r="L154" s="2">
        <v>6.29</v>
      </c>
      <c r="M154" s="2">
        <v>1.2</v>
      </c>
      <c r="N154" s="4">
        <v>3</v>
      </c>
    </row>
    <row r="155" spans="1:14" x14ac:dyDescent="0.35">
      <c r="A155" s="3">
        <v>2022</v>
      </c>
      <c r="B155" s="2">
        <v>4</v>
      </c>
      <c r="C155" s="2" t="s">
        <v>36</v>
      </c>
      <c r="D155" s="2" t="s">
        <v>15</v>
      </c>
      <c r="E155" s="2" t="s">
        <v>19</v>
      </c>
      <c r="F155" s="2" t="s">
        <v>17</v>
      </c>
      <c r="G155" s="2">
        <v>106947</v>
      </c>
      <c r="H155" s="2">
        <v>849</v>
      </c>
      <c r="I155" s="2">
        <v>444890</v>
      </c>
      <c r="J155" s="2">
        <v>383</v>
      </c>
      <c r="K155" s="2">
        <v>0.97</v>
      </c>
      <c r="L155" s="2">
        <v>6.29</v>
      </c>
      <c r="M155" s="2">
        <v>1.2</v>
      </c>
      <c r="N155" s="4">
        <v>9</v>
      </c>
    </row>
    <row r="156" spans="1:14" x14ac:dyDescent="0.35">
      <c r="A156" s="3">
        <v>2023</v>
      </c>
      <c r="B156" s="2">
        <v>4</v>
      </c>
      <c r="C156" s="2" t="s">
        <v>21</v>
      </c>
      <c r="D156" s="2" t="s">
        <v>26</v>
      </c>
      <c r="E156" s="2" t="s">
        <v>20</v>
      </c>
      <c r="F156" s="2" t="s">
        <v>17</v>
      </c>
      <c r="G156" s="2">
        <v>74133</v>
      </c>
      <c r="H156" s="2">
        <v>122</v>
      </c>
      <c r="I156" s="2">
        <v>126411</v>
      </c>
      <c r="J156" s="2">
        <v>46</v>
      </c>
      <c r="K156" s="2">
        <v>0.97</v>
      </c>
      <c r="L156" s="2">
        <v>6.29</v>
      </c>
      <c r="M156" s="2">
        <v>1.2</v>
      </c>
      <c r="N156" s="4">
        <v>1</v>
      </c>
    </row>
    <row r="157" spans="1:14" x14ac:dyDescent="0.35">
      <c r="A157" s="3">
        <v>2019</v>
      </c>
      <c r="B157" s="2">
        <v>5</v>
      </c>
      <c r="C157" s="2" t="s">
        <v>38</v>
      </c>
      <c r="D157" s="2" t="s">
        <v>34</v>
      </c>
      <c r="E157" s="2" t="s">
        <v>16</v>
      </c>
      <c r="F157" s="2" t="s">
        <v>20</v>
      </c>
      <c r="G157" s="2">
        <v>35692</v>
      </c>
      <c r="H157" s="2">
        <v>916</v>
      </c>
      <c r="I157" s="2">
        <v>159876</v>
      </c>
      <c r="J157" s="2">
        <v>351</v>
      </c>
      <c r="K157" s="2">
        <v>0.97</v>
      </c>
      <c r="L157" s="2">
        <v>6.29</v>
      </c>
      <c r="M157" s="2">
        <v>1.2</v>
      </c>
      <c r="N157" s="4">
        <v>4</v>
      </c>
    </row>
    <row r="158" spans="1:14" x14ac:dyDescent="0.35">
      <c r="A158" s="3">
        <v>2015</v>
      </c>
      <c r="B158" s="2">
        <v>6</v>
      </c>
      <c r="C158" s="2" t="s">
        <v>32</v>
      </c>
      <c r="D158" s="2" t="s">
        <v>22</v>
      </c>
      <c r="E158" s="2" t="s">
        <v>20</v>
      </c>
      <c r="F158" s="2" t="s">
        <v>27</v>
      </c>
      <c r="G158" s="2">
        <v>63926</v>
      </c>
      <c r="H158" s="2">
        <v>882</v>
      </c>
      <c r="I158" s="2">
        <v>248153</v>
      </c>
      <c r="J158" s="2">
        <v>336</v>
      </c>
      <c r="K158" s="2">
        <v>0.97</v>
      </c>
      <c r="L158" s="2">
        <v>6.29</v>
      </c>
      <c r="M158" s="2">
        <v>1.2</v>
      </c>
      <c r="N158" s="4">
        <v>9</v>
      </c>
    </row>
    <row r="159" spans="1:14" x14ac:dyDescent="0.35">
      <c r="A159" s="3">
        <v>2017</v>
      </c>
      <c r="B159" s="2">
        <v>5</v>
      </c>
      <c r="C159" s="2" t="s">
        <v>21</v>
      </c>
      <c r="D159" s="2" t="s">
        <v>26</v>
      </c>
      <c r="E159" s="2" t="s">
        <v>19</v>
      </c>
      <c r="F159" s="2" t="s">
        <v>17</v>
      </c>
      <c r="G159" s="2">
        <v>108984</v>
      </c>
      <c r="H159" s="2">
        <v>472</v>
      </c>
      <c r="I159" s="2">
        <v>210212</v>
      </c>
      <c r="J159" s="2">
        <v>241</v>
      </c>
      <c r="K159" s="2">
        <v>0.97</v>
      </c>
      <c r="L159" s="2">
        <v>6.29</v>
      </c>
      <c r="M159" s="2">
        <v>1.2</v>
      </c>
      <c r="N159" s="4">
        <v>8</v>
      </c>
    </row>
    <row r="160" spans="1:14" x14ac:dyDescent="0.35">
      <c r="A160" s="3">
        <v>2024</v>
      </c>
      <c r="B160" s="2">
        <v>7</v>
      </c>
      <c r="C160" s="2" t="s">
        <v>37</v>
      </c>
      <c r="D160" s="2" t="s">
        <v>33</v>
      </c>
      <c r="E160" s="2" t="s">
        <v>16</v>
      </c>
      <c r="F160" s="2" t="s">
        <v>23</v>
      </c>
      <c r="G160" s="2">
        <v>78390</v>
      </c>
      <c r="H160" s="2">
        <v>448</v>
      </c>
      <c r="I160" s="2">
        <v>190399</v>
      </c>
      <c r="J160" s="2">
        <v>102</v>
      </c>
      <c r="K160" s="2">
        <v>0.97</v>
      </c>
      <c r="L160" s="2">
        <v>6.29</v>
      </c>
      <c r="M160" s="2">
        <v>1.2</v>
      </c>
      <c r="N160" s="4">
        <v>10</v>
      </c>
    </row>
    <row r="161" spans="1:14" x14ac:dyDescent="0.35">
      <c r="A161" s="3">
        <v>2022</v>
      </c>
      <c r="B161" s="2">
        <v>2</v>
      </c>
      <c r="C161" s="2" t="s">
        <v>32</v>
      </c>
      <c r="D161" s="2" t="s">
        <v>18</v>
      </c>
      <c r="E161" s="2" t="s">
        <v>20</v>
      </c>
      <c r="F161" s="2" t="s">
        <v>27</v>
      </c>
      <c r="G161" s="2">
        <v>84593</v>
      </c>
      <c r="H161" s="2">
        <v>956</v>
      </c>
      <c r="I161" s="2">
        <v>73331</v>
      </c>
      <c r="J161" s="2">
        <v>345</v>
      </c>
      <c r="K161" s="2">
        <v>0.97</v>
      </c>
      <c r="L161" s="2">
        <v>6.29</v>
      </c>
      <c r="M161" s="2">
        <v>1.2</v>
      </c>
      <c r="N161" s="4">
        <v>9</v>
      </c>
    </row>
    <row r="162" spans="1:14" x14ac:dyDescent="0.35">
      <c r="A162" s="3">
        <v>2020</v>
      </c>
      <c r="B162" s="2">
        <v>7</v>
      </c>
      <c r="C162" s="2" t="s">
        <v>30</v>
      </c>
      <c r="D162" s="2" t="s">
        <v>22</v>
      </c>
      <c r="E162" s="2" t="s">
        <v>16</v>
      </c>
      <c r="F162" s="2" t="s">
        <v>27</v>
      </c>
      <c r="G162" s="2">
        <v>110609</v>
      </c>
      <c r="H162" s="2">
        <v>628</v>
      </c>
      <c r="I162" s="2">
        <v>73004</v>
      </c>
      <c r="J162" s="2">
        <v>111</v>
      </c>
      <c r="K162" s="2">
        <v>0.97</v>
      </c>
      <c r="L162" s="2">
        <v>6.29</v>
      </c>
      <c r="M162" s="2">
        <v>1.2</v>
      </c>
      <c r="N162" s="4">
        <v>1</v>
      </c>
    </row>
    <row r="163" spans="1:14" x14ac:dyDescent="0.35">
      <c r="A163" s="3">
        <v>2022</v>
      </c>
      <c r="B163" s="2">
        <v>10</v>
      </c>
      <c r="C163" s="2" t="s">
        <v>38</v>
      </c>
      <c r="D163" s="2" t="s">
        <v>31</v>
      </c>
      <c r="E163" s="2" t="s">
        <v>16</v>
      </c>
      <c r="F163" s="2" t="s">
        <v>27</v>
      </c>
      <c r="G163" s="2">
        <v>40209</v>
      </c>
      <c r="H163" s="2">
        <v>806</v>
      </c>
      <c r="I163" s="2">
        <v>288441</v>
      </c>
      <c r="J163" s="2">
        <v>175</v>
      </c>
      <c r="K163" s="2">
        <v>0.97</v>
      </c>
      <c r="L163" s="2">
        <v>6.29</v>
      </c>
      <c r="M163" s="2">
        <v>1.2</v>
      </c>
      <c r="N163" s="4">
        <v>9</v>
      </c>
    </row>
    <row r="164" spans="1:14" x14ac:dyDescent="0.35">
      <c r="A164" s="3">
        <v>2023</v>
      </c>
      <c r="B164" s="2">
        <v>7</v>
      </c>
      <c r="C164" s="2" t="s">
        <v>35</v>
      </c>
      <c r="D164" s="2" t="s">
        <v>24</v>
      </c>
      <c r="E164" s="2" t="s">
        <v>19</v>
      </c>
      <c r="F164" s="2" t="s">
        <v>20</v>
      </c>
      <c r="G164" s="2">
        <v>41533</v>
      </c>
      <c r="H164" s="2">
        <v>465</v>
      </c>
      <c r="I164" s="2">
        <v>431387</v>
      </c>
      <c r="J164" s="2">
        <v>168</v>
      </c>
      <c r="K164" s="2">
        <v>0.97</v>
      </c>
      <c r="L164" s="2">
        <v>6.29</v>
      </c>
      <c r="M164" s="2">
        <v>1.2</v>
      </c>
      <c r="N164" s="4">
        <v>3</v>
      </c>
    </row>
    <row r="165" spans="1:14" x14ac:dyDescent="0.35">
      <c r="A165" s="3">
        <v>2018</v>
      </c>
      <c r="B165" s="2">
        <v>1</v>
      </c>
      <c r="C165" s="2" t="s">
        <v>25</v>
      </c>
      <c r="D165" s="2" t="s">
        <v>33</v>
      </c>
      <c r="E165" s="2" t="s">
        <v>20</v>
      </c>
      <c r="F165" s="2" t="s">
        <v>23</v>
      </c>
      <c r="G165" s="2">
        <v>42211</v>
      </c>
      <c r="H165" s="2">
        <v>121</v>
      </c>
      <c r="I165" s="2">
        <v>453708</v>
      </c>
      <c r="J165" s="2">
        <v>23</v>
      </c>
      <c r="K165" s="2">
        <v>0.97</v>
      </c>
      <c r="L165" s="2">
        <v>6.29</v>
      </c>
      <c r="M165" s="2">
        <v>1.2</v>
      </c>
      <c r="N165" s="4">
        <v>10</v>
      </c>
    </row>
    <row r="166" spans="1:14" x14ac:dyDescent="0.35">
      <c r="A166" s="3">
        <v>2015</v>
      </c>
      <c r="B166" s="2">
        <v>7</v>
      </c>
      <c r="C166" s="2" t="s">
        <v>25</v>
      </c>
      <c r="D166" s="2" t="s">
        <v>31</v>
      </c>
      <c r="E166" s="2" t="s">
        <v>16</v>
      </c>
      <c r="F166" s="2" t="s">
        <v>27</v>
      </c>
      <c r="G166" s="2">
        <v>44927</v>
      </c>
      <c r="H166" s="2">
        <v>923</v>
      </c>
      <c r="I166" s="2">
        <v>498013</v>
      </c>
      <c r="J166" s="2">
        <v>382</v>
      </c>
      <c r="K166" s="2">
        <v>0.97</v>
      </c>
      <c r="L166" s="2">
        <v>6.29</v>
      </c>
      <c r="M166" s="2">
        <v>1.2</v>
      </c>
      <c r="N166" s="4">
        <v>9</v>
      </c>
    </row>
    <row r="167" spans="1:14" x14ac:dyDescent="0.35">
      <c r="A167" s="3">
        <v>2015</v>
      </c>
      <c r="B167" s="2">
        <v>5</v>
      </c>
      <c r="C167" s="2" t="s">
        <v>25</v>
      </c>
      <c r="D167" s="2" t="s">
        <v>29</v>
      </c>
      <c r="E167" s="2" t="s">
        <v>16</v>
      </c>
      <c r="F167" s="2" t="s">
        <v>17</v>
      </c>
      <c r="G167" s="2">
        <v>112463</v>
      </c>
      <c r="H167" s="2">
        <v>507</v>
      </c>
      <c r="I167" s="2">
        <v>239167</v>
      </c>
      <c r="J167" s="2">
        <v>234</v>
      </c>
      <c r="K167" s="2">
        <v>0.97</v>
      </c>
      <c r="L167" s="2">
        <v>6.29</v>
      </c>
      <c r="M167" s="2">
        <v>1.2</v>
      </c>
      <c r="N167" s="4">
        <v>1</v>
      </c>
    </row>
    <row r="168" spans="1:14" x14ac:dyDescent="0.35">
      <c r="A168" s="3">
        <v>2024</v>
      </c>
      <c r="B168" s="2">
        <v>3</v>
      </c>
      <c r="C168" s="2" t="s">
        <v>36</v>
      </c>
      <c r="D168" s="2" t="s">
        <v>39</v>
      </c>
      <c r="E168" s="2" t="s">
        <v>20</v>
      </c>
      <c r="F168" s="2" t="s">
        <v>17</v>
      </c>
      <c r="G168" s="2">
        <v>59594</v>
      </c>
      <c r="H168" s="2">
        <v>288</v>
      </c>
      <c r="I168" s="2">
        <v>456965</v>
      </c>
      <c r="J168" s="2">
        <v>82</v>
      </c>
      <c r="K168" s="2">
        <v>0.97</v>
      </c>
      <c r="L168" s="2">
        <v>6.29</v>
      </c>
      <c r="M168" s="2">
        <v>1.2</v>
      </c>
      <c r="N168" s="4">
        <v>1</v>
      </c>
    </row>
    <row r="169" spans="1:14" x14ac:dyDescent="0.35">
      <c r="A169" s="3">
        <v>2018</v>
      </c>
      <c r="B169" s="2">
        <v>3</v>
      </c>
      <c r="C169" s="2" t="s">
        <v>30</v>
      </c>
      <c r="D169" s="2" t="s">
        <v>34</v>
      </c>
      <c r="E169" s="2" t="s">
        <v>16</v>
      </c>
      <c r="F169" s="2" t="s">
        <v>20</v>
      </c>
      <c r="G169" s="2">
        <v>109852</v>
      </c>
      <c r="H169" s="2">
        <v>519</v>
      </c>
      <c r="I169" s="2">
        <v>375361</v>
      </c>
      <c r="J169" s="2">
        <v>258</v>
      </c>
      <c r="K169" s="2">
        <v>0.97</v>
      </c>
      <c r="L169" s="2">
        <v>6.29</v>
      </c>
      <c r="M169" s="2">
        <v>1.2</v>
      </c>
      <c r="N169" s="4">
        <v>9</v>
      </c>
    </row>
    <row r="170" spans="1:14" x14ac:dyDescent="0.35">
      <c r="A170" s="3">
        <v>2021</v>
      </c>
      <c r="B170" s="2">
        <v>4</v>
      </c>
      <c r="C170" s="2" t="s">
        <v>38</v>
      </c>
      <c r="D170" s="2" t="s">
        <v>34</v>
      </c>
      <c r="E170" s="2" t="s">
        <v>16</v>
      </c>
      <c r="F170" s="2" t="s">
        <v>17</v>
      </c>
      <c r="G170" s="2">
        <v>112713</v>
      </c>
      <c r="H170" s="2">
        <v>527</v>
      </c>
      <c r="I170" s="2">
        <v>139044</v>
      </c>
      <c r="J170" s="2">
        <v>100</v>
      </c>
      <c r="K170" s="2">
        <v>0.97</v>
      </c>
      <c r="L170" s="2">
        <v>6.29</v>
      </c>
      <c r="M170" s="2">
        <v>1.2</v>
      </c>
      <c r="N170" s="4">
        <v>6</v>
      </c>
    </row>
    <row r="171" spans="1:14" x14ac:dyDescent="0.35">
      <c r="A171" s="3">
        <v>2016</v>
      </c>
      <c r="B171" s="2">
        <v>12</v>
      </c>
      <c r="C171" s="2" t="s">
        <v>32</v>
      </c>
      <c r="D171" s="2" t="s">
        <v>31</v>
      </c>
      <c r="E171" s="2" t="s">
        <v>16</v>
      </c>
      <c r="F171" s="2" t="s">
        <v>27</v>
      </c>
      <c r="G171" s="2">
        <v>111382</v>
      </c>
      <c r="H171" s="2">
        <v>883</v>
      </c>
      <c r="I171" s="2">
        <v>321189</v>
      </c>
      <c r="J171" s="2">
        <v>225</v>
      </c>
      <c r="K171" s="2">
        <v>0.97</v>
      </c>
      <c r="L171" s="2">
        <v>6.29</v>
      </c>
      <c r="M171" s="2">
        <v>1.2</v>
      </c>
      <c r="N171" s="4">
        <v>4</v>
      </c>
    </row>
    <row r="172" spans="1:14" x14ac:dyDescent="0.35">
      <c r="A172" s="3">
        <v>2017</v>
      </c>
      <c r="B172" s="2">
        <v>2</v>
      </c>
      <c r="C172" s="2" t="s">
        <v>36</v>
      </c>
      <c r="D172" s="2" t="s">
        <v>24</v>
      </c>
      <c r="E172" s="2" t="s">
        <v>20</v>
      </c>
      <c r="F172" s="2" t="s">
        <v>17</v>
      </c>
      <c r="G172" s="2">
        <v>42933</v>
      </c>
      <c r="H172" s="2">
        <v>361</v>
      </c>
      <c r="I172" s="2">
        <v>332260</v>
      </c>
      <c r="J172" s="2">
        <v>99</v>
      </c>
      <c r="K172" s="2">
        <v>0.97</v>
      </c>
      <c r="L172" s="2">
        <v>6.29</v>
      </c>
      <c r="M172" s="2">
        <v>1.2</v>
      </c>
      <c r="N172" s="4">
        <v>7</v>
      </c>
    </row>
    <row r="173" spans="1:14" x14ac:dyDescent="0.35">
      <c r="A173" s="3">
        <v>2015</v>
      </c>
      <c r="B173" s="2">
        <v>2</v>
      </c>
      <c r="C173" s="2" t="s">
        <v>30</v>
      </c>
      <c r="D173" s="2" t="s">
        <v>29</v>
      </c>
      <c r="E173" s="2" t="s">
        <v>20</v>
      </c>
      <c r="F173" s="2" t="s">
        <v>27</v>
      </c>
      <c r="G173" s="2">
        <v>75696</v>
      </c>
      <c r="H173" s="2">
        <v>388</v>
      </c>
      <c r="I173" s="2">
        <v>68667</v>
      </c>
      <c r="J173" s="2">
        <v>38</v>
      </c>
      <c r="K173" s="2">
        <v>0.97</v>
      </c>
      <c r="L173" s="2">
        <v>6.29</v>
      </c>
      <c r="M173" s="2">
        <v>1.2</v>
      </c>
      <c r="N173" s="4">
        <v>5</v>
      </c>
    </row>
    <row r="174" spans="1:14" x14ac:dyDescent="0.35">
      <c r="A174" s="3">
        <v>2019</v>
      </c>
      <c r="B174" s="2">
        <v>1</v>
      </c>
      <c r="C174" s="2" t="s">
        <v>35</v>
      </c>
      <c r="D174" s="2" t="s">
        <v>18</v>
      </c>
      <c r="E174" s="2" t="s">
        <v>20</v>
      </c>
      <c r="F174" s="2" t="s">
        <v>17</v>
      </c>
      <c r="G174" s="2">
        <v>100449</v>
      </c>
      <c r="H174" s="2">
        <v>844</v>
      </c>
      <c r="I174" s="2">
        <v>387201</v>
      </c>
      <c r="J174" s="2">
        <v>314</v>
      </c>
      <c r="K174" s="2">
        <v>0.97</v>
      </c>
      <c r="L174" s="2">
        <v>6.29</v>
      </c>
      <c r="M174" s="2">
        <v>1.2</v>
      </c>
      <c r="N174" s="4">
        <v>10</v>
      </c>
    </row>
    <row r="175" spans="1:14" x14ac:dyDescent="0.35">
      <c r="A175" s="3">
        <v>2015</v>
      </c>
      <c r="B175" s="2">
        <v>5</v>
      </c>
      <c r="C175" s="2" t="s">
        <v>37</v>
      </c>
      <c r="D175" s="2" t="s">
        <v>24</v>
      </c>
      <c r="E175" s="2" t="s">
        <v>20</v>
      </c>
      <c r="F175" s="2" t="s">
        <v>23</v>
      </c>
      <c r="G175" s="2">
        <v>102616</v>
      </c>
      <c r="H175" s="2">
        <v>687</v>
      </c>
      <c r="I175" s="2">
        <v>124205</v>
      </c>
      <c r="J175" s="2">
        <v>229</v>
      </c>
      <c r="K175" s="2">
        <v>0.97</v>
      </c>
      <c r="L175" s="2">
        <v>6.29</v>
      </c>
      <c r="M175" s="2">
        <v>1.2</v>
      </c>
      <c r="N175" s="4">
        <v>7</v>
      </c>
    </row>
    <row r="176" spans="1:14" x14ac:dyDescent="0.35">
      <c r="A176" s="3">
        <v>2022</v>
      </c>
      <c r="B176" s="2">
        <v>4</v>
      </c>
      <c r="C176" s="2" t="s">
        <v>38</v>
      </c>
      <c r="D176" s="2" t="s">
        <v>26</v>
      </c>
      <c r="E176" s="2" t="s">
        <v>19</v>
      </c>
      <c r="F176" s="2" t="s">
        <v>20</v>
      </c>
      <c r="G176" s="2">
        <v>41089</v>
      </c>
      <c r="H176" s="2">
        <v>880</v>
      </c>
      <c r="I176" s="2">
        <v>77302</v>
      </c>
      <c r="J176" s="2">
        <v>337</v>
      </c>
      <c r="K176" s="2">
        <v>0.97</v>
      </c>
      <c r="L176" s="2">
        <v>6.29</v>
      </c>
      <c r="M176" s="2">
        <v>1.2</v>
      </c>
      <c r="N176" s="4">
        <v>8</v>
      </c>
    </row>
    <row r="177" spans="1:14" x14ac:dyDescent="0.35">
      <c r="A177" s="3">
        <v>2015</v>
      </c>
      <c r="B177" s="2">
        <v>11</v>
      </c>
      <c r="C177" s="2" t="s">
        <v>25</v>
      </c>
      <c r="D177" s="2" t="s">
        <v>34</v>
      </c>
      <c r="E177" s="2" t="s">
        <v>16</v>
      </c>
      <c r="F177" s="2" t="s">
        <v>20</v>
      </c>
      <c r="G177" s="2">
        <v>91548</v>
      </c>
      <c r="H177" s="2">
        <v>887</v>
      </c>
      <c r="I177" s="2">
        <v>454499</v>
      </c>
      <c r="J177" s="2">
        <v>224</v>
      </c>
      <c r="K177" s="2">
        <v>0.97</v>
      </c>
      <c r="L177" s="2">
        <v>6.29</v>
      </c>
      <c r="M177" s="2">
        <v>1.2</v>
      </c>
      <c r="N177" s="4">
        <v>8</v>
      </c>
    </row>
    <row r="178" spans="1:14" x14ac:dyDescent="0.35">
      <c r="A178" s="3">
        <v>2015</v>
      </c>
      <c r="B178" s="2">
        <v>10</v>
      </c>
      <c r="C178" s="2" t="s">
        <v>21</v>
      </c>
      <c r="D178" s="2" t="s">
        <v>26</v>
      </c>
      <c r="E178" s="2" t="s">
        <v>20</v>
      </c>
      <c r="F178" s="2" t="s">
        <v>23</v>
      </c>
      <c r="G178" s="2">
        <v>61123</v>
      </c>
      <c r="H178" s="2">
        <v>788</v>
      </c>
      <c r="I178" s="2">
        <v>212007</v>
      </c>
      <c r="J178" s="2">
        <v>230</v>
      </c>
      <c r="K178" s="2">
        <v>0.97</v>
      </c>
      <c r="L178" s="2">
        <v>6.29</v>
      </c>
      <c r="M178" s="2">
        <v>1.2</v>
      </c>
      <c r="N178" s="4">
        <v>1</v>
      </c>
    </row>
    <row r="179" spans="1:14" x14ac:dyDescent="0.35">
      <c r="A179" s="3">
        <v>2016</v>
      </c>
      <c r="B179" s="2">
        <v>2</v>
      </c>
      <c r="C179" s="2" t="s">
        <v>38</v>
      </c>
      <c r="D179" s="2" t="s">
        <v>22</v>
      </c>
      <c r="E179" s="2" t="s">
        <v>16</v>
      </c>
      <c r="F179" s="2" t="s">
        <v>23</v>
      </c>
      <c r="G179" s="2">
        <v>42797</v>
      </c>
      <c r="H179" s="2">
        <v>1026</v>
      </c>
      <c r="I179" s="2">
        <v>122534</v>
      </c>
      <c r="J179" s="2">
        <v>398</v>
      </c>
      <c r="K179" s="2">
        <v>0.97</v>
      </c>
      <c r="L179" s="2">
        <v>6.29</v>
      </c>
      <c r="M179" s="2">
        <v>1.2</v>
      </c>
      <c r="N179" s="4">
        <v>8</v>
      </c>
    </row>
    <row r="180" spans="1:14" x14ac:dyDescent="0.35">
      <c r="A180" s="3">
        <v>2016</v>
      </c>
      <c r="B180" s="2">
        <v>3</v>
      </c>
      <c r="C180" s="2" t="s">
        <v>14</v>
      </c>
      <c r="D180" s="2" t="s">
        <v>15</v>
      </c>
      <c r="E180" s="2" t="s">
        <v>16</v>
      </c>
      <c r="F180" s="2" t="s">
        <v>20</v>
      </c>
      <c r="G180" s="2">
        <v>85013</v>
      </c>
      <c r="H180" s="2">
        <v>347</v>
      </c>
      <c r="I180" s="2">
        <v>275414</v>
      </c>
      <c r="J180" s="2">
        <v>51</v>
      </c>
      <c r="K180" s="2">
        <v>0.97</v>
      </c>
      <c r="L180" s="2">
        <v>6.29</v>
      </c>
      <c r="M180" s="2">
        <v>1.2</v>
      </c>
      <c r="N180" s="4">
        <v>6</v>
      </c>
    </row>
    <row r="181" spans="1:14" x14ac:dyDescent="0.35">
      <c r="A181" s="3">
        <v>2020</v>
      </c>
      <c r="B181" s="2">
        <v>7</v>
      </c>
      <c r="C181" s="2" t="s">
        <v>30</v>
      </c>
      <c r="D181" s="2" t="s">
        <v>33</v>
      </c>
      <c r="E181" s="2" t="s">
        <v>19</v>
      </c>
      <c r="F181" s="2" t="s">
        <v>23</v>
      </c>
      <c r="G181" s="2">
        <v>43346</v>
      </c>
      <c r="H181" s="2">
        <v>386</v>
      </c>
      <c r="I181" s="2">
        <v>212696</v>
      </c>
      <c r="J181" s="2">
        <v>144</v>
      </c>
      <c r="K181" s="2">
        <v>0.97</v>
      </c>
      <c r="L181" s="2">
        <v>6.29</v>
      </c>
      <c r="M181" s="2">
        <v>1.2</v>
      </c>
      <c r="N181" s="4">
        <v>4</v>
      </c>
    </row>
    <row r="182" spans="1:14" x14ac:dyDescent="0.35">
      <c r="A182" s="3">
        <v>2021</v>
      </c>
      <c r="B182" s="2">
        <v>7</v>
      </c>
      <c r="C182" s="2" t="s">
        <v>28</v>
      </c>
      <c r="D182" s="2" t="s">
        <v>29</v>
      </c>
      <c r="E182" s="2" t="s">
        <v>20</v>
      </c>
      <c r="F182" s="2" t="s">
        <v>27</v>
      </c>
      <c r="G182" s="2">
        <v>68672</v>
      </c>
      <c r="H182" s="2">
        <v>187</v>
      </c>
      <c r="I182" s="2">
        <v>63440</v>
      </c>
      <c r="J182" s="2">
        <v>51</v>
      </c>
      <c r="K182" s="2">
        <v>0.97</v>
      </c>
      <c r="L182" s="2">
        <v>6.29</v>
      </c>
      <c r="M182" s="2">
        <v>1.2</v>
      </c>
      <c r="N182" s="4">
        <v>8</v>
      </c>
    </row>
    <row r="183" spans="1:14" x14ac:dyDescent="0.35">
      <c r="A183" s="3">
        <v>2019</v>
      </c>
      <c r="B183" s="2">
        <v>12</v>
      </c>
      <c r="C183" s="2" t="s">
        <v>35</v>
      </c>
      <c r="D183" s="2" t="s">
        <v>24</v>
      </c>
      <c r="E183" s="2" t="s">
        <v>20</v>
      </c>
      <c r="F183" s="2" t="s">
        <v>17</v>
      </c>
      <c r="G183" s="2">
        <v>52653</v>
      </c>
      <c r="H183" s="2">
        <v>599</v>
      </c>
      <c r="I183" s="2">
        <v>423145</v>
      </c>
      <c r="J183" s="2">
        <v>173</v>
      </c>
      <c r="K183" s="2">
        <v>0.97</v>
      </c>
      <c r="L183" s="2">
        <v>6.29</v>
      </c>
      <c r="M183" s="2">
        <v>1.2</v>
      </c>
      <c r="N183" s="4">
        <v>3</v>
      </c>
    </row>
    <row r="184" spans="1:14" x14ac:dyDescent="0.35">
      <c r="A184" s="3">
        <v>2015</v>
      </c>
      <c r="B184" s="2">
        <v>4</v>
      </c>
      <c r="C184" s="2" t="s">
        <v>37</v>
      </c>
      <c r="D184" s="2" t="s">
        <v>34</v>
      </c>
      <c r="E184" s="2" t="s">
        <v>16</v>
      </c>
      <c r="F184" s="2" t="s">
        <v>20</v>
      </c>
      <c r="G184" s="2">
        <v>84556</v>
      </c>
      <c r="H184" s="2">
        <v>815</v>
      </c>
      <c r="I184" s="2">
        <v>358645</v>
      </c>
      <c r="J184" s="2">
        <v>370</v>
      </c>
      <c r="K184" s="2">
        <v>0.97</v>
      </c>
      <c r="L184" s="2">
        <v>6.29</v>
      </c>
      <c r="M184" s="2">
        <v>1.2</v>
      </c>
      <c r="N184" s="4">
        <v>4</v>
      </c>
    </row>
    <row r="185" spans="1:14" x14ac:dyDescent="0.35">
      <c r="A185" s="3">
        <v>2015</v>
      </c>
      <c r="B185" s="2">
        <v>5</v>
      </c>
      <c r="C185" s="2" t="s">
        <v>35</v>
      </c>
      <c r="D185" s="2" t="s">
        <v>26</v>
      </c>
      <c r="E185" s="2" t="s">
        <v>20</v>
      </c>
      <c r="F185" s="2" t="s">
        <v>23</v>
      </c>
      <c r="G185" s="2">
        <v>61140</v>
      </c>
      <c r="H185" s="2">
        <v>1044</v>
      </c>
      <c r="I185" s="2">
        <v>444485</v>
      </c>
      <c r="J185" s="2">
        <v>292</v>
      </c>
      <c r="K185" s="2">
        <v>0.97</v>
      </c>
      <c r="L185" s="2">
        <v>6.29</v>
      </c>
      <c r="M185" s="2">
        <v>1.2</v>
      </c>
      <c r="N185" s="4">
        <v>6</v>
      </c>
    </row>
    <row r="186" spans="1:14" x14ac:dyDescent="0.35">
      <c r="A186" s="3">
        <v>2017</v>
      </c>
      <c r="B186" s="2">
        <v>5</v>
      </c>
      <c r="C186" s="2" t="s">
        <v>38</v>
      </c>
      <c r="D186" s="2" t="s">
        <v>39</v>
      </c>
      <c r="E186" s="2" t="s">
        <v>16</v>
      </c>
      <c r="F186" s="2" t="s">
        <v>27</v>
      </c>
      <c r="G186" s="2">
        <v>36184</v>
      </c>
      <c r="H186" s="2">
        <v>536</v>
      </c>
      <c r="I186" s="2">
        <v>320012</v>
      </c>
      <c r="J186" s="2">
        <v>67</v>
      </c>
      <c r="K186" s="2">
        <v>0.97</v>
      </c>
      <c r="L186" s="2">
        <v>6.29</v>
      </c>
      <c r="M186" s="2">
        <v>1.2</v>
      </c>
      <c r="N186" s="4">
        <v>7</v>
      </c>
    </row>
    <row r="187" spans="1:14" x14ac:dyDescent="0.35">
      <c r="A187" s="3">
        <v>2016</v>
      </c>
      <c r="B187" s="2">
        <v>6</v>
      </c>
      <c r="C187" s="2" t="s">
        <v>28</v>
      </c>
      <c r="D187" s="2" t="s">
        <v>22</v>
      </c>
      <c r="E187" s="2" t="s">
        <v>16</v>
      </c>
      <c r="F187" s="2" t="s">
        <v>20</v>
      </c>
      <c r="G187" s="2">
        <v>69493</v>
      </c>
      <c r="H187" s="2">
        <v>967</v>
      </c>
      <c r="I187" s="2">
        <v>211323</v>
      </c>
      <c r="J187" s="2">
        <v>311</v>
      </c>
      <c r="K187" s="2">
        <v>0.97</v>
      </c>
      <c r="L187" s="2">
        <v>6.29</v>
      </c>
      <c r="M187" s="2">
        <v>1.2</v>
      </c>
      <c r="N187" s="4">
        <v>4</v>
      </c>
    </row>
    <row r="188" spans="1:14" x14ac:dyDescent="0.35">
      <c r="A188" s="3">
        <v>2019</v>
      </c>
      <c r="B188" s="2">
        <v>9</v>
      </c>
      <c r="C188" s="2" t="s">
        <v>14</v>
      </c>
      <c r="D188" s="2" t="s">
        <v>33</v>
      </c>
      <c r="E188" s="2" t="s">
        <v>19</v>
      </c>
      <c r="F188" s="2" t="s">
        <v>23</v>
      </c>
      <c r="G188" s="2">
        <v>79148</v>
      </c>
      <c r="H188" s="2">
        <v>744</v>
      </c>
      <c r="I188" s="2">
        <v>390053</v>
      </c>
      <c r="J188" s="2">
        <v>331</v>
      </c>
      <c r="K188" s="2">
        <v>0.97</v>
      </c>
      <c r="L188" s="2">
        <v>6.29</v>
      </c>
      <c r="M188" s="2">
        <v>1.2</v>
      </c>
      <c r="N188" s="4">
        <v>4</v>
      </c>
    </row>
    <row r="189" spans="1:14" x14ac:dyDescent="0.35">
      <c r="A189" s="3">
        <v>2024</v>
      </c>
      <c r="B189" s="2">
        <v>2</v>
      </c>
      <c r="C189" s="2" t="s">
        <v>32</v>
      </c>
      <c r="D189" s="2" t="s">
        <v>33</v>
      </c>
      <c r="E189" s="2" t="s">
        <v>19</v>
      </c>
      <c r="F189" s="2" t="s">
        <v>20</v>
      </c>
      <c r="G189" s="2">
        <v>59846</v>
      </c>
      <c r="H189" s="2">
        <v>341</v>
      </c>
      <c r="I189" s="2">
        <v>134523</v>
      </c>
      <c r="J189" s="2">
        <v>34</v>
      </c>
      <c r="K189" s="2">
        <v>0.97</v>
      </c>
      <c r="L189" s="2">
        <v>6.29</v>
      </c>
      <c r="M189" s="2">
        <v>1.2</v>
      </c>
      <c r="N189" s="4">
        <v>7</v>
      </c>
    </row>
    <row r="190" spans="1:14" x14ac:dyDescent="0.35">
      <c r="A190" s="3">
        <v>2020</v>
      </c>
      <c r="B190" s="2">
        <v>5</v>
      </c>
      <c r="C190" s="2" t="s">
        <v>21</v>
      </c>
      <c r="D190" s="2" t="s">
        <v>24</v>
      </c>
      <c r="E190" s="2" t="s">
        <v>19</v>
      </c>
      <c r="F190" s="2" t="s">
        <v>23</v>
      </c>
      <c r="G190" s="2">
        <v>57195</v>
      </c>
      <c r="H190" s="2">
        <v>511</v>
      </c>
      <c r="I190" s="2">
        <v>219801</v>
      </c>
      <c r="J190" s="2">
        <v>82</v>
      </c>
      <c r="K190" s="2">
        <v>0.97</v>
      </c>
      <c r="L190" s="2">
        <v>6.29</v>
      </c>
      <c r="M190" s="2">
        <v>1.2</v>
      </c>
      <c r="N190" s="4">
        <v>6</v>
      </c>
    </row>
    <row r="191" spans="1:14" x14ac:dyDescent="0.35">
      <c r="A191" s="3">
        <v>2021</v>
      </c>
      <c r="B191" s="2">
        <v>12</v>
      </c>
      <c r="C191" s="2" t="s">
        <v>28</v>
      </c>
      <c r="D191" s="2" t="s">
        <v>29</v>
      </c>
      <c r="E191" s="2" t="s">
        <v>16</v>
      </c>
      <c r="F191" s="2" t="s">
        <v>20</v>
      </c>
      <c r="G191" s="2">
        <v>40606</v>
      </c>
      <c r="H191" s="2">
        <v>790</v>
      </c>
      <c r="I191" s="2">
        <v>65734</v>
      </c>
      <c r="J191" s="2">
        <v>382</v>
      </c>
      <c r="K191" s="2">
        <v>0.97</v>
      </c>
      <c r="L191" s="2">
        <v>6.29</v>
      </c>
      <c r="M191" s="2">
        <v>1.2</v>
      </c>
      <c r="N191" s="4">
        <v>8</v>
      </c>
    </row>
    <row r="192" spans="1:14" x14ac:dyDescent="0.35">
      <c r="A192" s="3">
        <v>2018</v>
      </c>
      <c r="B192" s="2">
        <v>3</v>
      </c>
      <c r="C192" s="2" t="s">
        <v>30</v>
      </c>
      <c r="D192" s="2" t="s">
        <v>18</v>
      </c>
      <c r="E192" s="2" t="s">
        <v>20</v>
      </c>
      <c r="F192" s="2" t="s">
        <v>27</v>
      </c>
      <c r="G192" s="2">
        <v>38956</v>
      </c>
      <c r="H192" s="2">
        <v>457</v>
      </c>
      <c r="I192" s="2">
        <v>223501</v>
      </c>
      <c r="J192" s="2">
        <v>138</v>
      </c>
      <c r="K192" s="2">
        <v>0.97</v>
      </c>
      <c r="L192" s="2">
        <v>6.29</v>
      </c>
      <c r="M192" s="2">
        <v>1.2</v>
      </c>
      <c r="N192" s="4">
        <v>1</v>
      </c>
    </row>
    <row r="193" spans="1:14" x14ac:dyDescent="0.35">
      <c r="A193" s="3">
        <v>2021</v>
      </c>
      <c r="B193" s="2">
        <v>4</v>
      </c>
      <c r="C193" s="2" t="s">
        <v>25</v>
      </c>
      <c r="D193" s="2" t="s">
        <v>39</v>
      </c>
      <c r="E193" s="2" t="s">
        <v>19</v>
      </c>
      <c r="F193" s="2" t="s">
        <v>27</v>
      </c>
      <c r="G193" s="2">
        <v>51555</v>
      </c>
      <c r="H193" s="2">
        <v>245</v>
      </c>
      <c r="I193" s="2">
        <v>222409</v>
      </c>
      <c r="J193" s="2">
        <v>96</v>
      </c>
      <c r="K193" s="2">
        <v>0.97</v>
      </c>
      <c r="L193" s="2">
        <v>6.29</v>
      </c>
      <c r="M193" s="2">
        <v>1.2</v>
      </c>
      <c r="N193" s="4">
        <v>10</v>
      </c>
    </row>
    <row r="194" spans="1:14" x14ac:dyDescent="0.35">
      <c r="A194" s="3">
        <v>2022</v>
      </c>
      <c r="B194" s="2">
        <v>10</v>
      </c>
      <c r="C194" s="2" t="s">
        <v>14</v>
      </c>
      <c r="D194" s="2" t="s">
        <v>24</v>
      </c>
      <c r="E194" s="2" t="s">
        <v>20</v>
      </c>
      <c r="F194" s="2" t="s">
        <v>17</v>
      </c>
      <c r="G194" s="2">
        <v>53690</v>
      </c>
      <c r="H194" s="2">
        <v>818</v>
      </c>
      <c r="I194" s="2">
        <v>483541</v>
      </c>
      <c r="J194" s="2">
        <v>339</v>
      </c>
      <c r="K194" s="2">
        <v>0.97</v>
      </c>
      <c r="L194" s="2">
        <v>6.29</v>
      </c>
      <c r="M194" s="2">
        <v>1.2</v>
      </c>
      <c r="N194" s="4">
        <v>7</v>
      </c>
    </row>
    <row r="195" spans="1:14" x14ac:dyDescent="0.35">
      <c r="A195" s="3">
        <v>2015</v>
      </c>
      <c r="B195" s="2">
        <v>6</v>
      </c>
      <c r="C195" s="2" t="s">
        <v>21</v>
      </c>
      <c r="D195" s="2" t="s">
        <v>26</v>
      </c>
      <c r="E195" s="2" t="s">
        <v>19</v>
      </c>
      <c r="F195" s="2" t="s">
        <v>20</v>
      </c>
      <c r="G195" s="2">
        <v>93502</v>
      </c>
      <c r="H195" s="2">
        <v>596</v>
      </c>
      <c r="I195" s="2">
        <v>395744</v>
      </c>
      <c r="J195" s="2">
        <v>162</v>
      </c>
      <c r="K195" s="2">
        <v>0.97</v>
      </c>
      <c r="L195" s="2">
        <v>6.29</v>
      </c>
      <c r="M195" s="2">
        <v>1.2</v>
      </c>
      <c r="N195" s="4">
        <v>7</v>
      </c>
    </row>
    <row r="196" spans="1:14" x14ac:dyDescent="0.35">
      <c r="A196" s="3">
        <v>2020</v>
      </c>
      <c r="B196" s="2">
        <v>12</v>
      </c>
      <c r="C196" s="2" t="s">
        <v>37</v>
      </c>
      <c r="D196" s="2" t="s">
        <v>15</v>
      </c>
      <c r="E196" s="2" t="s">
        <v>19</v>
      </c>
      <c r="F196" s="2" t="s">
        <v>17</v>
      </c>
      <c r="G196" s="2">
        <v>83849</v>
      </c>
      <c r="H196" s="2">
        <v>396</v>
      </c>
      <c r="I196" s="2">
        <v>320577</v>
      </c>
      <c r="J196" s="2">
        <v>191</v>
      </c>
      <c r="K196" s="2">
        <v>0.97</v>
      </c>
      <c r="L196" s="2">
        <v>6.29</v>
      </c>
      <c r="M196" s="2">
        <v>1.2</v>
      </c>
      <c r="N196" s="4">
        <v>7</v>
      </c>
    </row>
    <row r="197" spans="1:14" x14ac:dyDescent="0.35">
      <c r="A197" s="3">
        <v>2022</v>
      </c>
      <c r="B197" s="2">
        <v>8</v>
      </c>
      <c r="C197" s="2" t="s">
        <v>25</v>
      </c>
      <c r="D197" s="2" t="s">
        <v>31</v>
      </c>
      <c r="E197" s="2" t="s">
        <v>16</v>
      </c>
      <c r="F197" s="2" t="s">
        <v>20</v>
      </c>
      <c r="G197" s="2">
        <v>61347</v>
      </c>
      <c r="H197" s="2">
        <v>523</v>
      </c>
      <c r="I197" s="2">
        <v>190183</v>
      </c>
      <c r="J197" s="2">
        <v>134</v>
      </c>
      <c r="K197" s="2">
        <v>0.97</v>
      </c>
      <c r="L197" s="2">
        <v>6.29</v>
      </c>
      <c r="M197" s="2">
        <v>1.2</v>
      </c>
      <c r="N197" s="4">
        <v>7</v>
      </c>
    </row>
    <row r="198" spans="1:14" x14ac:dyDescent="0.35">
      <c r="A198" s="3">
        <v>2019</v>
      </c>
      <c r="B198" s="2">
        <v>1</v>
      </c>
      <c r="C198" s="2" t="s">
        <v>38</v>
      </c>
      <c r="D198" s="2" t="s">
        <v>18</v>
      </c>
      <c r="E198" s="2" t="s">
        <v>19</v>
      </c>
      <c r="F198" s="2" t="s">
        <v>23</v>
      </c>
      <c r="G198" s="2">
        <v>84056</v>
      </c>
      <c r="H198" s="2">
        <v>419</v>
      </c>
      <c r="I198" s="2">
        <v>153986</v>
      </c>
      <c r="J198" s="2">
        <v>76</v>
      </c>
      <c r="K198" s="2">
        <v>0.97</v>
      </c>
      <c r="L198" s="2">
        <v>6.29</v>
      </c>
      <c r="M198" s="2">
        <v>1.2</v>
      </c>
      <c r="N198" s="4">
        <v>10</v>
      </c>
    </row>
    <row r="199" spans="1:14" x14ac:dyDescent="0.35">
      <c r="A199" s="3">
        <v>2018</v>
      </c>
      <c r="B199" s="2">
        <v>10</v>
      </c>
      <c r="C199" s="2" t="s">
        <v>28</v>
      </c>
      <c r="D199" s="2" t="s">
        <v>29</v>
      </c>
      <c r="E199" s="2" t="s">
        <v>19</v>
      </c>
      <c r="F199" s="2" t="s">
        <v>23</v>
      </c>
      <c r="G199" s="2">
        <v>98851</v>
      </c>
      <c r="H199" s="2">
        <v>173</v>
      </c>
      <c r="I199" s="2">
        <v>375897</v>
      </c>
      <c r="J199" s="2">
        <v>15</v>
      </c>
      <c r="K199" s="2">
        <v>0.97</v>
      </c>
      <c r="L199" s="2">
        <v>6.29</v>
      </c>
      <c r="M199" s="2">
        <v>1.2</v>
      </c>
      <c r="N199" s="4">
        <v>10</v>
      </c>
    </row>
    <row r="200" spans="1:14" x14ac:dyDescent="0.35">
      <c r="A200" s="3">
        <v>2016</v>
      </c>
      <c r="B200" s="2">
        <v>8</v>
      </c>
      <c r="C200" s="2" t="s">
        <v>21</v>
      </c>
      <c r="D200" s="2" t="s">
        <v>22</v>
      </c>
      <c r="E200" s="2" t="s">
        <v>16</v>
      </c>
      <c r="F200" s="2" t="s">
        <v>17</v>
      </c>
      <c r="G200" s="2">
        <v>116502</v>
      </c>
      <c r="H200" s="2">
        <v>393</v>
      </c>
      <c r="I200" s="2">
        <v>163783</v>
      </c>
      <c r="J200" s="2">
        <v>134</v>
      </c>
      <c r="K200" s="2">
        <v>0.97</v>
      </c>
      <c r="L200" s="2">
        <v>6.29</v>
      </c>
      <c r="M200" s="2">
        <v>1.2</v>
      </c>
      <c r="N200" s="4">
        <v>8</v>
      </c>
    </row>
    <row r="201" spans="1:14" x14ac:dyDescent="0.35">
      <c r="A201" s="3">
        <v>2020</v>
      </c>
      <c r="B201" s="2">
        <v>11</v>
      </c>
      <c r="C201" s="2" t="s">
        <v>36</v>
      </c>
      <c r="D201" s="2" t="s">
        <v>18</v>
      </c>
      <c r="E201" s="2" t="s">
        <v>20</v>
      </c>
      <c r="F201" s="2" t="s">
        <v>20</v>
      </c>
      <c r="G201" s="2">
        <v>116418</v>
      </c>
      <c r="H201" s="2">
        <v>654</v>
      </c>
      <c r="I201" s="2">
        <v>261655</v>
      </c>
      <c r="J201" s="2">
        <v>323</v>
      </c>
      <c r="K201" s="2">
        <v>0.97</v>
      </c>
      <c r="L201" s="2">
        <v>6.29</v>
      </c>
      <c r="M201" s="2">
        <v>1.2</v>
      </c>
      <c r="N201" s="4">
        <v>9</v>
      </c>
    </row>
    <row r="202" spans="1:14" x14ac:dyDescent="0.35">
      <c r="A202" s="3">
        <v>2020</v>
      </c>
      <c r="B202" s="2">
        <v>7</v>
      </c>
      <c r="C202" s="2" t="s">
        <v>32</v>
      </c>
      <c r="D202" s="2" t="s">
        <v>34</v>
      </c>
      <c r="E202" s="2" t="s">
        <v>19</v>
      </c>
      <c r="F202" s="2" t="s">
        <v>17</v>
      </c>
      <c r="G202" s="2">
        <v>105211</v>
      </c>
      <c r="H202" s="2">
        <v>773</v>
      </c>
      <c r="I202" s="2">
        <v>333895</v>
      </c>
      <c r="J202" s="2">
        <v>335</v>
      </c>
      <c r="K202" s="2">
        <v>0.97</v>
      </c>
      <c r="L202" s="2">
        <v>6.29</v>
      </c>
      <c r="M202" s="2">
        <v>1.2</v>
      </c>
      <c r="N202" s="4">
        <v>9</v>
      </c>
    </row>
    <row r="203" spans="1:14" x14ac:dyDescent="0.35">
      <c r="A203" s="3">
        <v>2015</v>
      </c>
      <c r="B203" s="2">
        <v>1</v>
      </c>
      <c r="C203" s="2" t="s">
        <v>32</v>
      </c>
      <c r="D203" s="2" t="s">
        <v>29</v>
      </c>
      <c r="E203" s="2" t="s">
        <v>16</v>
      </c>
      <c r="F203" s="2" t="s">
        <v>27</v>
      </c>
      <c r="G203" s="2">
        <v>76850</v>
      </c>
      <c r="H203" s="2">
        <v>211</v>
      </c>
      <c r="I203" s="2">
        <v>197525</v>
      </c>
      <c r="J203" s="2">
        <v>62</v>
      </c>
      <c r="K203" s="2">
        <v>0.97</v>
      </c>
      <c r="L203" s="2">
        <v>6.29</v>
      </c>
      <c r="M203" s="2">
        <v>1.2</v>
      </c>
      <c r="N203" s="4">
        <v>2</v>
      </c>
    </row>
    <row r="204" spans="1:14" x14ac:dyDescent="0.35">
      <c r="A204" s="3">
        <v>2023</v>
      </c>
      <c r="B204" s="2">
        <v>2</v>
      </c>
      <c r="C204" s="2" t="s">
        <v>14</v>
      </c>
      <c r="D204" s="2" t="s">
        <v>15</v>
      </c>
      <c r="E204" s="2" t="s">
        <v>19</v>
      </c>
      <c r="F204" s="2" t="s">
        <v>17</v>
      </c>
      <c r="G204" s="2">
        <v>113545</v>
      </c>
      <c r="H204" s="2">
        <v>375</v>
      </c>
      <c r="I204" s="2">
        <v>266916</v>
      </c>
      <c r="J204" s="2">
        <v>75</v>
      </c>
      <c r="K204" s="2">
        <v>0.97</v>
      </c>
      <c r="L204" s="2">
        <v>6.29</v>
      </c>
      <c r="M204" s="2">
        <v>1.2</v>
      </c>
      <c r="N204" s="4">
        <v>7</v>
      </c>
    </row>
    <row r="205" spans="1:14" x14ac:dyDescent="0.35">
      <c r="A205" s="3">
        <v>2020</v>
      </c>
      <c r="B205" s="2">
        <v>3</v>
      </c>
      <c r="C205" s="2" t="s">
        <v>37</v>
      </c>
      <c r="D205" s="2" t="s">
        <v>34</v>
      </c>
      <c r="E205" s="2" t="s">
        <v>16</v>
      </c>
      <c r="F205" s="2" t="s">
        <v>17</v>
      </c>
      <c r="G205" s="2">
        <v>62843</v>
      </c>
      <c r="H205" s="2">
        <v>975</v>
      </c>
      <c r="I205" s="2">
        <v>482184</v>
      </c>
      <c r="J205" s="2">
        <v>323</v>
      </c>
      <c r="K205" s="2">
        <v>0.97</v>
      </c>
      <c r="L205" s="2">
        <v>6.29</v>
      </c>
      <c r="M205" s="2">
        <v>1.2</v>
      </c>
      <c r="N205" s="4">
        <v>7</v>
      </c>
    </row>
    <row r="206" spans="1:14" x14ac:dyDescent="0.35">
      <c r="A206" s="3">
        <v>2017</v>
      </c>
      <c r="B206" s="2">
        <v>1</v>
      </c>
      <c r="C206" s="2" t="s">
        <v>14</v>
      </c>
      <c r="D206" s="2" t="s">
        <v>18</v>
      </c>
      <c r="E206" s="2" t="s">
        <v>20</v>
      </c>
      <c r="F206" s="2" t="s">
        <v>23</v>
      </c>
      <c r="G206" s="2">
        <v>97320</v>
      </c>
      <c r="H206" s="2">
        <v>396</v>
      </c>
      <c r="I206" s="2">
        <v>211149</v>
      </c>
      <c r="J206" s="2">
        <v>91</v>
      </c>
      <c r="K206" s="2">
        <v>0.97</v>
      </c>
      <c r="L206" s="2">
        <v>6.29</v>
      </c>
      <c r="M206" s="2">
        <v>1.2</v>
      </c>
      <c r="N206" s="4">
        <v>4</v>
      </c>
    </row>
    <row r="207" spans="1:14" x14ac:dyDescent="0.35">
      <c r="A207" s="3">
        <v>2018</v>
      </c>
      <c r="B207" s="2">
        <v>9</v>
      </c>
      <c r="C207" s="2" t="s">
        <v>36</v>
      </c>
      <c r="D207" s="2" t="s">
        <v>31</v>
      </c>
      <c r="E207" s="2" t="s">
        <v>20</v>
      </c>
      <c r="F207" s="2" t="s">
        <v>17</v>
      </c>
      <c r="G207" s="2">
        <v>64793</v>
      </c>
      <c r="H207" s="2">
        <v>500</v>
      </c>
      <c r="I207" s="2">
        <v>289654</v>
      </c>
      <c r="J207" s="2">
        <v>96</v>
      </c>
      <c r="K207" s="2">
        <v>0.97</v>
      </c>
      <c r="L207" s="2">
        <v>6.29</v>
      </c>
      <c r="M207" s="2">
        <v>1.2</v>
      </c>
      <c r="N207" s="4">
        <v>9</v>
      </c>
    </row>
    <row r="208" spans="1:14" x14ac:dyDescent="0.35">
      <c r="A208" s="3">
        <v>2018</v>
      </c>
      <c r="B208" s="2">
        <v>8</v>
      </c>
      <c r="C208" s="2" t="s">
        <v>30</v>
      </c>
      <c r="D208" s="2" t="s">
        <v>31</v>
      </c>
      <c r="E208" s="2" t="s">
        <v>16</v>
      </c>
      <c r="F208" s="2" t="s">
        <v>20</v>
      </c>
      <c r="G208" s="2">
        <v>74516</v>
      </c>
      <c r="H208" s="2">
        <v>142</v>
      </c>
      <c r="I208" s="2">
        <v>477991</v>
      </c>
      <c r="J208" s="2">
        <v>11</v>
      </c>
      <c r="K208" s="2">
        <v>0.97</v>
      </c>
      <c r="L208" s="2">
        <v>6.29</v>
      </c>
      <c r="M208" s="2">
        <v>1.2</v>
      </c>
      <c r="N208" s="4">
        <v>8</v>
      </c>
    </row>
    <row r="209" spans="1:14" x14ac:dyDescent="0.35">
      <c r="A209" s="3">
        <v>2017</v>
      </c>
      <c r="B209" s="2">
        <v>2</v>
      </c>
      <c r="C209" s="2" t="s">
        <v>37</v>
      </c>
      <c r="D209" s="2" t="s">
        <v>15</v>
      </c>
      <c r="E209" s="2" t="s">
        <v>16</v>
      </c>
      <c r="F209" s="2" t="s">
        <v>23</v>
      </c>
      <c r="G209" s="2">
        <v>52857</v>
      </c>
      <c r="H209" s="2">
        <v>523</v>
      </c>
      <c r="I209" s="2">
        <v>239216</v>
      </c>
      <c r="J209" s="2">
        <v>213</v>
      </c>
      <c r="K209" s="2">
        <v>0.97</v>
      </c>
      <c r="L209" s="2">
        <v>6.29</v>
      </c>
      <c r="M209" s="2">
        <v>1.2</v>
      </c>
      <c r="N209" s="4">
        <v>1</v>
      </c>
    </row>
    <row r="210" spans="1:14" x14ac:dyDescent="0.35">
      <c r="A210" s="3">
        <v>2024</v>
      </c>
      <c r="B210" s="2">
        <v>9</v>
      </c>
      <c r="C210" s="2" t="s">
        <v>35</v>
      </c>
      <c r="D210" s="2" t="s">
        <v>33</v>
      </c>
      <c r="E210" s="2" t="s">
        <v>16</v>
      </c>
      <c r="F210" s="2" t="s">
        <v>17</v>
      </c>
      <c r="G210" s="2">
        <v>54627</v>
      </c>
      <c r="H210" s="2">
        <v>697</v>
      </c>
      <c r="I210" s="2">
        <v>360714</v>
      </c>
      <c r="J210" s="2">
        <v>159</v>
      </c>
      <c r="K210" s="2">
        <v>0.97</v>
      </c>
      <c r="L210" s="2">
        <v>6.29</v>
      </c>
      <c r="M210" s="2">
        <v>1.2</v>
      </c>
      <c r="N210" s="4">
        <v>2</v>
      </c>
    </row>
    <row r="211" spans="1:14" x14ac:dyDescent="0.35">
      <c r="A211" s="3">
        <v>2017</v>
      </c>
      <c r="B211" s="2">
        <v>7</v>
      </c>
      <c r="C211" s="2" t="s">
        <v>30</v>
      </c>
      <c r="D211" s="2" t="s">
        <v>39</v>
      </c>
      <c r="E211" s="2" t="s">
        <v>20</v>
      </c>
      <c r="F211" s="2" t="s">
        <v>27</v>
      </c>
      <c r="G211" s="2">
        <v>96822</v>
      </c>
      <c r="H211" s="2">
        <v>941</v>
      </c>
      <c r="I211" s="2">
        <v>227169</v>
      </c>
      <c r="J211" s="2">
        <v>302</v>
      </c>
      <c r="K211" s="2">
        <v>0.97</v>
      </c>
      <c r="L211" s="2">
        <v>6.29</v>
      </c>
      <c r="M211" s="2">
        <v>1.2</v>
      </c>
      <c r="N211" s="4">
        <v>2</v>
      </c>
    </row>
    <row r="212" spans="1:14" x14ac:dyDescent="0.35">
      <c r="A212" s="3">
        <v>2017</v>
      </c>
      <c r="B212" s="2">
        <v>9</v>
      </c>
      <c r="C212" s="2" t="s">
        <v>37</v>
      </c>
      <c r="D212" s="2" t="s">
        <v>22</v>
      </c>
      <c r="E212" s="2" t="s">
        <v>19</v>
      </c>
      <c r="F212" s="2" t="s">
        <v>17</v>
      </c>
      <c r="G212" s="2">
        <v>119101</v>
      </c>
      <c r="H212" s="2">
        <v>446</v>
      </c>
      <c r="I212" s="2">
        <v>336647</v>
      </c>
      <c r="J212" s="2">
        <v>112</v>
      </c>
      <c r="K212" s="2">
        <v>0.97</v>
      </c>
      <c r="L212" s="2">
        <v>6.29</v>
      </c>
      <c r="M212" s="2">
        <v>1.2</v>
      </c>
      <c r="N212" s="4">
        <v>8</v>
      </c>
    </row>
    <row r="213" spans="1:14" x14ac:dyDescent="0.35">
      <c r="A213" s="3">
        <v>2018</v>
      </c>
      <c r="B213" s="2">
        <v>6</v>
      </c>
      <c r="C213" s="2" t="s">
        <v>37</v>
      </c>
      <c r="D213" s="2" t="s">
        <v>33</v>
      </c>
      <c r="E213" s="2" t="s">
        <v>20</v>
      </c>
      <c r="F213" s="2" t="s">
        <v>17</v>
      </c>
      <c r="G213" s="2">
        <v>87248</v>
      </c>
      <c r="H213" s="2">
        <v>477</v>
      </c>
      <c r="I213" s="2">
        <v>183851</v>
      </c>
      <c r="J213" s="2">
        <v>33</v>
      </c>
      <c r="K213" s="2">
        <v>0.97</v>
      </c>
      <c r="L213" s="2">
        <v>6.29</v>
      </c>
      <c r="M213" s="2">
        <v>1.2</v>
      </c>
      <c r="N213" s="4">
        <v>1</v>
      </c>
    </row>
    <row r="214" spans="1:14" x14ac:dyDescent="0.35">
      <c r="A214" s="3">
        <v>2021</v>
      </c>
      <c r="B214" s="2">
        <v>6</v>
      </c>
      <c r="C214" s="2" t="s">
        <v>36</v>
      </c>
      <c r="D214" s="2" t="s">
        <v>31</v>
      </c>
      <c r="E214" s="2" t="s">
        <v>16</v>
      </c>
      <c r="F214" s="2" t="s">
        <v>17</v>
      </c>
      <c r="G214" s="2">
        <v>90798</v>
      </c>
      <c r="H214" s="2">
        <v>1008</v>
      </c>
      <c r="I214" s="2">
        <v>398984</v>
      </c>
      <c r="J214" s="2">
        <v>377</v>
      </c>
      <c r="K214" s="2">
        <v>0.97</v>
      </c>
      <c r="L214" s="2">
        <v>6.29</v>
      </c>
      <c r="M214" s="2">
        <v>1.2</v>
      </c>
      <c r="N214" s="4">
        <v>4</v>
      </c>
    </row>
    <row r="215" spans="1:14" x14ac:dyDescent="0.35">
      <c r="A215" s="3">
        <v>2018</v>
      </c>
      <c r="B215" s="2">
        <v>11</v>
      </c>
      <c r="C215" s="2" t="s">
        <v>38</v>
      </c>
      <c r="D215" s="2" t="s">
        <v>31</v>
      </c>
      <c r="E215" s="2" t="s">
        <v>16</v>
      </c>
      <c r="F215" s="2" t="s">
        <v>23</v>
      </c>
      <c r="G215" s="2">
        <v>79116</v>
      </c>
      <c r="H215" s="2">
        <v>781</v>
      </c>
      <c r="I215" s="2">
        <v>181827</v>
      </c>
      <c r="J215" s="2">
        <v>221</v>
      </c>
      <c r="K215" s="2">
        <v>0.97</v>
      </c>
      <c r="L215" s="2">
        <v>6.29</v>
      </c>
      <c r="M215" s="2">
        <v>1.2</v>
      </c>
      <c r="N215" s="4">
        <v>10</v>
      </c>
    </row>
    <row r="216" spans="1:14" x14ac:dyDescent="0.35">
      <c r="A216" s="3">
        <v>2023</v>
      </c>
      <c r="B216" s="2">
        <v>4</v>
      </c>
      <c r="C216" s="2" t="s">
        <v>36</v>
      </c>
      <c r="D216" s="2" t="s">
        <v>26</v>
      </c>
      <c r="E216" s="2" t="s">
        <v>20</v>
      </c>
      <c r="F216" s="2" t="s">
        <v>20</v>
      </c>
      <c r="G216" s="2">
        <v>110318</v>
      </c>
      <c r="H216" s="2">
        <v>532</v>
      </c>
      <c r="I216" s="2">
        <v>351407</v>
      </c>
      <c r="J216" s="2">
        <v>74</v>
      </c>
      <c r="K216" s="2">
        <v>0.97</v>
      </c>
      <c r="L216" s="2">
        <v>6.29</v>
      </c>
      <c r="M216" s="2">
        <v>1.2</v>
      </c>
      <c r="N216" s="4">
        <v>5</v>
      </c>
    </row>
    <row r="217" spans="1:14" x14ac:dyDescent="0.35">
      <c r="A217" s="3">
        <v>2015</v>
      </c>
      <c r="B217" s="2">
        <v>10</v>
      </c>
      <c r="C217" s="2" t="s">
        <v>37</v>
      </c>
      <c r="D217" s="2" t="s">
        <v>34</v>
      </c>
      <c r="E217" s="2" t="s">
        <v>16</v>
      </c>
      <c r="F217" s="2" t="s">
        <v>27</v>
      </c>
      <c r="G217" s="2">
        <v>63557</v>
      </c>
      <c r="H217" s="2">
        <v>542</v>
      </c>
      <c r="I217" s="2">
        <v>420635</v>
      </c>
      <c r="J217" s="2">
        <v>218</v>
      </c>
      <c r="K217" s="2">
        <v>0.97</v>
      </c>
      <c r="L217" s="2">
        <v>6.29</v>
      </c>
      <c r="M217" s="2">
        <v>1.2</v>
      </c>
      <c r="N217" s="4">
        <v>9</v>
      </c>
    </row>
    <row r="218" spans="1:14" x14ac:dyDescent="0.35">
      <c r="A218" s="3">
        <v>2022</v>
      </c>
      <c r="B218" s="2">
        <v>10</v>
      </c>
      <c r="C218" s="2" t="s">
        <v>21</v>
      </c>
      <c r="D218" s="2" t="s">
        <v>18</v>
      </c>
      <c r="E218" s="2" t="s">
        <v>20</v>
      </c>
      <c r="F218" s="2" t="s">
        <v>17</v>
      </c>
      <c r="G218" s="2">
        <v>106334</v>
      </c>
      <c r="H218" s="2">
        <v>796</v>
      </c>
      <c r="I218" s="2">
        <v>367231</v>
      </c>
      <c r="J218" s="2">
        <v>260</v>
      </c>
      <c r="K218" s="2">
        <v>0.97</v>
      </c>
      <c r="L218" s="2">
        <v>6.29</v>
      </c>
      <c r="M218" s="2">
        <v>1.2</v>
      </c>
      <c r="N218" s="4">
        <v>7</v>
      </c>
    </row>
    <row r="219" spans="1:14" x14ac:dyDescent="0.35">
      <c r="A219" s="3">
        <v>2021</v>
      </c>
      <c r="B219" s="2">
        <v>2</v>
      </c>
      <c r="C219" s="2" t="s">
        <v>30</v>
      </c>
      <c r="D219" s="2" t="s">
        <v>22</v>
      </c>
      <c r="E219" s="2" t="s">
        <v>16</v>
      </c>
      <c r="F219" s="2" t="s">
        <v>20</v>
      </c>
      <c r="G219" s="2">
        <v>110163</v>
      </c>
      <c r="H219" s="2">
        <v>1237</v>
      </c>
      <c r="I219" s="2">
        <v>485497</v>
      </c>
      <c r="J219" s="2">
        <v>394</v>
      </c>
      <c r="K219" s="2">
        <v>0.97</v>
      </c>
      <c r="L219" s="2">
        <v>6.29</v>
      </c>
      <c r="M219" s="2">
        <v>1.2</v>
      </c>
      <c r="N219" s="4">
        <v>8</v>
      </c>
    </row>
    <row r="220" spans="1:14" x14ac:dyDescent="0.35">
      <c r="A220" s="3">
        <v>2016</v>
      </c>
      <c r="B220" s="2">
        <v>7</v>
      </c>
      <c r="C220" s="2" t="s">
        <v>36</v>
      </c>
      <c r="D220" s="2" t="s">
        <v>15</v>
      </c>
      <c r="E220" s="2" t="s">
        <v>19</v>
      </c>
      <c r="F220" s="2" t="s">
        <v>20</v>
      </c>
      <c r="G220" s="2">
        <v>113002</v>
      </c>
      <c r="H220" s="2">
        <v>318</v>
      </c>
      <c r="I220" s="2">
        <v>101482</v>
      </c>
      <c r="J220" s="2">
        <v>126</v>
      </c>
      <c r="K220" s="2">
        <v>0.97</v>
      </c>
      <c r="L220" s="2">
        <v>6.29</v>
      </c>
      <c r="M220" s="2">
        <v>1.2</v>
      </c>
      <c r="N220" s="4">
        <v>9</v>
      </c>
    </row>
    <row r="221" spans="1:14" x14ac:dyDescent="0.35">
      <c r="A221" s="3">
        <v>2022</v>
      </c>
      <c r="B221" s="2">
        <v>5</v>
      </c>
      <c r="C221" s="2" t="s">
        <v>38</v>
      </c>
      <c r="D221" s="2" t="s">
        <v>18</v>
      </c>
      <c r="E221" s="2" t="s">
        <v>19</v>
      </c>
      <c r="F221" s="2" t="s">
        <v>23</v>
      </c>
      <c r="G221" s="2">
        <v>77614</v>
      </c>
      <c r="H221" s="2">
        <v>592</v>
      </c>
      <c r="I221" s="2">
        <v>498073</v>
      </c>
      <c r="J221" s="2">
        <v>125</v>
      </c>
      <c r="K221" s="2">
        <v>0.97</v>
      </c>
      <c r="L221" s="2">
        <v>6.29</v>
      </c>
      <c r="M221" s="2">
        <v>1.2</v>
      </c>
      <c r="N221" s="4">
        <v>7</v>
      </c>
    </row>
    <row r="222" spans="1:14" x14ac:dyDescent="0.35">
      <c r="A222" s="3">
        <v>2015</v>
      </c>
      <c r="B222" s="2">
        <v>11</v>
      </c>
      <c r="C222" s="2" t="s">
        <v>28</v>
      </c>
      <c r="D222" s="2" t="s">
        <v>26</v>
      </c>
      <c r="E222" s="2" t="s">
        <v>16</v>
      </c>
      <c r="F222" s="2" t="s">
        <v>27</v>
      </c>
      <c r="G222" s="2">
        <v>47720</v>
      </c>
      <c r="H222" s="2">
        <v>677</v>
      </c>
      <c r="I222" s="2">
        <v>172989</v>
      </c>
      <c r="J222" s="2">
        <v>246</v>
      </c>
      <c r="K222" s="2">
        <v>0.97</v>
      </c>
      <c r="L222" s="2">
        <v>6.29</v>
      </c>
      <c r="M222" s="2">
        <v>1.2</v>
      </c>
      <c r="N222" s="4">
        <v>5</v>
      </c>
    </row>
    <row r="223" spans="1:14" x14ac:dyDescent="0.35">
      <c r="A223" s="3">
        <v>2023</v>
      </c>
      <c r="B223" s="2">
        <v>6</v>
      </c>
      <c r="C223" s="2" t="s">
        <v>14</v>
      </c>
      <c r="D223" s="2" t="s">
        <v>31</v>
      </c>
      <c r="E223" s="2" t="s">
        <v>20</v>
      </c>
      <c r="F223" s="2" t="s">
        <v>23</v>
      </c>
      <c r="G223" s="2">
        <v>92608</v>
      </c>
      <c r="H223" s="2">
        <v>551</v>
      </c>
      <c r="I223" s="2">
        <v>460616</v>
      </c>
      <c r="J223" s="2">
        <v>114</v>
      </c>
      <c r="K223" s="2">
        <v>0.97</v>
      </c>
      <c r="L223" s="2">
        <v>6.29</v>
      </c>
      <c r="M223" s="2">
        <v>1.2</v>
      </c>
      <c r="N223" s="4">
        <v>5</v>
      </c>
    </row>
    <row r="224" spans="1:14" x14ac:dyDescent="0.35">
      <c r="A224" s="3">
        <v>2023</v>
      </c>
      <c r="B224" s="2">
        <v>2</v>
      </c>
      <c r="C224" s="2" t="s">
        <v>37</v>
      </c>
      <c r="D224" s="2" t="s">
        <v>15</v>
      </c>
      <c r="E224" s="2" t="s">
        <v>19</v>
      </c>
      <c r="F224" s="2" t="s">
        <v>20</v>
      </c>
      <c r="G224" s="2">
        <v>107095</v>
      </c>
      <c r="H224" s="2">
        <v>924</v>
      </c>
      <c r="I224" s="2">
        <v>352259</v>
      </c>
      <c r="J224" s="2">
        <v>268</v>
      </c>
      <c r="K224" s="2">
        <v>0.97</v>
      </c>
      <c r="L224" s="2">
        <v>6.29</v>
      </c>
      <c r="M224" s="2">
        <v>1.2</v>
      </c>
      <c r="N224" s="4">
        <v>10</v>
      </c>
    </row>
    <row r="225" spans="1:14" x14ac:dyDescent="0.35">
      <c r="A225" s="3">
        <v>2016</v>
      </c>
      <c r="B225" s="2">
        <v>5</v>
      </c>
      <c r="C225" s="2" t="s">
        <v>35</v>
      </c>
      <c r="D225" s="2" t="s">
        <v>31</v>
      </c>
      <c r="E225" s="2" t="s">
        <v>20</v>
      </c>
      <c r="F225" s="2" t="s">
        <v>20</v>
      </c>
      <c r="G225" s="2">
        <v>119694</v>
      </c>
      <c r="H225" s="2">
        <v>536</v>
      </c>
      <c r="I225" s="2">
        <v>326393</v>
      </c>
      <c r="J225" s="2">
        <v>55</v>
      </c>
      <c r="K225" s="2">
        <v>0.97</v>
      </c>
      <c r="L225" s="2">
        <v>6.29</v>
      </c>
      <c r="M225" s="2">
        <v>1.2</v>
      </c>
      <c r="N225" s="4">
        <v>6</v>
      </c>
    </row>
    <row r="226" spans="1:14" x14ac:dyDescent="0.35">
      <c r="A226" s="3">
        <v>2021</v>
      </c>
      <c r="B226" s="2">
        <v>10</v>
      </c>
      <c r="C226" s="2" t="s">
        <v>28</v>
      </c>
      <c r="D226" s="2" t="s">
        <v>22</v>
      </c>
      <c r="E226" s="2" t="s">
        <v>16</v>
      </c>
      <c r="F226" s="2" t="s">
        <v>20</v>
      </c>
      <c r="G226" s="2">
        <v>70892</v>
      </c>
      <c r="H226" s="2">
        <v>1099</v>
      </c>
      <c r="I226" s="2">
        <v>294255</v>
      </c>
      <c r="J226" s="2">
        <v>320</v>
      </c>
      <c r="K226" s="2">
        <v>0.97</v>
      </c>
      <c r="L226" s="2">
        <v>6.29</v>
      </c>
      <c r="M226" s="2">
        <v>1.2</v>
      </c>
      <c r="N226" s="4">
        <v>5</v>
      </c>
    </row>
    <row r="227" spans="1:14" x14ac:dyDescent="0.35">
      <c r="A227" s="3">
        <v>2024</v>
      </c>
      <c r="B227" s="2">
        <v>4</v>
      </c>
      <c r="C227" s="2" t="s">
        <v>32</v>
      </c>
      <c r="D227" s="2" t="s">
        <v>34</v>
      </c>
      <c r="E227" s="2" t="s">
        <v>20</v>
      </c>
      <c r="F227" s="2" t="s">
        <v>23</v>
      </c>
      <c r="G227" s="2">
        <v>112242</v>
      </c>
      <c r="H227" s="2">
        <v>894</v>
      </c>
      <c r="I227" s="2">
        <v>490041</v>
      </c>
      <c r="J227" s="2">
        <v>340</v>
      </c>
      <c r="K227" s="2">
        <v>0.97</v>
      </c>
      <c r="L227" s="2">
        <v>6.29</v>
      </c>
      <c r="M227" s="2">
        <v>1.2</v>
      </c>
      <c r="N227" s="4">
        <v>9</v>
      </c>
    </row>
    <row r="228" spans="1:14" x14ac:dyDescent="0.35">
      <c r="A228" s="3">
        <v>2017</v>
      </c>
      <c r="B228" s="2">
        <v>9</v>
      </c>
      <c r="C228" s="2" t="s">
        <v>25</v>
      </c>
      <c r="D228" s="2" t="s">
        <v>18</v>
      </c>
      <c r="E228" s="2" t="s">
        <v>19</v>
      </c>
      <c r="F228" s="2" t="s">
        <v>27</v>
      </c>
      <c r="G228" s="2">
        <v>112606</v>
      </c>
      <c r="H228" s="2">
        <v>665</v>
      </c>
      <c r="I228" s="2">
        <v>160361</v>
      </c>
      <c r="J228" s="2">
        <v>225</v>
      </c>
      <c r="K228" s="2">
        <v>0.97</v>
      </c>
      <c r="L228" s="2">
        <v>6.29</v>
      </c>
      <c r="M228" s="2">
        <v>1.2</v>
      </c>
      <c r="N228" s="4">
        <v>3</v>
      </c>
    </row>
    <row r="229" spans="1:14" x14ac:dyDescent="0.35">
      <c r="A229" s="3">
        <v>2021</v>
      </c>
      <c r="B229" s="2">
        <v>6</v>
      </c>
      <c r="C229" s="2" t="s">
        <v>38</v>
      </c>
      <c r="D229" s="2" t="s">
        <v>18</v>
      </c>
      <c r="E229" s="2" t="s">
        <v>20</v>
      </c>
      <c r="F229" s="2" t="s">
        <v>17</v>
      </c>
      <c r="G229" s="2">
        <v>35924</v>
      </c>
      <c r="H229" s="2">
        <v>830</v>
      </c>
      <c r="I229" s="2">
        <v>336744</v>
      </c>
      <c r="J229" s="2">
        <v>310</v>
      </c>
      <c r="K229" s="2">
        <v>0.97</v>
      </c>
      <c r="L229" s="2">
        <v>6.29</v>
      </c>
      <c r="M229" s="2">
        <v>1.2</v>
      </c>
      <c r="N229" s="4">
        <v>3</v>
      </c>
    </row>
    <row r="230" spans="1:14" x14ac:dyDescent="0.35">
      <c r="A230" s="3">
        <v>2024</v>
      </c>
      <c r="B230" s="2">
        <v>2</v>
      </c>
      <c r="C230" s="2" t="s">
        <v>35</v>
      </c>
      <c r="D230" s="2" t="s">
        <v>33</v>
      </c>
      <c r="E230" s="2" t="s">
        <v>20</v>
      </c>
      <c r="F230" s="2" t="s">
        <v>23</v>
      </c>
      <c r="G230" s="2">
        <v>86322</v>
      </c>
      <c r="H230" s="2">
        <v>705</v>
      </c>
      <c r="I230" s="2">
        <v>349850</v>
      </c>
      <c r="J230" s="2">
        <v>342</v>
      </c>
      <c r="K230" s="2">
        <v>0.97</v>
      </c>
      <c r="L230" s="2">
        <v>6.29</v>
      </c>
      <c r="M230" s="2">
        <v>1.2</v>
      </c>
      <c r="N230" s="4">
        <v>7</v>
      </c>
    </row>
    <row r="231" spans="1:14" x14ac:dyDescent="0.35">
      <c r="A231" s="3">
        <v>2023</v>
      </c>
      <c r="B231" s="2">
        <v>1</v>
      </c>
      <c r="C231" s="2" t="s">
        <v>25</v>
      </c>
      <c r="D231" s="2" t="s">
        <v>15</v>
      </c>
      <c r="E231" s="2" t="s">
        <v>16</v>
      </c>
      <c r="F231" s="2" t="s">
        <v>20</v>
      </c>
      <c r="G231" s="2">
        <v>61478</v>
      </c>
      <c r="H231" s="2">
        <v>360</v>
      </c>
      <c r="I231" s="2">
        <v>331366</v>
      </c>
      <c r="J231" s="2">
        <v>33</v>
      </c>
      <c r="K231" s="2">
        <v>0.97</v>
      </c>
      <c r="L231" s="2">
        <v>6.29</v>
      </c>
      <c r="M231" s="2">
        <v>1.2</v>
      </c>
      <c r="N231" s="4">
        <v>7</v>
      </c>
    </row>
    <row r="232" spans="1:14" x14ac:dyDescent="0.35">
      <c r="A232" s="3">
        <v>2018</v>
      </c>
      <c r="B232" s="2">
        <v>5</v>
      </c>
      <c r="C232" s="2" t="s">
        <v>38</v>
      </c>
      <c r="D232" s="2" t="s">
        <v>39</v>
      </c>
      <c r="E232" s="2" t="s">
        <v>16</v>
      </c>
      <c r="F232" s="2" t="s">
        <v>23</v>
      </c>
      <c r="G232" s="2">
        <v>106042</v>
      </c>
      <c r="H232" s="2">
        <v>152</v>
      </c>
      <c r="I232" s="2">
        <v>411185</v>
      </c>
      <c r="J232" s="2">
        <v>44</v>
      </c>
      <c r="K232" s="2">
        <v>0.97</v>
      </c>
      <c r="L232" s="2">
        <v>6.29</v>
      </c>
      <c r="M232" s="2">
        <v>1.2</v>
      </c>
      <c r="N232" s="4">
        <v>6</v>
      </c>
    </row>
    <row r="233" spans="1:14" x14ac:dyDescent="0.35">
      <c r="A233" s="3">
        <v>2015</v>
      </c>
      <c r="B233" s="2">
        <v>9</v>
      </c>
      <c r="C233" s="2" t="s">
        <v>21</v>
      </c>
      <c r="D233" s="2" t="s">
        <v>26</v>
      </c>
      <c r="E233" s="2" t="s">
        <v>16</v>
      </c>
      <c r="F233" s="2" t="s">
        <v>20</v>
      </c>
      <c r="G233" s="2">
        <v>81418</v>
      </c>
      <c r="H233" s="2">
        <v>162</v>
      </c>
      <c r="I233" s="2">
        <v>416648</v>
      </c>
      <c r="J233" s="2">
        <v>33</v>
      </c>
      <c r="K233" s="2">
        <v>0.97</v>
      </c>
      <c r="L233" s="2">
        <v>6.29</v>
      </c>
      <c r="M233" s="2">
        <v>1.2</v>
      </c>
      <c r="N233" s="4">
        <v>3</v>
      </c>
    </row>
    <row r="234" spans="1:14" x14ac:dyDescent="0.35">
      <c r="A234" s="3">
        <v>2016</v>
      </c>
      <c r="B234" s="2">
        <v>6</v>
      </c>
      <c r="C234" s="2" t="s">
        <v>14</v>
      </c>
      <c r="D234" s="2" t="s">
        <v>39</v>
      </c>
      <c r="E234" s="2" t="s">
        <v>19</v>
      </c>
      <c r="F234" s="2" t="s">
        <v>17</v>
      </c>
      <c r="G234" s="2">
        <v>97217</v>
      </c>
      <c r="H234" s="2">
        <v>411</v>
      </c>
      <c r="I234" s="2">
        <v>91139</v>
      </c>
      <c r="J234" s="2">
        <v>37</v>
      </c>
      <c r="K234" s="2">
        <v>0.97</v>
      </c>
      <c r="L234" s="2">
        <v>6.29</v>
      </c>
      <c r="M234" s="2">
        <v>1.2</v>
      </c>
      <c r="N234" s="4">
        <v>7</v>
      </c>
    </row>
    <row r="235" spans="1:14" x14ac:dyDescent="0.35">
      <c r="A235" s="3">
        <v>2015</v>
      </c>
      <c r="B235" s="2">
        <v>10</v>
      </c>
      <c r="C235" s="2" t="s">
        <v>28</v>
      </c>
      <c r="D235" s="2" t="s">
        <v>33</v>
      </c>
      <c r="E235" s="2" t="s">
        <v>19</v>
      </c>
      <c r="F235" s="2" t="s">
        <v>17</v>
      </c>
      <c r="G235" s="2">
        <v>115846</v>
      </c>
      <c r="H235" s="2">
        <v>359</v>
      </c>
      <c r="I235" s="2">
        <v>164919</v>
      </c>
      <c r="J235" s="2">
        <v>25</v>
      </c>
      <c r="K235" s="2">
        <v>0.97</v>
      </c>
      <c r="L235" s="2">
        <v>6.29</v>
      </c>
      <c r="M235" s="2">
        <v>1.2</v>
      </c>
      <c r="N235" s="4">
        <v>5</v>
      </c>
    </row>
    <row r="236" spans="1:14" x14ac:dyDescent="0.35">
      <c r="A236" s="3">
        <v>2019</v>
      </c>
      <c r="B236" s="2">
        <v>12</v>
      </c>
      <c r="C236" s="2" t="s">
        <v>30</v>
      </c>
      <c r="D236" s="2" t="s">
        <v>22</v>
      </c>
      <c r="E236" s="2" t="s">
        <v>16</v>
      </c>
      <c r="F236" s="2" t="s">
        <v>27</v>
      </c>
      <c r="G236" s="2">
        <v>108762</v>
      </c>
      <c r="H236" s="2">
        <v>367</v>
      </c>
      <c r="I236" s="2">
        <v>297677</v>
      </c>
      <c r="J236" s="2">
        <v>68</v>
      </c>
      <c r="K236" s="2">
        <v>0.97</v>
      </c>
      <c r="L236" s="2">
        <v>6.29</v>
      </c>
      <c r="M236" s="2">
        <v>1.2</v>
      </c>
      <c r="N236" s="4">
        <v>7</v>
      </c>
    </row>
    <row r="237" spans="1:14" x14ac:dyDescent="0.35">
      <c r="A237" s="3">
        <v>2019</v>
      </c>
      <c r="B237" s="2">
        <v>7</v>
      </c>
      <c r="C237" s="2" t="s">
        <v>38</v>
      </c>
      <c r="D237" s="2" t="s">
        <v>26</v>
      </c>
      <c r="E237" s="2" t="s">
        <v>16</v>
      </c>
      <c r="F237" s="2" t="s">
        <v>20</v>
      </c>
      <c r="G237" s="2">
        <v>46781</v>
      </c>
      <c r="H237" s="2">
        <v>644</v>
      </c>
      <c r="I237" s="2">
        <v>353446</v>
      </c>
      <c r="J237" s="2">
        <v>252</v>
      </c>
      <c r="K237" s="2">
        <v>0.97</v>
      </c>
      <c r="L237" s="2">
        <v>6.29</v>
      </c>
      <c r="M237" s="2">
        <v>1.2</v>
      </c>
      <c r="N237" s="4">
        <v>2</v>
      </c>
    </row>
    <row r="238" spans="1:14" x14ac:dyDescent="0.35">
      <c r="A238" s="3">
        <v>2021</v>
      </c>
      <c r="B238" s="2">
        <v>5</v>
      </c>
      <c r="C238" s="2" t="s">
        <v>30</v>
      </c>
      <c r="D238" s="2" t="s">
        <v>34</v>
      </c>
      <c r="E238" s="2" t="s">
        <v>19</v>
      </c>
      <c r="F238" s="2" t="s">
        <v>27</v>
      </c>
      <c r="G238" s="2">
        <v>40515</v>
      </c>
      <c r="H238" s="2">
        <v>530</v>
      </c>
      <c r="I238" s="2">
        <v>275756</v>
      </c>
      <c r="J238" s="2">
        <v>216</v>
      </c>
      <c r="K238" s="2">
        <v>0.97</v>
      </c>
      <c r="L238" s="2">
        <v>6.29</v>
      </c>
      <c r="M238" s="2">
        <v>1.2</v>
      </c>
      <c r="N238" s="4">
        <v>6</v>
      </c>
    </row>
    <row r="239" spans="1:14" x14ac:dyDescent="0.35">
      <c r="A239" s="3">
        <v>2023</v>
      </c>
      <c r="B239" s="2">
        <v>10</v>
      </c>
      <c r="C239" s="2" t="s">
        <v>14</v>
      </c>
      <c r="D239" s="2" t="s">
        <v>39</v>
      </c>
      <c r="E239" s="2" t="s">
        <v>19</v>
      </c>
      <c r="F239" s="2" t="s">
        <v>27</v>
      </c>
      <c r="G239" s="2">
        <v>71133</v>
      </c>
      <c r="H239" s="2">
        <v>899</v>
      </c>
      <c r="I239" s="2">
        <v>399982</v>
      </c>
      <c r="J239" s="2">
        <v>280</v>
      </c>
      <c r="K239" s="2">
        <v>0.97</v>
      </c>
      <c r="L239" s="2">
        <v>6.29</v>
      </c>
      <c r="M239" s="2">
        <v>1.2</v>
      </c>
      <c r="N239" s="4">
        <v>8</v>
      </c>
    </row>
    <row r="240" spans="1:14" x14ac:dyDescent="0.35">
      <c r="A240" s="3">
        <v>2023</v>
      </c>
      <c r="B240" s="2">
        <v>6</v>
      </c>
      <c r="C240" s="2" t="s">
        <v>37</v>
      </c>
      <c r="D240" s="2" t="s">
        <v>34</v>
      </c>
      <c r="E240" s="2" t="s">
        <v>19</v>
      </c>
      <c r="F240" s="2" t="s">
        <v>17</v>
      </c>
      <c r="G240" s="2">
        <v>117508</v>
      </c>
      <c r="H240" s="2">
        <v>550</v>
      </c>
      <c r="I240" s="2">
        <v>189718</v>
      </c>
      <c r="J240" s="2">
        <v>258</v>
      </c>
      <c r="K240" s="2">
        <v>0.97</v>
      </c>
      <c r="L240" s="2">
        <v>6.29</v>
      </c>
      <c r="M240" s="2">
        <v>1.2</v>
      </c>
      <c r="N240" s="4">
        <v>1</v>
      </c>
    </row>
    <row r="241" spans="1:14" x14ac:dyDescent="0.35">
      <c r="A241" s="3">
        <v>2017</v>
      </c>
      <c r="B241" s="2">
        <v>5</v>
      </c>
      <c r="C241" s="2" t="s">
        <v>32</v>
      </c>
      <c r="D241" s="2" t="s">
        <v>39</v>
      </c>
      <c r="E241" s="2" t="s">
        <v>19</v>
      </c>
      <c r="F241" s="2" t="s">
        <v>23</v>
      </c>
      <c r="G241" s="2">
        <v>111946</v>
      </c>
      <c r="H241" s="2">
        <v>903</v>
      </c>
      <c r="I241" s="2">
        <v>194615</v>
      </c>
      <c r="J241" s="2">
        <v>276</v>
      </c>
      <c r="K241" s="2">
        <v>0.97</v>
      </c>
      <c r="L241" s="2">
        <v>6.29</v>
      </c>
      <c r="M241" s="2">
        <v>1.2</v>
      </c>
      <c r="N241" s="4">
        <v>4</v>
      </c>
    </row>
    <row r="242" spans="1:14" x14ac:dyDescent="0.35">
      <c r="A242" s="3">
        <v>2017</v>
      </c>
      <c r="B242" s="2">
        <v>11</v>
      </c>
      <c r="C242" s="2" t="s">
        <v>28</v>
      </c>
      <c r="D242" s="2" t="s">
        <v>34</v>
      </c>
      <c r="E242" s="2" t="s">
        <v>16</v>
      </c>
      <c r="F242" s="2" t="s">
        <v>23</v>
      </c>
      <c r="G242" s="2">
        <v>44095</v>
      </c>
      <c r="H242" s="2">
        <v>860</v>
      </c>
      <c r="I242" s="2">
        <v>275568</v>
      </c>
      <c r="J242" s="2">
        <v>202</v>
      </c>
      <c r="K242" s="2">
        <v>0.97</v>
      </c>
      <c r="L242" s="2">
        <v>6.29</v>
      </c>
      <c r="M242" s="2">
        <v>1.2</v>
      </c>
      <c r="N242" s="4">
        <v>1</v>
      </c>
    </row>
    <row r="243" spans="1:14" x14ac:dyDescent="0.35">
      <c r="A243" s="3">
        <v>2017</v>
      </c>
      <c r="B243" s="2">
        <v>9</v>
      </c>
      <c r="C243" s="2" t="s">
        <v>14</v>
      </c>
      <c r="D243" s="2" t="s">
        <v>39</v>
      </c>
      <c r="E243" s="2" t="s">
        <v>19</v>
      </c>
      <c r="F243" s="2" t="s">
        <v>27</v>
      </c>
      <c r="G243" s="2">
        <v>55470</v>
      </c>
      <c r="H243" s="2">
        <v>1012</v>
      </c>
      <c r="I243" s="2">
        <v>203857</v>
      </c>
      <c r="J243" s="2">
        <v>344</v>
      </c>
      <c r="K243" s="2">
        <v>0.97</v>
      </c>
      <c r="L243" s="2">
        <v>6.29</v>
      </c>
      <c r="M243" s="2">
        <v>1.2</v>
      </c>
      <c r="N243" s="4">
        <v>1</v>
      </c>
    </row>
    <row r="244" spans="1:14" x14ac:dyDescent="0.35">
      <c r="A244" s="3">
        <v>2018</v>
      </c>
      <c r="B244" s="2">
        <v>6</v>
      </c>
      <c r="C244" s="2" t="s">
        <v>14</v>
      </c>
      <c r="D244" s="2" t="s">
        <v>34</v>
      </c>
      <c r="E244" s="2" t="s">
        <v>16</v>
      </c>
      <c r="F244" s="2" t="s">
        <v>17</v>
      </c>
      <c r="G244" s="2">
        <v>78129</v>
      </c>
      <c r="H244" s="2">
        <v>538</v>
      </c>
      <c r="I244" s="2">
        <v>390497</v>
      </c>
      <c r="J244" s="2">
        <v>227</v>
      </c>
      <c r="K244" s="2">
        <v>0.97</v>
      </c>
      <c r="L244" s="2">
        <v>6.29</v>
      </c>
      <c r="M244" s="2">
        <v>1.2</v>
      </c>
      <c r="N244" s="4">
        <v>10</v>
      </c>
    </row>
    <row r="245" spans="1:14" x14ac:dyDescent="0.35">
      <c r="A245" s="3">
        <v>2022</v>
      </c>
      <c r="B245" s="2">
        <v>11</v>
      </c>
      <c r="C245" s="2" t="s">
        <v>21</v>
      </c>
      <c r="D245" s="2" t="s">
        <v>33</v>
      </c>
      <c r="E245" s="2" t="s">
        <v>20</v>
      </c>
      <c r="F245" s="2" t="s">
        <v>20</v>
      </c>
      <c r="G245" s="2">
        <v>43531</v>
      </c>
      <c r="H245" s="2">
        <v>516</v>
      </c>
      <c r="I245" s="2">
        <v>474622</v>
      </c>
      <c r="J245" s="2">
        <v>124</v>
      </c>
      <c r="K245" s="2">
        <v>0.97</v>
      </c>
      <c r="L245" s="2">
        <v>6.29</v>
      </c>
      <c r="M245" s="2">
        <v>1.2</v>
      </c>
      <c r="N245" s="4">
        <v>8</v>
      </c>
    </row>
    <row r="246" spans="1:14" x14ac:dyDescent="0.35">
      <c r="A246" s="3">
        <v>2020</v>
      </c>
      <c r="B246" s="2">
        <v>8</v>
      </c>
      <c r="C246" s="2" t="s">
        <v>25</v>
      </c>
      <c r="D246" s="2" t="s">
        <v>29</v>
      </c>
      <c r="E246" s="2" t="s">
        <v>20</v>
      </c>
      <c r="F246" s="2" t="s">
        <v>23</v>
      </c>
      <c r="G246" s="2">
        <v>72038</v>
      </c>
      <c r="H246" s="2">
        <v>407</v>
      </c>
      <c r="I246" s="2">
        <v>401136</v>
      </c>
      <c r="J246" s="2">
        <v>77</v>
      </c>
      <c r="K246" s="2">
        <v>0.97</v>
      </c>
      <c r="L246" s="2">
        <v>6.29</v>
      </c>
      <c r="M246" s="2">
        <v>1.2</v>
      </c>
      <c r="N246" s="4">
        <v>7</v>
      </c>
    </row>
    <row r="247" spans="1:14" x14ac:dyDescent="0.35">
      <c r="A247" s="3">
        <v>2022</v>
      </c>
      <c r="B247" s="2">
        <v>2</v>
      </c>
      <c r="C247" s="2" t="s">
        <v>32</v>
      </c>
      <c r="D247" s="2" t="s">
        <v>26</v>
      </c>
      <c r="E247" s="2" t="s">
        <v>19</v>
      </c>
      <c r="F247" s="2" t="s">
        <v>27</v>
      </c>
      <c r="G247" s="2">
        <v>77674</v>
      </c>
      <c r="H247" s="2">
        <v>925</v>
      </c>
      <c r="I247" s="2">
        <v>363572</v>
      </c>
      <c r="J247" s="2">
        <v>308</v>
      </c>
      <c r="K247" s="2">
        <v>0.97</v>
      </c>
      <c r="L247" s="2">
        <v>6.29</v>
      </c>
      <c r="M247" s="2">
        <v>1.2</v>
      </c>
      <c r="N247" s="4">
        <v>10</v>
      </c>
    </row>
    <row r="248" spans="1:14" x14ac:dyDescent="0.35">
      <c r="A248" s="3">
        <v>2015</v>
      </c>
      <c r="B248" s="2">
        <v>12</v>
      </c>
      <c r="C248" s="2" t="s">
        <v>28</v>
      </c>
      <c r="D248" s="2" t="s">
        <v>15</v>
      </c>
      <c r="E248" s="2" t="s">
        <v>20</v>
      </c>
      <c r="F248" s="2" t="s">
        <v>23</v>
      </c>
      <c r="G248" s="2">
        <v>117476</v>
      </c>
      <c r="H248" s="2">
        <v>1025</v>
      </c>
      <c r="I248" s="2">
        <v>73777</v>
      </c>
      <c r="J248" s="2">
        <v>334</v>
      </c>
      <c r="K248" s="2">
        <v>0.97</v>
      </c>
      <c r="L248" s="2">
        <v>6.29</v>
      </c>
      <c r="M248" s="2">
        <v>1.2</v>
      </c>
      <c r="N248" s="4">
        <v>1</v>
      </c>
    </row>
    <row r="249" spans="1:14" x14ac:dyDescent="0.35">
      <c r="A249" s="3">
        <v>2022</v>
      </c>
      <c r="B249" s="2">
        <v>9</v>
      </c>
      <c r="C249" s="2" t="s">
        <v>37</v>
      </c>
      <c r="D249" s="2" t="s">
        <v>22</v>
      </c>
      <c r="E249" s="2" t="s">
        <v>20</v>
      </c>
      <c r="F249" s="2" t="s">
        <v>23</v>
      </c>
      <c r="G249" s="2">
        <v>64831</v>
      </c>
      <c r="H249" s="2">
        <v>450</v>
      </c>
      <c r="I249" s="2">
        <v>107939</v>
      </c>
      <c r="J249" s="2">
        <v>84</v>
      </c>
      <c r="K249" s="2">
        <v>0.97</v>
      </c>
      <c r="L249" s="2">
        <v>6.29</v>
      </c>
      <c r="M249" s="2">
        <v>1.2</v>
      </c>
      <c r="N249" s="4">
        <v>2</v>
      </c>
    </row>
    <row r="250" spans="1:14" x14ac:dyDescent="0.35">
      <c r="A250" s="3">
        <v>2018</v>
      </c>
      <c r="B250" s="2">
        <v>5</v>
      </c>
      <c r="C250" s="2" t="s">
        <v>37</v>
      </c>
      <c r="D250" s="2" t="s">
        <v>24</v>
      </c>
      <c r="E250" s="2" t="s">
        <v>20</v>
      </c>
      <c r="F250" s="2" t="s">
        <v>20</v>
      </c>
      <c r="G250" s="2">
        <v>92174</v>
      </c>
      <c r="H250" s="2">
        <v>543</v>
      </c>
      <c r="I250" s="2">
        <v>496242</v>
      </c>
      <c r="J250" s="2">
        <v>112</v>
      </c>
      <c r="K250" s="2">
        <v>0.97</v>
      </c>
      <c r="L250" s="2">
        <v>6.29</v>
      </c>
      <c r="M250" s="2">
        <v>1.2</v>
      </c>
      <c r="N250" s="4">
        <v>4</v>
      </c>
    </row>
    <row r="251" spans="1:14" x14ac:dyDescent="0.35">
      <c r="A251" s="3">
        <v>2015</v>
      </c>
      <c r="B251" s="2">
        <v>7</v>
      </c>
      <c r="C251" s="2" t="s">
        <v>36</v>
      </c>
      <c r="D251" s="2" t="s">
        <v>31</v>
      </c>
      <c r="E251" s="2" t="s">
        <v>19</v>
      </c>
      <c r="F251" s="2" t="s">
        <v>17</v>
      </c>
      <c r="G251" s="2">
        <v>46279</v>
      </c>
      <c r="H251" s="2">
        <v>999</v>
      </c>
      <c r="I251" s="2">
        <v>398594</v>
      </c>
      <c r="J251" s="2">
        <v>306</v>
      </c>
      <c r="K251" s="2">
        <v>0.97</v>
      </c>
      <c r="L251" s="2">
        <v>6.29</v>
      </c>
      <c r="M251" s="2">
        <v>1.2</v>
      </c>
      <c r="N251" s="4">
        <v>1</v>
      </c>
    </row>
    <row r="252" spans="1:14" x14ac:dyDescent="0.35">
      <c r="A252" s="3">
        <v>2022</v>
      </c>
      <c r="B252" s="2">
        <v>10</v>
      </c>
      <c r="C252" s="2" t="s">
        <v>14</v>
      </c>
      <c r="D252" s="2" t="s">
        <v>15</v>
      </c>
      <c r="E252" s="2" t="s">
        <v>19</v>
      </c>
      <c r="F252" s="2" t="s">
        <v>20</v>
      </c>
      <c r="G252" s="2">
        <v>73220</v>
      </c>
      <c r="H252" s="2">
        <v>811</v>
      </c>
      <c r="I252" s="2">
        <v>472769</v>
      </c>
      <c r="J252" s="2">
        <v>187</v>
      </c>
      <c r="K252" s="2">
        <v>0.97</v>
      </c>
      <c r="L252" s="2">
        <v>6.29</v>
      </c>
      <c r="M252" s="2">
        <v>1.2</v>
      </c>
      <c r="N252" s="4">
        <v>3</v>
      </c>
    </row>
    <row r="253" spans="1:14" x14ac:dyDescent="0.35">
      <c r="A253" s="3">
        <v>2018</v>
      </c>
      <c r="B253" s="2">
        <v>1</v>
      </c>
      <c r="C253" s="2" t="s">
        <v>38</v>
      </c>
      <c r="D253" s="2" t="s">
        <v>31</v>
      </c>
      <c r="E253" s="2" t="s">
        <v>20</v>
      </c>
      <c r="F253" s="2" t="s">
        <v>17</v>
      </c>
      <c r="G253" s="2">
        <v>95610</v>
      </c>
      <c r="H253" s="2">
        <v>685</v>
      </c>
      <c r="I253" s="2">
        <v>73548</v>
      </c>
      <c r="J253" s="2">
        <v>224</v>
      </c>
      <c r="K253" s="2">
        <v>0.97</v>
      </c>
      <c r="L253" s="2">
        <v>6.29</v>
      </c>
      <c r="M253" s="2">
        <v>1.2</v>
      </c>
      <c r="N253" s="4">
        <v>8</v>
      </c>
    </row>
    <row r="254" spans="1:14" x14ac:dyDescent="0.35">
      <c r="A254" s="3">
        <v>2020</v>
      </c>
      <c r="B254" s="2">
        <v>10</v>
      </c>
      <c r="C254" s="2" t="s">
        <v>21</v>
      </c>
      <c r="D254" s="2" t="s">
        <v>26</v>
      </c>
      <c r="E254" s="2" t="s">
        <v>16</v>
      </c>
      <c r="F254" s="2" t="s">
        <v>23</v>
      </c>
      <c r="G254" s="2">
        <v>87719</v>
      </c>
      <c r="H254" s="2">
        <v>847</v>
      </c>
      <c r="I254" s="2">
        <v>480481</v>
      </c>
      <c r="J254" s="2">
        <v>324</v>
      </c>
      <c r="K254" s="2">
        <v>0.97</v>
      </c>
      <c r="L254" s="2">
        <v>6.29</v>
      </c>
      <c r="M254" s="2">
        <v>1.2</v>
      </c>
      <c r="N254" s="4">
        <v>8</v>
      </c>
    </row>
    <row r="255" spans="1:14" x14ac:dyDescent="0.35">
      <c r="A255" s="3">
        <v>2022</v>
      </c>
      <c r="B255" s="2">
        <v>5</v>
      </c>
      <c r="C255" s="2" t="s">
        <v>32</v>
      </c>
      <c r="D255" s="2" t="s">
        <v>15</v>
      </c>
      <c r="E255" s="2" t="s">
        <v>20</v>
      </c>
      <c r="F255" s="2" t="s">
        <v>27</v>
      </c>
      <c r="G255" s="2">
        <v>88051</v>
      </c>
      <c r="H255" s="2">
        <v>209</v>
      </c>
      <c r="I255" s="2">
        <v>175549</v>
      </c>
      <c r="J255" s="2">
        <v>48</v>
      </c>
      <c r="K255" s="2">
        <v>0.97</v>
      </c>
      <c r="L255" s="2">
        <v>6.29</v>
      </c>
      <c r="M255" s="2">
        <v>1.2</v>
      </c>
      <c r="N255" s="4">
        <v>8</v>
      </c>
    </row>
    <row r="256" spans="1:14" x14ac:dyDescent="0.35">
      <c r="A256" s="3">
        <v>2018</v>
      </c>
      <c r="B256" s="2">
        <v>12</v>
      </c>
      <c r="C256" s="2" t="s">
        <v>37</v>
      </c>
      <c r="D256" s="2" t="s">
        <v>34</v>
      </c>
      <c r="E256" s="2" t="s">
        <v>19</v>
      </c>
      <c r="F256" s="2" t="s">
        <v>20</v>
      </c>
      <c r="G256" s="2">
        <v>107013</v>
      </c>
      <c r="H256" s="2">
        <v>840</v>
      </c>
      <c r="I256" s="2">
        <v>483917</v>
      </c>
      <c r="J256" s="2">
        <v>268</v>
      </c>
      <c r="K256" s="2">
        <v>0.97</v>
      </c>
      <c r="L256" s="2">
        <v>6.29</v>
      </c>
      <c r="M256" s="2">
        <v>1.2</v>
      </c>
      <c r="N256" s="4">
        <v>6</v>
      </c>
    </row>
    <row r="257" spans="1:14" x14ac:dyDescent="0.35">
      <c r="A257" s="3">
        <v>2017</v>
      </c>
      <c r="B257" s="2">
        <v>10</v>
      </c>
      <c r="C257" s="2" t="s">
        <v>28</v>
      </c>
      <c r="D257" s="2" t="s">
        <v>34</v>
      </c>
      <c r="E257" s="2" t="s">
        <v>19</v>
      </c>
      <c r="F257" s="2" t="s">
        <v>17</v>
      </c>
      <c r="G257" s="2">
        <v>91652</v>
      </c>
      <c r="H257" s="2">
        <v>725</v>
      </c>
      <c r="I257" s="2">
        <v>494503</v>
      </c>
      <c r="J257" s="2">
        <v>213</v>
      </c>
      <c r="K257" s="2">
        <v>0.97</v>
      </c>
      <c r="L257" s="2">
        <v>6.29</v>
      </c>
      <c r="M257" s="2">
        <v>1.2</v>
      </c>
      <c r="N257" s="4">
        <v>6</v>
      </c>
    </row>
    <row r="258" spans="1:14" x14ac:dyDescent="0.35">
      <c r="A258" s="3">
        <v>2023</v>
      </c>
      <c r="B258" s="2">
        <v>2</v>
      </c>
      <c r="C258" s="2" t="s">
        <v>36</v>
      </c>
      <c r="D258" s="2" t="s">
        <v>24</v>
      </c>
      <c r="E258" s="2" t="s">
        <v>19</v>
      </c>
      <c r="F258" s="2" t="s">
        <v>23</v>
      </c>
      <c r="G258" s="2">
        <v>100524</v>
      </c>
      <c r="H258" s="2">
        <v>344</v>
      </c>
      <c r="I258" s="2">
        <v>187799</v>
      </c>
      <c r="J258" s="2">
        <v>16</v>
      </c>
      <c r="K258" s="2">
        <v>0.97</v>
      </c>
      <c r="L258" s="2">
        <v>6.29</v>
      </c>
      <c r="M258" s="2">
        <v>1.2</v>
      </c>
      <c r="N258" s="4">
        <v>5</v>
      </c>
    </row>
    <row r="259" spans="1:14" x14ac:dyDescent="0.35">
      <c r="A259" s="3">
        <v>2017</v>
      </c>
      <c r="B259" s="2">
        <v>12</v>
      </c>
      <c r="C259" s="2" t="s">
        <v>28</v>
      </c>
      <c r="D259" s="2" t="s">
        <v>31</v>
      </c>
      <c r="E259" s="2" t="s">
        <v>20</v>
      </c>
      <c r="F259" s="2" t="s">
        <v>17</v>
      </c>
      <c r="G259" s="2">
        <v>117936</v>
      </c>
      <c r="H259" s="2">
        <v>441</v>
      </c>
      <c r="I259" s="2">
        <v>291532</v>
      </c>
      <c r="J259" s="2">
        <v>58</v>
      </c>
      <c r="K259" s="2">
        <v>0.97</v>
      </c>
      <c r="L259" s="2">
        <v>6.29</v>
      </c>
      <c r="M259" s="2">
        <v>1.2</v>
      </c>
      <c r="N259" s="4">
        <v>9</v>
      </c>
    </row>
    <row r="260" spans="1:14" x14ac:dyDescent="0.35">
      <c r="A260" s="3">
        <v>2023</v>
      </c>
      <c r="B260" s="2">
        <v>6</v>
      </c>
      <c r="C260" s="2" t="s">
        <v>21</v>
      </c>
      <c r="D260" s="2" t="s">
        <v>22</v>
      </c>
      <c r="E260" s="2" t="s">
        <v>16</v>
      </c>
      <c r="F260" s="2" t="s">
        <v>17</v>
      </c>
      <c r="G260" s="2">
        <v>41470</v>
      </c>
      <c r="H260" s="2">
        <v>281</v>
      </c>
      <c r="I260" s="2">
        <v>231789</v>
      </c>
      <c r="J260" s="2">
        <v>35</v>
      </c>
      <c r="K260" s="2">
        <v>0.97</v>
      </c>
      <c r="L260" s="2">
        <v>6.29</v>
      </c>
      <c r="M260" s="2">
        <v>1.2</v>
      </c>
      <c r="N260" s="4">
        <v>4</v>
      </c>
    </row>
    <row r="261" spans="1:14" x14ac:dyDescent="0.35">
      <c r="A261" s="3">
        <v>2016</v>
      </c>
      <c r="B261" s="2">
        <v>11</v>
      </c>
      <c r="C261" s="2" t="s">
        <v>38</v>
      </c>
      <c r="D261" s="2" t="s">
        <v>26</v>
      </c>
      <c r="E261" s="2" t="s">
        <v>19</v>
      </c>
      <c r="F261" s="2" t="s">
        <v>17</v>
      </c>
      <c r="G261" s="2">
        <v>102598</v>
      </c>
      <c r="H261" s="2">
        <v>625</v>
      </c>
      <c r="I261" s="2">
        <v>475643</v>
      </c>
      <c r="J261" s="2">
        <v>170</v>
      </c>
      <c r="K261" s="2">
        <v>0.97</v>
      </c>
      <c r="L261" s="2">
        <v>6.29</v>
      </c>
      <c r="M261" s="2">
        <v>1.2</v>
      </c>
      <c r="N261" s="4">
        <v>10</v>
      </c>
    </row>
    <row r="262" spans="1:14" x14ac:dyDescent="0.35">
      <c r="A262" s="3">
        <v>2016</v>
      </c>
      <c r="B262" s="2">
        <v>1</v>
      </c>
      <c r="C262" s="2" t="s">
        <v>36</v>
      </c>
      <c r="D262" s="2" t="s">
        <v>34</v>
      </c>
      <c r="E262" s="2" t="s">
        <v>19</v>
      </c>
      <c r="F262" s="2" t="s">
        <v>23</v>
      </c>
      <c r="G262" s="2">
        <v>76798</v>
      </c>
      <c r="H262" s="2">
        <v>1104</v>
      </c>
      <c r="I262" s="2">
        <v>197764</v>
      </c>
      <c r="J262" s="2">
        <v>366</v>
      </c>
      <c r="K262" s="2">
        <v>0.97</v>
      </c>
      <c r="L262" s="2">
        <v>6.29</v>
      </c>
      <c r="M262" s="2">
        <v>1.2</v>
      </c>
      <c r="N262" s="4">
        <v>7</v>
      </c>
    </row>
    <row r="263" spans="1:14" x14ac:dyDescent="0.35">
      <c r="A263" s="3">
        <v>2016</v>
      </c>
      <c r="B263" s="2">
        <v>3</v>
      </c>
      <c r="C263" s="2" t="s">
        <v>36</v>
      </c>
      <c r="D263" s="2" t="s">
        <v>29</v>
      </c>
      <c r="E263" s="2" t="s">
        <v>20</v>
      </c>
      <c r="F263" s="2" t="s">
        <v>27</v>
      </c>
      <c r="G263" s="2">
        <v>88473</v>
      </c>
      <c r="H263" s="2">
        <v>540</v>
      </c>
      <c r="I263" s="2">
        <v>81625</v>
      </c>
      <c r="J263" s="2">
        <v>185</v>
      </c>
      <c r="K263" s="2">
        <v>0.97</v>
      </c>
      <c r="L263" s="2">
        <v>6.29</v>
      </c>
      <c r="M263" s="2">
        <v>1.2</v>
      </c>
      <c r="N263" s="4">
        <v>1</v>
      </c>
    </row>
    <row r="264" spans="1:14" x14ac:dyDescent="0.35">
      <c r="A264" s="3">
        <v>2020</v>
      </c>
      <c r="B264" s="2">
        <v>5</v>
      </c>
      <c r="C264" s="2" t="s">
        <v>25</v>
      </c>
      <c r="D264" s="2" t="s">
        <v>33</v>
      </c>
      <c r="E264" s="2" t="s">
        <v>16</v>
      </c>
      <c r="F264" s="2" t="s">
        <v>27</v>
      </c>
      <c r="G264" s="2">
        <v>54880</v>
      </c>
      <c r="H264" s="2">
        <v>457</v>
      </c>
      <c r="I264" s="2">
        <v>337062</v>
      </c>
      <c r="J264" s="2">
        <v>88</v>
      </c>
      <c r="K264" s="2">
        <v>0.97</v>
      </c>
      <c r="L264" s="2">
        <v>6.29</v>
      </c>
      <c r="M264" s="2">
        <v>1.2</v>
      </c>
      <c r="N264" s="4">
        <v>9</v>
      </c>
    </row>
    <row r="265" spans="1:14" x14ac:dyDescent="0.35">
      <c r="A265" s="3">
        <v>2017</v>
      </c>
      <c r="B265" s="2">
        <v>4</v>
      </c>
      <c r="C265" s="2" t="s">
        <v>32</v>
      </c>
      <c r="D265" s="2" t="s">
        <v>33</v>
      </c>
      <c r="E265" s="2" t="s">
        <v>20</v>
      </c>
      <c r="F265" s="2" t="s">
        <v>27</v>
      </c>
      <c r="G265" s="2">
        <v>79439</v>
      </c>
      <c r="H265" s="2">
        <v>420</v>
      </c>
      <c r="I265" s="2">
        <v>484352</v>
      </c>
      <c r="J265" s="2">
        <v>11</v>
      </c>
      <c r="K265" s="2">
        <v>0.97</v>
      </c>
      <c r="L265" s="2">
        <v>6.29</v>
      </c>
      <c r="M265" s="2">
        <v>1.2</v>
      </c>
      <c r="N265" s="4">
        <v>7</v>
      </c>
    </row>
    <row r="266" spans="1:14" x14ac:dyDescent="0.35">
      <c r="A266" s="3">
        <v>2023</v>
      </c>
      <c r="B266" s="2">
        <v>3</v>
      </c>
      <c r="C266" s="2" t="s">
        <v>36</v>
      </c>
      <c r="D266" s="2" t="s">
        <v>39</v>
      </c>
      <c r="E266" s="2" t="s">
        <v>19</v>
      </c>
      <c r="F266" s="2" t="s">
        <v>17</v>
      </c>
      <c r="G266" s="2">
        <v>49308</v>
      </c>
      <c r="H266" s="2">
        <v>897</v>
      </c>
      <c r="I266" s="2">
        <v>426970</v>
      </c>
      <c r="J266" s="2">
        <v>392</v>
      </c>
      <c r="K266" s="2">
        <v>0.97</v>
      </c>
      <c r="L266" s="2">
        <v>6.29</v>
      </c>
      <c r="M266" s="2">
        <v>1.2</v>
      </c>
      <c r="N266" s="4">
        <v>10</v>
      </c>
    </row>
    <row r="267" spans="1:14" x14ac:dyDescent="0.35">
      <c r="A267" s="3">
        <v>2018</v>
      </c>
      <c r="B267" s="2">
        <v>10</v>
      </c>
      <c r="C267" s="2" t="s">
        <v>25</v>
      </c>
      <c r="D267" s="2" t="s">
        <v>22</v>
      </c>
      <c r="E267" s="2" t="s">
        <v>16</v>
      </c>
      <c r="F267" s="2" t="s">
        <v>23</v>
      </c>
      <c r="G267" s="2">
        <v>70081</v>
      </c>
      <c r="H267" s="2">
        <v>529</v>
      </c>
      <c r="I267" s="2">
        <v>164881</v>
      </c>
      <c r="J267" s="2">
        <v>141</v>
      </c>
      <c r="K267" s="2">
        <v>0.97</v>
      </c>
      <c r="L267" s="2">
        <v>6.29</v>
      </c>
      <c r="M267" s="2">
        <v>1.2</v>
      </c>
      <c r="N267" s="4">
        <v>9</v>
      </c>
    </row>
    <row r="268" spans="1:14" x14ac:dyDescent="0.35">
      <c r="A268" s="3">
        <v>2015</v>
      </c>
      <c r="B268" s="2">
        <v>5</v>
      </c>
      <c r="C268" s="2" t="s">
        <v>25</v>
      </c>
      <c r="D268" s="2" t="s">
        <v>33</v>
      </c>
      <c r="E268" s="2" t="s">
        <v>16</v>
      </c>
      <c r="F268" s="2" t="s">
        <v>17</v>
      </c>
      <c r="G268" s="2">
        <v>110242</v>
      </c>
      <c r="H268" s="2">
        <v>943</v>
      </c>
      <c r="I268" s="2">
        <v>495625</v>
      </c>
      <c r="J268" s="2">
        <v>285</v>
      </c>
      <c r="K268" s="2">
        <v>0.97</v>
      </c>
      <c r="L268" s="2">
        <v>6.29</v>
      </c>
      <c r="M268" s="2">
        <v>1.2</v>
      </c>
      <c r="N268" s="4">
        <v>7</v>
      </c>
    </row>
    <row r="269" spans="1:14" x14ac:dyDescent="0.35">
      <c r="A269" s="3">
        <v>2018</v>
      </c>
      <c r="B269" s="2">
        <v>11</v>
      </c>
      <c r="C269" s="2" t="s">
        <v>21</v>
      </c>
      <c r="D269" s="2" t="s">
        <v>39</v>
      </c>
      <c r="E269" s="2" t="s">
        <v>19</v>
      </c>
      <c r="F269" s="2" t="s">
        <v>27</v>
      </c>
      <c r="G269" s="2">
        <v>85383</v>
      </c>
      <c r="H269" s="2">
        <v>634</v>
      </c>
      <c r="I269" s="2">
        <v>327721</v>
      </c>
      <c r="J269" s="2">
        <v>126</v>
      </c>
      <c r="K269" s="2">
        <v>0.97</v>
      </c>
      <c r="L269" s="2">
        <v>6.29</v>
      </c>
      <c r="M269" s="2">
        <v>1.2</v>
      </c>
      <c r="N269" s="4">
        <v>2</v>
      </c>
    </row>
    <row r="270" spans="1:14" x14ac:dyDescent="0.35">
      <c r="A270" s="3">
        <v>2015</v>
      </c>
      <c r="B270" s="2">
        <v>8</v>
      </c>
      <c r="C270" s="2" t="s">
        <v>30</v>
      </c>
      <c r="D270" s="2" t="s">
        <v>31</v>
      </c>
      <c r="E270" s="2" t="s">
        <v>16</v>
      </c>
      <c r="F270" s="2" t="s">
        <v>27</v>
      </c>
      <c r="G270" s="2">
        <v>44837</v>
      </c>
      <c r="H270" s="2">
        <v>670</v>
      </c>
      <c r="I270" s="2">
        <v>397299</v>
      </c>
      <c r="J270" s="2">
        <v>173</v>
      </c>
      <c r="K270" s="2">
        <v>0.97</v>
      </c>
      <c r="L270" s="2">
        <v>6.29</v>
      </c>
      <c r="M270" s="2">
        <v>1.2</v>
      </c>
      <c r="N270" s="4">
        <v>6</v>
      </c>
    </row>
    <row r="271" spans="1:14" x14ac:dyDescent="0.35">
      <c r="A271" s="3">
        <v>2019</v>
      </c>
      <c r="B271" s="2">
        <v>11</v>
      </c>
      <c r="C271" s="2" t="s">
        <v>28</v>
      </c>
      <c r="D271" s="2" t="s">
        <v>34</v>
      </c>
      <c r="E271" s="2" t="s">
        <v>16</v>
      </c>
      <c r="F271" s="2" t="s">
        <v>23</v>
      </c>
      <c r="G271" s="2">
        <v>87151</v>
      </c>
      <c r="H271" s="2">
        <v>1001</v>
      </c>
      <c r="I271" s="2">
        <v>161776</v>
      </c>
      <c r="J271" s="2">
        <v>297</v>
      </c>
      <c r="K271" s="2">
        <v>0.97</v>
      </c>
      <c r="L271" s="2">
        <v>6.29</v>
      </c>
      <c r="M271" s="2">
        <v>1.2</v>
      </c>
      <c r="N271" s="4">
        <v>10</v>
      </c>
    </row>
    <row r="272" spans="1:14" x14ac:dyDescent="0.35">
      <c r="A272" s="3">
        <v>2018</v>
      </c>
      <c r="B272" s="2">
        <v>4</v>
      </c>
      <c r="C272" s="2" t="s">
        <v>38</v>
      </c>
      <c r="D272" s="2" t="s">
        <v>34</v>
      </c>
      <c r="E272" s="2" t="s">
        <v>20</v>
      </c>
      <c r="F272" s="2" t="s">
        <v>17</v>
      </c>
      <c r="G272" s="2">
        <v>71824</v>
      </c>
      <c r="H272" s="2">
        <v>191</v>
      </c>
      <c r="I272" s="2">
        <v>411390</v>
      </c>
      <c r="J272" s="2">
        <v>37</v>
      </c>
      <c r="K272" s="2">
        <v>0.97</v>
      </c>
      <c r="L272" s="2">
        <v>6.29</v>
      </c>
      <c r="M272" s="2">
        <v>1.2</v>
      </c>
      <c r="N272" s="4">
        <v>4</v>
      </c>
    </row>
    <row r="273" spans="1:14" x14ac:dyDescent="0.35">
      <c r="A273" s="3">
        <v>2022</v>
      </c>
      <c r="B273" s="2">
        <v>1</v>
      </c>
      <c r="C273" s="2" t="s">
        <v>35</v>
      </c>
      <c r="D273" s="2" t="s">
        <v>29</v>
      </c>
      <c r="E273" s="2" t="s">
        <v>19</v>
      </c>
      <c r="F273" s="2" t="s">
        <v>20</v>
      </c>
      <c r="G273" s="2">
        <v>68073</v>
      </c>
      <c r="H273" s="2">
        <v>937</v>
      </c>
      <c r="I273" s="2">
        <v>283996</v>
      </c>
      <c r="J273" s="2">
        <v>342</v>
      </c>
      <c r="K273" s="2">
        <v>0.97</v>
      </c>
      <c r="L273" s="2">
        <v>6.29</v>
      </c>
      <c r="M273" s="2">
        <v>1.2</v>
      </c>
      <c r="N273" s="4">
        <v>3</v>
      </c>
    </row>
    <row r="274" spans="1:14" x14ac:dyDescent="0.35">
      <c r="A274" s="3">
        <v>2022</v>
      </c>
      <c r="B274" s="2">
        <v>11</v>
      </c>
      <c r="C274" s="2" t="s">
        <v>28</v>
      </c>
      <c r="D274" s="2" t="s">
        <v>15</v>
      </c>
      <c r="E274" s="2" t="s">
        <v>19</v>
      </c>
      <c r="F274" s="2" t="s">
        <v>20</v>
      </c>
      <c r="G274" s="2">
        <v>61299</v>
      </c>
      <c r="H274" s="2">
        <v>471</v>
      </c>
      <c r="I274" s="2">
        <v>307831</v>
      </c>
      <c r="J274" s="2">
        <v>10</v>
      </c>
      <c r="K274" s="2">
        <v>0.97</v>
      </c>
      <c r="L274" s="2">
        <v>6.29</v>
      </c>
      <c r="M274" s="2">
        <v>1.2</v>
      </c>
      <c r="N274" s="4">
        <v>2</v>
      </c>
    </row>
    <row r="275" spans="1:14" x14ac:dyDescent="0.35">
      <c r="A275" s="3">
        <v>2021</v>
      </c>
      <c r="B275" s="2">
        <v>7</v>
      </c>
      <c r="C275" s="2" t="s">
        <v>36</v>
      </c>
      <c r="D275" s="2" t="s">
        <v>33</v>
      </c>
      <c r="E275" s="2" t="s">
        <v>19</v>
      </c>
      <c r="F275" s="2" t="s">
        <v>27</v>
      </c>
      <c r="G275" s="2">
        <v>93861</v>
      </c>
      <c r="H275" s="2">
        <v>615</v>
      </c>
      <c r="I275" s="2">
        <v>262803</v>
      </c>
      <c r="J275" s="2">
        <v>197</v>
      </c>
      <c r="K275" s="2">
        <v>0.97</v>
      </c>
      <c r="L275" s="2">
        <v>6.29</v>
      </c>
      <c r="M275" s="2">
        <v>1.2</v>
      </c>
      <c r="N275" s="4">
        <v>6</v>
      </c>
    </row>
    <row r="276" spans="1:14" x14ac:dyDescent="0.35">
      <c r="A276" s="3">
        <v>2017</v>
      </c>
      <c r="B276" s="2">
        <v>8</v>
      </c>
      <c r="C276" s="2" t="s">
        <v>38</v>
      </c>
      <c r="D276" s="2" t="s">
        <v>31</v>
      </c>
      <c r="E276" s="2" t="s">
        <v>19</v>
      </c>
      <c r="F276" s="2" t="s">
        <v>23</v>
      </c>
      <c r="G276" s="2">
        <v>65063</v>
      </c>
      <c r="H276" s="2">
        <v>245</v>
      </c>
      <c r="I276" s="2">
        <v>208761</v>
      </c>
      <c r="J276" s="2">
        <v>65</v>
      </c>
      <c r="K276" s="2">
        <v>0.97</v>
      </c>
      <c r="L276" s="2">
        <v>6.29</v>
      </c>
      <c r="M276" s="2">
        <v>1.2</v>
      </c>
      <c r="N276" s="4">
        <v>8</v>
      </c>
    </row>
    <row r="277" spans="1:14" x14ac:dyDescent="0.35">
      <c r="A277" s="3">
        <v>2015</v>
      </c>
      <c r="B277" s="2">
        <v>3</v>
      </c>
      <c r="C277" s="2" t="s">
        <v>37</v>
      </c>
      <c r="D277" s="2" t="s">
        <v>18</v>
      </c>
      <c r="E277" s="2" t="s">
        <v>19</v>
      </c>
      <c r="F277" s="2" t="s">
        <v>17</v>
      </c>
      <c r="G277" s="2">
        <v>104453</v>
      </c>
      <c r="H277" s="2">
        <v>265</v>
      </c>
      <c r="I277" s="2">
        <v>192226</v>
      </c>
      <c r="J277" s="2">
        <v>44</v>
      </c>
      <c r="K277" s="2">
        <v>0.97</v>
      </c>
      <c r="L277" s="2">
        <v>6.29</v>
      </c>
      <c r="M277" s="2">
        <v>1.2</v>
      </c>
      <c r="N277" s="4">
        <v>6</v>
      </c>
    </row>
    <row r="278" spans="1:14" x14ac:dyDescent="0.35">
      <c r="A278" s="3">
        <v>2015</v>
      </c>
      <c r="B278" s="2">
        <v>6</v>
      </c>
      <c r="C278" s="2" t="s">
        <v>30</v>
      </c>
      <c r="D278" s="2" t="s">
        <v>33</v>
      </c>
      <c r="E278" s="2" t="s">
        <v>16</v>
      </c>
      <c r="F278" s="2" t="s">
        <v>17</v>
      </c>
      <c r="G278" s="2">
        <v>103472</v>
      </c>
      <c r="H278" s="2">
        <v>313</v>
      </c>
      <c r="I278" s="2">
        <v>407092</v>
      </c>
      <c r="J278" s="2">
        <v>121</v>
      </c>
      <c r="K278" s="2">
        <v>0.97</v>
      </c>
      <c r="L278" s="2">
        <v>6.29</v>
      </c>
      <c r="M278" s="2">
        <v>1.2</v>
      </c>
      <c r="N278" s="4">
        <v>9</v>
      </c>
    </row>
    <row r="279" spans="1:14" x14ac:dyDescent="0.35">
      <c r="A279" s="3">
        <v>2017</v>
      </c>
      <c r="B279" s="2">
        <v>2</v>
      </c>
      <c r="C279" s="2" t="s">
        <v>37</v>
      </c>
      <c r="D279" s="2" t="s">
        <v>22</v>
      </c>
      <c r="E279" s="2" t="s">
        <v>20</v>
      </c>
      <c r="F279" s="2" t="s">
        <v>27</v>
      </c>
      <c r="G279" s="2">
        <v>49506</v>
      </c>
      <c r="H279" s="2">
        <v>674</v>
      </c>
      <c r="I279" s="2">
        <v>71341</v>
      </c>
      <c r="J279" s="2">
        <v>295</v>
      </c>
      <c r="K279" s="2">
        <v>0.97</v>
      </c>
      <c r="L279" s="2">
        <v>6.29</v>
      </c>
      <c r="M279" s="2">
        <v>1.2</v>
      </c>
      <c r="N279" s="4">
        <v>5</v>
      </c>
    </row>
    <row r="280" spans="1:14" x14ac:dyDescent="0.35">
      <c r="A280" s="3">
        <v>2020</v>
      </c>
      <c r="B280" s="2">
        <v>7</v>
      </c>
      <c r="C280" s="2" t="s">
        <v>37</v>
      </c>
      <c r="D280" s="2" t="s">
        <v>15</v>
      </c>
      <c r="E280" s="2" t="s">
        <v>19</v>
      </c>
      <c r="F280" s="2" t="s">
        <v>27</v>
      </c>
      <c r="G280" s="2">
        <v>114854</v>
      </c>
      <c r="H280" s="2">
        <v>807</v>
      </c>
      <c r="I280" s="2">
        <v>409698</v>
      </c>
      <c r="J280" s="2">
        <v>319</v>
      </c>
      <c r="K280" s="2">
        <v>0.97</v>
      </c>
      <c r="L280" s="2">
        <v>6.29</v>
      </c>
      <c r="M280" s="2">
        <v>1.2</v>
      </c>
      <c r="N280" s="4">
        <v>2</v>
      </c>
    </row>
    <row r="281" spans="1:14" x14ac:dyDescent="0.35">
      <c r="A281" s="3">
        <v>2021</v>
      </c>
      <c r="B281" s="2">
        <v>8</v>
      </c>
      <c r="C281" s="2" t="s">
        <v>32</v>
      </c>
      <c r="D281" s="2" t="s">
        <v>33</v>
      </c>
      <c r="E281" s="2" t="s">
        <v>20</v>
      </c>
      <c r="F281" s="2" t="s">
        <v>17</v>
      </c>
      <c r="G281" s="2">
        <v>61026</v>
      </c>
      <c r="H281" s="2">
        <v>201</v>
      </c>
      <c r="I281" s="2">
        <v>255753</v>
      </c>
      <c r="J281" s="2">
        <v>45</v>
      </c>
      <c r="K281" s="2">
        <v>0.97</v>
      </c>
      <c r="L281" s="2">
        <v>6.29</v>
      </c>
      <c r="M281" s="2">
        <v>1.2</v>
      </c>
      <c r="N281" s="4">
        <v>8</v>
      </c>
    </row>
    <row r="282" spans="1:14" x14ac:dyDescent="0.35">
      <c r="A282" s="3">
        <v>2020</v>
      </c>
      <c r="B282" s="2">
        <v>6</v>
      </c>
      <c r="C282" s="2" t="s">
        <v>28</v>
      </c>
      <c r="D282" s="2" t="s">
        <v>31</v>
      </c>
      <c r="E282" s="2" t="s">
        <v>20</v>
      </c>
      <c r="F282" s="2" t="s">
        <v>17</v>
      </c>
      <c r="G282" s="2">
        <v>62672</v>
      </c>
      <c r="H282" s="2">
        <v>848</v>
      </c>
      <c r="I282" s="2">
        <v>419942</v>
      </c>
      <c r="J282" s="2">
        <v>226</v>
      </c>
      <c r="K282" s="2">
        <v>0.97</v>
      </c>
      <c r="L282" s="2">
        <v>6.29</v>
      </c>
      <c r="M282" s="2">
        <v>1.2</v>
      </c>
      <c r="N282" s="4">
        <v>9</v>
      </c>
    </row>
    <row r="283" spans="1:14" x14ac:dyDescent="0.35">
      <c r="A283" s="3">
        <v>2020</v>
      </c>
      <c r="B283" s="2">
        <v>6</v>
      </c>
      <c r="C283" s="2" t="s">
        <v>35</v>
      </c>
      <c r="D283" s="2" t="s">
        <v>33</v>
      </c>
      <c r="E283" s="2" t="s">
        <v>16</v>
      </c>
      <c r="F283" s="2" t="s">
        <v>27</v>
      </c>
      <c r="G283" s="2">
        <v>73417</v>
      </c>
      <c r="H283" s="2">
        <v>447</v>
      </c>
      <c r="I283" s="2">
        <v>358474</v>
      </c>
      <c r="J283" s="2">
        <v>89</v>
      </c>
      <c r="K283" s="2">
        <v>0.97</v>
      </c>
      <c r="L283" s="2">
        <v>6.29</v>
      </c>
      <c r="M283" s="2">
        <v>1.2</v>
      </c>
      <c r="N283" s="4">
        <v>10</v>
      </c>
    </row>
    <row r="284" spans="1:14" x14ac:dyDescent="0.35">
      <c r="A284" s="3">
        <v>2020</v>
      </c>
      <c r="B284" s="2">
        <v>5</v>
      </c>
      <c r="C284" s="2" t="s">
        <v>21</v>
      </c>
      <c r="D284" s="2" t="s">
        <v>22</v>
      </c>
      <c r="E284" s="2" t="s">
        <v>19</v>
      </c>
      <c r="F284" s="2" t="s">
        <v>17</v>
      </c>
      <c r="G284" s="2">
        <v>87413</v>
      </c>
      <c r="H284" s="2">
        <v>1051</v>
      </c>
      <c r="I284" s="2">
        <v>299141</v>
      </c>
      <c r="J284" s="2">
        <v>323</v>
      </c>
      <c r="K284" s="2">
        <v>0.97</v>
      </c>
      <c r="L284" s="2">
        <v>6.29</v>
      </c>
      <c r="M284" s="2">
        <v>1.2</v>
      </c>
      <c r="N284" s="4">
        <v>4</v>
      </c>
    </row>
    <row r="285" spans="1:14" x14ac:dyDescent="0.35">
      <c r="A285" s="3">
        <v>2017</v>
      </c>
      <c r="B285" s="2">
        <v>8</v>
      </c>
      <c r="C285" s="2" t="s">
        <v>35</v>
      </c>
      <c r="D285" s="2" t="s">
        <v>18</v>
      </c>
      <c r="E285" s="2" t="s">
        <v>16</v>
      </c>
      <c r="F285" s="2" t="s">
        <v>20</v>
      </c>
      <c r="G285" s="2">
        <v>100066</v>
      </c>
      <c r="H285" s="2">
        <v>436</v>
      </c>
      <c r="I285" s="2">
        <v>399903</v>
      </c>
      <c r="J285" s="2">
        <v>92</v>
      </c>
      <c r="K285" s="2">
        <v>0.97</v>
      </c>
      <c r="L285" s="2">
        <v>6.29</v>
      </c>
      <c r="M285" s="2">
        <v>1.2</v>
      </c>
      <c r="N285" s="4">
        <v>6</v>
      </c>
    </row>
    <row r="286" spans="1:14" x14ac:dyDescent="0.35">
      <c r="A286" s="3">
        <v>2020</v>
      </c>
      <c r="B286" s="2">
        <v>1</v>
      </c>
      <c r="C286" s="2" t="s">
        <v>37</v>
      </c>
      <c r="D286" s="2" t="s">
        <v>26</v>
      </c>
      <c r="E286" s="2" t="s">
        <v>19</v>
      </c>
      <c r="F286" s="2" t="s">
        <v>27</v>
      </c>
      <c r="G286" s="2">
        <v>94213</v>
      </c>
      <c r="H286" s="2">
        <v>197</v>
      </c>
      <c r="I286" s="2">
        <v>249488</v>
      </c>
      <c r="J286" s="2">
        <v>74</v>
      </c>
      <c r="K286" s="2">
        <v>0.97</v>
      </c>
      <c r="L286" s="2">
        <v>6.29</v>
      </c>
      <c r="M286" s="2">
        <v>1.2</v>
      </c>
      <c r="N286" s="4">
        <v>10</v>
      </c>
    </row>
    <row r="287" spans="1:14" x14ac:dyDescent="0.35">
      <c r="A287" s="3">
        <v>2022</v>
      </c>
      <c r="B287" s="2">
        <v>10</v>
      </c>
      <c r="C287" s="2" t="s">
        <v>36</v>
      </c>
      <c r="D287" s="2" t="s">
        <v>24</v>
      </c>
      <c r="E287" s="2" t="s">
        <v>16</v>
      </c>
      <c r="F287" s="2" t="s">
        <v>17</v>
      </c>
      <c r="G287" s="2">
        <v>85971</v>
      </c>
      <c r="H287" s="2">
        <v>1021</v>
      </c>
      <c r="I287" s="2">
        <v>306139</v>
      </c>
      <c r="J287" s="2">
        <v>334</v>
      </c>
      <c r="K287" s="2">
        <v>0.97</v>
      </c>
      <c r="L287" s="2">
        <v>6.29</v>
      </c>
      <c r="M287" s="2">
        <v>1.2</v>
      </c>
      <c r="N287" s="4">
        <v>8</v>
      </c>
    </row>
    <row r="288" spans="1:14" x14ac:dyDescent="0.35">
      <c r="A288" s="3">
        <v>2016</v>
      </c>
      <c r="B288" s="2">
        <v>4</v>
      </c>
      <c r="C288" s="2" t="s">
        <v>30</v>
      </c>
      <c r="D288" s="2" t="s">
        <v>18</v>
      </c>
      <c r="E288" s="2" t="s">
        <v>20</v>
      </c>
      <c r="F288" s="2" t="s">
        <v>27</v>
      </c>
      <c r="G288" s="2">
        <v>62281</v>
      </c>
      <c r="H288" s="2">
        <v>640</v>
      </c>
      <c r="I288" s="2">
        <v>398951</v>
      </c>
      <c r="J288" s="2">
        <v>137</v>
      </c>
      <c r="K288" s="2">
        <v>0.97</v>
      </c>
      <c r="L288" s="2">
        <v>6.29</v>
      </c>
      <c r="M288" s="2">
        <v>1.2</v>
      </c>
      <c r="N288" s="4">
        <v>9</v>
      </c>
    </row>
    <row r="289" spans="1:14" x14ac:dyDescent="0.35">
      <c r="A289" s="3">
        <v>2019</v>
      </c>
      <c r="B289" s="2">
        <v>4</v>
      </c>
      <c r="C289" s="2" t="s">
        <v>14</v>
      </c>
      <c r="D289" s="2" t="s">
        <v>39</v>
      </c>
      <c r="E289" s="2" t="s">
        <v>19</v>
      </c>
      <c r="F289" s="2" t="s">
        <v>23</v>
      </c>
      <c r="G289" s="2">
        <v>63091</v>
      </c>
      <c r="H289" s="2">
        <v>1081</v>
      </c>
      <c r="I289" s="2">
        <v>345457</v>
      </c>
      <c r="J289" s="2">
        <v>316</v>
      </c>
      <c r="K289" s="2">
        <v>0.97</v>
      </c>
      <c r="L289" s="2">
        <v>6.29</v>
      </c>
      <c r="M289" s="2">
        <v>1.2</v>
      </c>
      <c r="N289" s="4">
        <v>5</v>
      </c>
    </row>
    <row r="290" spans="1:14" x14ac:dyDescent="0.35">
      <c r="A290" s="3">
        <v>2015</v>
      </c>
      <c r="B290" s="2">
        <v>3</v>
      </c>
      <c r="C290" s="2" t="s">
        <v>35</v>
      </c>
      <c r="D290" s="2" t="s">
        <v>33</v>
      </c>
      <c r="E290" s="2" t="s">
        <v>20</v>
      </c>
      <c r="F290" s="2" t="s">
        <v>27</v>
      </c>
      <c r="G290" s="2">
        <v>85494</v>
      </c>
      <c r="H290" s="2">
        <v>100</v>
      </c>
      <c r="I290" s="2">
        <v>359044</v>
      </c>
      <c r="J290" s="2">
        <v>31</v>
      </c>
      <c r="K290" s="2">
        <v>0.97</v>
      </c>
      <c r="L290" s="2">
        <v>6.29</v>
      </c>
      <c r="M290" s="2">
        <v>1.2</v>
      </c>
      <c r="N290" s="4">
        <v>6</v>
      </c>
    </row>
    <row r="291" spans="1:14" x14ac:dyDescent="0.35">
      <c r="A291" s="3">
        <v>2015</v>
      </c>
      <c r="B291" s="2">
        <v>3</v>
      </c>
      <c r="C291" s="2" t="s">
        <v>37</v>
      </c>
      <c r="D291" s="2" t="s">
        <v>34</v>
      </c>
      <c r="E291" s="2" t="s">
        <v>20</v>
      </c>
      <c r="F291" s="2" t="s">
        <v>27</v>
      </c>
      <c r="G291" s="2">
        <v>53610</v>
      </c>
      <c r="H291" s="2">
        <v>675</v>
      </c>
      <c r="I291" s="2">
        <v>128840</v>
      </c>
      <c r="J291" s="2">
        <v>225</v>
      </c>
      <c r="K291" s="2">
        <v>0.97</v>
      </c>
      <c r="L291" s="2">
        <v>6.29</v>
      </c>
      <c r="M291" s="2">
        <v>1.2</v>
      </c>
      <c r="N291" s="4">
        <v>4</v>
      </c>
    </row>
    <row r="292" spans="1:14" x14ac:dyDescent="0.35">
      <c r="A292" s="3">
        <v>2019</v>
      </c>
      <c r="B292" s="2">
        <v>4</v>
      </c>
      <c r="C292" s="2" t="s">
        <v>30</v>
      </c>
      <c r="D292" s="2" t="s">
        <v>29</v>
      </c>
      <c r="E292" s="2" t="s">
        <v>16</v>
      </c>
      <c r="F292" s="2" t="s">
        <v>23</v>
      </c>
      <c r="G292" s="2">
        <v>36079</v>
      </c>
      <c r="H292" s="2">
        <v>351</v>
      </c>
      <c r="I292" s="2">
        <v>215767</v>
      </c>
      <c r="J292" s="2">
        <v>116</v>
      </c>
      <c r="K292" s="2">
        <v>0.97</v>
      </c>
      <c r="L292" s="2">
        <v>6.29</v>
      </c>
      <c r="M292" s="2">
        <v>1.2</v>
      </c>
      <c r="N292" s="4">
        <v>5</v>
      </c>
    </row>
    <row r="293" spans="1:14" x14ac:dyDescent="0.35">
      <c r="A293" s="3">
        <v>2017</v>
      </c>
      <c r="B293" s="2">
        <v>11</v>
      </c>
      <c r="C293" s="2" t="s">
        <v>38</v>
      </c>
      <c r="D293" s="2" t="s">
        <v>34</v>
      </c>
      <c r="E293" s="2" t="s">
        <v>19</v>
      </c>
      <c r="F293" s="2" t="s">
        <v>20</v>
      </c>
      <c r="G293" s="2">
        <v>81751</v>
      </c>
      <c r="H293" s="2">
        <v>355</v>
      </c>
      <c r="I293" s="2">
        <v>211297</v>
      </c>
      <c r="J293" s="2">
        <v>118</v>
      </c>
      <c r="K293" s="2">
        <v>0.97</v>
      </c>
      <c r="L293" s="2">
        <v>6.29</v>
      </c>
      <c r="M293" s="2">
        <v>1.2</v>
      </c>
      <c r="N293" s="4">
        <v>7</v>
      </c>
    </row>
    <row r="294" spans="1:14" x14ac:dyDescent="0.35">
      <c r="A294" s="3">
        <v>2018</v>
      </c>
      <c r="B294" s="2">
        <v>1</v>
      </c>
      <c r="C294" s="2" t="s">
        <v>28</v>
      </c>
      <c r="D294" s="2" t="s">
        <v>18</v>
      </c>
      <c r="E294" s="2" t="s">
        <v>20</v>
      </c>
      <c r="F294" s="2" t="s">
        <v>17</v>
      </c>
      <c r="G294" s="2">
        <v>90432</v>
      </c>
      <c r="H294" s="2">
        <v>1195</v>
      </c>
      <c r="I294" s="2">
        <v>398216</v>
      </c>
      <c r="J294" s="2">
        <v>381</v>
      </c>
      <c r="K294" s="2">
        <v>0.97</v>
      </c>
      <c r="L294" s="2">
        <v>6.29</v>
      </c>
      <c r="M294" s="2">
        <v>1.2</v>
      </c>
      <c r="N294" s="4">
        <v>9</v>
      </c>
    </row>
    <row r="295" spans="1:14" x14ac:dyDescent="0.35">
      <c r="A295" s="3">
        <v>2017</v>
      </c>
      <c r="B295" s="2">
        <v>11</v>
      </c>
      <c r="C295" s="2" t="s">
        <v>25</v>
      </c>
      <c r="D295" s="2" t="s">
        <v>34</v>
      </c>
      <c r="E295" s="2" t="s">
        <v>16</v>
      </c>
      <c r="F295" s="2" t="s">
        <v>23</v>
      </c>
      <c r="G295" s="2">
        <v>65951</v>
      </c>
      <c r="H295" s="2">
        <v>811</v>
      </c>
      <c r="I295" s="2">
        <v>408511</v>
      </c>
      <c r="J295" s="2">
        <v>366</v>
      </c>
      <c r="K295" s="2">
        <v>0.97</v>
      </c>
      <c r="L295" s="2">
        <v>6.29</v>
      </c>
      <c r="M295" s="2">
        <v>1.2</v>
      </c>
      <c r="N295" s="4">
        <v>10</v>
      </c>
    </row>
    <row r="296" spans="1:14" x14ac:dyDescent="0.35">
      <c r="A296" s="3">
        <v>2015</v>
      </c>
      <c r="B296" s="2">
        <v>11</v>
      </c>
      <c r="C296" s="2" t="s">
        <v>32</v>
      </c>
      <c r="D296" s="2" t="s">
        <v>31</v>
      </c>
      <c r="E296" s="2" t="s">
        <v>19</v>
      </c>
      <c r="F296" s="2" t="s">
        <v>27</v>
      </c>
      <c r="G296" s="2">
        <v>115863</v>
      </c>
      <c r="H296" s="2">
        <v>473</v>
      </c>
      <c r="I296" s="2">
        <v>99156</v>
      </c>
      <c r="J296" s="2">
        <v>190</v>
      </c>
      <c r="K296" s="2">
        <v>0.97</v>
      </c>
      <c r="L296" s="2">
        <v>6.29</v>
      </c>
      <c r="M296" s="2">
        <v>1.2</v>
      </c>
      <c r="N296" s="4">
        <v>6</v>
      </c>
    </row>
    <row r="297" spans="1:14" x14ac:dyDescent="0.35">
      <c r="A297" s="3">
        <v>2015</v>
      </c>
      <c r="B297" s="2">
        <v>2</v>
      </c>
      <c r="C297" s="2" t="s">
        <v>30</v>
      </c>
      <c r="D297" s="2" t="s">
        <v>34</v>
      </c>
      <c r="E297" s="2" t="s">
        <v>19</v>
      </c>
      <c r="F297" s="2" t="s">
        <v>17</v>
      </c>
      <c r="G297" s="2">
        <v>113291</v>
      </c>
      <c r="H297" s="2">
        <v>1027</v>
      </c>
      <c r="I297" s="2">
        <v>258281</v>
      </c>
      <c r="J297" s="2">
        <v>365</v>
      </c>
      <c r="K297" s="2">
        <v>0.97</v>
      </c>
      <c r="L297" s="2">
        <v>6.29</v>
      </c>
      <c r="M297" s="2">
        <v>1.2</v>
      </c>
      <c r="N297" s="4">
        <v>6</v>
      </c>
    </row>
    <row r="298" spans="1:14" x14ac:dyDescent="0.35">
      <c r="A298" s="3">
        <v>2019</v>
      </c>
      <c r="B298" s="2">
        <v>9</v>
      </c>
      <c r="C298" s="2" t="s">
        <v>36</v>
      </c>
      <c r="D298" s="2" t="s">
        <v>15</v>
      </c>
      <c r="E298" s="2" t="s">
        <v>20</v>
      </c>
      <c r="F298" s="2" t="s">
        <v>23</v>
      </c>
      <c r="G298" s="2">
        <v>94872</v>
      </c>
      <c r="H298" s="2">
        <v>505</v>
      </c>
      <c r="I298" s="2">
        <v>137453</v>
      </c>
      <c r="J298" s="2">
        <v>173</v>
      </c>
      <c r="K298" s="2">
        <v>0.97</v>
      </c>
      <c r="L298" s="2">
        <v>6.29</v>
      </c>
      <c r="M298" s="2">
        <v>1.2</v>
      </c>
      <c r="N298" s="4">
        <v>8</v>
      </c>
    </row>
    <row r="299" spans="1:14" x14ac:dyDescent="0.35">
      <c r="A299" s="3">
        <v>2020</v>
      </c>
      <c r="B299" s="2">
        <v>10</v>
      </c>
      <c r="C299" s="2" t="s">
        <v>36</v>
      </c>
      <c r="D299" s="2" t="s">
        <v>26</v>
      </c>
      <c r="E299" s="2" t="s">
        <v>19</v>
      </c>
      <c r="F299" s="2" t="s">
        <v>17</v>
      </c>
      <c r="G299" s="2">
        <v>42235</v>
      </c>
      <c r="H299" s="2">
        <v>369</v>
      </c>
      <c r="I299" s="2">
        <v>208901</v>
      </c>
      <c r="J299" s="2">
        <v>77</v>
      </c>
      <c r="K299" s="2">
        <v>0.97</v>
      </c>
      <c r="L299" s="2">
        <v>6.29</v>
      </c>
      <c r="M299" s="2">
        <v>1.2</v>
      </c>
      <c r="N299" s="4">
        <v>4</v>
      </c>
    </row>
    <row r="300" spans="1:14" x14ac:dyDescent="0.35">
      <c r="A300" s="3">
        <v>2017</v>
      </c>
      <c r="B300" s="2">
        <v>2</v>
      </c>
      <c r="C300" s="2" t="s">
        <v>30</v>
      </c>
      <c r="D300" s="2" t="s">
        <v>33</v>
      </c>
      <c r="E300" s="2" t="s">
        <v>20</v>
      </c>
      <c r="F300" s="2" t="s">
        <v>17</v>
      </c>
      <c r="G300" s="2">
        <v>117733</v>
      </c>
      <c r="H300" s="2">
        <v>782</v>
      </c>
      <c r="I300" s="2">
        <v>75938</v>
      </c>
      <c r="J300" s="2">
        <v>301</v>
      </c>
      <c r="K300" s="2">
        <v>0.97</v>
      </c>
      <c r="L300" s="2">
        <v>6.29</v>
      </c>
      <c r="M300" s="2">
        <v>1.2</v>
      </c>
      <c r="N300" s="4">
        <v>3</v>
      </c>
    </row>
    <row r="301" spans="1:14" x14ac:dyDescent="0.35">
      <c r="A301" s="3">
        <v>2023</v>
      </c>
      <c r="B301" s="2">
        <v>5</v>
      </c>
      <c r="C301" s="2" t="s">
        <v>36</v>
      </c>
      <c r="D301" s="2" t="s">
        <v>34</v>
      </c>
      <c r="E301" s="2" t="s">
        <v>19</v>
      </c>
      <c r="F301" s="2" t="s">
        <v>23</v>
      </c>
      <c r="G301" s="2">
        <v>97712</v>
      </c>
      <c r="H301" s="2">
        <v>432</v>
      </c>
      <c r="I301" s="2">
        <v>109164</v>
      </c>
      <c r="J301" s="2">
        <v>189</v>
      </c>
      <c r="K301" s="2">
        <v>0.97</v>
      </c>
      <c r="L301" s="2">
        <v>6.29</v>
      </c>
      <c r="M301" s="2">
        <v>1.2</v>
      </c>
      <c r="N301" s="4">
        <v>7</v>
      </c>
    </row>
    <row r="302" spans="1:14" x14ac:dyDescent="0.35">
      <c r="A302" s="3">
        <v>2019</v>
      </c>
      <c r="B302" s="2">
        <v>9</v>
      </c>
      <c r="C302" s="2" t="s">
        <v>28</v>
      </c>
      <c r="D302" s="2" t="s">
        <v>22</v>
      </c>
      <c r="E302" s="2" t="s">
        <v>16</v>
      </c>
      <c r="F302" s="2" t="s">
        <v>17</v>
      </c>
      <c r="G302" s="2">
        <v>56473</v>
      </c>
      <c r="H302" s="2">
        <v>773</v>
      </c>
      <c r="I302" s="2">
        <v>497746</v>
      </c>
      <c r="J302" s="2">
        <v>190</v>
      </c>
      <c r="K302" s="2">
        <v>0.97</v>
      </c>
      <c r="L302" s="2">
        <v>6.29</v>
      </c>
      <c r="M302" s="2">
        <v>1.2</v>
      </c>
      <c r="N302" s="4">
        <v>5</v>
      </c>
    </row>
    <row r="303" spans="1:14" x14ac:dyDescent="0.35">
      <c r="A303" s="3">
        <v>2022</v>
      </c>
      <c r="B303" s="2">
        <v>9</v>
      </c>
      <c r="C303" s="2" t="s">
        <v>36</v>
      </c>
      <c r="D303" s="2" t="s">
        <v>26</v>
      </c>
      <c r="E303" s="2" t="s">
        <v>20</v>
      </c>
      <c r="F303" s="2" t="s">
        <v>20</v>
      </c>
      <c r="G303" s="2">
        <v>102567</v>
      </c>
      <c r="H303" s="2">
        <v>554</v>
      </c>
      <c r="I303" s="2">
        <v>249271</v>
      </c>
      <c r="J303" s="2">
        <v>178</v>
      </c>
      <c r="K303" s="2">
        <v>0.97</v>
      </c>
      <c r="L303" s="2">
        <v>6.29</v>
      </c>
      <c r="M303" s="2">
        <v>1.2</v>
      </c>
      <c r="N303" s="4">
        <v>2</v>
      </c>
    </row>
    <row r="304" spans="1:14" x14ac:dyDescent="0.35">
      <c r="A304" s="3">
        <v>2015</v>
      </c>
      <c r="B304" s="2">
        <v>8</v>
      </c>
      <c r="C304" s="2" t="s">
        <v>35</v>
      </c>
      <c r="D304" s="2" t="s">
        <v>26</v>
      </c>
      <c r="E304" s="2" t="s">
        <v>20</v>
      </c>
      <c r="F304" s="2" t="s">
        <v>23</v>
      </c>
      <c r="G304" s="2">
        <v>114823</v>
      </c>
      <c r="H304" s="2">
        <v>398</v>
      </c>
      <c r="I304" s="2">
        <v>110282</v>
      </c>
      <c r="J304" s="2">
        <v>31</v>
      </c>
      <c r="K304" s="2">
        <v>0.97</v>
      </c>
      <c r="L304" s="2">
        <v>6.29</v>
      </c>
      <c r="M304" s="2">
        <v>1.2</v>
      </c>
      <c r="N304" s="4">
        <v>2</v>
      </c>
    </row>
    <row r="305" spans="1:14" x14ac:dyDescent="0.35">
      <c r="A305" s="3">
        <v>2019</v>
      </c>
      <c r="B305" s="2">
        <v>1</v>
      </c>
      <c r="C305" s="2" t="s">
        <v>25</v>
      </c>
      <c r="D305" s="2" t="s">
        <v>34</v>
      </c>
      <c r="E305" s="2" t="s">
        <v>19</v>
      </c>
      <c r="F305" s="2" t="s">
        <v>20</v>
      </c>
      <c r="G305" s="2">
        <v>67230</v>
      </c>
      <c r="H305" s="2">
        <v>424</v>
      </c>
      <c r="I305" s="2">
        <v>359945</v>
      </c>
      <c r="J305" s="2">
        <v>75</v>
      </c>
      <c r="K305" s="2">
        <v>0.97</v>
      </c>
      <c r="L305" s="2">
        <v>6.29</v>
      </c>
      <c r="M305" s="2">
        <v>1.2</v>
      </c>
      <c r="N305" s="4">
        <v>6</v>
      </c>
    </row>
    <row r="306" spans="1:14" x14ac:dyDescent="0.35">
      <c r="A306" s="3">
        <v>2017</v>
      </c>
      <c r="B306" s="2">
        <v>1</v>
      </c>
      <c r="C306" s="2" t="s">
        <v>36</v>
      </c>
      <c r="D306" s="2" t="s">
        <v>26</v>
      </c>
      <c r="E306" s="2" t="s">
        <v>19</v>
      </c>
      <c r="F306" s="2" t="s">
        <v>27</v>
      </c>
      <c r="G306" s="2">
        <v>119573</v>
      </c>
      <c r="H306" s="2">
        <v>67</v>
      </c>
      <c r="I306" s="2">
        <v>452681</v>
      </c>
      <c r="J306" s="2">
        <v>30</v>
      </c>
      <c r="K306" s="2">
        <v>0.97</v>
      </c>
      <c r="L306" s="2">
        <v>6.29</v>
      </c>
      <c r="M306" s="2">
        <v>1.2</v>
      </c>
      <c r="N306" s="4">
        <v>8</v>
      </c>
    </row>
    <row r="307" spans="1:14" x14ac:dyDescent="0.35">
      <c r="A307" s="3">
        <v>2015</v>
      </c>
      <c r="B307" s="2">
        <v>9</v>
      </c>
      <c r="C307" s="2" t="s">
        <v>25</v>
      </c>
      <c r="D307" s="2" t="s">
        <v>29</v>
      </c>
      <c r="E307" s="2" t="s">
        <v>20</v>
      </c>
      <c r="F307" s="2" t="s">
        <v>17</v>
      </c>
      <c r="G307" s="2">
        <v>103876</v>
      </c>
      <c r="H307" s="2">
        <v>540</v>
      </c>
      <c r="I307" s="2">
        <v>315470</v>
      </c>
      <c r="J307" s="2">
        <v>109</v>
      </c>
      <c r="K307" s="2">
        <v>0.97</v>
      </c>
      <c r="L307" s="2">
        <v>6.29</v>
      </c>
      <c r="M307" s="2">
        <v>1.2</v>
      </c>
      <c r="N307" s="4">
        <v>1</v>
      </c>
    </row>
    <row r="308" spans="1:14" x14ac:dyDescent="0.35">
      <c r="A308" s="3">
        <v>2018</v>
      </c>
      <c r="B308" s="2">
        <v>11</v>
      </c>
      <c r="C308" s="2" t="s">
        <v>37</v>
      </c>
      <c r="D308" s="2" t="s">
        <v>34</v>
      </c>
      <c r="E308" s="2" t="s">
        <v>19</v>
      </c>
      <c r="F308" s="2" t="s">
        <v>27</v>
      </c>
      <c r="G308" s="2">
        <v>75644</v>
      </c>
      <c r="H308" s="2">
        <v>887</v>
      </c>
      <c r="I308" s="2">
        <v>446875</v>
      </c>
      <c r="J308" s="2">
        <v>393</v>
      </c>
      <c r="K308" s="2">
        <v>0.97</v>
      </c>
      <c r="L308" s="2">
        <v>6.29</v>
      </c>
      <c r="M308" s="2">
        <v>1.2</v>
      </c>
      <c r="N308" s="4">
        <v>6</v>
      </c>
    </row>
    <row r="309" spans="1:14" x14ac:dyDescent="0.35">
      <c r="A309" s="3">
        <v>2019</v>
      </c>
      <c r="B309" s="2">
        <v>8</v>
      </c>
      <c r="C309" s="2" t="s">
        <v>21</v>
      </c>
      <c r="D309" s="2" t="s">
        <v>31</v>
      </c>
      <c r="E309" s="2" t="s">
        <v>16</v>
      </c>
      <c r="F309" s="2" t="s">
        <v>27</v>
      </c>
      <c r="G309" s="2">
        <v>83664</v>
      </c>
      <c r="H309" s="2">
        <v>687</v>
      </c>
      <c r="I309" s="2">
        <v>208666</v>
      </c>
      <c r="J309" s="2">
        <v>309</v>
      </c>
      <c r="K309" s="2">
        <v>0.97</v>
      </c>
      <c r="L309" s="2">
        <v>6.29</v>
      </c>
      <c r="M309" s="2">
        <v>1.2</v>
      </c>
      <c r="N309" s="4">
        <v>2</v>
      </c>
    </row>
    <row r="310" spans="1:14" x14ac:dyDescent="0.35">
      <c r="A310" s="3">
        <v>2021</v>
      </c>
      <c r="B310" s="2">
        <v>10</v>
      </c>
      <c r="C310" s="2" t="s">
        <v>28</v>
      </c>
      <c r="D310" s="2" t="s">
        <v>18</v>
      </c>
      <c r="E310" s="2" t="s">
        <v>19</v>
      </c>
      <c r="F310" s="2" t="s">
        <v>17</v>
      </c>
      <c r="G310" s="2">
        <v>80203</v>
      </c>
      <c r="H310" s="2">
        <v>514</v>
      </c>
      <c r="I310" s="2">
        <v>165819</v>
      </c>
      <c r="J310" s="2">
        <v>112</v>
      </c>
      <c r="K310" s="2">
        <v>0.97</v>
      </c>
      <c r="L310" s="2">
        <v>6.29</v>
      </c>
      <c r="M310" s="2">
        <v>1.2</v>
      </c>
      <c r="N310" s="4">
        <v>2</v>
      </c>
    </row>
    <row r="311" spans="1:14" x14ac:dyDescent="0.35">
      <c r="A311" s="3">
        <v>2015</v>
      </c>
      <c r="B311" s="2">
        <v>9</v>
      </c>
      <c r="C311" s="2" t="s">
        <v>21</v>
      </c>
      <c r="D311" s="2" t="s">
        <v>15</v>
      </c>
      <c r="E311" s="2" t="s">
        <v>16</v>
      </c>
      <c r="F311" s="2" t="s">
        <v>23</v>
      </c>
      <c r="G311" s="2">
        <v>101677</v>
      </c>
      <c r="H311" s="2">
        <v>255</v>
      </c>
      <c r="I311" s="2">
        <v>316907</v>
      </c>
      <c r="J311" s="2">
        <v>56</v>
      </c>
      <c r="K311" s="2">
        <v>0.97</v>
      </c>
      <c r="L311" s="2">
        <v>6.29</v>
      </c>
      <c r="M311" s="2">
        <v>1.2</v>
      </c>
      <c r="N311" s="4">
        <v>7</v>
      </c>
    </row>
    <row r="312" spans="1:14" x14ac:dyDescent="0.35">
      <c r="A312" s="3">
        <v>2017</v>
      </c>
      <c r="B312" s="2">
        <v>7</v>
      </c>
      <c r="C312" s="2" t="s">
        <v>37</v>
      </c>
      <c r="D312" s="2" t="s">
        <v>24</v>
      </c>
      <c r="E312" s="2" t="s">
        <v>16</v>
      </c>
      <c r="F312" s="2" t="s">
        <v>17</v>
      </c>
      <c r="G312" s="2">
        <v>60425</v>
      </c>
      <c r="H312" s="2">
        <v>302</v>
      </c>
      <c r="I312" s="2">
        <v>191900</v>
      </c>
      <c r="J312" s="2">
        <v>48</v>
      </c>
      <c r="K312" s="2">
        <v>0.97</v>
      </c>
      <c r="L312" s="2">
        <v>6.29</v>
      </c>
      <c r="M312" s="2">
        <v>1.2</v>
      </c>
      <c r="N312" s="4">
        <v>10</v>
      </c>
    </row>
    <row r="313" spans="1:14" x14ac:dyDescent="0.35">
      <c r="A313" s="3">
        <v>2016</v>
      </c>
      <c r="B313" s="2">
        <v>3</v>
      </c>
      <c r="C313" s="2" t="s">
        <v>28</v>
      </c>
      <c r="D313" s="2" t="s">
        <v>39</v>
      </c>
      <c r="E313" s="2" t="s">
        <v>16</v>
      </c>
      <c r="F313" s="2" t="s">
        <v>27</v>
      </c>
      <c r="G313" s="2">
        <v>119817</v>
      </c>
      <c r="H313" s="2">
        <v>730</v>
      </c>
      <c r="I313" s="2">
        <v>359732</v>
      </c>
      <c r="J313" s="2">
        <v>294</v>
      </c>
      <c r="K313" s="2">
        <v>0.97</v>
      </c>
      <c r="L313" s="2">
        <v>6.29</v>
      </c>
      <c r="M313" s="2">
        <v>1.2</v>
      </c>
      <c r="N313" s="4">
        <v>1</v>
      </c>
    </row>
    <row r="314" spans="1:14" x14ac:dyDescent="0.35">
      <c r="A314" s="3">
        <v>2023</v>
      </c>
      <c r="B314" s="2">
        <v>3</v>
      </c>
      <c r="C314" s="2" t="s">
        <v>30</v>
      </c>
      <c r="D314" s="2" t="s">
        <v>26</v>
      </c>
      <c r="E314" s="2" t="s">
        <v>16</v>
      </c>
      <c r="F314" s="2" t="s">
        <v>27</v>
      </c>
      <c r="G314" s="2">
        <v>104806</v>
      </c>
      <c r="H314" s="2">
        <v>847</v>
      </c>
      <c r="I314" s="2">
        <v>323365</v>
      </c>
      <c r="J314" s="2">
        <v>319</v>
      </c>
      <c r="K314" s="2">
        <v>0.97</v>
      </c>
      <c r="L314" s="2">
        <v>6.29</v>
      </c>
      <c r="M314" s="2">
        <v>1.2</v>
      </c>
      <c r="N314" s="4">
        <v>6</v>
      </c>
    </row>
    <row r="315" spans="1:14" x14ac:dyDescent="0.35">
      <c r="A315" s="3">
        <v>2024</v>
      </c>
      <c r="B315" s="2">
        <v>2</v>
      </c>
      <c r="C315" s="2" t="s">
        <v>30</v>
      </c>
      <c r="D315" s="2" t="s">
        <v>31</v>
      </c>
      <c r="E315" s="2" t="s">
        <v>16</v>
      </c>
      <c r="F315" s="2" t="s">
        <v>23</v>
      </c>
      <c r="G315" s="2">
        <v>77814</v>
      </c>
      <c r="H315" s="2">
        <v>498</v>
      </c>
      <c r="I315" s="2">
        <v>454427</v>
      </c>
      <c r="J315" s="2">
        <v>99</v>
      </c>
      <c r="K315" s="2">
        <v>0.97</v>
      </c>
      <c r="L315" s="2">
        <v>6.29</v>
      </c>
      <c r="M315" s="2">
        <v>1.2</v>
      </c>
      <c r="N315" s="4">
        <v>7</v>
      </c>
    </row>
    <row r="316" spans="1:14" x14ac:dyDescent="0.35">
      <c r="A316" s="3">
        <v>2020</v>
      </c>
      <c r="B316" s="2">
        <v>5</v>
      </c>
      <c r="C316" s="2" t="s">
        <v>25</v>
      </c>
      <c r="D316" s="2" t="s">
        <v>33</v>
      </c>
      <c r="E316" s="2" t="s">
        <v>19</v>
      </c>
      <c r="F316" s="2" t="s">
        <v>17</v>
      </c>
      <c r="G316" s="2">
        <v>105219</v>
      </c>
      <c r="H316" s="2">
        <v>176</v>
      </c>
      <c r="I316" s="2">
        <v>63569</v>
      </c>
      <c r="J316" s="2">
        <v>94</v>
      </c>
      <c r="K316" s="2">
        <v>0.97</v>
      </c>
      <c r="L316" s="2">
        <v>6.29</v>
      </c>
      <c r="M316" s="2">
        <v>1.2</v>
      </c>
      <c r="N316" s="4">
        <v>8</v>
      </c>
    </row>
    <row r="317" spans="1:14" x14ac:dyDescent="0.35">
      <c r="A317" s="3">
        <v>2024</v>
      </c>
      <c r="B317" s="2">
        <v>12</v>
      </c>
      <c r="C317" s="2" t="s">
        <v>37</v>
      </c>
      <c r="D317" s="2" t="s">
        <v>33</v>
      </c>
      <c r="E317" s="2" t="s">
        <v>16</v>
      </c>
      <c r="F317" s="2" t="s">
        <v>27</v>
      </c>
      <c r="G317" s="2">
        <v>84646</v>
      </c>
      <c r="H317" s="2">
        <v>736</v>
      </c>
      <c r="I317" s="2">
        <v>277966</v>
      </c>
      <c r="J317" s="2">
        <v>282</v>
      </c>
      <c r="K317" s="2">
        <v>0.97</v>
      </c>
      <c r="L317" s="2">
        <v>6.29</v>
      </c>
      <c r="M317" s="2">
        <v>1.2</v>
      </c>
      <c r="N317" s="4">
        <v>7</v>
      </c>
    </row>
    <row r="318" spans="1:14" x14ac:dyDescent="0.35">
      <c r="A318" s="3">
        <v>2017</v>
      </c>
      <c r="B318" s="2">
        <v>12</v>
      </c>
      <c r="C318" s="2" t="s">
        <v>25</v>
      </c>
      <c r="D318" s="2" t="s">
        <v>39</v>
      </c>
      <c r="E318" s="2" t="s">
        <v>19</v>
      </c>
      <c r="F318" s="2" t="s">
        <v>20</v>
      </c>
      <c r="G318" s="2">
        <v>74884</v>
      </c>
      <c r="H318" s="2">
        <v>836</v>
      </c>
      <c r="I318" s="2">
        <v>87860</v>
      </c>
      <c r="J318" s="2">
        <v>345</v>
      </c>
      <c r="K318" s="2">
        <v>0.97</v>
      </c>
      <c r="L318" s="2">
        <v>6.29</v>
      </c>
      <c r="M318" s="2">
        <v>1.2</v>
      </c>
      <c r="N318" s="4">
        <v>6</v>
      </c>
    </row>
    <row r="319" spans="1:14" x14ac:dyDescent="0.35">
      <c r="A319" s="3">
        <v>2022</v>
      </c>
      <c r="B319" s="2">
        <v>3</v>
      </c>
      <c r="C319" s="2" t="s">
        <v>32</v>
      </c>
      <c r="D319" s="2" t="s">
        <v>15</v>
      </c>
      <c r="E319" s="2" t="s">
        <v>16</v>
      </c>
      <c r="F319" s="2" t="s">
        <v>27</v>
      </c>
      <c r="G319" s="2">
        <v>104322</v>
      </c>
      <c r="H319" s="2">
        <v>609</v>
      </c>
      <c r="I319" s="2">
        <v>252630</v>
      </c>
      <c r="J319" s="2">
        <v>197</v>
      </c>
      <c r="K319" s="2">
        <v>0.97</v>
      </c>
      <c r="L319" s="2">
        <v>6.29</v>
      </c>
      <c r="M319" s="2">
        <v>1.2</v>
      </c>
      <c r="N319" s="4">
        <v>9</v>
      </c>
    </row>
    <row r="320" spans="1:14" x14ac:dyDescent="0.35">
      <c r="A320" s="3">
        <v>2022</v>
      </c>
      <c r="B320" s="2">
        <v>6</v>
      </c>
      <c r="C320" s="2" t="s">
        <v>36</v>
      </c>
      <c r="D320" s="2" t="s">
        <v>26</v>
      </c>
      <c r="E320" s="2" t="s">
        <v>20</v>
      </c>
      <c r="F320" s="2" t="s">
        <v>27</v>
      </c>
      <c r="G320" s="2">
        <v>56650</v>
      </c>
      <c r="H320" s="2">
        <v>753</v>
      </c>
      <c r="I320" s="2">
        <v>357481</v>
      </c>
      <c r="J320" s="2">
        <v>168</v>
      </c>
      <c r="K320" s="2">
        <v>0.97</v>
      </c>
      <c r="L320" s="2">
        <v>6.29</v>
      </c>
      <c r="M320" s="2">
        <v>1.2</v>
      </c>
      <c r="N320" s="4">
        <v>3</v>
      </c>
    </row>
    <row r="321" spans="1:14" x14ac:dyDescent="0.35">
      <c r="A321" s="3">
        <v>2016</v>
      </c>
      <c r="B321" s="2">
        <v>2</v>
      </c>
      <c r="C321" s="2" t="s">
        <v>14</v>
      </c>
      <c r="D321" s="2" t="s">
        <v>29</v>
      </c>
      <c r="E321" s="2" t="s">
        <v>16</v>
      </c>
      <c r="F321" s="2" t="s">
        <v>23</v>
      </c>
      <c r="G321" s="2">
        <v>44190</v>
      </c>
      <c r="H321" s="2">
        <v>632</v>
      </c>
      <c r="I321" s="2">
        <v>495527</v>
      </c>
      <c r="J321" s="2">
        <v>252</v>
      </c>
      <c r="K321" s="2">
        <v>0.97</v>
      </c>
      <c r="L321" s="2">
        <v>6.29</v>
      </c>
      <c r="M321" s="2">
        <v>1.2</v>
      </c>
      <c r="N321" s="4">
        <v>6</v>
      </c>
    </row>
    <row r="322" spans="1:14" x14ac:dyDescent="0.35">
      <c r="A322" s="3">
        <v>2020</v>
      </c>
      <c r="B322" s="2">
        <v>12</v>
      </c>
      <c r="C322" s="2" t="s">
        <v>32</v>
      </c>
      <c r="D322" s="2" t="s">
        <v>39</v>
      </c>
      <c r="E322" s="2" t="s">
        <v>20</v>
      </c>
      <c r="F322" s="2" t="s">
        <v>20</v>
      </c>
      <c r="G322" s="2">
        <v>73196</v>
      </c>
      <c r="H322" s="2">
        <v>531</v>
      </c>
      <c r="I322" s="2">
        <v>194587</v>
      </c>
      <c r="J322" s="2">
        <v>82</v>
      </c>
      <c r="K322" s="2">
        <v>0.97</v>
      </c>
      <c r="L322" s="2">
        <v>6.29</v>
      </c>
      <c r="M322" s="2">
        <v>1.2</v>
      </c>
      <c r="N322" s="4">
        <v>4</v>
      </c>
    </row>
    <row r="323" spans="1:14" x14ac:dyDescent="0.35">
      <c r="A323" s="3">
        <v>2021</v>
      </c>
      <c r="B323" s="2">
        <v>3</v>
      </c>
      <c r="C323" s="2" t="s">
        <v>36</v>
      </c>
      <c r="D323" s="2" t="s">
        <v>15</v>
      </c>
      <c r="E323" s="2" t="s">
        <v>16</v>
      </c>
      <c r="F323" s="2" t="s">
        <v>27</v>
      </c>
      <c r="G323" s="2">
        <v>74449</v>
      </c>
      <c r="H323" s="2">
        <v>542</v>
      </c>
      <c r="I323" s="2">
        <v>121695</v>
      </c>
      <c r="J323" s="2">
        <v>58</v>
      </c>
      <c r="K323" s="2">
        <v>0.97</v>
      </c>
      <c r="L323" s="2">
        <v>6.29</v>
      </c>
      <c r="M323" s="2">
        <v>1.2</v>
      </c>
      <c r="N323" s="4">
        <v>2</v>
      </c>
    </row>
    <row r="324" spans="1:14" x14ac:dyDescent="0.35">
      <c r="A324" s="3">
        <v>2016</v>
      </c>
      <c r="B324" s="2">
        <v>5</v>
      </c>
      <c r="C324" s="2" t="s">
        <v>28</v>
      </c>
      <c r="D324" s="2" t="s">
        <v>26</v>
      </c>
      <c r="E324" s="2" t="s">
        <v>16</v>
      </c>
      <c r="F324" s="2" t="s">
        <v>27</v>
      </c>
      <c r="G324" s="2">
        <v>74661</v>
      </c>
      <c r="H324" s="2">
        <v>529</v>
      </c>
      <c r="I324" s="2">
        <v>303078</v>
      </c>
      <c r="J324" s="2">
        <v>110</v>
      </c>
      <c r="K324" s="2">
        <v>0.97</v>
      </c>
      <c r="L324" s="2">
        <v>6.29</v>
      </c>
      <c r="M324" s="2">
        <v>1.2</v>
      </c>
      <c r="N324" s="4">
        <v>1</v>
      </c>
    </row>
    <row r="325" spans="1:14" x14ac:dyDescent="0.35">
      <c r="A325" s="3">
        <v>2024</v>
      </c>
      <c r="B325" s="2">
        <v>12</v>
      </c>
      <c r="C325" s="2" t="s">
        <v>25</v>
      </c>
      <c r="D325" s="2" t="s">
        <v>31</v>
      </c>
      <c r="E325" s="2" t="s">
        <v>16</v>
      </c>
      <c r="F325" s="2" t="s">
        <v>20</v>
      </c>
      <c r="G325" s="2">
        <v>64709</v>
      </c>
      <c r="H325" s="2">
        <v>130</v>
      </c>
      <c r="I325" s="2">
        <v>292599</v>
      </c>
      <c r="J325" s="2">
        <v>11</v>
      </c>
      <c r="K325" s="2">
        <v>0.97</v>
      </c>
      <c r="L325" s="2">
        <v>6.29</v>
      </c>
      <c r="M325" s="2">
        <v>1.2</v>
      </c>
      <c r="N325" s="4">
        <v>1</v>
      </c>
    </row>
    <row r="326" spans="1:14" x14ac:dyDescent="0.35">
      <c r="A326" s="3">
        <v>2016</v>
      </c>
      <c r="B326" s="2">
        <v>11</v>
      </c>
      <c r="C326" s="2" t="s">
        <v>28</v>
      </c>
      <c r="D326" s="2" t="s">
        <v>18</v>
      </c>
      <c r="E326" s="2" t="s">
        <v>20</v>
      </c>
      <c r="F326" s="2" t="s">
        <v>17</v>
      </c>
      <c r="G326" s="2">
        <v>115428</v>
      </c>
      <c r="H326" s="2">
        <v>533</v>
      </c>
      <c r="I326" s="2">
        <v>418893</v>
      </c>
      <c r="J326" s="2">
        <v>253</v>
      </c>
      <c r="K326" s="2">
        <v>0.97</v>
      </c>
      <c r="L326" s="2">
        <v>6.29</v>
      </c>
      <c r="M326" s="2">
        <v>1.2</v>
      </c>
      <c r="N326" s="4">
        <v>10</v>
      </c>
    </row>
    <row r="327" spans="1:14" x14ac:dyDescent="0.35">
      <c r="A327" s="3">
        <v>2024</v>
      </c>
      <c r="B327" s="2">
        <v>11</v>
      </c>
      <c r="C327" s="2" t="s">
        <v>28</v>
      </c>
      <c r="D327" s="2" t="s">
        <v>29</v>
      </c>
      <c r="E327" s="2" t="s">
        <v>20</v>
      </c>
      <c r="F327" s="2" t="s">
        <v>17</v>
      </c>
      <c r="G327" s="2">
        <v>110179</v>
      </c>
      <c r="H327" s="2">
        <v>430</v>
      </c>
      <c r="I327" s="2">
        <v>205976</v>
      </c>
      <c r="J327" s="2">
        <v>185</v>
      </c>
      <c r="K327" s="2">
        <v>0.97</v>
      </c>
      <c r="L327" s="2">
        <v>6.29</v>
      </c>
      <c r="M327" s="2">
        <v>1.2</v>
      </c>
      <c r="N327" s="4">
        <v>3</v>
      </c>
    </row>
    <row r="328" spans="1:14" x14ac:dyDescent="0.35">
      <c r="A328" s="3">
        <v>2015</v>
      </c>
      <c r="B328" s="2">
        <v>1</v>
      </c>
      <c r="C328" s="2" t="s">
        <v>36</v>
      </c>
      <c r="D328" s="2" t="s">
        <v>24</v>
      </c>
      <c r="E328" s="2" t="s">
        <v>16</v>
      </c>
      <c r="F328" s="2" t="s">
        <v>27</v>
      </c>
      <c r="G328" s="2">
        <v>44943</v>
      </c>
      <c r="H328" s="2">
        <v>647</v>
      </c>
      <c r="I328" s="2">
        <v>241007</v>
      </c>
      <c r="J328" s="2">
        <v>247</v>
      </c>
      <c r="K328" s="2">
        <v>0.97</v>
      </c>
      <c r="L328" s="2">
        <v>6.29</v>
      </c>
      <c r="M328" s="2">
        <v>1.2</v>
      </c>
      <c r="N328" s="4">
        <v>4</v>
      </c>
    </row>
    <row r="329" spans="1:14" x14ac:dyDescent="0.35">
      <c r="A329" s="3">
        <v>2022</v>
      </c>
      <c r="B329" s="2">
        <v>1</v>
      </c>
      <c r="C329" s="2" t="s">
        <v>37</v>
      </c>
      <c r="D329" s="2" t="s">
        <v>33</v>
      </c>
      <c r="E329" s="2" t="s">
        <v>19</v>
      </c>
      <c r="F329" s="2" t="s">
        <v>27</v>
      </c>
      <c r="G329" s="2">
        <v>78240</v>
      </c>
      <c r="H329" s="2">
        <v>520</v>
      </c>
      <c r="I329" s="2">
        <v>355934</v>
      </c>
      <c r="J329" s="2">
        <v>68</v>
      </c>
      <c r="K329" s="2">
        <v>0.97</v>
      </c>
      <c r="L329" s="2">
        <v>6.29</v>
      </c>
      <c r="M329" s="2">
        <v>1.2</v>
      </c>
      <c r="N329" s="4">
        <v>2</v>
      </c>
    </row>
    <row r="330" spans="1:14" x14ac:dyDescent="0.35">
      <c r="A330" s="3">
        <v>2015</v>
      </c>
      <c r="B330" s="2">
        <v>10</v>
      </c>
      <c r="C330" s="2" t="s">
        <v>36</v>
      </c>
      <c r="D330" s="2" t="s">
        <v>22</v>
      </c>
      <c r="E330" s="2" t="s">
        <v>16</v>
      </c>
      <c r="F330" s="2" t="s">
        <v>17</v>
      </c>
      <c r="G330" s="2">
        <v>80760</v>
      </c>
      <c r="H330" s="2">
        <v>961</v>
      </c>
      <c r="I330" s="2">
        <v>380724</v>
      </c>
      <c r="J330" s="2">
        <v>362</v>
      </c>
      <c r="K330" s="2">
        <v>0.97</v>
      </c>
      <c r="L330" s="2">
        <v>6.29</v>
      </c>
      <c r="M330" s="2">
        <v>1.2</v>
      </c>
      <c r="N330" s="4">
        <v>1</v>
      </c>
    </row>
    <row r="331" spans="1:14" x14ac:dyDescent="0.35">
      <c r="A331" s="3">
        <v>2023</v>
      </c>
      <c r="B331" s="2">
        <v>9</v>
      </c>
      <c r="C331" s="2" t="s">
        <v>38</v>
      </c>
      <c r="D331" s="2" t="s">
        <v>31</v>
      </c>
      <c r="E331" s="2" t="s">
        <v>20</v>
      </c>
      <c r="F331" s="2" t="s">
        <v>23</v>
      </c>
      <c r="G331" s="2">
        <v>56042</v>
      </c>
      <c r="H331" s="2">
        <v>552</v>
      </c>
      <c r="I331" s="2">
        <v>55636</v>
      </c>
      <c r="J331" s="2">
        <v>108</v>
      </c>
      <c r="K331" s="2">
        <v>0.97</v>
      </c>
      <c r="L331" s="2">
        <v>6.29</v>
      </c>
      <c r="M331" s="2">
        <v>1.2</v>
      </c>
      <c r="N331" s="4">
        <v>4</v>
      </c>
    </row>
    <row r="332" spans="1:14" x14ac:dyDescent="0.35">
      <c r="A332" s="3">
        <v>2020</v>
      </c>
      <c r="B332" s="2">
        <v>7</v>
      </c>
      <c r="C332" s="2" t="s">
        <v>30</v>
      </c>
      <c r="D332" s="2" t="s">
        <v>33</v>
      </c>
      <c r="E332" s="2" t="s">
        <v>16</v>
      </c>
      <c r="F332" s="2" t="s">
        <v>20</v>
      </c>
      <c r="G332" s="2">
        <v>78894</v>
      </c>
      <c r="H332" s="2">
        <v>1150</v>
      </c>
      <c r="I332" s="2">
        <v>311578</v>
      </c>
      <c r="J332" s="2">
        <v>368</v>
      </c>
      <c r="K332" s="2">
        <v>0.97</v>
      </c>
      <c r="L332" s="2">
        <v>6.29</v>
      </c>
      <c r="M332" s="2">
        <v>1.2</v>
      </c>
      <c r="N332" s="4">
        <v>7</v>
      </c>
    </row>
    <row r="333" spans="1:14" x14ac:dyDescent="0.35">
      <c r="A333" s="3">
        <v>2021</v>
      </c>
      <c r="B333" s="2">
        <v>1</v>
      </c>
      <c r="C333" s="2" t="s">
        <v>30</v>
      </c>
      <c r="D333" s="2" t="s">
        <v>34</v>
      </c>
      <c r="E333" s="2" t="s">
        <v>20</v>
      </c>
      <c r="F333" s="2" t="s">
        <v>20</v>
      </c>
      <c r="G333" s="2">
        <v>41869</v>
      </c>
      <c r="H333" s="2">
        <v>361</v>
      </c>
      <c r="I333" s="2">
        <v>389273</v>
      </c>
      <c r="J333" s="2">
        <v>11</v>
      </c>
      <c r="K333" s="2">
        <v>0.97</v>
      </c>
      <c r="L333" s="2">
        <v>6.29</v>
      </c>
      <c r="M333" s="2">
        <v>1.2</v>
      </c>
      <c r="N333" s="4">
        <v>10</v>
      </c>
    </row>
    <row r="334" spans="1:14" x14ac:dyDescent="0.35">
      <c r="A334" s="3">
        <v>2024</v>
      </c>
      <c r="B334" s="2">
        <v>12</v>
      </c>
      <c r="C334" s="2" t="s">
        <v>32</v>
      </c>
      <c r="D334" s="2" t="s">
        <v>22</v>
      </c>
      <c r="E334" s="2" t="s">
        <v>20</v>
      </c>
      <c r="F334" s="2" t="s">
        <v>23</v>
      </c>
      <c r="G334" s="2">
        <v>96078</v>
      </c>
      <c r="H334" s="2">
        <v>630</v>
      </c>
      <c r="I334" s="2">
        <v>446108</v>
      </c>
      <c r="J334" s="2">
        <v>252</v>
      </c>
      <c r="K334" s="2">
        <v>0.97</v>
      </c>
      <c r="L334" s="2">
        <v>6.29</v>
      </c>
      <c r="M334" s="2">
        <v>1.2</v>
      </c>
      <c r="N334" s="4">
        <v>6</v>
      </c>
    </row>
    <row r="335" spans="1:14" x14ac:dyDescent="0.35">
      <c r="A335" s="3">
        <v>2021</v>
      </c>
      <c r="B335" s="2">
        <v>8</v>
      </c>
      <c r="C335" s="2" t="s">
        <v>30</v>
      </c>
      <c r="D335" s="2" t="s">
        <v>33</v>
      </c>
      <c r="E335" s="2" t="s">
        <v>20</v>
      </c>
      <c r="F335" s="2" t="s">
        <v>23</v>
      </c>
      <c r="G335" s="2">
        <v>91759</v>
      </c>
      <c r="H335" s="2">
        <v>876</v>
      </c>
      <c r="I335" s="2">
        <v>333816</v>
      </c>
      <c r="J335" s="2">
        <v>306</v>
      </c>
      <c r="K335" s="2">
        <v>0.97</v>
      </c>
      <c r="L335" s="2">
        <v>6.29</v>
      </c>
      <c r="M335" s="2">
        <v>1.2</v>
      </c>
      <c r="N335" s="4">
        <v>6</v>
      </c>
    </row>
    <row r="336" spans="1:14" x14ac:dyDescent="0.35">
      <c r="A336" s="3">
        <v>2024</v>
      </c>
      <c r="B336" s="2">
        <v>3</v>
      </c>
      <c r="C336" s="2" t="s">
        <v>36</v>
      </c>
      <c r="D336" s="2" t="s">
        <v>15</v>
      </c>
      <c r="E336" s="2" t="s">
        <v>16</v>
      </c>
      <c r="F336" s="2" t="s">
        <v>23</v>
      </c>
      <c r="G336" s="2">
        <v>79306</v>
      </c>
      <c r="H336" s="2">
        <v>525</v>
      </c>
      <c r="I336" s="2">
        <v>317956</v>
      </c>
      <c r="J336" s="2">
        <v>220</v>
      </c>
      <c r="K336" s="2">
        <v>0.97</v>
      </c>
      <c r="L336" s="2">
        <v>6.29</v>
      </c>
      <c r="M336" s="2">
        <v>1.2</v>
      </c>
      <c r="N336" s="4">
        <v>9</v>
      </c>
    </row>
    <row r="337" spans="1:14" x14ac:dyDescent="0.35">
      <c r="A337" s="3">
        <v>2017</v>
      </c>
      <c r="B337" s="2">
        <v>8</v>
      </c>
      <c r="C337" s="2" t="s">
        <v>35</v>
      </c>
      <c r="D337" s="2" t="s">
        <v>29</v>
      </c>
      <c r="E337" s="2" t="s">
        <v>20</v>
      </c>
      <c r="F337" s="2" t="s">
        <v>23</v>
      </c>
      <c r="G337" s="2">
        <v>90371</v>
      </c>
      <c r="H337" s="2">
        <v>718</v>
      </c>
      <c r="I337" s="2">
        <v>277693</v>
      </c>
      <c r="J337" s="2">
        <v>132</v>
      </c>
      <c r="K337" s="2">
        <v>0.97</v>
      </c>
      <c r="L337" s="2">
        <v>6.29</v>
      </c>
      <c r="M337" s="2">
        <v>1.2</v>
      </c>
      <c r="N337" s="4">
        <v>2</v>
      </c>
    </row>
    <row r="338" spans="1:14" x14ac:dyDescent="0.35">
      <c r="A338" s="3">
        <v>2016</v>
      </c>
      <c r="B338" s="2">
        <v>5</v>
      </c>
      <c r="C338" s="2" t="s">
        <v>25</v>
      </c>
      <c r="D338" s="2" t="s">
        <v>33</v>
      </c>
      <c r="E338" s="2" t="s">
        <v>20</v>
      </c>
      <c r="F338" s="2" t="s">
        <v>23</v>
      </c>
      <c r="G338" s="2">
        <v>55918</v>
      </c>
      <c r="H338" s="2">
        <v>680</v>
      </c>
      <c r="I338" s="2">
        <v>50654</v>
      </c>
      <c r="J338" s="2">
        <v>238</v>
      </c>
      <c r="K338" s="2">
        <v>0.97</v>
      </c>
      <c r="L338" s="2">
        <v>6.29</v>
      </c>
      <c r="M338" s="2">
        <v>1.2</v>
      </c>
      <c r="N338" s="4">
        <v>4</v>
      </c>
    </row>
    <row r="339" spans="1:14" x14ac:dyDescent="0.35">
      <c r="A339" s="3">
        <v>2023</v>
      </c>
      <c r="B339" s="2">
        <v>1</v>
      </c>
      <c r="C339" s="2" t="s">
        <v>36</v>
      </c>
      <c r="D339" s="2" t="s">
        <v>24</v>
      </c>
      <c r="E339" s="2" t="s">
        <v>16</v>
      </c>
      <c r="F339" s="2" t="s">
        <v>23</v>
      </c>
      <c r="G339" s="2">
        <v>63379</v>
      </c>
      <c r="H339" s="2">
        <v>466</v>
      </c>
      <c r="I339" s="2">
        <v>104633</v>
      </c>
      <c r="J339" s="2">
        <v>91</v>
      </c>
      <c r="K339" s="2">
        <v>0.97</v>
      </c>
      <c r="L339" s="2">
        <v>6.29</v>
      </c>
      <c r="M339" s="2">
        <v>1.2</v>
      </c>
      <c r="N339" s="4">
        <v>5</v>
      </c>
    </row>
    <row r="340" spans="1:14" x14ac:dyDescent="0.35">
      <c r="A340" s="3">
        <v>2022</v>
      </c>
      <c r="B340" s="2">
        <v>7</v>
      </c>
      <c r="C340" s="2" t="s">
        <v>36</v>
      </c>
      <c r="D340" s="2" t="s">
        <v>18</v>
      </c>
      <c r="E340" s="2" t="s">
        <v>20</v>
      </c>
      <c r="F340" s="2" t="s">
        <v>20</v>
      </c>
      <c r="G340" s="2">
        <v>118232</v>
      </c>
      <c r="H340" s="2">
        <v>497</v>
      </c>
      <c r="I340" s="2">
        <v>67143</v>
      </c>
      <c r="J340" s="2">
        <v>153</v>
      </c>
      <c r="K340" s="2">
        <v>0.97</v>
      </c>
      <c r="L340" s="2">
        <v>6.29</v>
      </c>
      <c r="M340" s="2">
        <v>1.2</v>
      </c>
      <c r="N340" s="4">
        <v>1</v>
      </c>
    </row>
    <row r="341" spans="1:14" x14ac:dyDescent="0.35">
      <c r="A341" s="3">
        <v>2024</v>
      </c>
      <c r="B341" s="2">
        <v>5</v>
      </c>
      <c r="C341" s="2" t="s">
        <v>14</v>
      </c>
      <c r="D341" s="2" t="s">
        <v>15</v>
      </c>
      <c r="E341" s="2" t="s">
        <v>16</v>
      </c>
      <c r="F341" s="2" t="s">
        <v>23</v>
      </c>
      <c r="G341" s="2">
        <v>37962</v>
      </c>
      <c r="H341" s="2">
        <v>893</v>
      </c>
      <c r="I341" s="2">
        <v>105934</v>
      </c>
      <c r="J341" s="2">
        <v>397</v>
      </c>
      <c r="K341" s="2">
        <v>0.97</v>
      </c>
      <c r="L341" s="2">
        <v>6.29</v>
      </c>
      <c r="M341" s="2">
        <v>1.2</v>
      </c>
      <c r="N341" s="4">
        <v>8</v>
      </c>
    </row>
    <row r="342" spans="1:14" x14ac:dyDescent="0.35">
      <c r="A342" s="3">
        <v>2021</v>
      </c>
      <c r="B342" s="2">
        <v>6</v>
      </c>
      <c r="C342" s="2" t="s">
        <v>25</v>
      </c>
      <c r="D342" s="2" t="s">
        <v>31</v>
      </c>
      <c r="E342" s="2" t="s">
        <v>20</v>
      </c>
      <c r="F342" s="2" t="s">
        <v>17</v>
      </c>
      <c r="G342" s="2">
        <v>48851</v>
      </c>
      <c r="H342" s="2">
        <v>347</v>
      </c>
      <c r="I342" s="2">
        <v>379478</v>
      </c>
      <c r="J342" s="2">
        <v>149</v>
      </c>
      <c r="K342" s="2">
        <v>0.97</v>
      </c>
      <c r="L342" s="2">
        <v>6.29</v>
      </c>
      <c r="M342" s="2">
        <v>1.2</v>
      </c>
      <c r="N342" s="4">
        <v>8</v>
      </c>
    </row>
    <row r="343" spans="1:14" x14ac:dyDescent="0.35">
      <c r="A343" s="3">
        <v>2023</v>
      </c>
      <c r="B343" s="2">
        <v>6</v>
      </c>
      <c r="C343" s="2" t="s">
        <v>38</v>
      </c>
      <c r="D343" s="2" t="s">
        <v>31</v>
      </c>
      <c r="E343" s="2" t="s">
        <v>19</v>
      </c>
      <c r="F343" s="2" t="s">
        <v>23</v>
      </c>
      <c r="G343" s="2">
        <v>80747</v>
      </c>
      <c r="H343" s="2">
        <v>158</v>
      </c>
      <c r="I343" s="2">
        <v>153463</v>
      </c>
      <c r="J343" s="2">
        <v>38</v>
      </c>
      <c r="K343" s="2">
        <v>0.97</v>
      </c>
      <c r="L343" s="2">
        <v>6.29</v>
      </c>
      <c r="M343" s="2">
        <v>1.2</v>
      </c>
      <c r="N343" s="4">
        <v>6</v>
      </c>
    </row>
    <row r="344" spans="1:14" x14ac:dyDescent="0.35">
      <c r="A344" s="3">
        <v>2018</v>
      </c>
      <c r="B344" s="2">
        <v>8</v>
      </c>
      <c r="C344" s="2" t="s">
        <v>30</v>
      </c>
      <c r="D344" s="2" t="s">
        <v>31</v>
      </c>
      <c r="E344" s="2" t="s">
        <v>19</v>
      </c>
      <c r="F344" s="2" t="s">
        <v>23</v>
      </c>
      <c r="G344" s="2">
        <v>87349</v>
      </c>
      <c r="H344" s="2">
        <v>701</v>
      </c>
      <c r="I344" s="2">
        <v>175851</v>
      </c>
      <c r="J344" s="2">
        <v>279</v>
      </c>
      <c r="K344" s="2">
        <v>0.97</v>
      </c>
      <c r="L344" s="2">
        <v>6.29</v>
      </c>
      <c r="M344" s="2">
        <v>1.2</v>
      </c>
      <c r="N344" s="4">
        <v>5</v>
      </c>
    </row>
    <row r="345" spans="1:14" x14ac:dyDescent="0.35">
      <c r="A345" s="3">
        <v>2018</v>
      </c>
      <c r="B345" s="2">
        <v>9</v>
      </c>
      <c r="C345" s="2" t="s">
        <v>25</v>
      </c>
      <c r="D345" s="2" t="s">
        <v>31</v>
      </c>
      <c r="E345" s="2" t="s">
        <v>20</v>
      </c>
      <c r="F345" s="2" t="s">
        <v>20</v>
      </c>
      <c r="G345" s="2">
        <v>105832</v>
      </c>
      <c r="H345" s="2">
        <v>657</v>
      </c>
      <c r="I345" s="2">
        <v>79087</v>
      </c>
      <c r="J345" s="2">
        <v>256</v>
      </c>
      <c r="K345" s="2">
        <v>0.97</v>
      </c>
      <c r="L345" s="2">
        <v>6.29</v>
      </c>
      <c r="M345" s="2">
        <v>1.2</v>
      </c>
      <c r="N345" s="4">
        <v>8</v>
      </c>
    </row>
    <row r="346" spans="1:14" x14ac:dyDescent="0.35">
      <c r="A346" s="3">
        <v>2015</v>
      </c>
      <c r="B346" s="2">
        <v>2</v>
      </c>
      <c r="C346" s="2" t="s">
        <v>30</v>
      </c>
      <c r="D346" s="2" t="s">
        <v>18</v>
      </c>
      <c r="E346" s="2" t="s">
        <v>19</v>
      </c>
      <c r="F346" s="2" t="s">
        <v>20</v>
      </c>
      <c r="G346" s="2">
        <v>91356</v>
      </c>
      <c r="H346" s="2">
        <v>306</v>
      </c>
      <c r="I346" s="2">
        <v>192690</v>
      </c>
      <c r="J346" s="2">
        <v>21</v>
      </c>
      <c r="K346" s="2">
        <v>0.97</v>
      </c>
      <c r="L346" s="2">
        <v>6.29</v>
      </c>
      <c r="M346" s="2">
        <v>1.2</v>
      </c>
      <c r="N346" s="4">
        <v>3</v>
      </c>
    </row>
    <row r="347" spans="1:14" x14ac:dyDescent="0.35">
      <c r="A347" s="3">
        <v>2022</v>
      </c>
      <c r="B347" s="2">
        <v>9</v>
      </c>
      <c r="C347" s="2" t="s">
        <v>32</v>
      </c>
      <c r="D347" s="2" t="s">
        <v>33</v>
      </c>
      <c r="E347" s="2" t="s">
        <v>16</v>
      </c>
      <c r="F347" s="2" t="s">
        <v>23</v>
      </c>
      <c r="G347" s="2">
        <v>49745</v>
      </c>
      <c r="H347" s="2">
        <v>958</v>
      </c>
      <c r="I347" s="2">
        <v>320590</v>
      </c>
      <c r="J347" s="2">
        <v>364</v>
      </c>
      <c r="K347" s="2">
        <v>0.97</v>
      </c>
      <c r="L347" s="2">
        <v>6.29</v>
      </c>
      <c r="M347" s="2">
        <v>1.2</v>
      </c>
      <c r="N347" s="4">
        <v>3</v>
      </c>
    </row>
    <row r="348" spans="1:14" x14ac:dyDescent="0.35">
      <c r="A348" s="3">
        <v>2017</v>
      </c>
      <c r="B348" s="2">
        <v>12</v>
      </c>
      <c r="C348" s="2" t="s">
        <v>25</v>
      </c>
      <c r="D348" s="2" t="s">
        <v>26</v>
      </c>
      <c r="E348" s="2" t="s">
        <v>19</v>
      </c>
      <c r="F348" s="2" t="s">
        <v>20</v>
      </c>
      <c r="G348" s="2">
        <v>40730</v>
      </c>
      <c r="H348" s="2">
        <v>1096</v>
      </c>
      <c r="I348" s="2">
        <v>414271</v>
      </c>
      <c r="J348" s="2">
        <v>398</v>
      </c>
      <c r="K348" s="2">
        <v>0.97</v>
      </c>
      <c r="L348" s="2">
        <v>6.29</v>
      </c>
      <c r="M348" s="2">
        <v>1.2</v>
      </c>
      <c r="N348" s="4">
        <v>2</v>
      </c>
    </row>
    <row r="349" spans="1:14" x14ac:dyDescent="0.35">
      <c r="A349" s="3">
        <v>2021</v>
      </c>
      <c r="B349" s="2">
        <v>11</v>
      </c>
      <c r="C349" s="2" t="s">
        <v>30</v>
      </c>
      <c r="D349" s="2" t="s">
        <v>33</v>
      </c>
      <c r="E349" s="2" t="s">
        <v>20</v>
      </c>
      <c r="F349" s="2" t="s">
        <v>27</v>
      </c>
      <c r="G349" s="2">
        <v>48921</v>
      </c>
      <c r="H349" s="2">
        <v>1086</v>
      </c>
      <c r="I349" s="2">
        <v>361011</v>
      </c>
      <c r="J349" s="2">
        <v>346</v>
      </c>
      <c r="K349" s="2">
        <v>0.97</v>
      </c>
      <c r="L349" s="2">
        <v>6.29</v>
      </c>
      <c r="M349" s="2">
        <v>1.2</v>
      </c>
      <c r="N349" s="4">
        <v>5</v>
      </c>
    </row>
    <row r="350" spans="1:14" x14ac:dyDescent="0.35">
      <c r="A350" s="3">
        <v>2016</v>
      </c>
      <c r="B350" s="2">
        <v>10</v>
      </c>
      <c r="C350" s="2" t="s">
        <v>38</v>
      </c>
      <c r="D350" s="2" t="s">
        <v>34</v>
      </c>
      <c r="E350" s="2" t="s">
        <v>20</v>
      </c>
      <c r="F350" s="2" t="s">
        <v>20</v>
      </c>
      <c r="G350" s="2">
        <v>106138</v>
      </c>
      <c r="H350" s="2">
        <v>647</v>
      </c>
      <c r="I350" s="2">
        <v>494244</v>
      </c>
      <c r="J350" s="2">
        <v>115</v>
      </c>
      <c r="K350" s="2">
        <v>0.97</v>
      </c>
      <c r="L350" s="2">
        <v>6.29</v>
      </c>
      <c r="M350" s="2">
        <v>1.2</v>
      </c>
      <c r="N350" s="4">
        <v>3</v>
      </c>
    </row>
    <row r="351" spans="1:14" x14ac:dyDescent="0.35">
      <c r="A351" s="3">
        <v>2016</v>
      </c>
      <c r="B351" s="2">
        <v>9</v>
      </c>
      <c r="C351" s="2" t="s">
        <v>21</v>
      </c>
      <c r="D351" s="2" t="s">
        <v>29</v>
      </c>
      <c r="E351" s="2" t="s">
        <v>16</v>
      </c>
      <c r="F351" s="2" t="s">
        <v>20</v>
      </c>
      <c r="G351" s="2">
        <v>118111</v>
      </c>
      <c r="H351" s="2">
        <v>290</v>
      </c>
      <c r="I351" s="2">
        <v>372245</v>
      </c>
      <c r="J351" s="2">
        <v>41</v>
      </c>
      <c r="K351" s="2">
        <v>0.97</v>
      </c>
      <c r="L351" s="2">
        <v>6.29</v>
      </c>
      <c r="M351" s="2">
        <v>1.2</v>
      </c>
      <c r="N351" s="4">
        <v>3</v>
      </c>
    </row>
    <row r="352" spans="1:14" x14ac:dyDescent="0.35">
      <c r="A352" s="3">
        <v>2021</v>
      </c>
      <c r="B352" s="2">
        <v>10</v>
      </c>
      <c r="C352" s="2" t="s">
        <v>28</v>
      </c>
      <c r="D352" s="2" t="s">
        <v>22</v>
      </c>
      <c r="E352" s="2" t="s">
        <v>20</v>
      </c>
      <c r="F352" s="2" t="s">
        <v>20</v>
      </c>
      <c r="G352" s="2">
        <v>54023</v>
      </c>
      <c r="H352" s="2">
        <v>475</v>
      </c>
      <c r="I352" s="2">
        <v>208272</v>
      </c>
      <c r="J352" s="2">
        <v>83</v>
      </c>
      <c r="K352" s="2">
        <v>0.97</v>
      </c>
      <c r="L352" s="2">
        <v>6.29</v>
      </c>
      <c r="M352" s="2">
        <v>1.2</v>
      </c>
      <c r="N352" s="4">
        <v>6</v>
      </c>
    </row>
    <row r="353" spans="1:14" x14ac:dyDescent="0.35">
      <c r="A353" s="3">
        <v>2020</v>
      </c>
      <c r="B353" s="2">
        <v>10</v>
      </c>
      <c r="C353" s="2" t="s">
        <v>28</v>
      </c>
      <c r="D353" s="2" t="s">
        <v>26</v>
      </c>
      <c r="E353" s="2" t="s">
        <v>16</v>
      </c>
      <c r="F353" s="2" t="s">
        <v>20</v>
      </c>
      <c r="G353" s="2">
        <v>80349</v>
      </c>
      <c r="H353" s="2">
        <v>521</v>
      </c>
      <c r="I353" s="2">
        <v>276179</v>
      </c>
      <c r="J353" s="2">
        <v>180</v>
      </c>
      <c r="K353" s="2">
        <v>0.97</v>
      </c>
      <c r="L353" s="2">
        <v>6.29</v>
      </c>
      <c r="M353" s="2">
        <v>1.2</v>
      </c>
      <c r="N353" s="4">
        <v>8</v>
      </c>
    </row>
    <row r="354" spans="1:14" x14ac:dyDescent="0.35">
      <c r="A354" s="3">
        <v>2017</v>
      </c>
      <c r="B354" s="2">
        <v>7</v>
      </c>
      <c r="C354" s="2" t="s">
        <v>38</v>
      </c>
      <c r="D354" s="2" t="s">
        <v>26</v>
      </c>
      <c r="E354" s="2" t="s">
        <v>19</v>
      </c>
      <c r="F354" s="2" t="s">
        <v>17</v>
      </c>
      <c r="G354" s="2">
        <v>116533</v>
      </c>
      <c r="H354" s="2">
        <v>1019</v>
      </c>
      <c r="I354" s="2">
        <v>400218</v>
      </c>
      <c r="J354" s="2">
        <v>346</v>
      </c>
      <c r="K354" s="2">
        <v>0.97</v>
      </c>
      <c r="L354" s="2">
        <v>6.29</v>
      </c>
      <c r="M354" s="2">
        <v>1.2</v>
      </c>
      <c r="N354" s="4">
        <v>2</v>
      </c>
    </row>
    <row r="355" spans="1:14" x14ac:dyDescent="0.35">
      <c r="A355" s="3">
        <v>2023</v>
      </c>
      <c r="B355" s="2">
        <v>1</v>
      </c>
      <c r="C355" s="2" t="s">
        <v>14</v>
      </c>
      <c r="D355" s="2" t="s">
        <v>33</v>
      </c>
      <c r="E355" s="2" t="s">
        <v>19</v>
      </c>
      <c r="F355" s="2" t="s">
        <v>17</v>
      </c>
      <c r="G355" s="2">
        <v>118286</v>
      </c>
      <c r="H355" s="2">
        <v>421</v>
      </c>
      <c r="I355" s="2">
        <v>242537</v>
      </c>
      <c r="J355" s="2">
        <v>78</v>
      </c>
      <c r="K355" s="2">
        <v>0.97</v>
      </c>
      <c r="L355" s="2">
        <v>6.29</v>
      </c>
      <c r="M355" s="2">
        <v>1.2</v>
      </c>
      <c r="N355" s="4">
        <v>4</v>
      </c>
    </row>
    <row r="356" spans="1:14" x14ac:dyDescent="0.35">
      <c r="A356" s="3">
        <v>2024</v>
      </c>
      <c r="B356" s="2">
        <v>7</v>
      </c>
      <c r="C356" s="2" t="s">
        <v>21</v>
      </c>
      <c r="D356" s="2" t="s">
        <v>26</v>
      </c>
      <c r="E356" s="2" t="s">
        <v>16</v>
      </c>
      <c r="F356" s="2" t="s">
        <v>17</v>
      </c>
      <c r="G356" s="2">
        <v>76979</v>
      </c>
      <c r="H356" s="2">
        <v>630</v>
      </c>
      <c r="I356" s="2">
        <v>267508</v>
      </c>
      <c r="J356" s="2">
        <v>310</v>
      </c>
      <c r="K356" s="2">
        <v>0.97</v>
      </c>
      <c r="L356" s="2">
        <v>6.29</v>
      </c>
      <c r="M356" s="2">
        <v>1.2</v>
      </c>
      <c r="N356" s="4">
        <v>7</v>
      </c>
    </row>
    <row r="357" spans="1:14" x14ac:dyDescent="0.35">
      <c r="A357" s="3">
        <v>2020</v>
      </c>
      <c r="B357" s="2">
        <v>10</v>
      </c>
      <c r="C357" s="2" t="s">
        <v>32</v>
      </c>
      <c r="D357" s="2" t="s">
        <v>39</v>
      </c>
      <c r="E357" s="2" t="s">
        <v>16</v>
      </c>
      <c r="F357" s="2" t="s">
        <v>23</v>
      </c>
      <c r="G357" s="2">
        <v>57837</v>
      </c>
      <c r="H357" s="2">
        <v>811</v>
      </c>
      <c r="I357" s="2">
        <v>168422</v>
      </c>
      <c r="J357" s="2">
        <v>371</v>
      </c>
      <c r="K357" s="2">
        <v>0.97</v>
      </c>
      <c r="L357" s="2">
        <v>6.29</v>
      </c>
      <c r="M357" s="2">
        <v>1.2</v>
      </c>
      <c r="N357" s="4">
        <v>1</v>
      </c>
    </row>
    <row r="358" spans="1:14" x14ac:dyDescent="0.35">
      <c r="A358" s="3">
        <v>2024</v>
      </c>
      <c r="B358" s="2">
        <v>5</v>
      </c>
      <c r="C358" s="2" t="s">
        <v>38</v>
      </c>
      <c r="D358" s="2" t="s">
        <v>39</v>
      </c>
      <c r="E358" s="2" t="s">
        <v>20</v>
      </c>
      <c r="F358" s="2" t="s">
        <v>23</v>
      </c>
      <c r="G358" s="2">
        <v>49997</v>
      </c>
      <c r="H358" s="2">
        <v>465</v>
      </c>
      <c r="I358" s="2">
        <v>400036</v>
      </c>
      <c r="J358" s="2">
        <v>146</v>
      </c>
      <c r="K358" s="2">
        <v>0.97</v>
      </c>
      <c r="L358" s="2">
        <v>6.29</v>
      </c>
      <c r="M358" s="2">
        <v>1.2</v>
      </c>
      <c r="N358" s="4">
        <v>1</v>
      </c>
    </row>
    <row r="359" spans="1:14" x14ac:dyDescent="0.35">
      <c r="A359" s="3">
        <v>2024</v>
      </c>
      <c r="B359" s="2">
        <v>6</v>
      </c>
      <c r="C359" s="2" t="s">
        <v>28</v>
      </c>
      <c r="D359" s="2" t="s">
        <v>34</v>
      </c>
      <c r="E359" s="2" t="s">
        <v>19</v>
      </c>
      <c r="F359" s="2" t="s">
        <v>27</v>
      </c>
      <c r="G359" s="2">
        <v>80039</v>
      </c>
      <c r="H359" s="2">
        <v>542</v>
      </c>
      <c r="I359" s="2">
        <v>269631</v>
      </c>
      <c r="J359" s="2">
        <v>109</v>
      </c>
      <c r="K359" s="2">
        <v>0.97</v>
      </c>
      <c r="L359" s="2">
        <v>6.29</v>
      </c>
      <c r="M359" s="2">
        <v>1.2</v>
      </c>
      <c r="N359" s="4">
        <v>10</v>
      </c>
    </row>
    <row r="360" spans="1:14" x14ac:dyDescent="0.35">
      <c r="A360" s="3">
        <v>2020</v>
      </c>
      <c r="B360" s="2">
        <v>10</v>
      </c>
      <c r="C360" s="2" t="s">
        <v>28</v>
      </c>
      <c r="D360" s="2" t="s">
        <v>22</v>
      </c>
      <c r="E360" s="2" t="s">
        <v>16</v>
      </c>
      <c r="F360" s="2" t="s">
        <v>17</v>
      </c>
      <c r="G360" s="2">
        <v>55923</v>
      </c>
      <c r="H360" s="2">
        <v>395</v>
      </c>
      <c r="I360" s="2">
        <v>432188</v>
      </c>
      <c r="J360" s="2">
        <v>155</v>
      </c>
      <c r="K360" s="2">
        <v>0.97</v>
      </c>
      <c r="L360" s="2">
        <v>6.29</v>
      </c>
      <c r="M360" s="2">
        <v>1.2</v>
      </c>
      <c r="N360" s="4">
        <v>7</v>
      </c>
    </row>
    <row r="361" spans="1:14" x14ac:dyDescent="0.35">
      <c r="A361" s="3">
        <v>2015</v>
      </c>
      <c r="B361" s="2">
        <v>7</v>
      </c>
      <c r="C361" s="2" t="s">
        <v>28</v>
      </c>
      <c r="D361" s="2" t="s">
        <v>24</v>
      </c>
      <c r="E361" s="2" t="s">
        <v>19</v>
      </c>
      <c r="F361" s="2" t="s">
        <v>23</v>
      </c>
      <c r="G361" s="2">
        <v>43876</v>
      </c>
      <c r="H361" s="2">
        <v>467</v>
      </c>
      <c r="I361" s="2">
        <v>89148</v>
      </c>
      <c r="J361" s="2">
        <v>18</v>
      </c>
      <c r="K361" s="2">
        <v>0.97</v>
      </c>
      <c r="L361" s="2">
        <v>6.29</v>
      </c>
      <c r="M361" s="2">
        <v>1.2</v>
      </c>
      <c r="N361" s="4">
        <v>7</v>
      </c>
    </row>
    <row r="362" spans="1:14" x14ac:dyDescent="0.35">
      <c r="A362" s="3">
        <v>2018</v>
      </c>
      <c r="B362" s="2">
        <v>5</v>
      </c>
      <c r="C362" s="2" t="s">
        <v>37</v>
      </c>
      <c r="D362" s="2" t="s">
        <v>18</v>
      </c>
      <c r="E362" s="2" t="s">
        <v>16</v>
      </c>
      <c r="F362" s="2" t="s">
        <v>20</v>
      </c>
      <c r="G362" s="2">
        <v>95973</v>
      </c>
      <c r="H362" s="2">
        <v>536</v>
      </c>
      <c r="I362" s="2">
        <v>395072</v>
      </c>
      <c r="J362" s="2">
        <v>71</v>
      </c>
      <c r="K362" s="2">
        <v>0.97</v>
      </c>
      <c r="L362" s="2">
        <v>6.29</v>
      </c>
      <c r="M362" s="2">
        <v>1.2</v>
      </c>
      <c r="N362" s="4">
        <v>1</v>
      </c>
    </row>
    <row r="363" spans="1:14" x14ac:dyDescent="0.35">
      <c r="A363" s="3">
        <v>2024</v>
      </c>
      <c r="B363" s="2">
        <v>7</v>
      </c>
      <c r="C363" s="2" t="s">
        <v>38</v>
      </c>
      <c r="D363" s="2" t="s">
        <v>33</v>
      </c>
      <c r="E363" s="2" t="s">
        <v>19</v>
      </c>
      <c r="F363" s="2" t="s">
        <v>20</v>
      </c>
      <c r="G363" s="2">
        <v>37887</v>
      </c>
      <c r="H363" s="2">
        <v>571</v>
      </c>
      <c r="I363" s="2">
        <v>201770</v>
      </c>
      <c r="J363" s="2">
        <v>194</v>
      </c>
      <c r="K363" s="2">
        <v>0.97</v>
      </c>
      <c r="L363" s="2">
        <v>6.29</v>
      </c>
      <c r="M363" s="2">
        <v>1.2</v>
      </c>
      <c r="N363" s="4">
        <v>1</v>
      </c>
    </row>
    <row r="364" spans="1:14" x14ac:dyDescent="0.35">
      <c r="A364" s="3">
        <v>2020</v>
      </c>
      <c r="B364" s="2">
        <v>9</v>
      </c>
      <c r="C364" s="2" t="s">
        <v>36</v>
      </c>
      <c r="D364" s="2" t="s">
        <v>18</v>
      </c>
      <c r="E364" s="2" t="s">
        <v>20</v>
      </c>
      <c r="F364" s="2" t="s">
        <v>17</v>
      </c>
      <c r="G364" s="2">
        <v>98723</v>
      </c>
      <c r="H364" s="2">
        <v>206</v>
      </c>
      <c r="I364" s="2">
        <v>485686</v>
      </c>
      <c r="J364" s="2">
        <v>38</v>
      </c>
      <c r="K364" s="2">
        <v>0.97</v>
      </c>
      <c r="L364" s="2">
        <v>6.29</v>
      </c>
      <c r="M364" s="2">
        <v>1.2</v>
      </c>
      <c r="N364" s="4">
        <v>4</v>
      </c>
    </row>
    <row r="365" spans="1:14" x14ac:dyDescent="0.35">
      <c r="A365" s="3">
        <v>2020</v>
      </c>
      <c r="B365" s="2">
        <v>3</v>
      </c>
      <c r="C365" s="2" t="s">
        <v>32</v>
      </c>
      <c r="D365" s="2" t="s">
        <v>24</v>
      </c>
      <c r="E365" s="2" t="s">
        <v>19</v>
      </c>
      <c r="F365" s="2" t="s">
        <v>27</v>
      </c>
      <c r="G365" s="2">
        <v>77422</v>
      </c>
      <c r="H365" s="2">
        <v>1135</v>
      </c>
      <c r="I365" s="2">
        <v>363804</v>
      </c>
      <c r="J365" s="2">
        <v>390</v>
      </c>
      <c r="K365" s="2">
        <v>0.97</v>
      </c>
      <c r="L365" s="2">
        <v>6.29</v>
      </c>
      <c r="M365" s="2">
        <v>1.2</v>
      </c>
      <c r="N365" s="4">
        <v>5</v>
      </c>
    </row>
    <row r="366" spans="1:14" x14ac:dyDescent="0.35">
      <c r="A366" s="3">
        <v>2019</v>
      </c>
      <c r="B366" s="2">
        <v>8</v>
      </c>
      <c r="C366" s="2" t="s">
        <v>28</v>
      </c>
      <c r="D366" s="2" t="s">
        <v>33</v>
      </c>
      <c r="E366" s="2" t="s">
        <v>19</v>
      </c>
      <c r="F366" s="2" t="s">
        <v>27</v>
      </c>
      <c r="G366" s="2">
        <v>86413</v>
      </c>
      <c r="H366" s="2">
        <v>453</v>
      </c>
      <c r="I366" s="2">
        <v>497126</v>
      </c>
      <c r="J366" s="2">
        <v>123</v>
      </c>
      <c r="K366" s="2">
        <v>0.97</v>
      </c>
      <c r="L366" s="2">
        <v>6.29</v>
      </c>
      <c r="M366" s="2">
        <v>1.2</v>
      </c>
      <c r="N366" s="4">
        <v>5</v>
      </c>
    </row>
    <row r="367" spans="1:14" x14ac:dyDescent="0.35">
      <c r="A367" s="3">
        <v>2015</v>
      </c>
      <c r="B367" s="2">
        <v>2</v>
      </c>
      <c r="C367" s="2" t="s">
        <v>30</v>
      </c>
      <c r="D367" s="2" t="s">
        <v>33</v>
      </c>
      <c r="E367" s="2" t="s">
        <v>19</v>
      </c>
      <c r="F367" s="2" t="s">
        <v>20</v>
      </c>
      <c r="G367" s="2">
        <v>37841</v>
      </c>
      <c r="H367" s="2">
        <v>517</v>
      </c>
      <c r="I367" s="2">
        <v>347594</v>
      </c>
      <c r="J367" s="2">
        <v>152</v>
      </c>
      <c r="K367" s="2">
        <v>0.97</v>
      </c>
      <c r="L367" s="2">
        <v>6.29</v>
      </c>
      <c r="M367" s="2">
        <v>1.2</v>
      </c>
      <c r="N367" s="4">
        <v>4</v>
      </c>
    </row>
    <row r="368" spans="1:14" x14ac:dyDescent="0.35">
      <c r="A368" s="3">
        <v>2022</v>
      </c>
      <c r="B368" s="2">
        <v>11</v>
      </c>
      <c r="C368" s="2" t="s">
        <v>38</v>
      </c>
      <c r="D368" s="2" t="s">
        <v>22</v>
      </c>
      <c r="E368" s="2" t="s">
        <v>19</v>
      </c>
      <c r="F368" s="2" t="s">
        <v>27</v>
      </c>
      <c r="G368" s="2">
        <v>63756</v>
      </c>
      <c r="H368" s="2">
        <v>1137</v>
      </c>
      <c r="I368" s="2">
        <v>237535</v>
      </c>
      <c r="J368" s="2">
        <v>399</v>
      </c>
      <c r="K368" s="2">
        <v>0.97</v>
      </c>
      <c r="L368" s="2">
        <v>6.29</v>
      </c>
      <c r="M368" s="2">
        <v>1.2</v>
      </c>
      <c r="N368" s="4">
        <v>8</v>
      </c>
    </row>
    <row r="369" spans="1:14" x14ac:dyDescent="0.35">
      <c r="A369" s="3">
        <v>2019</v>
      </c>
      <c r="B369" s="2">
        <v>7</v>
      </c>
      <c r="C369" s="2" t="s">
        <v>37</v>
      </c>
      <c r="D369" s="2" t="s">
        <v>18</v>
      </c>
      <c r="E369" s="2" t="s">
        <v>19</v>
      </c>
      <c r="F369" s="2" t="s">
        <v>17</v>
      </c>
      <c r="G369" s="2">
        <v>106576</v>
      </c>
      <c r="H369" s="2">
        <v>539</v>
      </c>
      <c r="I369" s="2">
        <v>345901</v>
      </c>
      <c r="J369" s="2">
        <v>129</v>
      </c>
      <c r="K369" s="2">
        <v>0.97</v>
      </c>
      <c r="L369" s="2">
        <v>6.29</v>
      </c>
      <c r="M369" s="2">
        <v>1.2</v>
      </c>
      <c r="N369" s="4">
        <v>7</v>
      </c>
    </row>
    <row r="370" spans="1:14" x14ac:dyDescent="0.35">
      <c r="A370" s="3">
        <v>2019</v>
      </c>
      <c r="B370" s="2">
        <v>2</v>
      </c>
      <c r="C370" s="2" t="s">
        <v>38</v>
      </c>
      <c r="D370" s="2" t="s">
        <v>39</v>
      </c>
      <c r="E370" s="2" t="s">
        <v>20</v>
      </c>
      <c r="F370" s="2" t="s">
        <v>20</v>
      </c>
      <c r="G370" s="2">
        <v>45304</v>
      </c>
      <c r="H370" s="2">
        <v>613</v>
      </c>
      <c r="I370" s="2">
        <v>128012</v>
      </c>
      <c r="J370" s="2">
        <v>179</v>
      </c>
      <c r="K370" s="2">
        <v>0.97</v>
      </c>
      <c r="L370" s="2">
        <v>6.29</v>
      </c>
      <c r="M370" s="2">
        <v>1.2</v>
      </c>
      <c r="N370" s="4">
        <v>9</v>
      </c>
    </row>
    <row r="371" spans="1:14" x14ac:dyDescent="0.35">
      <c r="A371" s="3">
        <v>2021</v>
      </c>
      <c r="B371" s="2">
        <v>4</v>
      </c>
      <c r="C371" s="2" t="s">
        <v>32</v>
      </c>
      <c r="D371" s="2" t="s">
        <v>31</v>
      </c>
      <c r="E371" s="2" t="s">
        <v>16</v>
      </c>
      <c r="F371" s="2" t="s">
        <v>23</v>
      </c>
      <c r="G371" s="2">
        <v>65341</v>
      </c>
      <c r="H371" s="2">
        <v>730</v>
      </c>
      <c r="I371" s="2">
        <v>418894</v>
      </c>
      <c r="J371" s="2">
        <v>166</v>
      </c>
      <c r="K371" s="2">
        <v>0.97</v>
      </c>
      <c r="L371" s="2">
        <v>6.29</v>
      </c>
      <c r="M371" s="2">
        <v>1.2</v>
      </c>
      <c r="N371" s="4">
        <v>7</v>
      </c>
    </row>
    <row r="372" spans="1:14" x14ac:dyDescent="0.35">
      <c r="A372" s="3">
        <v>2018</v>
      </c>
      <c r="B372" s="2">
        <v>7</v>
      </c>
      <c r="C372" s="2" t="s">
        <v>37</v>
      </c>
      <c r="D372" s="2" t="s">
        <v>18</v>
      </c>
      <c r="E372" s="2" t="s">
        <v>19</v>
      </c>
      <c r="F372" s="2" t="s">
        <v>23</v>
      </c>
      <c r="G372" s="2">
        <v>39758</v>
      </c>
      <c r="H372" s="2">
        <v>934</v>
      </c>
      <c r="I372" s="2">
        <v>439187</v>
      </c>
      <c r="J372" s="2">
        <v>344</v>
      </c>
      <c r="K372" s="2">
        <v>0.97</v>
      </c>
      <c r="L372" s="2">
        <v>6.29</v>
      </c>
      <c r="M372" s="2">
        <v>1.2</v>
      </c>
      <c r="N372" s="4">
        <v>10</v>
      </c>
    </row>
    <row r="373" spans="1:14" x14ac:dyDescent="0.35">
      <c r="A373" s="3">
        <v>2020</v>
      </c>
      <c r="B373" s="2">
        <v>3</v>
      </c>
      <c r="C373" s="2" t="s">
        <v>32</v>
      </c>
      <c r="D373" s="2" t="s">
        <v>29</v>
      </c>
      <c r="E373" s="2" t="s">
        <v>20</v>
      </c>
      <c r="F373" s="2" t="s">
        <v>27</v>
      </c>
      <c r="G373" s="2">
        <v>52010</v>
      </c>
      <c r="H373" s="2">
        <v>980</v>
      </c>
      <c r="I373" s="2">
        <v>474606</v>
      </c>
      <c r="J373" s="2">
        <v>358</v>
      </c>
      <c r="K373" s="2">
        <v>0.97</v>
      </c>
      <c r="L373" s="2">
        <v>6.29</v>
      </c>
      <c r="M373" s="2">
        <v>1.2</v>
      </c>
      <c r="N373" s="4">
        <v>1</v>
      </c>
    </row>
    <row r="374" spans="1:14" x14ac:dyDescent="0.35">
      <c r="A374" s="3">
        <v>2018</v>
      </c>
      <c r="B374" s="2">
        <v>2</v>
      </c>
      <c r="C374" s="2" t="s">
        <v>38</v>
      </c>
      <c r="D374" s="2" t="s">
        <v>29</v>
      </c>
      <c r="E374" s="2" t="s">
        <v>19</v>
      </c>
      <c r="F374" s="2" t="s">
        <v>20</v>
      </c>
      <c r="G374" s="2">
        <v>95758</v>
      </c>
      <c r="H374" s="2">
        <v>725</v>
      </c>
      <c r="I374" s="2">
        <v>106116</v>
      </c>
      <c r="J374" s="2">
        <v>269</v>
      </c>
      <c r="K374" s="2">
        <v>0.97</v>
      </c>
      <c r="L374" s="2">
        <v>6.29</v>
      </c>
      <c r="M374" s="2">
        <v>1.2</v>
      </c>
      <c r="N374" s="4">
        <v>7</v>
      </c>
    </row>
    <row r="375" spans="1:14" x14ac:dyDescent="0.35">
      <c r="A375" s="3">
        <v>2017</v>
      </c>
      <c r="B375" s="2">
        <v>11</v>
      </c>
      <c r="C375" s="2" t="s">
        <v>36</v>
      </c>
      <c r="D375" s="2" t="s">
        <v>33</v>
      </c>
      <c r="E375" s="2" t="s">
        <v>19</v>
      </c>
      <c r="F375" s="2" t="s">
        <v>20</v>
      </c>
      <c r="G375" s="2">
        <v>66658</v>
      </c>
      <c r="H375" s="2">
        <v>499</v>
      </c>
      <c r="I375" s="2">
        <v>194233</v>
      </c>
      <c r="J375" s="2">
        <v>91</v>
      </c>
      <c r="K375" s="2">
        <v>0.97</v>
      </c>
      <c r="L375" s="2">
        <v>6.29</v>
      </c>
      <c r="M375" s="2">
        <v>1.2</v>
      </c>
      <c r="N375" s="4">
        <v>1</v>
      </c>
    </row>
    <row r="376" spans="1:14" x14ac:dyDescent="0.35">
      <c r="A376" s="3">
        <v>2021</v>
      </c>
      <c r="B376" s="2">
        <v>10</v>
      </c>
      <c r="C376" s="2" t="s">
        <v>32</v>
      </c>
      <c r="D376" s="2" t="s">
        <v>31</v>
      </c>
      <c r="E376" s="2" t="s">
        <v>16</v>
      </c>
      <c r="F376" s="2" t="s">
        <v>23</v>
      </c>
      <c r="G376" s="2">
        <v>84002</v>
      </c>
      <c r="H376" s="2">
        <v>662</v>
      </c>
      <c r="I376" s="2">
        <v>82152</v>
      </c>
      <c r="J376" s="2">
        <v>251</v>
      </c>
      <c r="K376" s="2">
        <v>0.97</v>
      </c>
      <c r="L376" s="2">
        <v>6.29</v>
      </c>
      <c r="M376" s="2">
        <v>1.2</v>
      </c>
      <c r="N376" s="4">
        <v>7</v>
      </c>
    </row>
    <row r="377" spans="1:14" x14ac:dyDescent="0.35">
      <c r="A377" s="3">
        <v>2022</v>
      </c>
      <c r="B377" s="2">
        <v>7</v>
      </c>
      <c r="C377" s="2" t="s">
        <v>37</v>
      </c>
      <c r="D377" s="2" t="s">
        <v>15</v>
      </c>
      <c r="E377" s="2" t="s">
        <v>19</v>
      </c>
      <c r="F377" s="2" t="s">
        <v>20</v>
      </c>
      <c r="G377" s="2">
        <v>36375</v>
      </c>
      <c r="H377" s="2">
        <v>608</v>
      </c>
      <c r="I377" s="2">
        <v>156379</v>
      </c>
      <c r="J377" s="2">
        <v>181</v>
      </c>
      <c r="K377" s="2">
        <v>0.97</v>
      </c>
      <c r="L377" s="2">
        <v>6.29</v>
      </c>
      <c r="M377" s="2">
        <v>1.2</v>
      </c>
      <c r="N377" s="4">
        <v>10</v>
      </c>
    </row>
    <row r="378" spans="1:14" x14ac:dyDescent="0.35">
      <c r="A378" s="3">
        <v>2018</v>
      </c>
      <c r="B378" s="2">
        <v>1</v>
      </c>
      <c r="C378" s="2" t="s">
        <v>37</v>
      </c>
      <c r="D378" s="2" t="s">
        <v>24</v>
      </c>
      <c r="E378" s="2" t="s">
        <v>20</v>
      </c>
      <c r="F378" s="2" t="s">
        <v>20</v>
      </c>
      <c r="G378" s="2">
        <v>57092</v>
      </c>
      <c r="H378" s="2">
        <v>719</v>
      </c>
      <c r="I378" s="2">
        <v>276905</v>
      </c>
      <c r="J378" s="2">
        <v>240</v>
      </c>
      <c r="K378" s="2">
        <v>0.97</v>
      </c>
      <c r="L378" s="2">
        <v>6.29</v>
      </c>
      <c r="M378" s="2">
        <v>1.2</v>
      </c>
      <c r="N378" s="4">
        <v>8</v>
      </c>
    </row>
    <row r="379" spans="1:14" x14ac:dyDescent="0.35">
      <c r="A379" s="3">
        <v>2016</v>
      </c>
      <c r="B379" s="2">
        <v>8</v>
      </c>
      <c r="C379" s="2" t="s">
        <v>32</v>
      </c>
      <c r="D379" s="2" t="s">
        <v>34</v>
      </c>
      <c r="E379" s="2" t="s">
        <v>20</v>
      </c>
      <c r="F379" s="2" t="s">
        <v>20</v>
      </c>
      <c r="G379" s="2">
        <v>35490</v>
      </c>
      <c r="H379" s="2">
        <v>450</v>
      </c>
      <c r="I379" s="2">
        <v>70836</v>
      </c>
      <c r="J379" s="2">
        <v>217</v>
      </c>
      <c r="K379" s="2">
        <v>0.97</v>
      </c>
      <c r="L379" s="2">
        <v>6.29</v>
      </c>
      <c r="M379" s="2">
        <v>1.2</v>
      </c>
      <c r="N379" s="4">
        <v>9</v>
      </c>
    </row>
    <row r="380" spans="1:14" x14ac:dyDescent="0.35">
      <c r="A380" s="3">
        <v>2024</v>
      </c>
      <c r="B380" s="2">
        <v>3</v>
      </c>
      <c r="C380" s="2" t="s">
        <v>35</v>
      </c>
      <c r="D380" s="2" t="s">
        <v>31</v>
      </c>
      <c r="E380" s="2" t="s">
        <v>16</v>
      </c>
      <c r="F380" s="2" t="s">
        <v>27</v>
      </c>
      <c r="G380" s="2">
        <v>38729</v>
      </c>
      <c r="H380" s="2">
        <v>257</v>
      </c>
      <c r="I380" s="2">
        <v>271439</v>
      </c>
      <c r="J380" s="2">
        <v>84</v>
      </c>
      <c r="K380" s="2">
        <v>0.97</v>
      </c>
      <c r="L380" s="2">
        <v>6.29</v>
      </c>
      <c r="M380" s="2">
        <v>1.2</v>
      </c>
      <c r="N380" s="4">
        <v>3</v>
      </c>
    </row>
    <row r="381" spans="1:14" x14ac:dyDescent="0.35">
      <c r="A381" s="3">
        <v>2017</v>
      </c>
      <c r="B381" s="2">
        <v>12</v>
      </c>
      <c r="C381" s="2" t="s">
        <v>38</v>
      </c>
      <c r="D381" s="2" t="s">
        <v>34</v>
      </c>
      <c r="E381" s="2" t="s">
        <v>19</v>
      </c>
      <c r="F381" s="2" t="s">
        <v>20</v>
      </c>
      <c r="G381" s="2">
        <v>40974</v>
      </c>
      <c r="H381" s="2">
        <v>699</v>
      </c>
      <c r="I381" s="2">
        <v>236720</v>
      </c>
      <c r="J381" s="2">
        <v>279</v>
      </c>
      <c r="K381" s="2">
        <v>0.97</v>
      </c>
      <c r="L381" s="2">
        <v>6.29</v>
      </c>
      <c r="M381" s="2">
        <v>1.2</v>
      </c>
      <c r="N381" s="4">
        <v>4</v>
      </c>
    </row>
    <row r="382" spans="1:14" x14ac:dyDescent="0.35">
      <c r="A382" s="3">
        <v>2015</v>
      </c>
      <c r="B382" s="2">
        <v>12</v>
      </c>
      <c r="C382" s="2" t="s">
        <v>35</v>
      </c>
      <c r="D382" s="2" t="s">
        <v>18</v>
      </c>
      <c r="E382" s="2" t="s">
        <v>20</v>
      </c>
      <c r="F382" s="2" t="s">
        <v>17</v>
      </c>
      <c r="G382" s="2">
        <v>118860</v>
      </c>
      <c r="H382" s="2">
        <v>1078</v>
      </c>
      <c r="I382" s="2">
        <v>207403</v>
      </c>
      <c r="J382" s="2">
        <v>396</v>
      </c>
      <c r="K382" s="2">
        <v>0.97</v>
      </c>
      <c r="L382" s="2">
        <v>6.29</v>
      </c>
      <c r="M382" s="2">
        <v>1.2</v>
      </c>
      <c r="N382" s="4">
        <v>4</v>
      </c>
    </row>
    <row r="383" spans="1:14" x14ac:dyDescent="0.35">
      <c r="A383" s="3">
        <v>2022</v>
      </c>
      <c r="B383" s="2">
        <v>2</v>
      </c>
      <c r="C383" s="2" t="s">
        <v>14</v>
      </c>
      <c r="D383" s="2" t="s">
        <v>18</v>
      </c>
      <c r="E383" s="2" t="s">
        <v>19</v>
      </c>
      <c r="F383" s="2" t="s">
        <v>27</v>
      </c>
      <c r="G383" s="2">
        <v>56398</v>
      </c>
      <c r="H383" s="2">
        <v>246</v>
      </c>
      <c r="I383" s="2">
        <v>191835</v>
      </c>
      <c r="J383" s="2">
        <v>123</v>
      </c>
      <c r="K383" s="2">
        <v>0.97</v>
      </c>
      <c r="L383" s="2">
        <v>6.29</v>
      </c>
      <c r="M383" s="2">
        <v>1.2</v>
      </c>
      <c r="N383" s="4">
        <v>9</v>
      </c>
    </row>
    <row r="384" spans="1:14" x14ac:dyDescent="0.35">
      <c r="A384" s="3">
        <v>2017</v>
      </c>
      <c r="B384" s="2">
        <v>3</v>
      </c>
      <c r="C384" s="2" t="s">
        <v>38</v>
      </c>
      <c r="D384" s="2" t="s">
        <v>34</v>
      </c>
      <c r="E384" s="2" t="s">
        <v>19</v>
      </c>
      <c r="F384" s="2" t="s">
        <v>20</v>
      </c>
      <c r="G384" s="2">
        <v>69650</v>
      </c>
      <c r="H384" s="2">
        <v>197</v>
      </c>
      <c r="I384" s="2">
        <v>381588</v>
      </c>
      <c r="J384" s="2">
        <v>71</v>
      </c>
      <c r="K384" s="2">
        <v>0.97</v>
      </c>
      <c r="L384" s="2">
        <v>6.29</v>
      </c>
      <c r="M384" s="2">
        <v>1.2</v>
      </c>
      <c r="N384" s="4">
        <v>7</v>
      </c>
    </row>
    <row r="385" spans="1:14" x14ac:dyDescent="0.35">
      <c r="A385" s="3">
        <v>2024</v>
      </c>
      <c r="B385" s="2">
        <v>5</v>
      </c>
      <c r="C385" s="2" t="s">
        <v>32</v>
      </c>
      <c r="D385" s="2" t="s">
        <v>24</v>
      </c>
      <c r="E385" s="2" t="s">
        <v>19</v>
      </c>
      <c r="F385" s="2" t="s">
        <v>20</v>
      </c>
      <c r="G385" s="2">
        <v>56292</v>
      </c>
      <c r="H385" s="2">
        <v>931</v>
      </c>
      <c r="I385" s="2">
        <v>143109</v>
      </c>
      <c r="J385" s="2">
        <v>371</v>
      </c>
      <c r="K385" s="2">
        <v>0.97</v>
      </c>
      <c r="L385" s="2">
        <v>6.29</v>
      </c>
      <c r="M385" s="2">
        <v>1.2</v>
      </c>
      <c r="N385" s="4">
        <v>3</v>
      </c>
    </row>
    <row r="386" spans="1:14" x14ac:dyDescent="0.35">
      <c r="A386" s="3">
        <v>2021</v>
      </c>
      <c r="B386" s="2">
        <v>11</v>
      </c>
      <c r="C386" s="2" t="s">
        <v>21</v>
      </c>
      <c r="D386" s="2" t="s">
        <v>31</v>
      </c>
      <c r="E386" s="2" t="s">
        <v>16</v>
      </c>
      <c r="F386" s="2" t="s">
        <v>17</v>
      </c>
      <c r="G386" s="2">
        <v>38159</v>
      </c>
      <c r="H386" s="2">
        <v>1013</v>
      </c>
      <c r="I386" s="2">
        <v>200259</v>
      </c>
      <c r="J386" s="2">
        <v>329</v>
      </c>
      <c r="K386" s="2">
        <v>0.97</v>
      </c>
      <c r="L386" s="2">
        <v>6.29</v>
      </c>
      <c r="M386" s="2">
        <v>1.2</v>
      </c>
      <c r="N386" s="4">
        <v>10</v>
      </c>
    </row>
    <row r="387" spans="1:14" x14ac:dyDescent="0.35">
      <c r="A387" s="3">
        <v>2024</v>
      </c>
      <c r="B387" s="2">
        <v>8</v>
      </c>
      <c r="C387" s="2" t="s">
        <v>32</v>
      </c>
      <c r="D387" s="2" t="s">
        <v>15</v>
      </c>
      <c r="E387" s="2" t="s">
        <v>19</v>
      </c>
      <c r="F387" s="2" t="s">
        <v>27</v>
      </c>
      <c r="G387" s="2">
        <v>97766</v>
      </c>
      <c r="H387" s="2">
        <v>499</v>
      </c>
      <c r="I387" s="2">
        <v>193029</v>
      </c>
      <c r="J387" s="2">
        <v>111</v>
      </c>
      <c r="K387" s="2">
        <v>0.97</v>
      </c>
      <c r="L387" s="2">
        <v>6.29</v>
      </c>
      <c r="M387" s="2">
        <v>1.2</v>
      </c>
      <c r="N387" s="4">
        <v>5</v>
      </c>
    </row>
    <row r="388" spans="1:14" x14ac:dyDescent="0.35">
      <c r="A388" s="3">
        <v>2019</v>
      </c>
      <c r="B388" s="2">
        <v>10</v>
      </c>
      <c r="C388" s="2" t="s">
        <v>35</v>
      </c>
      <c r="D388" s="2" t="s">
        <v>33</v>
      </c>
      <c r="E388" s="2" t="s">
        <v>20</v>
      </c>
      <c r="F388" s="2" t="s">
        <v>23</v>
      </c>
      <c r="G388" s="2">
        <v>52065</v>
      </c>
      <c r="H388" s="2">
        <v>977</v>
      </c>
      <c r="I388" s="2">
        <v>447595</v>
      </c>
      <c r="J388" s="2">
        <v>371</v>
      </c>
      <c r="K388" s="2">
        <v>0.97</v>
      </c>
      <c r="L388" s="2">
        <v>6.29</v>
      </c>
      <c r="M388" s="2">
        <v>1.2</v>
      </c>
      <c r="N388" s="4">
        <v>7</v>
      </c>
    </row>
    <row r="389" spans="1:14" x14ac:dyDescent="0.35">
      <c r="A389" s="3">
        <v>2024</v>
      </c>
      <c r="B389" s="2">
        <v>7</v>
      </c>
      <c r="C389" s="2" t="s">
        <v>36</v>
      </c>
      <c r="D389" s="2" t="s">
        <v>22</v>
      </c>
      <c r="E389" s="2" t="s">
        <v>19</v>
      </c>
      <c r="F389" s="2" t="s">
        <v>23</v>
      </c>
      <c r="G389" s="2">
        <v>56638</v>
      </c>
      <c r="H389" s="2">
        <v>790</v>
      </c>
      <c r="I389" s="2">
        <v>471175</v>
      </c>
      <c r="J389" s="2">
        <v>219</v>
      </c>
      <c r="K389" s="2">
        <v>0.97</v>
      </c>
      <c r="L389" s="2">
        <v>6.29</v>
      </c>
      <c r="M389" s="2">
        <v>1.2</v>
      </c>
      <c r="N389" s="4">
        <v>8</v>
      </c>
    </row>
    <row r="390" spans="1:14" x14ac:dyDescent="0.35">
      <c r="A390" s="3">
        <v>2019</v>
      </c>
      <c r="B390" s="2">
        <v>7</v>
      </c>
      <c r="C390" s="2" t="s">
        <v>32</v>
      </c>
      <c r="D390" s="2" t="s">
        <v>18</v>
      </c>
      <c r="E390" s="2" t="s">
        <v>20</v>
      </c>
      <c r="F390" s="2" t="s">
        <v>27</v>
      </c>
      <c r="G390" s="2">
        <v>36073</v>
      </c>
      <c r="H390" s="2">
        <v>880</v>
      </c>
      <c r="I390" s="2">
        <v>132018</v>
      </c>
      <c r="J390" s="2">
        <v>264</v>
      </c>
      <c r="K390" s="2">
        <v>0.97</v>
      </c>
      <c r="L390" s="2">
        <v>6.29</v>
      </c>
      <c r="M390" s="2">
        <v>1.2</v>
      </c>
      <c r="N390" s="4">
        <v>1</v>
      </c>
    </row>
    <row r="391" spans="1:14" x14ac:dyDescent="0.35">
      <c r="A391" s="3">
        <v>2021</v>
      </c>
      <c r="B391" s="2">
        <v>12</v>
      </c>
      <c r="C391" s="2" t="s">
        <v>32</v>
      </c>
      <c r="D391" s="2" t="s">
        <v>29</v>
      </c>
      <c r="E391" s="2" t="s">
        <v>19</v>
      </c>
      <c r="F391" s="2" t="s">
        <v>20</v>
      </c>
      <c r="G391" s="2">
        <v>81511</v>
      </c>
      <c r="H391" s="2">
        <v>346</v>
      </c>
      <c r="I391" s="2">
        <v>173076</v>
      </c>
      <c r="J391" s="2">
        <v>29</v>
      </c>
      <c r="K391" s="2">
        <v>0.97</v>
      </c>
      <c r="L391" s="2">
        <v>6.29</v>
      </c>
      <c r="M391" s="2">
        <v>1.2</v>
      </c>
      <c r="N391" s="4">
        <v>2</v>
      </c>
    </row>
    <row r="392" spans="1:14" x14ac:dyDescent="0.35">
      <c r="A392" s="3">
        <v>2023</v>
      </c>
      <c r="B392" s="2">
        <v>7</v>
      </c>
      <c r="C392" s="2" t="s">
        <v>36</v>
      </c>
      <c r="D392" s="2" t="s">
        <v>24</v>
      </c>
      <c r="E392" s="2" t="s">
        <v>20</v>
      </c>
      <c r="F392" s="2" t="s">
        <v>20</v>
      </c>
      <c r="G392" s="2">
        <v>119307</v>
      </c>
      <c r="H392" s="2">
        <v>353</v>
      </c>
      <c r="I392" s="2">
        <v>208177</v>
      </c>
      <c r="J392" s="2">
        <v>67</v>
      </c>
      <c r="K392" s="2">
        <v>0.97</v>
      </c>
      <c r="L392" s="2">
        <v>6.29</v>
      </c>
      <c r="M392" s="2">
        <v>1.2</v>
      </c>
      <c r="N392" s="4">
        <v>7</v>
      </c>
    </row>
    <row r="393" spans="1:14" x14ac:dyDescent="0.35">
      <c r="A393" s="3">
        <v>2019</v>
      </c>
      <c r="B393" s="2">
        <v>8</v>
      </c>
      <c r="C393" s="2" t="s">
        <v>32</v>
      </c>
      <c r="D393" s="2" t="s">
        <v>22</v>
      </c>
      <c r="E393" s="2" t="s">
        <v>20</v>
      </c>
      <c r="F393" s="2" t="s">
        <v>23</v>
      </c>
      <c r="G393" s="2">
        <v>64320</v>
      </c>
      <c r="H393" s="2">
        <v>620</v>
      </c>
      <c r="I393" s="2">
        <v>444093</v>
      </c>
      <c r="J393" s="2">
        <v>121</v>
      </c>
      <c r="K393" s="2">
        <v>0.97</v>
      </c>
      <c r="L393" s="2">
        <v>6.29</v>
      </c>
      <c r="M393" s="2">
        <v>1.2</v>
      </c>
      <c r="N393" s="4">
        <v>2</v>
      </c>
    </row>
    <row r="394" spans="1:14" x14ac:dyDescent="0.35">
      <c r="A394" s="3">
        <v>2015</v>
      </c>
      <c r="B394" s="2">
        <v>1</v>
      </c>
      <c r="C394" s="2" t="s">
        <v>28</v>
      </c>
      <c r="D394" s="2" t="s">
        <v>15</v>
      </c>
      <c r="E394" s="2" t="s">
        <v>19</v>
      </c>
      <c r="F394" s="2" t="s">
        <v>23</v>
      </c>
      <c r="G394" s="2">
        <v>104876</v>
      </c>
      <c r="H394" s="2">
        <v>675</v>
      </c>
      <c r="I394" s="2">
        <v>229425</v>
      </c>
      <c r="J394" s="2">
        <v>322</v>
      </c>
      <c r="K394" s="2">
        <v>0.97</v>
      </c>
      <c r="L394" s="2">
        <v>6.29</v>
      </c>
      <c r="M394" s="2">
        <v>1.2</v>
      </c>
      <c r="N394" s="4">
        <v>7</v>
      </c>
    </row>
    <row r="395" spans="1:14" x14ac:dyDescent="0.35">
      <c r="A395" s="3">
        <v>2024</v>
      </c>
      <c r="B395" s="2">
        <v>4</v>
      </c>
      <c r="C395" s="2" t="s">
        <v>21</v>
      </c>
      <c r="D395" s="2" t="s">
        <v>26</v>
      </c>
      <c r="E395" s="2" t="s">
        <v>19</v>
      </c>
      <c r="F395" s="2" t="s">
        <v>23</v>
      </c>
      <c r="G395" s="2">
        <v>69924</v>
      </c>
      <c r="H395" s="2">
        <v>667</v>
      </c>
      <c r="I395" s="2">
        <v>395932</v>
      </c>
      <c r="J395" s="2">
        <v>205</v>
      </c>
      <c r="K395" s="2">
        <v>0.97</v>
      </c>
      <c r="L395" s="2">
        <v>6.29</v>
      </c>
      <c r="M395" s="2">
        <v>1.2</v>
      </c>
      <c r="N395" s="4">
        <v>9</v>
      </c>
    </row>
    <row r="396" spans="1:14" x14ac:dyDescent="0.35">
      <c r="A396" s="3">
        <v>2024</v>
      </c>
      <c r="B396" s="2">
        <v>6</v>
      </c>
      <c r="C396" s="2" t="s">
        <v>30</v>
      </c>
      <c r="D396" s="2" t="s">
        <v>33</v>
      </c>
      <c r="E396" s="2" t="s">
        <v>20</v>
      </c>
      <c r="F396" s="2" t="s">
        <v>17</v>
      </c>
      <c r="G396" s="2">
        <v>116720</v>
      </c>
      <c r="H396" s="2">
        <v>868</v>
      </c>
      <c r="I396" s="2">
        <v>409014</v>
      </c>
      <c r="J396" s="2">
        <v>384</v>
      </c>
      <c r="K396" s="2">
        <v>0.97</v>
      </c>
      <c r="L396" s="2">
        <v>6.29</v>
      </c>
      <c r="M396" s="2">
        <v>1.2</v>
      </c>
      <c r="N396" s="4">
        <v>2</v>
      </c>
    </row>
    <row r="397" spans="1:14" x14ac:dyDescent="0.35">
      <c r="A397" s="3">
        <v>2015</v>
      </c>
      <c r="B397" s="2">
        <v>9</v>
      </c>
      <c r="C397" s="2" t="s">
        <v>21</v>
      </c>
      <c r="D397" s="2" t="s">
        <v>18</v>
      </c>
      <c r="E397" s="2" t="s">
        <v>16</v>
      </c>
      <c r="F397" s="2" t="s">
        <v>23</v>
      </c>
      <c r="G397" s="2">
        <v>75734</v>
      </c>
      <c r="H397" s="2">
        <v>836</v>
      </c>
      <c r="I397" s="2">
        <v>265657</v>
      </c>
      <c r="J397" s="2">
        <v>362</v>
      </c>
      <c r="K397" s="2">
        <v>0.97</v>
      </c>
      <c r="L397" s="2">
        <v>6.29</v>
      </c>
      <c r="M397" s="2">
        <v>1.2</v>
      </c>
      <c r="N397" s="4">
        <v>7</v>
      </c>
    </row>
    <row r="398" spans="1:14" x14ac:dyDescent="0.35">
      <c r="A398" s="3">
        <v>2016</v>
      </c>
      <c r="B398" s="2">
        <v>2</v>
      </c>
      <c r="C398" s="2" t="s">
        <v>32</v>
      </c>
      <c r="D398" s="2" t="s">
        <v>33</v>
      </c>
      <c r="E398" s="2" t="s">
        <v>19</v>
      </c>
      <c r="F398" s="2" t="s">
        <v>17</v>
      </c>
      <c r="G398" s="2">
        <v>103116</v>
      </c>
      <c r="H398" s="2">
        <v>231</v>
      </c>
      <c r="I398" s="2">
        <v>395452</v>
      </c>
      <c r="J398" s="2">
        <v>101</v>
      </c>
      <c r="K398" s="2">
        <v>0.97</v>
      </c>
      <c r="L398" s="2">
        <v>6.29</v>
      </c>
      <c r="M398" s="2">
        <v>1.2</v>
      </c>
      <c r="N398" s="4">
        <v>4</v>
      </c>
    </row>
    <row r="399" spans="1:14" x14ac:dyDescent="0.35">
      <c r="A399" s="3">
        <v>2020</v>
      </c>
      <c r="B399" s="2">
        <v>1</v>
      </c>
      <c r="C399" s="2" t="s">
        <v>28</v>
      </c>
      <c r="D399" s="2" t="s">
        <v>22</v>
      </c>
      <c r="E399" s="2" t="s">
        <v>16</v>
      </c>
      <c r="F399" s="2" t="s">
        <v>27</v>
      </c>
      <c r="G399" s="2">
        <v>75025</v>
      </c>
      <c r="H399" s="2">
        <v>567</v>
      </c>
      <c r="I399" s="2">
        <v>494783</v>
      </c>
      <c r="J399" s="2">
        <v>61</v>
      </c>
      <c r="K399" s="2">
        <v>0.97</v>
      </c>
      <c r="L399" s="2">
        <v>6.29</v>
      </c>
      <c r="M399" s="2">
        <v>1.2</v>
      </c>
      <c r="N399" s="4">
        <v>2</v>
      </c>
    </row>
    <row r="400" spans="1:14" x14ac:dyDescent="0.35">
      <c r="A400" s="3">
        <v>2023</v>
      </c>
      <c r="B400" s="2">
        <v>10</v>
      </c>
      <c r="C400" s="2" t="s">
        <v>38</v>
      </c>
      <c r="D400" s="2" t="s">
        <v>33</v>
      </c>
      <c r="E400" s="2" t="s">
        <v>19</v>
      </c>
      <c r="F400" s="2" t="s">
        <v>20</v>
      </c>
      <c r="G400" s="2">
        <v>37159</v>
      </c>
      <c r="H400" s="2">
        <v>1016</v>
      </c>
      <c r="I400" s="2">
        <v>370057</v>
      </c>
      <c r="J400" s="2">
        <v>302</v>
      </c>
      <c r="K400" s="2">
        <v>0.97</v>
      </c>
      <c r="L400" s="2">
        <v>6.29</v>
      </c>
      <c r="M400" s="2">
        <v>1.2</v>
      </c>
      <c r="N400" s="4">
        <v>7</v>
      </c>
    </row>
    <row r="401" spans="1:14" x14ac:dyDescent="0.35">
      <c r="A401" s="3">
        <v>2022</v>
      </c>
      <c r="B401" s="2">
        <v>12</v>
      </c>
      <c r="C401" s="2" t="s">
        <v>32</v>
      </c>
      <c r="D401" s="2" t="s">
        <v>26</v>
      </c>
      <c r="E401" s="2" t="s">
        <v>19</v>
      </c>
      <c r="F401" s="2" t="s">
        <v>23</v>
      </c>
      <c r="G401" s="2">
        <v>83940</v>
      </c>
      <c r="H401" s="2">
        <v>386</v>
      </c>
      <c r="I401" s="2">
        <v>52637</v>
      </c>
      <c r="J401" s="2">
        <v>17</v>
      </c>
      <c r="K401" s="2">
        <v>0.97</v>
      </c>
      <c r="L401" s="2">
        <v>6.29</v>
      </c>
      <c r="M401" s="2">
        <v>1.2</v>
      </c>
      <c r="N401" s="4">
        <v>5</v>
      </c>
    </row>
    <row r="402" spans="1:14" x14ac:dyDescent="0.35">
      <c r="A402" s="3">
        <v>2019</v>
      </c>
      <c r="B402" s="2">
        <v>2</v>
      </c>
      <c r="C402" s="2" t="s">
        <v>35</v>
      </c>
      <c r="D402" s="2" t="s">
        <v>22</v>
      </c>
      <c r="E402" s="2" t="s">
        <v>19</v>
      </c>
      <c r="F402" s="2" t="s">
        <v>20</v>
      </c>
      <c r="G402" s="2">
        <v>114436</v>
      </c>
      <c r="H402" s="2">
        <v>730</v>
      </c>
      <c r="I402" s="2">
        <v>354169</v>
      </c>
      <c r="J402" s="2">
        <v>309</v>
      </c>
      <c r="K402" s="2">
        <v>0.97</v>
      </c>
      <c r="L402" s="2">
        <v>6.29</v>
      </c>
      <c r="M402" s="2">
        <v>1.2</v>
      </c>
      <c r="N402" s="4">
        <v>1</v>
      </c>
    </row>
    <row r="403" spans="1:14" x14ac:dyDescent="0.35">
      <c r="A403" s="3">
        <v>2015</v>
      </c>
      <c r="B403" s="2">
        <v>7</v>
      </c>
      <c r="C403" s="2" t="s">
        <v>28</v>
      </c>
      <c r="D403" s="2" t="s">
        <v>18</v>
      </c>
      <c r="E403" s="2" t="s">
        <v>19</v>
      </c>
      <c r="F403" s="2" t="s">
        <v>20</v>
      </c>
      <c r="G403" s="2">
        <v>111976</v>
      </c>
      <c r="H403" s="2">
        <v>552</v>
      </c>
      <c r="I403" s="2">
        <v>287989</v>
      </c>
      <c r="J403" s="2">
        <v>107</v>
      </c>
      <c r="K403" s="2">
        <v>0.97</v>
      </c>
      <c r="L403" s="2">
        <v>6.29</v>
      </c>
      <c r="M403" s="2">
        <v>1.2</v>
      </c>
      <c r="N403" s="4">
        <v>5</v>
      </c>
    </row>
    <row r="404" spans="1:14" x14ac:dyDescent="0.35">
      <c r="A404" s="3">
        <v>2021</v>
      </c>
      <c r="B404" s="2">
        <v>3</v>
      </c>
      <c r="C404" s="2" t="s">
        <v>36</v>
      </c>
      <c r="D404" s="2" t="s">
        <v>31</v>
      </c>
      <c r="E404" s="2" t="s">
        <v>16</v>
      </c>
      <c r="F404" s="2" t="s">
        <v>23</v>
      </c>
      <c r="G404" s="2">
        <v>49678</v>
      </c>
      <c r="H404" s="2">
        <v>875</v>
      </c>
      <c r="I404" s="2">
        <v>282259</v>
      </c>
      <c r="J404" s="2">
        <v>245</v>
      </c>
      <c r="K404" s="2">
        <v>0.97</v>
      </c>
      <c r="L404" s="2">
        <v>6.29</v>
      </c>
      <c r="M404" s="2">
        <v>1.2</v>
      </c>
      <c r="N404" s="4">
        <v>3</v>
      </c>
    </row>
    <row r="405" spans="1:14" x14ac:dyDescent="0.35">
      <c r="A405" s="3">
        <v>2019</v>
      </c>
      <c r="B405" s="2">
        <v>10</v>
      </c>
      <c r="C405" s="2" t="s">
        <v>28</v>
      </c>
      <c r="D405" s="2" t="s">
        <v>29</v>
      </c>
      <c r="E405" s="2" t="s">
        <v>19</v>
      </c>
      <c r="F405" s="2" t="s">
        <v>23</v>
      </c>
      <c r="G405" s="2">
        <v>96075</v>
      </c>
      <c r="H405" s="2">
        <v>1083</v>
      </c>
      <c r="I405" s="2">
        <v>411652</v>
      </c>
      <c r="J405" s="2">
        <v>398</v>
      </c>
      <c r="K405" s="2">
        <v>0.97</v>
      </c>
      <c r="L405" s="2">
        <v>6.29</v>
      </c>
      <c r="M405" s="2">
        <v>1.2</v>
      </c>
      <c r="N405" s="4">
        <v>7</v>
      </c>
    </row>
    <row r="406" spans="1:14" x14ac:dyDescent="0.35">
      <c r="A406" s="3">
        <v>2020</v>
      </c>
      <c r="B406" s="2">
        <v>2</v>
      </c>
      <c r="C406" s="2" t="s">
        <v>36</v>
      </c>
      <c r="D406" s="2" t="s">
        <v>22</v>
      </c>
      <c r="E406" s="2" t="s">
        <v>20</v>
      </c>
      <c r="F406" s="2" t="s">
        <v>27</v>
      </c>
      <c r="G406" s="2">
        <v>82204</v>
      </c>
      <c r="H406" s="2">
        <v>978</v>
      </c>
      <c r="I406" s="2">
        <v>132464</v>
      </c>
      <c r="J406" s="2">
        <v>383</v>
      </c>
      <c r="K406" s="2">
        <v>0.97</v>
      </c>
      <c r="L406" s="2">
        <v>6.29</v>
      </c>
      <c r="M406" s="2">
        <v>1.2</v>
      </c>
      <c r="N406" s="4">
        <v>6</v>
      </c>
    </row>
    <row r="407" spans="1:14" x14ac:dyDescent="0.35">
      <c r="A407" s="3">
        <v>2021</v>
      </c>
      <c r="B407" s="2">
        <v>11</v>
      </c>
      <c r="C407" s="2" t="s">
        <v>14</v>
      </c>
      <c r="D407" s="2" t="s">
        <v>39</v>
      </c>
      <c r="E407" s="2" t="s">
        <v>20</v>
      </c>
      <c r="F407" s="2" t="s">
        <v>17</v>
      </c>
      <c r="G407" s="2">
        <v>47021</v>
      </c>
      <c r="H407" s="2">
        <v>248</v>
      </c>
      <c r="I407" s="2">
        <v>340886</v>
      </c>
      <c r="J407" s="2">
        <v>78</v>
      </c>
      <c r="K407" s="2">
        <v>0.97</v>
      </c>
      <c r="L407" s="2">
        <v>6.29</v>
      </c>
      <c r="M407" s="2">
        <v>1.2</v>
      </c>
      <c r="N407" s="4">
        <v>8</v>
      </c>
    </row>
    <row r="408" spans="1:14" x14ac:dyDescent="0.35">
      <c r="A408" s="3">
        <v>2017</v>
      </c>
      <c r="B408" s="2">
        <v>7</v>
      </c>
      <c r="C408" s="2" t="s">
        <v>30</v>
      </c>
      <c r="D408" s="2" t="s">
        <v>26</v>
      </c>
      <c r="E408" s="2" t="s">
        <v>16</v>
      </c>
      <c r="F408" s="2" t="s">
        <v>17</v>
      </c>
      <c r="G408" s="2">
        <v>41772</v>
      </c>
      <c r="H408" s="2">
        <v>351</v>
      </c>
      <c r="I408" s="2">
        <v>61831</v>
      </c>
      <c r="J408" s="2">
        <v>54</v>
      </c>
      <c r="K408" s="2">
        <v>0.97</v>
      </c>
      <c r="L408" s="2">
        <v>6.29</v>
      </c>
      <c r="M408" s="2">
        <v>1.2</v>
      </c>
      <c r="N408" s="4">
        <v>5</v>
      </c>
    </row>
    <row r="409" spans="1:14" x14ac:dyDescent="0.35">
      <c r="A409" s="3">
        <v>2024</v>
      </c>
      <c r="B409" s="2">
        <v>2</v>
      </c>
      <c r="C409" s="2" t="s">
        <v>25</v>
      </c>
      <c r="D409" s="2" t="s">
        <v>22</v>
      </c>
      <c r="E409" s="2" t="s">
        <v>19</v>
      </c>
      <c r="F409" s="2" t="s">
        <v>20</v>
      </c>
      <c r="G409" s="2">
        <v>102163</v>
      </c>
      <c r="H409" s="2">
        <v>556</v>
      </c>
      <c r="I409" s="2">
        <v>163768</v>
      </c>
      <c r="J409" s="2">
        <v>146</v>
      </c>
      <c r="K409" s="2">
        <v>0.97</v>
      </c>
      <c r="L409" s="2">
        <v>6.29</v>
      </c>
      <c r="M409" s="2">
        <v>1.2</v>
      </c>
      <c r="N409" s="4">
        <v>2</v>
      </c>
    </row>
    <row r="410" spans="1:14" x14ac:dyDescent="0.35">
      <c r="A410" s="3">
        <v>2017</v>
      </c>
      <c r="B410" s="2">
        <v>3</v>
      </c>
      <c r="C410" s="2" t="s">
        <v>28</v>
      </c>
      <c r="D410" s="2" t="s">
        <v>22</v>
      </c>
      <c r="E410" s="2" t="s">
        <v>20</v>
      </c>
      <c r="F410" s="2" t="s">
        <v>23</v>
      </c>
      <c r="G410" s="2">
        <v>108755</v>
      </c>
      <c r="H410" s="2">
        <v>578</v>
      </c>
      <c r="I410" s="2">
        <v>296983</v>
      </c>
      <c r="J410" s="2">
        <v>243</v>
      </c>
      <c r="K410" s="2">
        <v>0.97</v>
      </c>
      <c r="L410" s="2">
        <v>6.29</v>
      </c>
      <c r="M410" s="2">
        <v>1.2</v>
      </c>
      <c r="N410" s="4">
        <v>9</v>
      </c>
    </row>
    <row r="411" spans="1:14" x14ac:dyDescent="0.35">
      <c r="A411" s="3">
        <v>2019</v>
      </c>
      <c r="B411" s="2">
        <v>11</v>
      </c>
      <c r="C411" s="2" t="s">
        <v>37</v>
      </c>
      <c r="D411" s="2" t="s">
        <v>39</v>
      </c>
      <c r="E411" s="2" t="s">
        <v>16</v>
      </c>
      <c r="F411" s="2" t="s">
        <v>27</v>
      </c>
      <c r="G411" s="2">
        <v>58464</v>
      </c>
      <c r="H411" s="2">
        <v>147</v>
      </c>
      <c r="I411" s="2">
        <v>397236</v>
      </c>
      <c r="J411" s="2">
        <v>41</v>
      </c>
      <c r="K411" s="2">
        <v>0.97</v>
      </c>
      <c r="L411" s="2">
        <v>6.29</v>
      </c>
      <c r="M411" s="2">
        <v>1.2</v>
      </c>
      <c r="N411" s="4">
        <v>8</v>
      </c>
    </row>
    <row r="412" spans="1:14" x14ac:dyDescent="0.35">
      <c r="A412" s="3">
        <v>2020</v>
      </c>
      <c r="B412" s="2">
        <v>7</v>
      </c>
      <c r="C412" s="2" t="s">
        <v>35</v>
      </c>
      <c r="D412" s="2" t="s">
        <v>18</v>
      </c>
      <c r="E412" s="2" t="s">
        <v>19</v>
      </c>
      <c r="F412" s="2" t="s">
        <v>27</v>
      </c>
      <c r="G412" s="2">
        <v>86137</v>
      </c>
      <c r="H412" s="2">
        <v>886</v>
      </c>
      <c r="I412" s="2">
        <v>403023</v>
      </c>
      <c r="J412" s="2">
        <v>298</v>
      </c>
      <c r="K412" s="2">
        <v>0.97</v>
      </c>
      <c r="L412" s="2">
        <v>6.29</v>
      </c>
      <c r="M412" s="2">
        <v>1.2</v>
      </c>
      <c r="N412" s="4">
        <v>6</v>
      </c>
    </row>
    <row r="413" spans="1:14" x14ac:dyDescent="0.35">
      <c r="A413" s="3">
        <v>2023</v>
      </c>
      <c r="B413" s="2">
        <v>4</v>
      </c>
      <c r="C413" s="2" t="s">
        <v>32</v>
      </c>
      <c r="D413" s="2" t="s">
        <v>22</v>
      </c>
      <c r="E413" s="2" t="s">
        <v>20</v>
      </c>
      <c r="F413" s="2" t="s">
        <v>27</v>
      </c>
      <c r="G413" s="2">
        <v>65232</v>
      </c>
      <c r="H413" s="2">
        <v>319</v>
      </c>
      <c r="I413" s="2">
        <v>400514</v>
      </c>
      <c r="J413" s="2">
        <v>135</v>
      </c>
      <c r="K413" s="2">
        <v>0.97</v>
      </c>
      <c r="L413" s="2">
        <v>6.29</v>
      </c>
      <c r="M413" s="2">
        <v>1.2</v>
      </c>
      <c r="N413" s="4">
        <v>10</v>
      </c>
    </row>
    <row r="414" spans="1:14" x14ac:dyDescent="0.35">
      <c r="A414" s="3">
        <v>2019</v>
      </c>
      <c r="B414" s="2">
        <v>1</v>
      </c>
      <c r="C414" s="2" t="s">
        <v>35</v>
      </c>
      <c r="D414" s="2" t="s">
        <v>29</v>
      </c>
      <c r="E414" s="2" t="s">
        <v>20</v>
      </c>
      <c r="F414" s="2" t="s">
        <v>27</v>
      </c>
      <c r="G414" s="2">
        <v>96497</v>
      </c>
      <c r="H414" s="2">
        <v>369</v>
      </c>
      <c r="I414" s="2">
        <v>438681</v>
      </c>
      <c r="J414" s="2">
        <v>76</v>
      </c>
      <c r="K414" s="2">
        <v>0.97</v>
      </c>
      <c r="L414" s="2">
        <v>6.29</v>
      </c>
      <c r="M414" s="2">
        <v>1.2</v>
      </c>
      <c r="N414" s="4">
        <v>7</v>
      </c>
    </row>
    <row r="415" spans="1:14" x14ac:dyDescent="0.35">
      <c r="A415" s="3">
        <v>2015</v>
      </c>
      <c r="B415" s="2">
        <v>5</v>
      </c>
      <c r="C415" s="2" t="s">
        <v>21</v>
      </c>
      <c r="D415" s="2" t="s">
        <v>33</v>
      </c>
      <c r="E415" s="2" t="s">
        <v>16</v>
      </c>
      <c r="F415" s="2" t="s">
        <v>27</v>
      </c>
      <c r="G415" s="2">
        <v>109024</v>
      </c>
      <c r="H415" s="2">
        <v>493</v>
      </c>
      <c r="I415" s="2">
        <v>489978</v>
      </c>
      <c r="J415" s="2">
        <v>39</v>
      </c>
      <c r="K415" s="2">
        <v>0.97</v>
      </c>
      <c r="L415" s="2">
        <v>6.29</v>
      </c>
      <c r="M415" s="2">
        <v>1.2</v>
      </c>
      <c r="N415" s="4">
        <v>9</v>
      </c>
    </row>
    <row r="416" spans="1:14" x14ac:dyDescent="0.35">
      <c r="A416" s="3">
        <v>2018</v>
      </c>
      <c r="B416" s="2">
        <v>12</v>
      </c>
      <c r="C416" s="2" t="s">
        <v>25</v>
      </c>
      <c r="D416" s="2" t="s">
        <v>18</v>
      </c>
      <c r="E416" s="2" t="s">
        <v>19</v>
      </c>
      <c r="F416" s="2" t="s">
        <v>17</v>
      </c>
      <c r="G416" s="2">
        <v>86448</v>
      </c>
      <c r="H416" s="2">
        <v>581</v>
      </c>
      <c r="I416" s="2">
        <v>154824</v>
      </c>
      <c r="J416" s="2">
        <v>123</v>
      </c>
      <c r="K416" s="2">
        <v>0.97</v>
      </c>
      <c r="L416" s="2">
        <v>6.29</v>
      </c>
      <c r="M416" s="2">
        <v>1.2</v>
      </c>
      <c r="N416" s="4">
        <v>7</v>
      </c>
    </row>
    <row r="417" spans="1:14" x14ac:dyDescent="0.35">
      <c r="A417" s="3">
        <v>2019</v>
      </c>
      <c r="B417" s="2">
        <v>9</v>
      </c>
      <c r="C417" s="2" t="s">
        <v>21</v>
      </c>
      <c r="D417" s="2" t="s">
        <v>29</v>
      </c>
      <c r="E417" s="2" t="s">
        <v>19</v>
      </c>
      <c r="F417" s="2" t="s">
        <v>17</v>
      </c>
      <c r="G417" s="2">
        <v>119517</v>
      </c>
      <c r="H417" s="2">
        <v>517</v>
      </c>
      <c r="I417" s="2">
        <v>138741</v>
      </c>
      <c r="J417" s="2">
        <v>213</v>
      </c>
      <c r="K417" s="2">
        <v>0.97</v>
      </c>
      <c r="L417" s="2">
        <v>6.29</v>
      </c>
      <c r="M417" s="2">
        <v>1.2</v>
      </c>
      <c r="N417" s="4">
        <v>3</v>
      </c>
    </row>
    <row r="418" spans="1:14" x14ac:dyDescent="0.35">
      <c r="A418" s="3">
        <v>2024</v>
      </c>
      <c r="B418" s="2">
        <v>8</v>
      </c>
      <c r="C418" s="2" t="s">
        <v>14</v>
      </c>
      <c r="D418" s="2" t="s">
        <v>18</v>
      </c>
      <c r="E418" s="2" t="s">
        <v>20</v>
      </c>
      <c r="F418" s="2" t="s">
        <v>17</v>
      </c>
      <c r="G418" s="2">
        <v>35901</v>
      </c>
      <c r="H418" s="2">
        <v>207</v>
      </c>
      <c r="I418" s="2">
        <v>68830</v>
      </c>
      <c r="J418" s="2">
        <v>38</v>
      </c>
      <c r="K418" s="2">
        <v>0.97</v>
      </c>
      <c r="L418" s="2">
        <v>6.29</v>
      </c>
      <c r="M418" s="2">
        <v>1.2</v>
      </c>
      <c r="N418" s="4">
        <v>6</v>
      </c>
    </row>
    <row r="419" spans="1:14" x14ac:dyDescent="0.35">
      <c r="A419" s="3">
        <v>2024</v>
      </c>
      <c r="B419" s="2">
        <v>12</v>
      </c>
      <c r="C419" s="2" t="s">
        <v>25</v>
      </c>
      <c r="D419" s="2" t="s">
        <v>29</v>
      </c>
      <c r="E419" s="2" t="s">
        <v>20</v>
      </c>
      <c r="F419" s="2" t="s">
        <v>23</v>
      </c>
      <c r="G419" s="2">
        <v>118597</v>
      </c>
      <c r="H419" s="2">
        <v>281</v>
      </c>
      <c r="I419" s="2">
        <v>367188</v>
      </c>
      <c r="J419" s="2">
        <v>140</v>
      </c>
      <c r="K419" s="2">
        <v>0.97</v>
      </c>
      <c r="L419" s="2">
        <v>6.29</v>
      </c>
      <c r="M419" s="2">
        <v>1.2</v>
      </c>
      <c r="N419" s="4">
        <v>7</v>
      </c>
    </row>
    <row r="420" spans="1:14" x14ac:dyDescent="0.35">
      <c r="A420" s="3">
        <v>2019</v>
      </c>
      <c r="B420" s="2">
        <v>9</v>
      </c>
      <c r="C420" s="2" t="s">
        <v>25</v>
      </c>
      <c r="D420" s="2" t="s">
        <v>26</v>
      </c>
      <c r="E420" s="2" t="s">
        <v>20</v>
      </c>
      <c r="F420" s="2" t="s">
        <v>20</v>
      </c>
      <c r="G420" s="2">
        <v>37881</v>
      </c>
      <c r="H420" s="2">
        <v>775</v>
      </c>
      <c r="I420" s="2">
        <v>386092</v>
      </c>
      <c r="J420" s="2">
        <v>194</v>
      </c>
      <c r="K420" s="2">
        <v>0.97</v>
      </c>
      <c r="L420" s="2">
        <v>6.29</v>
      </c>
      <c r="M420" s="2">
        <v>1.2</v>
      </c>
      <c r="N420" s="4">
        <v>2</v>
      </c>
    </row>
    <row r="421" spans="1:14" x14ac:dyDescent="0.35">
      <c r="A421" s="3">
        <v>2021</v>
      </c>
      <c r="B421" s="2">
        <v>10</v>
      </c>
      <c r="C421" s="2" t="s">
        <v>21</v>
      </c>
      <c r="D421" s="2" t="s">
        <v>29</v>
      </c>
      <c r="E421" s="2" t="s">
        <v>19</v>
      </c>
      <c r="F421" s="2" t="s">
        <v>27</v>
      </c>
      <c r="G421" s="2">
        <v>64863</v>
      </c>
      <c r="H421" s="2">
        <v>724</v>
      </c>
      <c r="I421" s="2">
        <v>119202</v>
      </c>
      <c r="J421" s="2">
        <v>262</v>
      </c>
      <c r="K421" s="2">
        <v>0.97</v>
      </c>
      <c r="L421" s="2">
        <v>6.29</v>
      </c>
      <c r="M421" s="2">
        <v>1.2</v>
      </c>
      <c r="N421" s="4">
        <v>3</v>
      </c>
    </row>
    <row r="422" spans="1:14" x14ac:dyDescent="0.35">
      <c r="A422" s="3">
        <v>2018</v>
      </c>
      <c r="B422" s="2">
        <v>9</v>
      </c>
      <c r="C422" s="2" t="s">
        <v>36</v>
      </c>
      <c r="D422" s="2" t="s">
        <v>34</v>
      </c>
      <c r="E422" s="2" t="s">
        <v>16</v>
      </c>
      <c r="F422" s="2" t="s">
        <v>23</v>
      </c>
      <c r="G422" s="2">
        <v>40622</v>
      </c>
      <c r="H422" s="2">
        <v>664</v>
      </c>
      <c r="I422" s="2">
        <v>349189</v>
      </c>
      <c r="J422" s="2">
        <v>295</v>
      </c>
      <c r="K422" s="2">
        <v>0.97</v>
      </c>
      <c r="L422" s="2">
        <v>6.29</v>
      </c>
      <c r="M422" s="2">
        <v>1.2</v>
      </c>
      <c r="N422" s="4">
        <v>4</v>
      </c>
    </row>
    <row r="423" spans="1:14" x14ac:dyDescent="0.35">
      <c r="A423" s="3">
        <v>2015</v>
      </c>
      <c r="B423" s="2">
        <v>7</v>
      </c>
      <c r="C423" s="2" t="s">
        <v>21</v>
      </c>
      <c r="D423" s="2" t="s">
        <v>29</v>
      </c>
      <c r="E423" s="2" t="s">
        <v>16</v>
      </c>
      <c r="F423" s="2" t="s">
        <v>27</v>
      </c>
      <c r="G423" s="2">
        <v>36378</v>
      </c>
      <c r="H423" s="2">
        <v>953</v>
      </c>
      <c r="I423" s="2">
        <v>267394</v>
      </c>
      <c r="J423" s="2">
        <v>395</v>
      </c>
      <c r="K423" s="2">
        <v>0.97</v>
      </c>
      <c r="L423" s="2">
        <v>6.29</v>
      </c>
      <c r="M423" s="2">
        <v>1.2</v>
      </c>
      <c r="N423" s="4">
        <v>10</v>
      </c>
    </row>
    <row r="424" spans="1:14" x14ac:dyDescent="0.35">
      <c r="A424" s="3">
        <v>2019</v>
      </c>
      <c r="B424" s="2">
        <v>4</v>
      </c>
      <c r="C424" s="2" t="s">
        <v>35</v>
      </c>
      <c r="D424" s="2" t="s">
        <v>31</v>
      </c>
      <c r="E424" s="2" t="s">
        <v>19</v>
      </c>
      <c r="F424" s="2" t="s">
        <v>17</v>
      </c>
      <c r="G424" s="2">
        <v>118168</v>
      </c>
      <c r="H424" s="2">
        <v>187</v>
      </c>
      <c r="I424" s="2">
        <v>252123</v>
      </c>
      <c r="J424" s="2">
        <v>71</v>
      </c>
      <c r="K424" s="2">
        <v>0.97</v>
      </c>
      <c r="L424" s="2">
        <v>6.29</v>
      </c>
      <c r="M424" s="2">
        <v>1.2</v>
      </c>
      <c r="N424" s="4">
        <v>6</v>
      </c>
    </row>
    <row r="425" spans="1:14" x14ac:dyDescent="0.35">
      <c r="A425" s="3">
        <v>2021</v>
      </c>
      <c r="B425" s="2">
        <v>5</v>
      </c>
      <c r="C425" s="2" t="s">
        <v>36</v>
      </c>
      <c r="D425" s="2" t="s">
        <v>31</v>
      </c>
      <c r="E425" s="2" t="s">
        <v>16</v>
      </c>
      <c r="F425" s="2" t="s">
        <v>23</v>
      </c>
      <c r="G425" s="2">
        <v>106186</v>
      </c>
      <c r="H425" s="2">
        <v>305</v>
      </c>
      <c r="I425" s="2">
        <v>419653</v>
      </c>
      <c r="J425" s="2">
        <v>12</v>
      </c>
      <c r="K425" s="2">
        <v>0.97</v>
      </c>
      <c r="L425" s="2">
        <v>6.29</v>
      </c>
      <c r="M425" s="2">
        <v>1.2</v>
      </c>
      <c r="N425" s="4">
        <v>1</v>
      </c>
    </row>
    <row r="426" spans="1:14" x14ac:dyDescent="0.35">
      <c r="A426" s="3">
        <v>2024</v>
      </c>
      <c r="B426" s="2">
        <v>1</v>
      </c>
      <c r="C426" s="2" t="s">
        <v>35</v>
      </c>
      <c r="D426" s="2" t="s">
        <v>24</v>
      </c>
      <c r="E426" s="2" t="s">
        <v>20</v>
      </c>
      <c r="F426" s="2" t="s">
        <v>17</v>
      </c>
      <c r="G426" s="2">
        <v>80201</v>
      </c>
      <c r="H426" s="2">
        <v>525</v>
      </c>
      <c r="I426" s="2">
        <v>207699</v>
      </c>
      <c r="J426" s="2">
        <v>77</v>
      </c>
      <c r="K426" s="2">
        <v>0.97</v>
      </c>
      <c r="L426" s="2">
        <v>6.29</v>
      </c>
      <c r="M426" s="2">
        <v>1.2</v>
      </c>
      <c r="N426" s="4">
        <v>9</v>
      </c>
    </row>
    <row r="427" spans="1:14" x14ac:dyDescent="0.35">
      <c r="A427" s="3">
        <v>2024</v>
      </c>
      <c r="B427" s="2">
        <v>1</v>
      </c>
      <c r="C427" s="2" t="s">
        <v>14</v>
      </c>
      <c r="D427" s="2" t="s">
        <v>34</v>
      </c>
      <c r="E427" s="2" t="s">
        <v>16</v>
      </c>
      <c r="F427" s="2" t="s">
        <v>27</v>
      </c>
      <c r="G427" s="2">
        <v>94251</v>
      </c>
      <c r="H427" s="2">
        <v>451</v>
      </c>
      <c r="I427" s="2">
        <v>327342</v>
      </c>
      <c r="J427" s="2">
        <v>34</v>
      </c>
      <c r="K427" s="2">
        <v>0.97</v>
      </c>
      <c r="L427" s="2">
        <v>6.29</v>
      </c>
      <c r="M427" s="2">
        <v>1.2</v>
      </c>
      <c r="N427" s="4">
        <v>5</v>
      </c>
    </row>
    <row r="428" spans="1:14" x14ac:dyDescent="0.35">
      <c r="A428" s="3">
        <v>2020</v>
      </c>
      <c r="B428" s="2">
        <v>3</v>
      </c>
      <c r="C428" s="2" t="s">
        <v>32</v>
      </c>
      <c r="D428" s="2" t="s">
        <v>34</v>
      </c>
      <c r="E428" s="2" t="s">
        <v>16</v>
      </c>
      <c r="F428" s="2" t="s">
        <v>27</v>
      </c>
      <c r="G428" s="2">
        <v>107572</v>
      </c>
      <c r="H428" s="2">
        <v>813</v>
      </c>
      <c r="I428" s="2">
        <v>381665</v>
      </c>
      <c r="J428" s="2">
        <v>188</v>
      </c>
      <c r="K428" s="2">
        <v>0.97</v>
      </c>
      <c r="L428" s="2">
        <v>6.29</v>
      </c>
      <c r="M428" s="2">
        <v>1.2</v>
      </c>
      <c r="N428" s="4">
        <v>7</v>
      </c>
    </row>
    <row r="429" spans="1:14" x14ac:dyDescent="0.35">
      <c r="A429" s="3">
        <v>2019</v>
      </c>
      <c r="B429" s="2">
        <v>8</v>
      </c>
      <c r="C429" s="2" t="s">
        <v>38</v>
      </c>
      <c r="D429" s="2" t="s">
        <v>33</v>
      </c>
      <c r="E429" s="2" t="s">
        <v>16</v>
      </c>
      <c r="F429" s="2" t="s">
        <v>20</v>
      </c>
      <c r="G429" s="2">
        <v>74255</v>
      </c>
      <c r="H429" s="2">
        <v>552</v>
      </c>
      <c r="I429" s="2">
        <v>156471</v>
      </c>
      <c r="J429" s="2">
        <v>150</v>
      </c>
      <c r="K429" s="2">
        <v>0.97</v>
      </c>
      <c r="L429" s="2">
        <v>6.29</v>
      </c>
      <c r="M429" s="2">
        <v>1.2</v>
      </c>
      <c r="N429" s="4">
        <v>9</v>
      </c>
    </row>
    <row r="430" spans="1:14" x14ac:dyDescent="0.35">
      <c r="A430" s="3">
        <v>2018</v>
      </c>
      <c r="B430" s="2">
        <v>2</v>
      </c>
      <c r="C430" s="2" t="s">
        <v>36</v>
      </c>
      <c r="D430" s="2" t="s">
        <v>34</v>
      </c>
      <c r="E430" s="2" t="s">
        <v>20</v>
      </c>
      <c r="F430" s="2" t="s">
        <v>27</v>
      </c>
      <c r="G430" s="2">
        <v>98212</v>
      </c>
      <c r="H430" s="2">
        <v>911</v>
      </c>
      <c r="I430" s="2">
        <v>341619</v>
      </c>
      <c r="J430" s="2">
        <v>240</v>
      </c>
      <c r="K430" s="2">
        <v>0.97</v>
      </c>
      <c r="L430" s="2">
        <v>6.29</v>
      </c>
      <c r="M430" s="2">
        <v>1.2</v>
      </c>
      <c r="N430" s="4">
        <v>9</v>
      </c>
    </row>
    <row r="431" spans="1:14" x14ac:dyDescent="0.35">
      <c r="A431" s="3">
        <v>2016</v>
      </c>
      <c r="B431" s="2">
        <v>4</v>
      </c>
      <c r="C431" s="2" t="s">
        <v>14</v>
      </c>
      <c r="D431" s="2" t="s">
        <v>33</v>
      </c>
      <c r="E431" s="2" t="s">
        <v>19</v>
      </c>
      <c r="F431" s="2" t="s">
        <v>17</v>
      </c>
      <c r="G431" s="2">
        <v>85210</v>
      </c>
      <c r="H431" s="2">
        <v>865</v>
      </c>
      <c r="I431" s="2">
        <v>286824</v>
      </c>
      <c r="J431" s="2">
        <v>309</v>
      </c>
      <c r="K431" s="2">
        <v>0.97</v>
      </c>
      <c r="L431" s="2">
        <v>6.29</v>
      </c>
      <c r="M431" s="2">
        <v>1.2</v>
      </c>
      <c r="N431" s="4">
        <v>1</v>
      </c>
    </row>
    <row r="432" spans="1:14" x14ac:dyDescent="0.35">
      <c r="A432" s="3">
        <v>2018</v>
      </c>
      <c r="B432" s="2">
        <v>2</v>
      </c>
      <c r="C432" s="2" t="s">
        <v>37</v>
      </c>
      <c r="D432" s="2" t="s">
        <v>24</v>
      </c>
      <c r="E432" s="2" t="s">
        <v>20</v>
      </c>
      <c r="F432" s="2" t="s">
        <v>27</v>
      </c>
      <c r="G432" s="2">
        <v>57499</v>
      </c>
      <c r="H432" s="2">
        <v>765</v>
      </c>
      <c r="I432" s="2">
        <v>69403</v>
      </c>
      <c r="J432" s="2">
        <v>172</v>
      </c>
      <c r="K432" s="2">
        <v>0.97</v>
      </c>
      <c r="L432" s="2">
        <v>6.29</v>
      </c>
      <c r="M432" s="2">
        <v>1.2</v>
      </c>
      <c r="N432" s="4">
        <v>1</v>
      </c>
    </row>
    <row r="433" spans="1:14" x14ac:dyDescent="0.35">
      <c r="A433" s="3">
        <v>2024</v>
      </c>
      <c r="B433" s="2">
        <v>5</v>
      </c>
      <c r="C433" s="2" t="s">
        <v>14</v>
      </c>
      <c r="D433" s="2" t="s">
        <v>24</v>
      </c>
      <c r="E433" s="2" t="s">
        <v>19</v>
      </c>
      <c r="F433" s="2" t="s">
        <v>20</v>
      </c>
      <c r="G433" s="2">
        <v>86628</v>
      </c>
      <c r="H433" s="2">
        <v>638</v>
      </c>
      <c r="I433" s="2">
        <v>53681</v>
      </c>
      <c r="J433" s="2">
        <v>320</v>
      </c>
      <c r="K433" s="2">
        <v>0.97</v>
      </c>
      <c r="L433" s="2">
        <v>6.29</v>
      </c>
      <c r="M433" s="2">
        <v>1.2</v>
      </c>
      <c r="N433" s="4">
        <v>3</v>
      </c>
    </row>
    <row r="434" spans="1:14" x14ac:dyDescent="0.35">
      <c r="A434" s="3">
        <v>2024</v>
      </c>
      <c r="B434" s="2">
        <v>9</v>
      </c>
      <c r="C434" s="2" t="s">
        <v>21</v>
      </c>
      <c r="D434" s="2" t="s">
        <v>26</v>
      </c>
      <c r="E434" s="2" t="s">
        <v>19</v>
      </c>
      <c r="F434" s="2" t="s">
        <v>20</v>
      </c>
      <c r="G434" s="2">
        <v>96360</v>
      </c>
      <c r="H434" s="2">
        <v>313</v>
      </c>
      <c r="I434" s="2">
        <v>403699</v>
      </c>
      <c r="J434" s="2">
        <v>139</v>
      </c>
      <c r="K434" s="2">
        <v>0.97</v>
      </c>
      <c r="L434" s="2">
        <v>6.29</v>
      </c>
      <c r="M434" s="2">
        <v>1.2</v>
      </c>
      <c r="N434" s="4">
        <v>6</v>
      </c>
    </row>
    <row r="435" spans="1:14" x14ac:dyDescent="0.35">
      <c r="A435" s="3">
        <v>2017</v>
      </c>
      <c r="B435" s="2">
        <v>1</v>
      </c>
      <c r="C435" s="2" t="s">
        <v>21</v>
      </c>
      <c r="D435" s="2" t="s">
        <v>31</v>
      </c>
      <c r="E435" s="2" t="s">
        <v>19</v>
      </c>
      <c r="F435" s="2" t="s">
        <v>17</v>
      </c>
      <c r="G435" s="2">
        <v>39603</v>
      </c>
      <c r="H435" s="2">
        <v>778</v>
      </c>
      <c r="I435" s="2">
        <v>431028</v>
      </c>
      <c r="J435" s="2">
        <v>255</v>
      </c>
      <c r="K435" s="2">
        <v>0.97</v>
      </c>
      <c r="L435" s="2">
        <v>6.29</v>
      </c>
      <c r="M435" s="2">
        <v>1.2</v>
      </c>
      <c r="N435" s="4">
        <v>2</v>
      </c>
    </row>
    <row r="436" spans="1:14" x14ac:dyDescent="0.35">
      <c r="A436" s="3">
        <v>2024</v>
      </c>
      <c r="B436" s="2">
        <v>5</v>
      </c>
      <c r="C436" s="2" t="s">
        <v>38</v>
      </c>
      <c r="D436" s="2" t="s">
        <v>29</v>
      </c>
      <c r="E436" s="2" t="s">
        <v>16</v>
      </c>
      <c r="F436" s="2" t="s">
        <v>23</v>
      </c>
      <c r="G436" s="2">
        <v>47632</v>
      </c>
      <c r="H436" s="2">
        <v>947</v>
      </c>
      <c r="I436" s="2">
        <v>405266</v>
      </c>
      <c r="J436" s="2">
        <v>306</v>
      </c>
      <c r="K436" s="2">
        <v>0.97</v>
      </c>
      <c r="L436" s="2">
        <v>6.29</v>
      </c>
      <c r="M436" s="2">
        <v>1.2</v>
      </c>
      <c r="N436" s="4">
        <v>10</v>
      </c>
    </row>
    <row r="437" spans="1:14" x14ac:dyDescent="0.35">
      <c r="A437" s="3">
        <v>2015</v>
      </c>
      <c r="B437" s="2">
        <v>9</v>
      </c>
      <c r="C437" s="2" t="s">
        <v>14</v>
      </c>
      <c r="D437" s="2" t="s">
        <v>29</v>
      </c>
      <c r="E437" s="2" t="s">
        <v>16</v>
      </c>
      <c r="F437" s="2" t="s">
        <v>27</v>
      </c>
      <c r="G437" s="2">
        <v>65607</v>
      </c>
      <c r="H437" s="2">
        <v>588</v>
      </c>
      <c r="I437" s="2">
        <v>165260</v>
      </c>
      <c r="J437" s="2">
        <v>181</v>
      </c>
      <c r="K437" s="2">
        <v>0.97</v>
      </c>
      <c r="L437" s="2">
        <v>6.29</v>
      </c>
      <c r="M437" s="2">
        <v>1.2</v>
      </c>
      <c r="N437" s="4">
        <v>1</v>
      </c>
    </row>
    <row r="438" spans="1:14" x14ac:dyDescent="0.35">
      <c r="A438" s="3">
        <v>2022</v>
      </c>
      <c r="B438" s="2">
        <v>1</v>
      </c>
      <c r="C438" s="2" t="s">
        <v>30</v>
      </c>
      <c r="D438" s="2" t="s">
        <v>39</v>
      </c>
      <c r="E438" s="2" t="s">
        <v>19</v>
      </c>
      <c r="F438" s="2" t="s">
        <v>20</v>
      </c>
      <c r="G438" s="2">
        <v>100756</v>
      </c>
      <c r="H438" s="2">
        <v>517</v>
      </c>
      <c r="I438" s="2">
        <v>223364</v>
      </c>
      <c r="J438" s="2">
        <v>73</v>
      </c>
      <c r="K438" s="2">
        <v>0.97</v>
      </c>
      <c r="L438" s="2">
        <v>6.29</v>
      </c>
      <c r="M438" s="2">
        <v>1.2</v>
      </c>
      <c r="N438" s="4">
        <v>1</v>
      </c>
    </row>
    <row r="439" spans="1:14" x14ac:dyDescent="0.35">
      <c r="A439" s="3">
        <v>2019</v>
      </c>
      <c r="B439" s="2">
        <v>9</v>
      </c>
      <c r="C439" s="2" t="s">
        <v>32</v>
      </c>
      <c r="D439" s="2" t="s">
        <v>39</v>
      </c>
      <c r="E439" s="2" t="s">
        <v>19</v>
      </c>
      <c r="F439" s="2" t="s">
        <v>27</v>
      </c>
      <c r="G439" s="2">
        <v>81994</v>
      </c>
      <c r="H439" s="2">
        <v>192</v>
      </c>
      <c r="I439" s="2">
        <v>155386</v>
      </c>
      <c r="J439" s="2">
        <v>40</v>
      </c>
      <c r="K439" s="2">
        <v>0.97</v>
      </c>
      <c r="L439" s="2">
        <v>6.29</v>
      </c>
      <c r="M439" s="2">
        <v>1.2</v>
      </c>
      <c r="N439" s="4">
        <v>5</v>
      </c>
    </row>
    <row r="440" spans="1:14" x14ac:dyDescent="0.35">
      <c r="A440" s="3">
        <v>2018</v>
      </c>
      <c r="B440" s="2">
        <v>8</v>
      </c>
      <c r="C440" s="2" t="s">
        <v>21</v>
      </c>
      <c r="D440" s="2" t="s">
        <v>15</v>
      </c>
      <c r="E440" s="2" t="s">
        <v>16</v>
      </c>
      <c r="F440" s="2" t="s">
        <v>27</v>
      </c>
      <c r="G440" s="2">
        <v>98382</v>
      </c>
      <c r="H440" s="2">
        <v>400</v>
      </c>
      <c r="I440" s="2">
        <v>283378</v>
      </c>
      <c r="J440" s="2">
        <v>56</v>
      </c>
      <c r="K440" s="2">
        <v>0.97</v>
      </c>
      <c r="L440" s="2">
        <v>6.29</v>
      </c>
      <c r="M440" s="2">
        <v>1.2</v>
      </c>
      <c r="N440" s="4">
        <v>4</v>
      </c>
    </row>
    <row r="441" spans="1:14" x14ac:dyDescent="0.35">
      <c r="A441" s="3">
        <v>2022</v>
      </c>
      <c r="B441" s="2">
        <v>4</v>
      </c>
      <c r="C441" s="2" t="s">
        <v>38</v>
      </c>
      <c r="D441" s="2" t="s">
        <v>18</v>
      </c>
      <c r="E441" s="2" t="s">
        <v>20</v>
      </c>
      <c r="F441" s="2" t="s">
        <v>23</v>
      </c>
      <c r="G441" s="2">
        <v>105354</v>
      </c>
      <c r="H441" s="2">
        <v>469</v>
      </c>
      <c r="I441" s="2">
        <v>448845</v>
      </c>
      <c r="J441" s="2">
        <v>139</v>
      </c>
      <c r="K441" s="2">
        <v>0.97</v>
      </c>
      <c r="L441" s="2">
        <v>6.29</v>
      </c>
      <c r="M441" s="2">
        <v>1.2</v>
      </c>
      <c r="N441" s="4">
        <v>1</v>
      </c>
    </row>
    <row r="442" spans="1:14" x14ac:dyDescent="0.35">
      <c r="A442" s="3">
        <v>2021</v>
      </c>
      <c r="B442" s="2">
        <v>12</v>
      </c>
      <c r="C442" s="2" t="s">
        <v>32</v>
      </c>
      <c r="D442" s="2" t="s">
        <v>26</v>
      </c>
      <c r="E442" s="2" t="s">
        <v>19</v>
      </c>
      <c r="F442" s="2" t="s">
        <v>20</v>
      </c>
      <c r="G442" s="2">
        <v>91344</v>
      </c>
      <c r="H442" s="2">
        <v>884</v>
      </c>
      <c r="I442" s="2">
        <v>143246</v>
      </c>
      <c r="J442" s="2">
        <v>361</v>
      </c>
      <c r="K442" s="2">
        <v>0.97</v>
      </c>
      <c r="L442" s="2">
        <v>6.29</v>
      </c>
      <c r="M442" s="2">
        <v>1.2</v>
      </c>
      <c r="N442" s="4">
        <v>4</v>
      </c>
    </row>
    <row r="443" spans="1:14" x14ac:dyDescent="0.35">
      <c r="A443" s="3">
        <v>2016</v>
      </c>
      <c r="B443" s="2">
        <v>11</v>
      </c>
      <c r="C443" s="2" t="s">
        <v>14</v>
      </c>
      <c r="D443" s="2" t="s">
        <v>15</v>
      </c>
      <c r="E443" s="2" t="s">
        <v>20</v>
      </c>
      <c r="F443" s="2" t="s">
        <v>27</v>
      </c>
      <c r="G443" s="2">
        <v>88775</v>
      </c>
      <c r="H443" s="2">
        <v>910</v>
      </c>
      <c r="I443" s="2">
        <v>145864</v>
      </c>
      <c r="J443" s="2">
        <v>342</v>
      </c>
      <c r="K443" s="2">
        <v>0.97</v>
      </c>
      <c r="L443" s="2">
        <v>6.29</v>
      </c>
      <c r="M443" s="2">
        <v>1.2</v>
      </c>
      <c r="N443" s="4">
        <v>3</v>
      </c>
    </row>
    <row r="444" spans="1:14" x14ac:dyDescent="0.35">
      <c r="A444" s="3">
        <v>2015</v>
      </c>
      <c r="B444" s="2">
        <v>10</v>
      </c>
      <c r="C444" s="2" t="s">
        <v>14</v>
      </c>
      <c r="D444" s="2" t="s">
        <v>15</v>
      </c>
      <c r="E444" s="2" t="s">
        <v>16</v>
      </c>
      <c r="F444" s="2" t="s">
        <v>20</v>
      </c>
      <c r="G444" s="2">
        <v>42349</v>
      </c>
      <c r="H444" s="2">
        <v>372</v>
      </c>
      <c r="I444" s="2">
        <v>258886</v>
      </c>
      <c r="J444" s="2">
        <v>119</v>
      </c>
      <c r="K444" s="2">
        <v>0.97</v>
      </c>
      <c r="L444" s="2">
        <v>6.29</v>
      </c>
      <c r="M444" s="2">
        <v>1.2</v>
      </c>
      <c r="N444" s="4">
        <v>2</v>
      </c>
    </row>
    <row r="445" spans="1:14" x14ac:dyDescent="0.35">
      <c r="A445" s="3">
        <v>2018</v>
      </c>
      <c r="B445" s="2">
        <v>5</v>
      </c>
      <c r="C445" s="2" t="s">
        <v>25</v>
      </c>
      <c r="D445" s="2" t="s">
        <v>22</v>
      </c>
      <c r="E445" s="2" t="s">
        <v>19</v>
      </c>
      <c r="F445" s="2" t="s">
        <v>17</v>
      </c>
      <c r="G445" s="2">
        <v>106154</v>
      </c>
      <c r="H445" s="2">
        <v>305</v>
      </c>
      <c r="I445" s="2">
        <v>320561</v>
      </c>
      <c r="J445" s="2">
        <v>78</v>
      </c>
      <c r="K445" s="2">
        <v>0.97</v>
      </c>
      <c r="L445" s="2">
        <v>6.29</v>
      </c>
      <c r="M445" s="2">
        <v>1.2</v>
      </c>
      <c r="N445" s="4">
        <v>9</v>
      </c>
    </row>
    <row r="446" spans="1:14" x14ac:dyDescent="0.35">
      <c r="A446" s="3">
        <v>2022</v>
      </c>
      <c r="B446" s="2">
        <v>5</v>
      </c>
      <c r="C446" s="2" t="s">
        <v>38</v>
      </c>
      <c r="D446" s="2" t="s">
        <v>22</v>
      </c>
      <c r="E446" s="2" t="s">
        <v>20</v>
      </c>
      <c r="F446" s="2" t="s">
        <v>17</v>
      </c>
      <c r="G446" s="2">
        <v>62464</v>
      </c>
      <c r="H446" s="2">
        <v>636</v>
      </c>
      <c r="I446" s="2">
        <v>431032</v>
      </c>
      <c r="J446" s="2">
        <v>67</v>
      </c>
      <c r="K446" s="2">
        <v>0.97</v>
      </c>
      <c r="L446" s="2">
        <v>6.29</v>
      </c>
      <c r="M446" s="2">
        <v>1.2</v>
      </c>
      <c r="N446" s="4">
        <v>1</v>
      </c>
    </row>
    <row r="447" spans="1:14" x14ac:dyDescent="0.35">
      <c r="A447" s="3">
        <v>2016</v>
      </c>
      <c r="B447" s="2">
        <v>11</v>
      </c>
      <c r="C447" s="2" t="s">
        <v>21</v>
      </c>
      <c r="D447" s="2" t="s">
        <v>15</v>
      </c>
      <c r="E447" s="2" t="s">
        <v>20</v>
      </c>
      <c r="F447" s="2" t="s">
        <v>27</v>
      </c>
      <c r="G447" s="2">
        <v>77624</v>
      </c>
      <c r="H447" s="2">
        <v>433</v>
      </c>
      <c r="I447" s="2">
        <v>215837</v>
      </c>
      <c r="J447" s="2">
        <v>115</v>
      </c>
      <c r="K447" s="2">
        <v>0.97</v>
      </c>
      <c r="L447" s="2">
        <v>6.29</v>
      </c>
      <c r="M447" s="2">
        <v>1.2</v>
      </c>
      <c r="N447" s="4">
        <v>7</v>
      </c>
    </row>
    <row r="448" spans="1:14" x14ac:dyDescent="0.35">
      <c r="A448" s="3">
        <v>2017</v>
      </c>
      <c r="B448" s="2">
        <v>12</v>
      </c>
      <c r="C448" s="2" t="s">
        <v>30</v>
      </c>
      <c r="D448" s="2" t="s">
        <v>34</v>
      </c>
      <c r="E448" s="2" t="s">
        <v>20</v>
      </c>
      <c r="F448" s="2" t="s">
        <v>20</v>
      </c>
      <c r="G448" s="2">
        <v>72344</v>
      </c>
      <c r="H448" s="2">
        <v>931</v>
      </c>
      <c r="I448" s="2">
        <v>386643</v>
      </c>
      <c r="J448" s="2">
        <v>309</v>
      </c>
      <c r="K448" s="2">
        <v>0.97</v>
      </c>
      <c r="L448" s="2">
        <v>6.29</v>
      </c>
      <c r="M448" s="2">
        <v>1.2</v>
      </c>
      <c r="N448" s="4">
        <v>4</v>
      </c>
    </row>
    <row r="449" spans="1:14" x14ac:dyDescent="0.35">
      <c r="A449" s="3">
        <v>2015</v>
      </c>
      <c r="B449" s="2">
        <v>6</v>
      </c>
      <c r="C449" s="2" t="s">
        <v>14</v>
      </c>
      <c r="D449" s="2" t="s">
        <v>18</v>
      </c>
      <c r="E449" s="2" t="s">
        <v>16</v>
      </c>
      <c r="F449" s="2" t="s">
        <v>27</v>
      </c>
      <c r="G449" s="2">
        <v>118791</v>
      </c>
      <c r="H449" s="2">
        <v>751</v>
      </c>
      <c r="I449" s="2">
        <v>443052</v>
      </c>
      <c r="J449" s="2">
        <v>339</v>
      </c>
      <c r="K449" s="2">
        <v>0.97</v>
      </c>
      <c r="L449" s="2">
        <v>6.29</v>
      </c>
      <c r="M449" s="2">
        <v>1.2</v>
      </c>
      <c r="N449" s="4">
        <v>5</v>
      </c>
    </row>
    <row r="450" spans="1:14" x14ac:dyDescent="0.35">
      <c r="A450" s="3">
        <v>2015</v>
      </c>
      <c r="B450" s="2">
        <v>7</v>
      </c>
      <c r="C450" s="2" t="s">
        <v>30</v>
      </c>
      <c r="D450" s="2" t="s">
        <v>26</v>
      </c>
      <c r="E450" s="2" t="s">
        <v>16</v>
      </c>
      <c r="F450" s="2" t="s">
        <v>20</v>
      </c>
      <c r="G450" s="2">
        <v>59299</v>
      </c>
      <c r="H450" s="2">
        <v>904</v>
      </c>
      <c r="I450" s="2">
        <v>295160</v>
      </c>
      <c r="J450" s="2">
        <v>265</v>
      </c>
      <c r="K450" s="2">
        <v>0.97</v>
      </c>
      <c r="L450" s="2">
        <v>6.29</v>
      </c>
      <c r="M450" s="2">
        <v>1.2</v>
      </c>
      <c r="N450" s="4">
        <v>10</v>
      </c>
    </row>
    <row r="451" spans="1:14" x14ac:dyDescent="0.35">
      <c r="A451" s="3">
        <v>2017</v>
      </c>
      <c r="B451" s="2">
        <v>8</v>
      </c>
      <c r="C451" s="2" t="s">
        <v>14</v>
      </c>
      <c r="D451" s="2" t="s">
        <v>15</v>
      </c>
      <c r="E451" s="2" t="s">
        <v>20</v>
      </c>
      <c r="F451" s="2" t="s">
        <v>20</v>
      </c>
      <c r="G451" s="2">
        <v>82975</v>
      </c>
      <c r="H451" s="2">
        <v>652</v>
      </c>
      <c r="I451" s="2">
        <v>237646</v>
      </c>
      <c r="J451" s="2">
        <v>321</v>
      </c>
      <c r="K451" s="2">
        <v>0.97</v>
      </c>
      <c r="L451" s="2">
        <v>6.29</v>
      </c>
      <c r="M451" s="2">
        <v>1.2</v>
      </c>
      <c r="N451" s="4">
        <v>5</v>
      </c>
    </row>
    <row r="452" spans="1:14" x14ac:dyDescent="0.35">
      <c r="A452" s="3">
        <v>2019</v>
      </c>
      <c r="B452" s="2">
        <v>8</v>
      </c>
      <c r="C452" s="2" t="s">
        <v>21</v>
      </c>
      <c r="D452" s="2" t="s">
        <v>29</v>
      </c>
      <c r="E452" s="2" t="s">
        <v>20</v>
      </c>
      <c r="F452" s="2" t="s">
        <v>23</v>
      </c>
      <c r="G452" s="2">
        <v>36462</v>
      </c>
      <c r="H452" s="2">
        <v>573</v>
      </c>
      <c r="I452" s="2">
        <v>309278</v>
      </c>
      <c r="J452" s="2">
        <v>180</v>
      </c>
      <c r="K452" s="2">
        <v>0.97</v>
      </c>
      <c r="L452" s="2">
        <v>6.29</v>
      </c>
      <c r="M452" s="2">
        <v>1.2</v>
      </c>
      <c r="N452" s="4">
        <v>1</v>
      </c>
    </row>
    <row r="453" spans="1:14" x14ac:dyDescent="0.35">
      <c r="A453" s="3">
        <v>2017</v>
      </c>
      <c r="B453" s="2">
        <v>11</v>
      </c>
      <c r="C453" s="2" t="s">
        <v>32</v>
      </c>
      <c r="D453" s="2" t="s">
        <v>18</v>
      </c>
      <c r="E453" s="2" t="s">
        <v>16</v>
      </c>
      <c r="F453" s="2" t="s">
        <v>23</v>
      </c>
      <c r="G453" s="2">
        <v>116441</v>
      </c>
      <c r="H453" s="2">
        <v>1027</v>
      </c>
      <c r="I453" s="2">
        <v>339819</v>
      </c>
      <c r="J453" s="2">
        <v>392</v>
      </c>
      <c r="K453" s="2">
        <v>0.97</v>
      </c>
      <c r="L453" s="2">
        <v>6.29</v>
      </c>
      <c r="M453" s="2">
        <v>1.2</v>
      </c>
      <c r="N453" s="4">
        <v>6</v>
      </c>
    </row>
    <row r="454" spans="1:14" x14ac:dyDescent="0.35">
      <c r="A454" s="3">
        <v>2015</v>
      </c>
      <c r="B454" s="2">
        <v>2</v>
      </c>
      <c r="C454" s="2" t="s">
        <v>28</v>
      </c>
      <c r="D454" s="2" t="s">
        <v>22</v>
      </c>
      <c r="E454" s="2" t="s">
        <v>20</v>
      </c>
      <c r="F454" s="2" t="s">
        <v>23</v>
      </c>
      <c r="G454" s="2">
        <v>116788</v>
      </c>
      <c r="H454" s="2">
        <v>575</v>
      </c>
      <c r="I454" s="2">
        <v>306681</v>
      </c>
      <c r="J454" s="2">
        <v>171</v>
      </c>
      <c r="K454" s="2">
        <v>0.97</v>
      </c>
      <c r="L454" s="2">
        <v>6.29</v>
      </c>
      <c r="M454" s="2">
        <v>1.2</v>
      </c>
      <c r="N454" s="4">
        <v>9</v>
      </c>
    </row>
    <row r="455" spans="1:14" x14ac:dyDescent="0.35">
      <c r="A455" s="3">
        <v>2015</v>
      </c>
      <c r="B455" s="2">
        <v>9</v>
      </c>
      <c r="C455" s="2" t="s">
        <v>32</v>
      </c>
      <c r="D455" s="2" t="s">
        <v>29</v>
      </c>
      <c r="E455" s="2" t="s">
        <v>20</v>
      </c>
      <c r="F455" s="2" t="s">
        <v>27</v>
      </c>
      <c r="G455" s="2">
        <v>75581</v>
      </c>
      <c r="H455" s="2">
        <v>848</v>
      </c>
      <c r="I455" s="2">
        <v>221635</v>
      </c>
      <c r="J455" s="2">
        <v>295</v>
      </c>
      <c r="K455" s="2">
        <v>0.97</v>
      </c>
      <c r="L455" s="2">
        <v>6.29</v>
      </c>
      <c r="M455" s="2">
        <v>1.2</v>
      </c>
      <c r="N455" s="4">
        <v>2</v>
      </c>
    </row>
    <row r="456" spans="1:14" x14ac:dyDescent="0.35">
      <c r="A456" s="3">
        <v>2022</v>
      </c>
      <c r="B456" s="2">
        <v>7</v>
      </c>
      <c r="C456" s="2" t="s">
        <v>14</v>
      </c>
      <c r="D456" s="2" t="s">
        <v>22</v>
      </c>
      <c r="E456" s="2" t="s">
        <v>16</v>
      </c>
      <c r="F456" s="2" t="s">
        <v>23</v>
      </c>
      <c r="G456" s="2">
        <v>106289</v>
      </c>
      <c r="H456" s="2">
        <v>432</v>
      </c>
      <c r="I456" s="2">
        <v>61332</v>
      </c>
      <c r="J456" s="2">
        <v>80</v>
      </c>
      <c r="K456" s="2">
        <v>0.97</v>
      </c>
      <c r="L456" s="2">
        <v>6.29</v>
      </c>
      <c r="M456" s="2">
        <v>1.2</v>
      </c>
      <c r="N456" s="4">
        <v>7</v>
      </c>
    </row>
    <row r="457" spans="1:14" x14ac:dyDescent="0.35">
      <c r="A457" s="3">
        <v>2024</v>
      </c>
      <c r="B457" s="2">
        <v>4</v>
      </c>
      <c r="C457" s="2" t="s">
        <v>35</v>
      </c>
      <c r="D457" s="2" t="s">
        <v>22</v>
      </c>
      <c r="E457" s="2" t="s">
        <v>20</v>
      </c>
      <c r="F457" s="2" t="s">
        <v>23</v>
      </c>
      <c r="G457" s="2">
        <v>49175</v>
      </c>
      <c r="H457" s="2">
        <v>918</v>
      </c>
      <c r="I457" s="2">
        <v>304817</v>
      </c>
      <c r="J457" s="2">
        <v>264</v>
      </c>
      <c r="K457" s="2">
        <v>0.97</v>
      </c>
      <c r="L457" s="2">
        <v>6.29</v>
      </c>
      <c r="M457" s="2">
        <v>1.2</v>
      </c>
      <c r="N457" s="4">
        <v>6</v>
      </c>
    </row>
    <row r="458" spans="1:14" x14ac:dyDescent="0.35">
      <c r="A458" s="3">
        <v>2016</v>
      </c>
      <c r="B458" s="2">
        <v>4</v>
      </c>
      <c r="C458" s="2" t="s">
        <v>28</v>
      </c>
      <c r="D458" s="2" t="s">
        <v>18</v>
      </c>
      <c r="E458" s="2" t="s">
        <v>20</v>
      </c>
      <c r="F458" s="2" t="s">
        <v>17</v>
      </c>
      <c r="G458" s="2">
        <v>41191</v>
      </c>
      <c r="H458" s="2">
        <v>1197</v>
      </c>
      <c r="I458" s="2">
        <v>331321</v>
      </c>
      <c r="J458" s="2">
        <v>383</v>
      </c>
      <c r="K458" s="2">
        <v>0.97</v>
      </c>
      <c r="L458" s="2">
        <v>6.29</v>
      </c>
      <c r="M458" s="2">
        <v>1.2</v>
      </c>
      <c r="N458" s="4">
        <v>5</v>
      </c>
    </row>
    <row r="459" spans="1:14" x14ac:dyDescent="0.35">
      <c r="A459" s="3">
        <v>2017</v>
      </c>
      <c r="B459" s="2">
        <v>11</v>
      </c>
      <c r="C459" s="2" t="s">
        <v>28</v>
      </c>
      <c r="D459" s="2" t="s">
        <v>22</v>
      </c>
      <c r="E459" s="2" t="s">
        <v>20</v>
      </c>
      <c r="F459" s="2" t="s">
        <v>20</v>
      </c>
      <c r="G459" s="2">
        <v>118434</v>
      </c>
      <c r="H459" s="2">
        <v>216</v>
      </c>
      <c r="I459" s="2">
        <v>442704</v>
      </c>
      <c r="J459" s="2">
        <v>64</v>
      </c>
      <c r="K459" s="2">
        <v>0.97</v>
      </c>
      <c r="L459" s="2">
        <v>6.29</v>
      </c>
      <c r="M459" s="2">
        <v>1.2</v>
      </c>
      <c r="N459" s="4">
        <v>4</v>
      </c>
    </row>
    <row r="460" spans="1:14" x14ac:dyDescent="0.35">
      <c r="A460" s="3">
        <v>2016</v>
      </c>
      <c r="B460" s="2">
        <v>8</v>
      </c>
      <c r="C460" s="2" t="s">
        <v>30</v>
      </c>
      <c r="D460" s="2" t="s">
        <v>24</v>
      </c>
      <c r="E460" s="2" t="s">
        <v>16</v>
      </c>
      <c r="F460" s="2" t="s">
        <v>20</v>
      </c>
      <c r="G460" s="2">
        <v>119518</v>
      </c>
      <c r="H460" s="2">
        <v>847</v>
      </c>
      <c r="I460" s="2">
        <v>270326</v>
      </c>
      <c r="J460" s="2">
        <v>332</v>
      </c>
      <c r="K460" s="2">
        <v>0.97</v>
      </c>
      <c r="L460" s="2">
        <v>6.29</v>
      </c>
      <c r="M460" s="2">
        <v>1.2</v>
      </c>
      <c r="N460" s="4">
        <v>4</v>
      </c>
    </row>
    <row r="461" spans="1:14" x14ac:dyDescent="0.35">
      <c r="A461" s="3">
        <v>2017</v>
      </c>
      <c r="B461" s="2">
        <v>4</v>
      </c>
      <c r="C461" s="2" t="s">
        <v>38</v>
      </c>
      <c r="D461" s="2" t="s">
        <v>31</v>
      </c>
      <c r="E461" s="2" t="s">
        <v>20</v>
      </c>
      <c r="F461" s="2" t="s">
        <v>23</v>
      </c>
      <c r="G461" s="2">
        <v>115158</v>
      </c>
      <c r="H461" s="2">
        <v>72</v>
      </c>
      <c r="I461" s="2">
        <v>249519</v>
      </c>
      <c r="J461" s="2">
        <v>12</v>
      </c>
      <c r="K461" s="2">
        <v>0.97</v>
      </c>
      <c r="L461" s="2">
        <v>6.29</v>
      </c>
      <c r="M461" s="2">
        <v>1.2</v>
      </c>
      <c r="N461" s="4">
        <v>6</v>
      </c>
    </row>
    <row r="462" spans="1:14" x14ac:dyDescent="0.35">
      <c r="A462" s="3">
        <v>2021</v>
      </c>
      <c r="B462" s="2">
        <v>6</v>
      </c>
      <c r="C462" s="2" t="s">
        <v>30</v>
      </c>
      <c r="D462" s="2" t="s">
        <v>24</v>
      </c>
      <c r="E462" s="2" t="s">
        <v>16</v>
      </c>
      <c r="F462" s="2" t="s">
        <v>20</v>
      </c>
      <c r="G462" s="2">
        <v>101537</v>
      </c>
      <c r="H462" s="2">
        <v>416</v>
      </c>
      <c r="I462" s="2">
        <v>311849</v>
      </c>
      <c r="J462" s="2">
        <v>35</v>
      </c>
      <c r="K462" s="2">
        <v>0.97</v>
      </c>
      <c r="L462" s="2">
        <v>6.29</v>
      </c>
      <c r="M462" s="2">
        <v>1.2</v>
      </c>
      <c r="N462" s="4">
        <v>4</v>
      </c>
    </row>
    <row r="463" spans="1:14" x14ac:dyDescent="0.35">
      <c r="A463" s="3">
        <v>2015</v>
      </c>
      <c r="B463" s="2">
        <v>5</v>
      </c>
      <c r="C463" s="2" t="s">
        <v>30</v>
      </c>
      <c r="D463" s="2" t="s">
        <v>31</v>
      </c>
      <c r="E463" s="2" t="s">
        <v>16</v>
      </c>
      <c r="F463" s="2" t="s">
        <v>17</v>
      </c>
      <c r="G463" s="2">
        <v>82645</v>
      </c>
      <c r="H463" s="2">
        <v>827</v>
      </c>
      <c r="I463" s="2">
        <v>369248</v>
      </c>
      <c r="J463" s="2">
        <v>322</v>
      </c>
      <c r="K463" s="2">
        <v>0.97</v>
      </c>
      <c r="L463" s="2">
        <v>6.29</v>
      </c>
      <c r="M463" s="2">
        <v>1.2</v>
      </c>
      <c r="N463" s="4">
        <v>5</v>
      </c>
    </row>
    <row r="464" spans="1:14" x14ac:dyDescent="0.35">
      <c r="A464" s="3">
        <v>2024</v>
      </c>
      <c r="B464" s="2">
        <v>3</v>
      </c>
      <c r="C464" s="2" t="s">
        <v>35</v>
      </c>
      <c r="D464" s="2" t="s">
        <v>39</v>
      </c>
      <c r="E464" s="2" t="s">
        <v>19</v>
      </c>
      <c r="F464" s="2" t="s">
        <v>17</v>
      </c>
      <c r="G464" s="2">
        <v>58283</v>
      </c>
      <c r="H464" s="2">
        <v>355</v>
      </c>
      <c r="I464" s="2">
        <v>396479</v>
      </c>
      <c r="J464" s="2">
        <v>135</v>
      </c>
      <c r="K464" s="2">
        <v>0.97</v>
      </c>
      <c r="L464" s="2">
        <v>6.29</v>
      </c>
      <c r="M464" s="2">
        <v>1.2</v>
      </c>
      <c r="N464" s="4">
        <v>6</v>
      </c>
    </row>
    <row r="465" spans="1:14" x14ac:dyDescent="0.35">
      <c r="A465" s="3">
        <v>2022</v>
      </c>
      <c r="B465" s="2">
        <v>10</v>
      </c>
      <c r="C465" s="2" t="s">
        <v>32</v>
      </c>
      <c r="D465" s="2" t="s">
        <v>39</v>
      </c>
      <c r="E465" s="2" t="s">
        <v>19</v>
      </c>
      <c r="F465" s="2" t="s">
        <v>23</v>
      </c>
      <c r="G465" s="2">
        <v>94123</v>
      </c>
      <c r="H465" s="2">
        <v>254</v>
      </c>
      <c r="I465" s="2">
        <v>427082</v>
      </c>
      <c r="J465" s="2">
        <v>62</v>
      </c>
      <c r="K465" s="2">
        <v>0.97</v>
      </c>
      <c r="L465" s="2">
        <v>6.29</v>
      </c>
      <c r="M465" s="2">
        <v>1.2</v>
      </c>
      <c r="N465" s="4">
        <v>5</v>
      </c>
    </row>
    <row r="466" spans="1:14" x14ac:dyDescent="0.35">
      <c r="A466" s="3">
        <v>2024</v>
      </c>
      <c r="B466" s="2">
        <v>11</v>
      </c>
      <c r="C466" s="2" t="s">
        <v>32</v>
      </c>
      <c r="D466" s="2" t="s">
        <v>22</v>
      </c>
      <c r="E466" s="2" t="s">
        <v>20</v>
      </c>
      <c r="F466" s="2" t="s">
        <v>17</v>
      </c>
      <c r="G466" s="2">
        <v>65024</v>
      </c>
      <c r="H466" s="2">
        <v>626</v>
      </c>
      <c r="I466" s="2">
        <v>130730</v>
      </c>
      <c r="J466" s="2">
        <v>207</v>
      </c>
      <c r="K466" s="2">
        <v>0.97</v>
      </c>
      <c r="L466" s="2">
        <v>6.29</v>
      </c>
      <c r="M466" s="2">
        <v>1.2</v>
      </c>
      <c r="N466" s="4">
        <v>7</v>
      </c>
    </row>
    <row r="467" spans="1:14" x14ac:dyDescent="0.35">
      <c r="A467" s="3">
        <v>2024</v>
      </c>
      <c r="B467" s="2">
        <v>2</v>
      </c>
      <c r="C467" s="2" t="s">
        <v>37</v>
      </c>
      <c r="D467" s="2" t="s">
        <v>26</v>
      </c>
      <c r="E467" s="2" t="s">
        <v>16</v>
      </c>
      <c r="F467" s="2" t="s">
        <v>20</v>
      </c>
      <c r="G467" s="2">
        <v>84630</v>
      </c>
      <c r="H467" s="2">
        <v>862</v>
      </c>
      <c r="I467" s="2">
        <v>448167</v>
      </c>
      <c r="J467" s="2">
        <v>308</v>
      </c>
      <c r="K467" s="2">
        <v>0.97</v>
      </c>
      <c r="L467" s="2">
        <v>6.29</v>
      </c>
      <c r="M467" s="2">
        <v>1.2</v>
      </c>
      <c r="N467" s="4">
        <v>9</v>
      </c>
    </row>
    <row r="468" spans="1:14" x14ac:dyDescent="0.35">
      <c r="A468" s="3">
        <v>2024</v>
      </c>
      <c r="B468" s="2">
        <v>9</v>
      </c>
      <c r="C468" s="2" t="s">
        <v>14</v>
      </c>
      <c r="D468" s="2" t="s">
        <v>26</v>
      </c>
      <c r="E468" s="2" t="s">
        <v>19</v>
      </c>
      <c r="F468" s="2" t="s">
        <v>27</v>
      </c>
      <c r="G468" s="2">
        <v>65734</v>
      </c>
      <c r="H468" s="2">
        <v>409</v>
      </c>
      <c r="I468" s="2">
        <v>287474</v>
      </c>
      <c r="J468" s="2">
        <v>197</v>
      </c>
      <c r="K468" s="2">
        <v>0.97</v>
      </c>
      <c r="L468" s="2">
        <v>6.29</v>
      </c>
      <c r="M468" s="2">
        <v>1.2</v>
      </c>
      <c r="N468" s="4">
        <v>10</v>
      </c>
    </row>
    <row r="469" spans="1:14" x14ac:dyDescent="0.35">
      <c r="A469" s="3">
        <v>2016</v>
      </c>
      <c r="B469" s="2">
        <v>10</v>
      </c>
      <c r="C469" s="2" t="s">
        <v>35</v>
      </c>
      <c r="D469" s="2" t="s">
        <v>31</v>
      </c>
      <c r="E469" s="2" t="s">
        <v>20</v>
      </c>
      <c r="F469" s="2" t="s">
        <v>20</v>
      </c>
      <c r="G469" s="2">
        <v>35515</v>
      </c>
      <c r="H469" s="2">
        <v>561</v>
      </c>
      <c r="I469" s="2">
        <v>340477</v>
      </c>
      <c r="J469" s="2">
        <v>195</v>
      </c>
      <c r="K469" s="2">
        <v>0.97</v>
      </c>
      <c r="L469" s="2">
        <v>6.29</v>
      </c>
      <c r="M469" s="2">
        <v>1.2</v>
      </c>
      <c r="N469" s="4">
        <v>7</v>
      </c>
    </row>
    <row r="470" spans="1:14" x14ac:dyDescent="0.35">
      <c r="A470" s="3">
        <v>2017</v>
      </c>
      <c r="B470" s="2">
        <v>9</v>
      </c>
      <c r="C470" s="2" t="s">
        <v>37</v>
      </c>
      <c r="D470" s="2" t="s">
        <v>29</v>
      </c>
      <c r="E470" s="2" t="s">
        <v>19</v>
      </c>
      <c r="F470" s="2" t="s">
        <v>27</v>
      </c>
      <c r="G470" s="2">
        <v>101727</v>
      </c>
      <c r="H470" s="2">
        <v>889</v>
      </c>
      <c r="I470" s="2">
        <v>333817</v>
      </c>
      <c r="J470" s="2">
        <v>314</v>
      </c>
      <c r="K470" s="2">
        <v>0.97</v>
      </c>
      <c r="L470" s="2">
        <v>6.29</v>
      </c>
      <c r="M470" s="2">
        <v>1.2</v>
      </c>
      <c r="N470" s="4">
        <v>7</v>
      </c>
    </row>
    <row r="471" spans="1:14" x14ac:dyDescent="0.35">
      <c r="A471" s="3">
        <v>2023</v>
      </c>
      <c r="B471" s="2">
        <v>1</v>
      </c>
      <c r="C471" s="2" t="s">
        <v>21</v>
      </c>
      <c r="D471" s="2" t="s">
        <v>18</v>
      </c>
      <c r="E471" s="2" t="s">
        <v>19</v>
      </c>
      <c r="F471" s="2" t="s">
        <v>23</v>
      </c>
      <c r="G471" s="2">
        <v>81216</v>
      </c>
      <c r="H471" s="2">
        <v>784</v>
      </c>
      <c r="I471" s="2">
        <v>426565</v>
      </c>
      <c r="J471" s="2">
        <v>307</v>
      </c>
      <c r="K471" s="2">
        <v>0.97</v>
      </c>
      <c r="L471" s="2">
        <v>6.29</v>
      </c>
      <c r="M471" s="2">
        <v>1.2</v>
      </c>
      <c r="N471" s="4">
        <v>4</v>
      </c>
    </row>
    <row r="472" spans="1:14" x14ac:dyDescent="0.35">
      <c r="A472" s="3">
        <v>2021</v>
      </c>
      <c r="B472" s="2">
        <v>10</v>
      </c>
      <c r="C472" s="2" t="s">
        <v>14</v>
      </c>
      <c r="D472" s="2" t="s">
        <v>22</v>
      </c>
      <c r="E472" s="2" t="s">
        <v>16</v>
      </c>
      <c r="F472" s="2" t="s">
        <v>27</v>
      </c>
      <c r="G472" s="2">
        <v>106833</v>
      </c>
      <c r="H472" s="2">
        <v>495</v>
      </c>
      <c r="I472" s="2">
        <v>90870</v>
      </c>
      <c r="J472" s="2">
        <v>213</v>
      </c>
      <c r="K472" s="2">
        <v>0.97</v>
      </c>
      <c r="L472" s="2">
        <v>6.29</v>
      </c>
      <c r="M472" s="2">
        <v>1.2</v>
      </c>
      <c r="N472" s="4">
        <v>1</v>
      </c>
    </row>
    <row r="473" spans="1:14" x14ac:dyDescent="0.35">
      <c r="A473" s="3">
        <v>2018</v>
      </c>
      <c r="B473" s="2">
        <v>3</v>
      </c>
      <c r="C473" s="2" t="s">
        <v>14</v>
      </c>
      <c r="D473" s="2" t="s">
        <v>18</v>
      </c>
      <c r="E473" s="2" t="s">
        <v>16</v>
      </c>
      <c r="F473" s="2" t="s">
        <v>17</v>
      </c>
      <c r="G473" s="2">
        <v>93755</v>
      </c>
      <c r="H473" s="2">
        <v>417</v>
      </c>
      <c r="I473" s="2">
        <v>303017</v>
      </c>
      <c r="J473" s="2">
        <v>20</v>
      </c>
      <c r="K473" s="2">
        <v>0.97</v>
      </c>
      <c r="L473" s="2">
        <v>6.29</v>
      </c>
      <c r="M473" s="2">
        <v>1.2</v>
      </c>
      <c r="N473" s="4">
        <v>8</v>
      </c>
    </row>
    <row r="474" spans="1:14" x14ac:dyDescent="0.35">
      <c r="A474" s="3">
        <v>2024</v>
      </c>
      <c r="B474" s="2">
        <v>8</v>
      </c>
      <c r="C474" s="2" t="s">
        <v>25</v>
      </c>
      <c r="D474" s="2" t="s">
        <v>24</v>
      </c>
      <c r="E474" s="2" t="s">
        <v>19</v>
      </c>
      <c r="F474" s="2" t="s">
        <v>20</v>
      </c>
      <c r="G474" s="2">
        <v>62856</v>
      </c>
      <c r="H474" s="2">
        <v>869</v>
      </c>
      <c r="I474" s="2">
        <v>177536</v>
      </c>
      <c r="J474" s="2">
        <v>368</v>
      </c>
      <c r="K474" s="2">
        <v>0.97</v>
      </c>
      <c r="L474" s="2">
        <v>6.29</v>
      </c>
      <c r="M474" s="2">
        <v>1.2</v>
      </c>
      <c r="N474" s="4">
        <v>4</v>
      </c>
    </row>
    <row r="475" spans="1:14" x14ac:dyDescent="0.35">
      <c r="A475" s="3">
        <v>2019</v>
      </c>
      <c r="B475" s="2">
        <v>6</v>
      </c>
      <c r="C475" s="2" t="s">
        <v>25</v>
      </c>
      <c r="D475" s="2" t="s">
        <v>26</v>
      </c>
      <c r="E475" s="2" t="s">
        <v>19</v>
      </c>
      <c r="F475" s="2" t="s">
        <v>27</v>
      </c>
      <c r="G475" s="2">
        <v>108870</v>
      </c>
      <c r="H475" s="2">
        <v>951</v>
      </c>
      <c r="I475" s="2">
        <v>383245</v>
      </c>
      <c r="J475" s="2">
        <v>363</v>
      </c>
      <c r="K475" s="2">
        <v>0.97</v>
      </c>
      <c r="L475" s="2">
        <v>6.29</v>
      </c>
      <c r="M475" s="2">
        <v>1.2</v>
      </c>
      <c r="N475" s="4">
        <v>1</v>
      </c>
    </row>
    <row r="476" spans="1:14" x14ac:dyDescent="0.35">
      <c r="A476" s="3">
        <v>2016</v>
      </c>
      <c r="B476" s="2">
        <v>5</v>
      </c>
      <c r="C476" s="2" t="s">
        <v>36</v>
      </c>
      <c r="D476" s="2" t="s">
        <v>34</v>
      </c>
      <c r="E476" s="2" t="s">
        <v>16</v>
      </c>
      <c r="F476" s="2" t="s">
        <v>20</v>
      </c>
      <c r="G476" s="2">
        <v>59162</v>
      </c>
      <c r="H476" s="2">
        <v>542</v>
      </c>
      <c r="I476" s="2">
        <v>334965</v>
      </c>
      <c r="J476" s="2">
        <v>155</v>
      </c>
      <c r="K476" s="2">
        <v>0.97</v>
      </c>
      <c r="L476" s="2">
        <v>6.29</v>
      </c>
      <c r="M476" s="2">
        <v>1.2</v>
      </c>
      <c r="N476" s="4">
        <v>5</v>
      </c>
    </row>
    <row r="477" spans="1:14" x14ac:dyDescent="0.35">
      <c r="A477" s="3">
        <v>2022</v>
      </c>
      <c r="B477" s="2">
        <v>5</v>
      </c>
      <c r="C477" s="2" t="s">
        <v>36</v>
      </c>
      <c r="D477" s="2" t="s">
        <v>24</v>
      </c>
      <c r="E477" s="2" t="s">
        <v>20</v>
      </c>
      <c r="F477" s="2" t="s">
        <v>23</v>
      </c>
      <c r="G477" s="2">
        <v>41008</v>
      </c>
      <c r="H477" s="2">
        <v>398</v>
      </c>
      <c r="I477" s="2">
        <v>75494</v>
      </c>
      <c r="J477" s="2">
        <v>94</v>
      </c>
      <c r="K477" s="2">
        <v>0.97</v>
      </c>
      <c r="L477" s="2">
        <v>6.29</v>
      </c>
      <c r="M477" s="2">
        <v>1.2</v>
      </c>
      <c r="N477" s="4">
        <v>8</v>
      </c>
    </row>
    <row r="478" spans="1:14" x14ac:dyDescent="0.35">
      <c r="A478" s="3">
        <v>2018</v>
      </c>
      <c r="B478" s="2">
        <v>6</v>
      </c>
      <c r="C478" s="2" t="s">
        <v>30</v>
      </c>
      <c r="D478" s="2" t="s">
        <v>24</v>
      </c>
      <c r="E478" s="2" t="s">
        <v>16</v>
      </c>
      <c r="F478" s="2" t="s">
        <v>23</v>
      </c>
      <c r="G478" s="2">
        <v>42987</v>
      </c>
      <c r="H478" s="2">
        <v>296</v>
      </c>
      <c r="I478" s="2">
        <v>149477</v>
      </c>
      <c r="J478" s="2">
        <v>109</v>
      </c>
      <c r="K478" s="2">
        <v>0.97</v>
      </c>
      <c r="L478" s="2">
        <v>6.29</v>
      </c>
      <c r="M478" s="2">
        <v>1.2</v>
      </c>
      <c r="N478" s="4">
        <v>4</v>
      </c>
    </row>
    <row r="479" spans="1:14" x14ac:dyDescent="0.35">
      <c r="A479" s="3">
        <v>2023</v>
      </c>
      <c r="B479" s="2">
        <v>7</v>
      </c>
      <c r="C479" s="2" t="s">
        <v>21</v>
      </c>
      <c r="D479" s="2" t="s">
        <v>31</v>
      </c>
      <c r="E479" s="2" t="s">
        <v>19</v>
      </c>
      <c r="F479" s="2" t="s">
        <v>17</v>
      </c>
      <c r="G479" s="2">
        <v>97532</v>
      </c>
      <c r="H479" s="2">
        <v>517</v>
      </c>
      <c r="I479" s="2">
        <v>438227</v>
      </c>
      <c r="J479" s="2">
        <v>113</v>
      </c>
      <c r="K479" s="2">
        <v>0.97</v>
      </c>
      <c r="L479" s="2">
        <v>6.29</v>
      </c>
      <c r="M479" s="2">
        <v>1.2</v>
      </c>
      <c r="N479" s="4">
        <v>8</v>
      </c>
    </row>
    <row r="480" spans="1:14" x14ac:dyDescent="0.35">
      <c r="A480" s="3">
        <v>2019</v>
      </c>
      <c r="B480" s="2">
        <v>1</v>
      </c>
      <c r="C480" s="2" t="s">
        <v>28</v>
      </c>
      <c r="D480" s="2" t="s">
        <v>33</v>
      </c>
      <c r="E480" s="2" t="s">
        <v>20</v>
      </c>
      <c r="F480" s="2" t="s">
        <v>23</v>
      </c>
      <c r="G480" s="2">
        <v>38332</v>
      </c>
      <c r="H480" s="2">
        <v>418</v>
      </c>
      <c r="I480" s="2">
        <v>255232</v>
      </c>
      <c r="J480" s="2">
        <v>55</v>
      </c>
      <c r="K480" s="2">
        <v>0.97</v>
      </c>
      <c r="L480" s="2">
        <v>6.29</v>
      </c>
      <c r="M480" s="2">
        <v>1.2</v>
      </c>
      <c r="N480" s="4">
        <v>8</v>
      </c>
    </row>
    <row r="481" spans="1:14" x14ac:dyDescent="0.35">
      <c r="A481" s="3">
        <v>2023</v>
      </c>
      <c r="B481" s="2">
        <v>9</v>
      </c>
      <c r="C481" s="2" t="s">
        <v>28</v>
      </c>
      <c r="D481" s="2" t="s">
        <v>24</v>
      </c>
      <c r="E481" s="2" t="s">
        <v>19</v>
      </c>
      <c r="F481" s="2" t="s">
        <v>27</v>
      </c>
      <c r="G481" s="2">
        <v>101323</v>
      </c>
      <c r="H481" s="2">
        <v>306</v>
      </c>
      <c r="I481" s="2">
        <v>424842</v>
      </c>
      <c r="J481" s="2">
        <v>53</v>
      </c>
      <c r="K481" s="2">
        <v>0.97</v>
      </c>
      <c r="L481" s="2">
        <v>6.29</v>
      </c>
      <c r="M481" s="2">
        <v>1.2</v>
      </c>
      <c r="N481" s="4">
        <v>3</v>
      </c>
    </row>
    <row r="482" spans="1:14" x14ac:dyDescent="0.35">
      <c r="A482" s="3">
        <v>2018</v>
      </c>
      <c r="B482" s="2">
        <v>3</v>
      </c>
      <c r="C482" s="2" t="s">
        <v>25</v>
      </c>
      <c r="D482" s="2" t="s">
        <v>22</v>
      </c>
      <c r="E482" s="2" t="s">
        <v>20</v>
      </c>
      <c r="F482" s="2" t="s">
        <v>23</v>
      </c>
      <c r="G482" s="2">
        <v>73990</v>
      </c>
      <c r="H482" s="2">
        <v>930</v>
      </c>
      <c r="I482" s="2">
        <v>423704</v>
      </c>
      <c r="J482" s="2">
        <v>287</v>
      </c>
      <c r="K482" s="2">
        <v>0.97</v>
      </c>
      <c r="L482" s="2">
        <v>6.29</v>
      </c>
      <c r="M482" s="2">
        <v>1.2</v>
      </c>
      <c r="N482" s="4">
        <v>9</v>
      </c>
    </row>
    <row r="483" spans="1:14" x14ac:dyDescent="0.35">
      <c r="A483" s="3">
        <v>2024</v>
      </c>
      <c r="B483" s="2">
        <v>4</v>
      </c>
      <c r="C483" s="2" t="s">
        <v>25</v>
      </c>
      <c r="D483" s="2" t="s">
        <v>15</v>
      </c>
      <c r="E483" s="2" t="s">
        <v>19</v>
      </c>
      <c r="F483" s="2" t="s">
        <v>17</v>
      </c>
      <c r="G483" s="2">
        <v>44873</v>
      </c>
      <c r="H483" s="2">
        <v>805</v>
      </c>
      <c r="I483" s="2">
        <v>444051</v>
      </c>
      <c r="J483" s="2">
        <v>190</v>
      </c>
      <c r="K483" s="2">
        <v>0.97</v>
      </c>
      <c r="L483" s="2">
        <v>6.29</v>
      </c>
      <c r="M483" s="2">
        <v>1.2</v>
      </c>
      <c r="N483" s="4">
        <v>3</v>
      </c>
    </row>
    <row r="484" spans="1:14" x14ac:dyDescent="0.35">
      <c r="A484" s="3">
        <v>2019</v>
      </c>
      <c r="B484" s="2">
        <v>10</v>
      </c>
      <c r="C484" s="2" t="s">
        <v>25</v>
      </c>
      <c r="D484" s="2" t="s">
        <v>15</v>
      </c>
      <c r="E484" s="2" t="s">
        <v>20</v>
      </c>
      <c r="F484" s="2" t="s">
        <v>20</v>
      </c>
      <c r="G484" s="2">
        <v>117542</v>
      </c>
      <c r="H484" s="2">
        <v>538</v>
      </c>
      <c r="I484" s="2">
        <v>330790</v>
      </c>
      <c r="J484" s="2">
        <v>196</v>
      </c>
      <c r="K484" s="2">
        <v>0.97</v>
      </c>
      <c r="L484" s="2">
        <v>6.29</v>
      </c>
      <c r="M484" s="2">
        <v>1.2</v>
      </c>
      <c r="N484" s="4">
        <v>1</v>
      </c>
    </row>
    <row r="485" spans="1:14" x14ac:dyDescent="0.35">
      <c r="A485" s="3">
        <v>2023</v>
      </c>
      <c r="B485" s="2">
        <v>1</v>
      </c>
      <c r="C485" s="2" t="s">
        <v>35</v>
      </c>
      <c r="D485" s="2" t="s">
        <v>22</v>
      </c>
      <c r="E485" s="2" t="s">
        <v>20</v>
      </c>
      <c r="F485" s="2" t="s">
        <v>20</v>
      </c>
      <c r="G485" s="2">
        <v>71444</v>
      </c>
      <c r="H485" s="2">
        <v>697</v>
      </c>
      <c r="I485" s="2">
        <v>173777</v>
      </c>
      <c r="J485" s="2">
        <v>123</v>
      </c>
      <c r="K485" s="2">
        <v>0.97</v>
      </c>
      <c r="L485" s="2">
        <v>6.29</v>
      </c>
      <c r="M485" s="2">
        <v>1.2</v>
      </c>
      <c r="N485" s="4">
        <v>2</v>
      </c>
    </row>
    <row r="486" spans="1:14" x14ac:dyDescent="0.35">
      <c r="A486" s="3">
        <v>2022</v>
      </c>
      <c r="B486" s="2">
        <v>11</v>
      </c>
      <c r="C486" s="2" t="s">
        <v>38</v>
      </c>
      <c r="D486" s="2" t="s">
        <v>33</v>
      </c>
      <c r="E486" s="2" t="s">
        <v>19</v>
      </c>
      <c r="F486" s="2" t="s">
        <v>23</v>
      </c>
      <c r="G486" s="2">
        <v>70340</v>
      </c>
      <c r="H486" s="2">
        <v>902</v>
      </c>
      <c r="I486" s="2">
        <v>127360</v>
      </c>
      <c r="J486" s="2">
        <v>264</v>
      </c>
      <c r="K486" s="2">
        <v>0.97</v>
      </c>
      <c r="L486" s="2">
        <v>6.29</v>
      </c>
      <c r="M486" s="2">
        <v>1.2</v>
      </c>
      <c r="N486" s="4">
        <v>6</v>
      </c>
    </row>
    <row r="487" spans="1:14" x14ac:dyDescent="0.35">
      <c r="A487" s="3">
        <v>2017</v>
      </c>
      <c r="B487" s="2">
        <v>10</v>
      </c>
      <c r="C487" s="2" t="s">
        <v>36</v>
      </c>
      <c r="D487" s="2" t="s">
        <v>33</v>
      </c>
      <c r="E487" s="2" t="s">
        <v>20</v>
      </c>
      <c r="F487" s="2" t="s">
        <v>27</v>
      </c>
      <c r="G487" s="2">
        <v>40033</v>
      </c>
      <c r="H487" s="2">
        <v>1118</v>
      </c>
      <c r="I487" s="2">
        <v>349479</v>
      </c>
      <c r="J487" s="2">
        <v>390</v>
      </c>
      <c r="K487" s="2">
        <v>0.97</v>
      </c>
      <c r="L487" s="2">
        <v>6.29</v>
      </c>
      <c r="M487" s="2">
        <v>1.2</v>
      </c>
      <c r="N487" s="4">
        <v>10</v>
      </c>
    </row>
    <row r="488" spans="1:14" x14ac:dyDescent="0.35">
      <c r="A488" s="3">
        <v>2015</v>
      </c>
      <c r="B488" s="2">
        <v>3</v>
      </c>
      <c r="C488" s="2" t="s">
        <v>35</v>
      </c>
      <c r="D488" s="2" t="s">
        <v>31</v>
      </c>
      <c r="E488" s="2" t="s">
        <v>16</v>
      </c>
      <c r="F488" s="2" t="s">
        <v>17</v>
      </c>
      <c r="G488" s="2">
        <v>108324</v>
      </c>
      <c r="H488" s="2">
        <v>1242</v>
      </c>
      <c r="I488" s="2">
        <v>381495</v>
      </c>
      <c r="J488" s="2">
        <v>389</v>
      </c>
      <c r="K488" s="2">
        <v>0.97</v>
      </c>
      <c r="L488" s="2">
        <v>6.29</v>
      </c>
      <c r="M488" s="2">
        <v>1.2</v>
      </c>
      <c r="N488" s="4">
        <v>2</v>
      </c>
    </row>
    <row r="489" spans="1:14" x14ac:dyDescent="0.35">
      <c r="A489" s="3">
        <v>2017</v>
      </c>
      <c r="B489" s="2">
        <v>2</v>
      </c>
      <c r="C489" s="2" t="s">
        <v>32</v>
      </c>
      <c r="D489" s="2" t="s">
        <v>26</v>
      </c>
      <c r="E489" s="2" t="s">
        <v>19</v>
      </c>
      <c r="F489" s="2" t="s">
        <v>27</v>
      </c>
      <c r="G489" s="2">
        <v>50689</v>
      </c>
      <c r="H489" s="2">
        <v>406</v>
      </c>
      <c r="I489" s="2">
        <v>427078</v>
      </c>
      <c r="J489" s="2">
        <v>39</v>
      </c>
      <c r="K489" s="2">
        <v>0.97</v>
      </c>
      <c r="L489" s="2">
        <v>6.29</v>
      </c>
      <c r="M489" s="2">
        <v>1.2</v>
      </c>
      <c r="N489" s="4">
        <v>6</v>
      </c>
    </row>
    <row r="490" spans="1:14" x14ac:dyDescent="0.35">
      <c r="A490" s="3">
        <v>2018</v>
      </c>
      <c r="B490" s="2">
        <v>2</v>
      </c>
      <c r="C490" s="2" t="s">
        <v>28</v>
      </c>
      <c r="D490" s="2" t="s">
        <v>18</v>
      </c>
      <c r="E490" s="2" t="s">
        <v>16</v>
      </c>
      <c r="F490" s="2" t="s">
        <v>17</v>
      </c>
      <c r="G490" s="2">
        <v>35066</v>
      </c>
      <c r="H490" s="2">
        <v>878</v>
      </c>
      <c r="I490" s="2">
        <v>183501</v>
      </c>
      <c r="J490" s="2">
        <v>273</v>
      </c>
      <c r="K490" s="2">
        <v>0.97</v>
      </c>
      <c r="L490" s="2">
        <v>6.29</v>
      </c>
      <c r="M490" s="2">
        <v>1.2</v>
      </c>
      <c r="N490" s="4">
        <v>1</v>
      </c>
    </row>
    <row r="491" spans="1:14" x14ac:dyDescent="0.35">
      <c r="A491" s="3">
        <v>2016</v>
      </c>
      <c r="B491" s="2">
        <v>1</v>
      </c>
      <c r="C491" s="2" t="s">
        <v>14</v>
      </c>
      <c r="D491" s="2" t="s">
        <v>33</v>
      </c>
      <c r="E491" s="2" t="s">
        <v>19</v>
      </c>
      <c r="F491" s="2" t="s">
        <v>23</v>
      </c>
      <c r="G491" s="2">
        <v>80246</v>
      </c>
      <c r="H491" s="2">
        <v>479</v>
      </c>
      <c r="I491" s="2">
        <v>354094</v>
      </c>
      <c r="J491" s="2">
        <v>107</v>
      </c>
      <c r="K491" s="2">
        <v>0.97</v>
      </c>
      <c r="L491" s="2">
        <v>6.29</v>
      </c>
      <c r="M491" s="2">
        <v>1.2</v>
      </c>
      <c r="N491" s="4">
        <v>1</v>
      </c>
    </row>
    <row r="492" spans="1:14" x14ac:dyDescent="0.35">
      <c r="A492" s="3">
        <v>2015</v>
      </c>
      <c r="B492" s="2">
        <v>8</v>
      </c>
      <c r="C492" s="2" t="s">
        <v>36</v>
      </c>
      <c r="D492" s="2" t="s">
        <v>34</v>
      </c>
      <c r="E492" s="2" t="s">
        <v>20</v>
      </c>
      <c r="F492" s="2" t="s">
        <v>17</v>
      </c>
      <c r="G492" s="2">
        <v>42533</v>
      </c>
      <c r="H492" s="2">
        <v>721</v>
      </c>
      <c r="I492" s="2">
        <v>110654</v>
      </c>
      <c r="J492" s="2">
        <v>322</v>
      </c>
      <c r="K492" s="2">
        <v>0.97</v>
      </c>
      <c r="L492" s="2">
        <v>6.29</v>
      </c>
      <c r="M492" s="2">
        <v>1.2</v>
      </c>
      <c r="N492" s="4">
        <v>5</v>
      </c>
    </row>
    <row r="493" spans="1:14" x14ac:dyDescent="0.35">
      <c r="A493" s="3">
        <v>2021</v>
      </c>
      <c r="B493" s="2">
        <v>3</v>
      </c>
      <c r="C493" s="2" t="s">
        <v>37</v>
      </c>
      <c r="D493" s="2" t="s">
        <v>31</v>
      </c>
      <c r="E493" s="2" t="s">
        <v>20</v>
      </c>
      <c r="F493" s="2" t="s">
        <v>17</v>
      </c>
      <c r="G493" s="2">
        <v>115639</v>
      </c>
      <c r="H493" s="2">
        <v>1161</v>
      </c>
      <c r="I493" s="2">
        <v>419566</v>
      </c>
      <c r="J493" s="2">
        <v>376</v>
      </c>
      <c r="K493" s="2">
        <v>0.97</v>
      </c>
      <c r="L493" s="2">
        <v>6.29</v>
      </c>
      <c r="M493" s="2">
        <v>1.2</v>
      </c>
      <c r="N493" s="4">
        <v>10</v>
      </c>
    </row>
    <row r="494" spans="1:14" x14ac:dyDescent="0.35">
      <c r="A494" s="3">
        <v>2022</v>
      </c>
      <c r="B494" s="2">
        <v>3</v>
      </c>
      <c r="C494" s="2" t="s">
        <v>32</v>
      </c>
      <c r="D494" s="2" t="s">
        <v>39</v>
      </c>
      <c r="E494" s="2" t="s">
        <v>20</v>
      </c>
      <c r="F494" s="2" t="s">
        <v>23</v>
      </c>
      <c r="G494" s="2">
        <v>105152</v>
      </c>
      <c r="H494" s="2">
        <v>717</v>
      </c>
      <c r="I494" s="2">
        <v>422078</v>
      </c>
      <c r="J494" s="2">
        <v>338</v>
      </c>
      <c r="K494" s="2">
        <v>0.97</v>
      </c>
      <c r="L494" s="2">
        <v>6.29</v>
      </c>
      <c r="M494" s="2">
        <v>1.2</v>
      </c>
      <c r="N494" s="4">
        <v>9</v>
      </c>
    </row>
    <row r="495" spans="1:14" x14ac:dyDescent="0.35">
      <c r="A495" s="3">
        <v>2021</v>
      </c>
      <c r="B495" s="2">
        <v>6</v>
      </c>
      <c r="C495" s="2" t="s">
        <v>36</v>
      </c>
      <c r="D495" s="2" t="s">
        <v>29</v>
      </c>
      <c r="E495" s="2" t="s">
        <v>19</v>
      </c>
      <c r="F495" s="2" t="s">
        <v>27</v>
      </c>
      <c r="G495" s="2">
        <v>94658</v>
      </c>
      <c r="H495" s="2">
        <v>428</v>
      </c>
      <c r="I495" s="2">
        <v>169975</v>
      </c>
      <c r="J495" s="2">
        <v>124</v>
      </c>
      <c r="K495" s="2">
        <v>0.97</v>
      </c>
      <c r="L495" s="2">
        <v>6.29</v>
      </c>
      <c r="M495" s="2">
        <v>1.2</v>
      </c>
      <c r="N495" s="4">
        <v>8</v>
      </c>
    </row>
    <row r="496" spans="1:14" x14ac:dyDescent="0.35">
      <c r="A496" s="3">
        <v>2019</v>
      </c>
      <c r="B496" s="2">
        <v>8</v>
      </c>
      <c r="C496" s="2" t="s">
        <v>35</v>
      </c>
      <c r="D496" s="2" t="s">
        <v>39</v>
      </c>
      <c r="E496" s="2" t="s">
        <v>16</v>
      </c>
      <c r="F496" s="2" t="s">
        <v>23</v>
      </c>
      <c r="G496" s="2">
        <v>73498</v>
      </c>
      <c r="H496" s="2">
        <v>929</v>
      </c>
      <c r="I496" s="2">
        <v>249215</v>
      </c>
      <c r="J496" s="2">
        <v>285</v>
      </c>
      <c r="K496" s="2">
        <v>0.97</v>
      </c>
      <c r="L496" s="2">
        <v>6.29</v>
      </c>
      <c r="M496" s="2">
        <v>1.2</v>
      </c>
      <c r="N496" s="4">
        <v>3</v>
      </c>
    </row>
    <row r="497" spans="1:14" x14ac:dyDescent="0.35">
      <c r="A497" s="3">
        <v>2015</v>
      </c>
      <c r="B497" s="2">
        <v>9</v>
      </c>
      <c r="C497" s="2" t="s">
        <v>21</v>
      </c>
      <c r="D497" s="2" t="s">
        <v>31</v>
      </c>
      <c r="E497" s="2" t="s">
        <v>16</v>
      </c>
      <c r="F497" s="2" t="s">
        <v>17</v>
      </c>
      <c r="G497" s="2">
        <v>46772</v>
      </c>
      <c r="H497" s="2">
        <v>1044</v>
      </c>
      <c r="I497" s="2">
        <v>403330</v>
      </c>
      <c r="J497" s="2">
        <v>290</v>
      </c>
      <c r="K497" s="2">
        <v>0.97</v>
      </c>
      <c r="L497" s="2">
        <v>6.29</v>
      </c>
      <c r="M497" s="2">
        <v>1.2</v>
      </c>
      <c r="N497" s="4">
        <v>3</v>
      </c>
    </row>
    <row r="498" spans="1:14" x14ac:dyDescent="0.35">
      <c r="A498" s="3">
        <v>2021</v>
      </c>
      <c r="B498" s="2">
        <v>9</v>
      </c>
      <c r="C498" s="2" t="s">
        <v>14</v>
      </c>
      <c r="D498" s="2" t="s">
        <v>24</v>
      </c>
      <c r="E498" s="2" t="s">
        <v>19</v>
      </c>
      <c r="F498" s="2" t="s">
        <v>23</v>
      </c>
      <c r="G498" s="2">
        <v>84036</v>
      </c>
      <c r="H498" s="2">
        <v>1016</v>
      </c>
      <c r="I498" s="2">
        <v>416378</v>
      </c>
      <c r="J498" s="2">
        <v>284</v>
      </c>
      <c r="K498" s="2">
        <v>0.97</v>
      </c>
      <c r="L498" s="2">
        <v>6.29</v>
      </c>
      <c r="M498" s="2">
        <v>1.2</v>
      </c>
      <c r="N498" s="4">
        <v>1</v>
      </c>
    </row>
    <row r="499" spans="1:14" x14ac:dyDescent="0.35">
      <c r="A499" s="3">
        <v>2021</v>
      </c>
      <c r="B499" s="2">
        <v>4</v>
      </c>
      <c r="C499" s="2" t="s">
        <v>36</v>
      </c>
      <c r="D499" s="2" t="s">
        <v>18</v>
      </c>
      <c r="E499" s="2" t="s">
        <v>19</v>
      </c>
      <c r="F499" s="2" t="s">
        <v>17</v>
      </c>
      <c r="G499" s="2">
        <v>93531</v>
      </c>
      <c r="H499" s="2">
        <v>602</v>
      </c>
      <c r="I499" s="2">
        <v>152326</v>
      </c>
      <c r="J499" s="2">
        <v>270</v>
      </c>
      <c r="K499" s="2">
        <v>0.97</v>
      </c>
      <c r="L499" s="2">
        <v>6.29</v>
      </c>
      <c r="M499" s="2">
        <v>1.2</v>
      </c>
      <c r="N499" s="4">
        <v>3</v>
      </c>
    </row>
    <row r="500" spans="1:14" x14ac:dyDescent="0.35">
      <c r="A500" s="3">
        <v>2023</v>
      </c>
      <c r="B500" s="2">
        <v>5</v>
      </c>
      <c r="C500" s="2" t="s">
        <v>38</v>
      </c>
      <c r="D500" s="2" t="s">
        <v>29</v>
      </c>
      <c r="E500" s="2" t="s">
        <v>16</v>
      </c>
      <c r="F500" s="2" t="s">
        <v>23</v>
      </c>
      <c r="G500" s="2">
        <v>47940</v>
      </c>
      <c r="H500" s="2">
        <v>1109</v>
      </c>
      <c r="I500" s="2">
        <v>127527</v>
      </c>
      <c r="J500" s="2">
        <v>340</v>
      </c>
      <c r="K500" s="2">
        <v>0.97</v>
      </c>
      <c r="L500" s="2">
        <v>6.29</v>
      </c>
      <c r="M500" s="2">
        <v>1.2</v>
      </c>
      <c r="N500" s="4">
        <v>1</v>
      </c>
    </row>
    <row r="501" spans="1:14" x14ac:dyDescent="0.35">
      <c r="A501" s="3">
        <v>2017</v>
      </c>
      <c r="B501" s="2">
        <v>2</v>
      </c>
      <c r="C501" s="2" t="s">
        <v>25</v>
      </c>
      <c r="D501" s="2" t="s">
        <v>39</v>
      </c>
      <c r="E501" s="2" t="s">
        <v>16</v>
      </c>
      <c r="F501" s="2" t="s">
        <v>20</v>
      </c>
      <c r="G501" s="2">
        <v>51932</v>
      </c>
      <c r="H501" s="2">
        <v>711</v>
      </c>
      <c r="I501" s="2">
        <v>398848</v>
      </c>
      <c r="J501" s="2">
        <v>216</v>
      </c>
      <c r="K501" s="2">
        <v>0.97</v>
      </c>
      <c r="L501" s="2">
        <v>6.29</v>
      </c>
      <c r="M501" s="2">
        <v>1.2</v>
      </c>
      <c r="N501" s="4">
        <v>8</v>
      </c>
    </row>
    <row r="502" spans="1:14" x14ac:dyDescent="0.35">
      <c r="A502" s="3">
        <v>2023</v>
      </c>
      <c r="B502" s="2">
        <v>11</v>
      </c>
      <c r="C502" s="2" t="s">
        <v>25</v>
      </c>
      <c r="D502" s="2" t="s">
        <v>29</v>
      </c>
      <c r="E502" s="2" t="s">
        <v>16</v>
      </c>
      <c r="F502" s="2" t="s">
        <v>20</v>
      </c>
      <c r="G502" s="2">
        <v>91827</v>
      </c>
      <c r="H502" s="2">
        <v>896</v>
      </c>
      <c r="I502" s="2">
        <v>474315</v>
      </c>
      <c r="J502" s="2">
        <v>393</v>
      </c>
      <c r="K502" s="2">
        <v>0.97</v>
      </c>
      <c r="L502" s="2">
        <v>6.29</v>
      </c>
      <c r="M502" s="2">
        <v>1.2</v>
      </c>
      <c r="N502" s="4">
        <v>1</v>
      </c>
    </row>
    <row r="503" spans="1:14" x14ac:dyDescent="0.35">
      <c r="A503" s="3">
        <v>2015</v>
      </c>
      <c r="B503" s="2">
        <v>9</v>
      </c>
      <c r="C503" s="2" t="s">
        <v>14</v>
      </c>
      <c r="D503" s="2" t="s">
        <v>34</v>
      </c>
      <c r="E503" s="2" t="s">
        <v>16</v>
      </c>
      <c r="F503" s="2" t="s">
        <v>23</v>
      </c>
      <c r="G503" s="2">
        <v>96431</v>
      </c>
      <c r="H503" s="2">
        <v>937</v>
      </c>
      <c r="I503" s="2">
        <v>482601</v>
      </c>
      <c r="J503" s="2">
        <v>337</v>
      </c>
      <c r="K503" s="2">
        <v>0.97</v>
      </c>
      <c r="L503" s="2">
        <v>6.29</v>
      </c>
      <c r="M503" s="2">
        <v>1.2</v>
      </c>
      <c r="N503" s="4">
        <v>5</v>
      </c>
    </row>
    <row r="504" spans="1:14" x14ac:dyDescent="0.35">
      <c r="A504" s="3">
        <v>2015</v>
      </c>
      <c r="B504" s="2">
        <v>8</v>
      </c>
      <c r="C504" s="2" t="s">
        <v>35</v>
      </c>
      <c r="D504" s="2" t="s">
        <v>34</v>
      </c>
      <c r="E504" s="2" t="s">
        <v>19</v>
      </c>
      <c r="F504" s="2" t="s">
        <v>27</v>
      </c>
      <c r="G504" s="2">
        <v>59648</v>
      </c>
      <c r="H504" s="2">
        <v>724</v>
      </c>
      <c r="I504" s="2">
        <v>216991</v>
      </c>
      <c r="J504" s="2">
        <v>220</v>
      </c>
      <c r="K504" s="2">
        <v>0.97</v>
      </c>
      <c r="L504" s="2">
        <v>6.29</v>
      </c>
      <c r="M504" s="2">
        <v>1.2</v>
      </c>
      <c r="N504" s="4">
        <v>9</v>
      </c>
    </row>
    <row r="505" spans="1:14" x14ac:dyDescent="0.35">
      <c r="A505" s="3">
        <v>2018</v>
      </c>
      <c r="B505" s="2">
        <v>3</v>
      </c>
      <c r="C505" s="2" t="s">
        <v>25</v>
      </c>
      <c r="D505" s="2" t="s">
        <v>34</v>
      </c>
      <c r="E505" s="2" t="s">
        <v>19</v>
      </c>
      <c r="F505" s="2" t="s">
        <v>17</v>
      </c>
      <c r="G505" s="2">
        <v>67966</v>
      </c>
      <c r="H505" s="2">
        <v>480</v>
      </c>
      <c r="I505" s="2">
        <v>146952</v>
      </c>
      <c r="J505" s="2">
        <v>224</v>
      </c>
      <c r="K505" s="2">
        <v>0.97</v>
      </c>
      <c r="L505" s="2">
        <v>6.29</v>
      </c>
      <c r="M505" s="2">
        <v>1.2</v>
      </c>
      <c r="N505" s="4">
        <v>7</v>
      </c>
    </row>
    <row r="506" spans="1:14" x14ac:dyDescent="0.35">
      <c r="A506" s="3">
        <v>2023</v>
      </c>
      <c r="B506" s="2">
        <v>11</v>
      </c>
      <c r="C506" s="2" t="s">
        <v>36</v>
      </c>
      <c r="D506" s="2" t="s">
        <v>31</v>
      </c>
      <c r="E506" s="2" t="s">
        <v>20</v>
      </c>
      <c r="F506" s="2" t="s">
        <v>20</v>
      </c>
      <c r="G506" s="2">
        <v>62777</v>
      </c>
      <c r="H506" s="2">
        <v>157</v>
      </c>
      <c r="I506" s="2">
        <v>372926</v>
      </c>
      <c r="J506" s="2">
        <v>49</v>
      </c>
      <c r="K506" s="2">
        <v>0.97</v>
      </c>
      <c r="L506" s="2">
        <v>6.29</v>
      </c>
      <c r="M506" s="2">
        <v>1.2</v>
      </c>
      <c r="N506" s="4">
        <v>4</v>
      </c>
    </row>
    <row r="507" spans="1:14" x14ac:dyDescent="0.35">
      <c r="A507" s="3">
        <v>2020</v>
      </c>
      <c r="B507" s="2">
        <v>12</v>
      </c>
      <c r="C507" s="2" t="s">
        <v>37</v>
      </c>
      <c r="D507" s="2" t="s">
        <v>18</v>
      </c>
      <c r="E507" s="2" t="s">
        <v>16</v>
      </c>
      <c r="F507" s="2" t="s">
        <v>27</v>
      </c>
      <c r="G507" s="2">
        <v>67567</v>
      </c>
      <c r="H507" s="2">
        <v>488</v>
      </c>
      <c r="I507" s="2">
        <v>383260</v>
      </c>
      <c r="J507" s="2">
        <v>35</v>
      </c>
      <c r="K507" s="2">
        <v>0.97</v>
      </c>
      <c r="L507" s="2">
        <v>6.29</v>
      </c>
      <c r="M507" s="2">
        <v>1.2</v>
      </c>
      <c r="N507" s="4">
        <v>9</v>
      </c>
    </row>
    <row r="508" spans="1:14" x14ac:dyDescent="0.35">
      <c r="A508" s="3">
        <v>2017</v>
      </c>
      <c r="B508" s="2">
        <v>9</v>
      </c>
      <c r="C508" s="2" t="s">
        <v>28</v>
      </c>
      <c r="D508" s="2" t="s">
        <v>31</v>
      </c>
      <c r="E508" s="2" t="s">
        <v>20</v>
      </c>
      <c r="F508" s="2" t="s">
        <v>17</v>
      </c>
      <c r="G508" s="2">
        <v>52174</v>
      </c>
      <c r="H508" s="2">
        <v>149</v>
      </c>
      <c r="I508" s="2">
        <v>401770</v>
      </c>
      <c r="J508" s="2">
        <v>36</v>
      </c>
      <c r="K508" s="2">
        <v>0.97</v>
      </c>
      <c r="L508" s="2">
        <v>6.29</v>
      </c>
      <c r="M508" s="2">
        <v>1.2</v>
      </c>
      <c r="N508" s="4">
        <v>9</v>
      </c>
    </row>
    <row r="509" spans="1:14" x14ac:dyDescent="0.35">
      <c r="A509" s="3">
        <v>2015</v>
      </c>
      <c r="B509" s="2">
        <v>3</v>
      </c>
      <c r="C509" s="2" t="s">
        <v>28</v>
      </c>
      <c r="D509" s="2" t="s">
        <v>15</v>
      </c>
      <c r="E509" s="2" t="s">
        <v>19</v>
      </c>
      <c r="F509" s="2" t="s">
        <v>20</v>
      </c>
      <c r="G509" s="2">
        <v>77598</v>
      </c>
      <c r="H509" s="2">
        <v>863</v>
      </c>
      <c r="I509" s="2">
        <v>483603</v>
      </c>
      <c r="J509" s="2">
        <v>199</v>
      </c>
      <c r="K509" s="2">
        <v>0.97</v>
      </c>
      <c r="L509" s="2">
        <v>6.29</v>
      </c>
      <c r="M509" s="2">
        <v>1.2</v>
      </c>
      <c r="N509" s="4">
        <v>2</v>
      </c>
    </row>
    <row r="510" spans="1:14" x14ac:dyDescent="0.35">
      <c r="A510" s="3">
        <v>2018</v>
      </c>
      <c r="B510" s="2">
        <v>9</v>
      </c>
      <c r="C510" s="2" t="s">
        <v>32</v>
      </c>
      <c r="D510" s="2" t="s">
        <v>24</v>
      </c>
      <c r="E510" s="2" t="s">
        <v>19</v>
      </c>
      <c r="F510" s="2" t="s">
        <v>20</v>
      </c>
      <c r="G510" s="2">
        <v>94199</v>
      </c>
      <c r="H510" s="2">
        <v>512</v>
      </c>
      <c r="I510" s="2">
        <v>196895</v>
      </c>
      <c r="J510" s="2">
        <v>92</v>
      </c>
      <c r="K510" s="2">
        <v>0.97</v>
      </c>
      <c r="L510" s="2">
        <v>6.29</v>
      </c>
      <c r="M510" s="2">
        <v>1.2</v>
      </c>
      <c r="N510" s="4">
        <v>10</v>
      </c>
    </row>
    <row r="511" spans="1:14" x14ac:dyDescent="0.35">
      <c r="A511" s="3">
        <v>2023</v>
      </c>
      <c r="B511" s="2">
        <v>2</v>
      </c>
      <c r="C511" s="2" t="s">
        <v>30</v>
      </c>
      <c r="D511" s="2" t="s">
        <v>24</v>
      </c>
      <c r="E511" s="2" t="s">
        <v>20</v>
      </c>
      <c r="F511" s="2" t="s">
        <v>23</v>
      </c>
      <c r="G511" s="2">
        <v>48798</v>
      </c>
      <c r="H511" s="2">
        <v>1153</v>
      </c>
      <c r="I511" s="2">
        <v>96015</v>
      </c>
      <c r="J511" s="2">
        <v>393</v>
      </c>
      <c r="K511" s="2">
        <v>0.97</v>
      </c>
      <c r="L511" s="2">
        <v>6.29</v>
      </c>
      <c r="M511" s="2">
        <v>1.2</v>
      </c>
      <c r="N511" s="4">
        <v>10</v>
      </c>
    </row>
    <row r="512" spans="1:14" x14ac:dyDescent="0.35">
      <c r="A512" s="3">
        <v>2017</v>
      </c>
      <c r="B512" s="2">
        <v>12</v>
      </c>
      <c r="C512" s="2" t="s">
        <v>21</v>
      </c>
      <c r="D512" s="2" t="s">
        <v>34</v>
      </c>
      <c r="E512" s="2" t="s">
        <v>16</v>
      </c>
      <c r="F512" s="2" t="s">
        <v>17</v>
      </c>
      <c r="G512" s="2">
        <v>100364</v>
      </c>
      <c r="H512" s="2">
        <v>639</v>
      </c>
      <c r="I512" s="2">
        <v>152877</v>
      </c>
      <c r="J512" s="2">
        <v>179</v>
      </c>
      <c r="K512" s="2">
        <v>0.97</v>
      </c>
      <c r="L512" s="2">
        <v>6.29</v>
      </c>
      <c r="M512" s="2">
        <v>1.2</v>
      </c>
      <c r="N512" s="4">
        <v>6</v>
      </c>
    </row>
    <row r="513" spans="1:14" x14ac:dyDescent="0.35">
      <c r="A513" s="3">
        <v>2023</v>
      </c>
      <c r="B513" s="2">
        <v>10</v>
      </c>
      <c r="C513" s="2" t="s">
        <v>14</v>
      </c>
      <c r="D513" s="2" t="s">
        <v>15</v>
      </c>
      <c r="E513" s="2" t="s">
        <v>16</v>
      </c>
      <c r="F513" s="2" t="s">
        <v>27</v>
      </c>
      <c r="G513" s="2">
        <v>52558</v>
      </c>
      <c r="H513" s="2">
        <v>545</v>
      </c>
      <c r="I513" s="2">
        <v>327483</v>
      </c>
      <c r="J513" s="2">
        <v>176</v>
      </c>
      <c r="K513" s="2">
        <v>0.97</v>
      </c>
      <c r="L513" s="2">
        <v>6.29</v>
      </c>
      <c r="M513" s="2">
        <v>1.2</v>
      </c>
      <c r="N513" s="4">
        <v>4</v>
      </c>
    </row>
    <row r="514" spans="1:14" x14ac:dyDescent="0.35">
      <c r="A514" s="3">
        <v>2021</v>
      </c>
      <c r="B514" s="2">
        <v>9</v>
      </c>
      <c r="C514" s="2" t="s">
        <v>32</v>
      </c>
      <c r="D514" s="2" t="s">
        <v>33</v>
      </c>
      <c r="E514" s="2" t="s">
        <v>16</v>
      </c>
      <c r="F514" s="2" t="s">
        <v>27</v>
      </c>
      <c r="G514" s="2">
        <v>96084</v>
      </c>
      <c r="H514" s="2">
        <v>430</v>
      </c>
      <c r="I514" s="2">
        <v>184563</v>
      </c>
      <c r="J514" s="2">
        <v>197</v>
      </c>
      <c r="K514" s="2">
        <v>0.97</v>
      </c>
      <c r="L514" s="2">
        <v>6.29</v>
      </c>
      <c r="M514" s="2">
        <v>1.2</v>
      </c>
      <c r="N514" s="4">
        <v>8</v>
      </c>
    </row>
    <row r="515" spans="1:14" x14ac:dyDescent="0.35">
      <c r="A515" s="3">
        <v>2018</v>
      </c>
      <c r="B515" s="2">
        <v>8</v>
      </c>
      <c r="C515" s="2" t="s">
        <v>30</v>
      </c>
      <c r="D515" s="2" t="s">
        <v>33</v>
      </c>
      <c r="E515" s="2" t="s">
        <v>16</v>
      </c>
      <c r="F515" s="2" t="s">
        <v>27</v>
      </c>
      <c r="G515" s="2">
        <v>79237</v>
      </c>
      <c r="H515" s="2">
        <v>807</v>
      </c>
      <c r="I515" s="2">
        <v>443922</v>
      </c>
      <c r="J515" s="2">
        <v>178</v>
      </c>
      <c r="K515" s="2">
        <v>0.97</v>
      </c>
      <c r="L515" s="2">
        <v>6.29</v>
      </c>
      <c r="M515" s="2">
        <v>1.2</v>
      </c>
      <c r="N515" s="4">
        <v>7</v>
      </c>
    </row>
    <row r="516" spans="1:14" x14ac:dyDescent="0.35">
      <c r="A516" s="3">
        <v>2017</v>
      </c>
      <c r="B516" s="2">
        <v>9</v>
      </c>
      <c r="C516" s="2" t="s">
        <v>35</v>
      </c>
      <c r="D516" s="2" t="s">
        <v>34</v>
      </c>
      <c r="E516" s="2" t="s">
        <v>20</v>
      </c>
      <c r="F516" s="2" t="s">
        <v>17</v>
      </c>
      <c r="G516" s="2">
        <v>100497</v>
      </c>
      <c r="H516" s="2">
        <v>622</v>
      </c>
      <c r="I516" s="2">
        <v>147493</v>
      </c>
      <c r="J516" s="2">
        <v>298</v>
      </c>
      <c r="K516" s="2">
        <v>0.97</v>
      </c>
      <c r="L516" s="2">
        <v>6.29</v>
      </c>
      <c r="M516" s="2">
        <v>1.2</v>
      </c>
      <c r="N516" s="4">
        <v>7</v>
      </c>
    </row>
    <row r="517" spans="1:14" x14ac:dyDescent="0.35">
      <c r="A517" s="3">
        <v>2024</v>
      </c>
      <c r="B517" s="2">
        <v>5</v>
      </c>
      <c r="C517" s="2" t="s">
        <v>38</v>
      </c>
      <c r="D517" s="2" t="s">
        <v>39</v>
      </c>
      <c r="E517" s="2" t="s">
        <v>20</v>
      </c>
      <c r="F517" s="2" t="s">
        <v>27</v>
      </c>
      <c r="G517" s="2">
        <v>35178</v>
      </c>
      <c r="H517" s="2">
        <v>805</v>
      </c>
      <c r="I517" s="2">
        <v>196800</v>
      </c>
      <c r="J517" s="2">
        <v>238</v>
      </c>
      <c r="K517" s="2">
        <v>0.97</v>
      </c>
      <c r="L517" s="2">
        <v>6.29</v>
      </c>
      <c r="M517" s="2">
        <v>1.2</v>
      </c>
      <c r="N517" s="4">
        <v>10</v>
      </c>
    </row>
    <row r="518" spans="1:14" x14ac:dyDescent="0.35">
      <c r="A518" s="3">
        <v>2019</v>
      </c>
      <c r="B518" s="2">
        <v>11</v>
      </c>
      <c r="C518" s="2" t="s">
        <v>38</v>
      </c>
      <c r="D518" s="2" t="s">
        <v>31</v>
      </c>
      <c r="E518" s="2" t="s">
        <v>19</v>
      </c>
      <c r="F518" s="2" t="s">
        <v>27</v>
      </c>
      <c r="G518" s="2">
        <v>52118</v>
      </c>
      <c r="H518" s="2">
        <v>667</v>
      </c>
      <c r="I518" s="2">
        <v>450213</v>
      </c>
      <c r="J518" s="2">
        <v>106</v>
      </c>
      <c r="K518" s="2">
        <v>0.97</v>
      </c>
      <c r="L518" s="2">
        <v>6.29</v>
      </c>
      <c r="M518" s="2">
        <v>1.2</v>
      </c>
      <c r="N518" s="4">
        <v>9</v>
      </c>
    </row>
    <row r="519" spans="1:14" x14ac:dyDescent="0.35">
      <c r="A519" s="3">
        <v>2019</v>
      </c>
      <c r="B519" s="2">
        <v>11</v>
      </c>
      <c r="C519" s="2" t="s">
        <v>21</v>
      </c>
      <c r="D519" s="2" t="s">
        <v>34</v>
      </c>
      <c r="E519" s="2" t="s">
        <v>16</v>
      </c>
      <c r="F519" s="2" t="s">
        <v>27</v>
      </c>
      <c r="G519" s="2">
        <v>57616</v>
      </c>
      <c r="H519" s="2">
        <v>1202</v>
      </c>
      <c r="I519" s="2">
        <v>241480</v>
      </c>
      <c r="J519" s="2">
        <v>376</v>
      </c>
      <c r="K519" s="2">
        <v>0.97</v>
      </c>
      <c r="L519" s="2">
        <v>6.29</v>
      </c>
      <c r="M519" s="2">
        <v>1.2</v>
      </c>
      <c r="N519" s="4">
        <v>5</v>
      </c>
    </row>
    <row r="520" spans="1:14" x14ac:dyDescent="0.35">
      <c r="A520" s="3">
        <v>2017</v>
      </c>
      <c r="B520" s="2">
        <v>2</v>
      </c>
      <c r="C520" s="2" t="s">
        <v>25</v>
      </c>
      <c r="D520" s="2" t="s">
        <v>26</v>
      </c>
      <c r="E520" s="2" t="s">
        <v>16</v>
      </c>
      <c r="F520" s="2" t="s">
        <v>23</v>
      </c>
      <c r="G520" s="2">
        <v>35798</v>
      </c>
      <c r="H520" s="2">
        <v>151</v>
      </c>
      <c r="I520" s="2">
        <v>441670</v>
      </c>
      <c r="J520" s="2">
        <v>25</v>
      </c>
      <c r="K520" s="2">
        <v>0.97</v>
      </c>
      <c r="L520" s="2">
        <v>6.29</v>
      </c>
      <c r="M520" s="2">
        <v>1.2</v>
      </c>
      <c r="N520" s="4">
        <v>6</v>
      </c>
    </row>
    <row r="521" spans="1:14" x14ac:dyDescent="0.35">
      <c r="A521" s="3">
        <v>2023</v>
      </c>
      <c r="B521" s="2">
        <v>8</v>
      </c>
      <c r="C521" s="2" t="s">
        <v>36</v>
      </c>
      <c r="D521" s="2" t="s">
        <v>29</v>
      </c>
      <c r="E521" s="2" t="s">
        <v>16</v>
      </c>
      <c r="F521" s="2" t="s">
        <v>23</v>
      </c>
      <c r="G521" s="2">
        <v>42601</v>
      </c>
      <c r="H521" s="2">
        <v>711</v>
      </c>
      <c r="I521" s="2">
        <v>481739</v>
      </c>
      <c r="J521" s="2">
        <v>288</v>
      </c>
      <c r="K521" s="2">
        <v>0.97</v>
      </c>
      <c r="L521" s="2">
        <v>6.29</v>
      </c>
      <c r="M521" s="2">
        <v>1.2</v>
      </c>
      <c r="N521" s="4">
        <v>1</v>
      </c>
    </row>
    <row r="522" spans="1:14" x14ac:dyDescent="0.35">
      <c r="A522" s="3">
        <v>2018</v>
      </c>
      <c r="B522" s="2">
        <v>12</v>
      </c>
      <c r="C522" s="2" t="s">
        <v>32</v>
      </c>
      <c r="D522" s="2" t="s">
        <v>24</v>
      </c>
      <c r="E522" s="2" t="s">
        <v>20</v>
      </c>
      <c r="F522" s="2" t="s">
        <v>17</v>
      </c>
      <c r="G522" s="2">
        <v>60363</v>
      </c>
      <c r="H522" s="2">
        <v>561</v>
      </c>
      <c r="I522" s="2">
        <v>171648</v>
      </c>
      <c r="J522" s="2">
        <v>144</v>
      </c>
      <c r="K522" s="2">
        <v>0.97</v>
      </c>
      <c r="L522" s="2">
        <v>6.29</v>
      </c>
      <c r="M522" s="2">
        <v>1.2</v>
      </c>
      <c r="N522" s="4">
        <v>6</v>
      </c>
    </row>
    <row r="523" spans="1:14" x14ac:dyDescent="0.35">
      <c r="A523" s="3">
        <v>2019</v>
      </c>
      <c r="B523" s="2">
        <v>6</v>
      </c>
      <c r="C523" s="2" t="s">
        <v>32</v>
      </c>
      <c r="D523" s="2" t="s">
        <v>33</v>
      </c>
      <c r="E523" s="2" t="s">
        <v>16</v>
      </c>
      <c r="F523" s="2" t="s">
        <v>17</v>
      </c>
      <c r="G523" s="2">
        <v>37795</v>
      </c>
      <c r="H523" s="2">
        <v>192</v>
      </c>
      <c r="I523" s="2">
        <v>337307</v>
      </c>
      <c r="J523" s="2">
        <v>35</v>
      </c>
      <c r="K523" s="2">
        <v>0.97</v>
      </c>
      <c r="L523" s="2">
        <v>6.29</v>
      </c>
      <c r="M523" s="2">
        <v>1.2</v>
      </c>
      <c r="N523" s="4">
        <v>2</v>
      </c>
    </row>
    <row r="524" spans="1:14" x14ac:dyDescent="0.35">
      <c r="A524" s="3">
        <v>2018</v>
      </c>
      <c r="B524" s="2">
        <v>8</v>
      </c>
      <c r="C524" s="2" t="s">
        <v>14</v>
      </c>
      <c r="D524" s="2" t="s">
        <v>22</v>
      </c>
      <c r="E524" s="2" t="s">
        <v>20</v>
      </c>
      <c r="F524" s="2" t="s">
        <v>27</v>
      </c>
      <c r="G524" s="2">
        <v>80264</v>
      </c>
      <c r="H524" s="2">
        <v>936</v>
      </c>
      <c r="I524" s="2">
        <v>198790</v>
      </c>
      <c r="J524" s="2">
        <v>361</v>
      </c>
      <c r="K524" s="2">
        <v>0.97</v>
      </c>
      <c r="L524" s="2">
        <v>6.29</v>
      </c>
      <c r="M524" s="2">
        <v>1.2</v>
      </c>
      <c r="N524" s="4">
        <v>6</v>
      </c>
    </row>
    <row r="525" spans="1:14" x14ac:dyDescent="0.35">
      <c r="A525" s="3">
        <v>2019</v>
      </c>
      <c r="B525" s="2">
        <v>11</v>
      </c>
      <c r="C525" s="2" t="s">
        <v>14</v>
      </c>
      <c r="D525" s="2" t="s">
        <v>33</v>
      </c>
      <c r="E525" s="2" t="s">
        <v>16</v>
      </c>
      <c r="F525" s="2" t="s">
        <v>23</v>
      </c>
      <c r="G525" s="2">
        <v>107833</v>
      </c>
      <c r="H525" s="2">
        <v>395</v>
      </c>
      <c r="I525" s="2">
        <v>137508</v>
      </c>
      <c r="J525" s="2">
        <v>21</v>
      </c>
      <c r="K525" s="2">
        <v>0.97</v>
      </c>
      <c r="L525" s="2">
        <v>6.29</v>
      </c>
      <c r="M525" s="2">
        <v>1.2</v>
      </c>
      <c r="N525" s="4">
        <v>9</v>
      </c>
    </row>
    <row r="526" spans="1:14" x14ac:dyDescent="0.35">
      <c r="A526" s="3">
        <v>2021</v>
      </c>
      <c r="B526" s="2">
        <v>5</v>
      </c>
      <c r="C526" s="2" t="s">
        <v>38</v>
      </c>
      <c r="D526" s="2" t="s">
        <v>24</v>
      </c>
      <c r="E526" s="2" t="s">
        <v>16</v>
      </c>
      <c r="F526" s="2" t="s">
        <v>20</v>
      </c>
      <c r="G526" s="2">
        <v>38084</v>
      </c>
      <c r="H526" s="2">
        <v>267</v>
      </c>
      <c r="I526" s="2">
        <v>264839</v>
      </c>
      <c r="J526" s="2">
        <v>81</v>
      </c>
      <c r="K526" s="2">
        <v>0.97</v>
      </c>
      <c r="L526" s="2">
        <v>6.29</v>
      </c>
      <c r="M526" s="2">
        <v>1.2</v>
      </c>
      <c r="N526" s="4">
        <v>8</v>
      </c>
    </row>
    <row r="527" spans="1:14" x14ac:dyDescent="0.35">
      <c r="A527" s="3">
        <v>2023</v>
      </c>
      <c r="B527" s="2">
        <v>10</v>
      </c>
      <c r="C527" s="2" t="s">
        <v>38</v>
      </c>
      <c r="D527" s="2" t="s">
        <v>29</v>
      </c>
      <c r="E527" s="2" t="s">
        <v>19</v>
      </c>
      <c r="F527" s="2" t="s">
        <v>20</v>
      </c>
      <c r="G527" s="2">
        <v>111646</v>
      </c>
      <c r="H527" s="2">
        <v>716</v>
      </c>
      <c r="I527" s="2">
        <v>351763</v>
      </c>
      <c r="J527" s="2">
        <v>142</v>
      </c>
      <c r="K527" s="2">
        <v>0.97</v>
      </c>
      <c r="L527" s="2">
        <v>6.29</v>
      </c>
      <c r="M527" s="2">
        <v>1.2</v>
      </c>
      <c r="N527" s="4">
        <v>9</v>
      </c>
    </row>
    <row r="528" spans="1:14" x14ac:dyDescent="0.35">
      <c r="A528" s="3">
        <v>2021</v>
      </c>
      <c r="B528" s="2">
        <v>2</v>
      </c>
      <c r="C528" s="2" t="s">
        <v>37</v>
      </c>
      <c r="D528" s="2" t="s">
        <v>24</v>
      </c>
      <c r="E528" s="2" t="s">
        <v>16</v>
      </c>
      <c r="F528" s="2" t="s">
        <v>27</v>
      </c>
      <c r="G528" s="2">
        <v>35731</v>
      </c>
      <c r="H528" s="2">
        <v>524</v>
      </c>
      <c r="I528" s="2">
        <v>324270</v>
      </c>
      <c r="J528" s="2">
        <v>115</v>
      </c>
      <c r="K528" s="2">
        <v>0.97</v>
      </c>
      <c r="L528" s="2">
        <v>6.29</v>
      </c>
      <c r="M528" s="2">
        <v>1.2</v>
      </c>
      <c r="N528" s="4">
        <v>10</v>
      </c>
    </row>
    <row r="529" spans="1:14" x14ac:dyDescent="0.35">
      <c r="A529" s="3">
        <v>2019</v>
      </c>
      <c r="B529" s="2">
        <v>6</v>
      </c>
      <c r="C529" s="2" t="s">
        <v>37</v>
      </c>
      <c r="D529" s="2" t="s">
        <v>22</v>
      </c>
      <c r="E529" s="2" t="s">
        <v>16</v>
      </c>
      <c r="F529" s="2" t="s">
        <v>27</v>
      </c>
      <c r="G529" s="2">
        <v>36129</v>
      </c>
      <c r="H529" s="2">
        <v>717</v>
      </c>
      <c r="I529" s="2">
        <v>114926</v>
      </c>
      <c r="J529" s="2">
        <v>229</v>
      </c>
      <c r="K529" s="2">
        <v>0.97</v>
      </c>
      <c r="L529" s="2">
        <v>6.29</v>
      </c>
      <c r="M529" s="2">
        <v>1.2</v>
      </c>
      <c r="N529" s="4">
        <v>8</v>
      </c>
    </row>
    <row r="530" spans="1:14" x14ac:dyDescent="0.35">
      <c r="A530" s="3">
        <v>2024</v>
      </c>
      <c r="B530" s="2">
        <v>5</v>
      </c>
      <c r="C530" s="2" t="s">
        <v>25</v>
      </c>
      <c r="D530" s="2" t="s">
        <v>34</v>
      </c>
      <c r="E530" s="2" t="s">
        <v>19</v>
      </c>
      <c r="F530" s="2" t="s">
        <v>23</v>
      </c>
      <c r="G530" s="2">
        <v>63022</v>
      </c>
      <c r="H530" s="2">
        <v>935</v>
      </c>
      <c r="I530" s="2">
        <v>90633</v>
      </c>
      <c r="J530" s="2">
        <v>382</v>
      </c>
      <c r="K530" s="2">
        <v>0.97</v>
      </c>
      <c r="L530" s="2">
        <v>6.29</v>
      </c>
      <c r="M530" s="2">
        <v>1.2</v>
      </c>
      <c r="N530" s="4">
        <v>3</v>
      </c>
    </row>
    <row r="531" spans="1:14" x14ac:dyDescent="0.35">
      <c r="A531" s="3">
        <v>2024</v>
      </c>
      <c r="B531" s="2">
        <v>12</v>
      </c>
      <c r="C531" s="2" t="s">
        <v>37</v>
      </c>
      <c r="D531" s="2" t="s">
        <v>15</v>
      </c>
      <c r="E531" s="2" t="s">
        <v>20</v>
      </c>
      <c r="F531" s="2" t="s">
        <v>23</v>
      </c>
      <c r="G531" s="2">
        <v>36605</v>
      </c>
      <c r="H531" s="2">
        <v>622</v>
      </c>
      <c r="I531" s="2">
        <v>258726</v>
      </c>
      <c r="J531" s="2">
        <v>186</v>
      </c>
      <c r="K531" s="2">
        <v>0.97</v>
      </c>
      <c r="L531" s="2">
        <v>6.29</v>
      </c>
      <c r="M531" s="2">
        <v>1.2</v>
      </c>
      <c r="N531" s="4">
        <v>8</v>
      </c>
    </row>
    <row r="532" spans="1:14" x14ac:dyDescent="0.35">
      <c r="A532" s="3">
        <v>2021</v>
      </c>
      <c r="B532" s="2">
        <v>12</v>
      </c>
      <c r="C532" s="2" t="s">
        <v>36</v>
      </c>
      <c r="D532" s="2" t="s">
        <v>22</v>
      </c>
      <c r="E532" s="2" t="s">
        <v>20</v>
      </c>
      <c r="F532" s="2" t="s">
        <v>23</v>
      </c>
      <c r="G532" s="2">
        <v>112506</v>
      </c>
      <c r="H532" s="2">
        <v>681</v>
      </c>
      <c r="I532" s="2">
        <v>53317</v>
      </c>
      <c r="J532" s="2">
        <v>291</v>
      </c>
      <c r="K532" s="2">
        <v>0.97</v>
      </c>
      <c r="L532" s="2">
        <v>6.29</v>
      </c>
      <c r="M532" s="2">
        <v>1.2</v>
      </c>
      <c r="N532" s="4">
        <v>6</v>
      </c>
    </row>
    <row r="533" spans="1:14" x14ac:dyDescent="0.35">
      <c r="A533" s="3">
        <v>2024</v>
      </c>
      <c r="B533" s="2">
        <v>5</v>
      </c>
      <c r="C533" s="2" t="s">
        <v>36</v>
      </c>
      <c r="D533" s="2" t="s">
        <v>24</v>
      </c>
      <c r="E533" s="2" t="s">
        <v>16</v>
      </c>
      <c r="F533" s="2" t="s">
        <v>17</v>
      </c>
      <c r="G533" s="2">
        <v>79130</v>
      </c>
      <c r="H533" s="2">
        <v>348</v>
      </c>
      <c r="I533" s="2">
        <v>357124</v>
      </c>
      <c r="J533" s="2">
        <v>142</v>
      </c>
      <c r="K533" s="2">
        <v>0.97</v>
      </c>
      <c r="L533" s="2">
        <v>6.29</v>
      </c>
      <c r="M533" s="2">
        <v>1.2</v>
      </c>
      <c r="N533" s="4">
        <v>6</v>
      </c>
    </row>
    <row r="534" spans="1:14" x14ac:dyDescent="0.35">
      <c r="A534" s="3">
        <v>2019</v>
      </c>
      <c r="B534" s="2">
        <v>1</v>
      </c>
      <c r="C534" s="2" t="s">
        <v>32</v>
      </c>
      <c r="D534" s="2" t="s">
        <v>24</v>
      </c>
      <c r="E534" s="2" t="s">
        <v>20</v>
      </c>
      <c r="F534" s="2" t="s">
        <v>17</v>
      </c>
      <c r="G534" s="2">
        <v>64265</v>
      </c>
      <c r="H534" s="2">
        <v>231</v>
      </c>
      <c r="I534" s="2">
        <v>356259</v>
      </c>
      <c r="J534" s="2">
        <v>31</v>
      </c>
      <c r="K534" s="2">
        <v>0.97</v>
      </c>
      <c r="L534" s="2">
        <v>6.29</v>
      </c>
      <c r="M534" s="2">
        <v>1.2</v>
      </c>
      <c r="N534" s="4">
        <v>6</v>
      </c>
    </row>
    <row r="535" spans="1:14" x14ac:dyDescent="0.35">
      <c r="A535" s="3">
        <v>2017</v>
      </c>
      <c r="B535" s="2">
        <v>2</v>
      </c>
      <c r="C535" s="2" t="s">
        <v>28</v>
      </c>
      <c r="D535" s="2" t="s">
        <v>26</v>
      </c>
      <c r="E535" s="2" t="s">
        <v>16</v>
      </c>
      <c r="F535" s="2" t="s">
        <v>27</v>
      </c>
      <c r="G535" s="2">
        <v>67330</v>
      </c>
      <c r="H535" s="2">
        <v>896</v>
      </c>
      <c r="I535" s="2">
        <v>242718</v>
      </c>
      <c r="J535" s="2">
        <v>278</v>
      </c>
      <c r="K535" s="2">
        <v>0.97</v>
      </c>
      <c r="L535" s="2">
        <v>6.29</v>
      </c>
      <c r="M535" s="2">
        <v>1.2</v>
      </c>
      <c r="N535" s="4">
        <v>3</v>
      </c>
    </row>
    <row r="536" spans="1:14" x14ac:dyDescent="0.35">
      <c r="A536" s="3">
        <v>2021</v>
      </c>
      <c r="B536" s="2">
        <v>8</v>
      </c>
      <c r="C536" s="2" t="s">
        <v>36</v>
      </c>
      <c r="D536" s="2" t="s">
        <v>26</v>
      </c>
      <c r="E536" s="2" t="s">
        <v>19</v>
      </c>
      <c r="F536" s="2" t="s">
        <v>17</v>
      </c>
      <c r="G536" s="2">
        <v>103469</v>
      </c>
      <c r="H536" s="2">
        <v>735</v>
      </c>
      <c r="I536" s="2">
        <v>355302</v>
      </c>
      <c r="J536" s="2">
        <v>170</v>
      </c>
      <c r="K536" s="2">
        <v>0.97</v>
      </c>
      <c r="L536" s="2">
        <v>6.29</v>
      </c>
      <c r="M536" s="2">
        <v>1.2</v>
      </c>
      <c r="N536" s="4">
        <v>10</v>
      </c>
    </row>
    <row r="537" spans="1:14" x14ac:dyDescent="0.35">
      <c r="A537" s="3">
        <v>2016</v>
      </c>
      <c r="B537" s="2">
        <v>3</v>
      </c>
      <c r="C537" s="2" t="s">
        <v>30</v>
      </c>
      <c r="D537" s="2" t="s">
        <v>18</v>
      </c>
      <c r="E537" s="2" t="s">
        <v>19</v>
      </c>
      <c r="F537" s="2" t="s">
        <v>23</v>
      </c>
      <c r="G537" s="2">
        <v>50187</v>
      </c>
      <c r="H537" s="2">
        <v>708</v>
      </c>
      <c r="I537" s="2">
        <v>237035</v>
      </c>
      <c r="J537" s="2">
        <v>116</v>
      </c>
      <c r="K537" s="2">
        <v>0.97</v>
      </c>
      <c r="L537" s="2">
        <v>6.29</v>
      </c>
      <c r="M537" s="2">
        <v>1.2</v>
      </c>
      <c r="N537" s="4">
        <v>1</v>
      </c>
    </row>
    <row r="538" spans="1:14" x14ac:dyDescent="0.35">
      <c r="A538" s="3">
        <v>2023</v>
      </c>
      <c r="B538" s="2">
        <v>10</v>
      </c>
      <c r="C538" s="2" t="s">
        <v>38</v>
      </c>
      <c r="D538" s="2" t="s">
        <v>26</v>
      </c>
      <c r="E538" s="2" t="s">
        <v>16</v>
      </c>
      <c r="F538" s="2" t="s">
        <v>23</v>
      </c>
      <c r="G538" s="2">
        <v>60791</v>
      </c>
      <c r="H538" s="2">
        <v>625</v>
      </c>
      <c r="I538" s="2">
        <v>490847</v>
      </c>
      <c r="J538" s="2">
        <v>288</v>
      </c>
      <c r="K538" s="2">
        <v>0.97</v>
      </c>
      <c r="L538" s="2">
        <v>6.29</v>
      </c>
      <c r="M538" s="2">
        <v>1.2</v>
      </c>
      <c r="N538" s="4">
        <v>4</v>
      </c>
    </row>
    <row r="539" spans="1:14" x14ac:dyDescent="0.35">
      <c r="A539" s="3">
        <v>2024</v>
      </c>
      <c r="B539" s="2">
        <v>3</v>
      </c>
      <c r="C539" s="2" t="s">
        <v>14</v>
      </c>
      <c r="D539" s="2" t="s">
        <v>31</v>
      </c>
      <c r="E539" s="2" t="s">
        <v>19</v>
      </c>
      <c r="F539" s="2" t="s">
        <v>17</v>
      </c>
      <c r="G539" s="2">
        <v>105610</v>
      </c>
      <c r="H539" s="2">
        <v>1022</v>
      </c>
      <c r="I539" s="2">
        <v>230388</v>
      </c>
      <c r="J539" s="2">
        <v>362</v>
      </c>
      <c r="K539" s="2">
        <v>0.97</v>
      </c>
      <c r="L539" s="2">
        <v>6.29</v>
      </c>
      <c r="M539" s="2">
        <v>1.2</v>
      </c>
      <c r="N539" s="4">
        <v>10</v>
      </c>
    </row>
    <row r="540" spans="1:14" x14ac:dyDescent="0.35">
      <c r="A540" s="3">
        <v>2024</v>
      </c>
      <c r="B540" s="2">
        <v>8</v>
      </c>
      <c r="C540" s="2" t="s">
        <v>37</v>
      </c>
      <c r="D540" s="2" t="s">
        <v>15</v>
      </c>
      <c r="E540" s="2" t="s">
        <v>19</v>
      </c>
      <c r="F540" s="2" t="s">
        <v>20</v>
      </c>
      <c r="G540" s="2">
        <v>74867</v>
      </c>
      <c r="H540" s="2">
        <v>951</v>
      </c>
      <c r="I540" s="2">
        <v>417508</v>
      </c>
      <c r="J540" s="2">
        <v>244</v>
      </c>
      <c r="K540" s="2">
        <v>0.97</v>
      </c>
      <c r="L540" s="2">
        <v>6.29</v>
      </c>
      <c r="M540" s="2">
        <v>1.2</v>
      </c>
      <c r="N540" s="4">
        <v>6</v>
      </c>
    </row>
    <row r="541" spans="1:14" x14ac:dyDescent="0.35">
      <c r="A541" s="3">
        <v>2015</v>
      </c>
      <c r="B541" s="2">
        <v>8</v>
      </c>
      <c r="C541" s="2" t="s">
        <v>32</v>
      </c>
      <c r="D541" s="2" t="s">
        <v>29</v>
      </c>
      <c r="E541" s="2" t="s">
        <v>16</v>
      </c>
      <c r="F541" s="2" t="s">
        <v>27</v>
      </c>
      <c r="G541" s="2">
        <v>35893</v>
      </c>
      <c r="H541" s="2">
        <v>212</v>
      </c>
      <c r="I541" s="2">
        <v>327648</v>
      </c>
      <c r="J541" s="2">
        <v>27</v>
      </c>
      <c r="K541" s="2">
        <v>0.97</v>
      </c>
      <c r="L541" s="2">
        <v>6.29</v>
      </c>
      <c r="M541" s="2">
        <v>1.2</v>
      </c>
      <c r="N541" s="4">
        <v>10</v>
      </c>
    </row>
    <row r="542" spans="1:14" x14ac:dyDescent="0.35">
      <c r="A542" s="3">
        <v>2020</v>
      </c>
      <c r="B542" s="2">
        <v>2</v>
      </c>
      <c r="C542" s="2" t="s">
        <v>21</v>
      </c>
      <c r="D542" s="2" t="s">
        <v>22</v>
      </c>
      <c r="E542" s="2" t="s">
        <v>16</v>
      </c>
      <c r="F542" s="2" t="s">
        <v>20</v>
      </c>
      <c r="G542" s="2">
        <v>54773</v>
      </c>
      <c r="H542" s="2">
        <v>982</v>
      </c>
      <c r="I542" s="2">
        <v>249665</v>
      </c>
      <c r="J542" s="2">
        <v>251</v>
      </c>
      <c r="K542" s="2">
        <v>0.97</v>
      </c>
      <c r="L542" s="2">
        <v>6.29</v>
      </c>
      <c r="M542" s="2">
        <v>1.2</v>
      </c>
      <c r="N542" s="4">
        <v>2</v>
      </c>
    </row>
    <row r="543" spans="1:14" x14ac:dyDescent="0.35">
      <c r="A543" s="3">
        <v>2021</v>
      </c>
      <c r="B543" s="2">
        <v>8</v>
      </c>
      <c r="C543" s="2" t="s">
        <v>14</v>
      </c>
      <c r="D543" s="2" t="s">
        <v>24</v>
      </c>
      <c r="E543" s="2" t="s">
        <v>19</v>
      </c>
      <c r="F543" s="2" t="s">
        <v>27</v>
      </c>
      <c r="G543" s="2">
        <v>39239</v>
      </c>
      <c r="H543" s="2">
        <v>659</v>
      </c>
      <c r="I543" s="2">
        <v>469876</v>
      </c>
      <c r="J543" s="2">
        <v>126</v>
      </c>
      <c r="K543" s="2">
        <v>0.97</v>
      </c>
      <c r="L543" s="2">
        <v>6.29</v>
      </c>
      <c r="M543" s="2">
        <v>1.2</v>
      </c>
      <c r="N543" s="4">
        <v>7</v>
      </c>
    </row>
    <row r="544" spans="1:14" x14ac:dyDescent="0.35">
      <c r="A544" s="3">
        <v>2022</v>
      </c>
      <c r="B544" s="2">
        <v>11</v>
      </c>
      <c r="C544" s="2" t="s">
        <v>30</v>
      </c>
      <c r="D544" s="2" t="s">
        <v>18</v>
      </c>
      <c r="E544" s="2" t="s">
        <v>20</v>
      </c>
      <c r="F544" s="2" t="s">
        <v>20</v>
      </c>
      <c r="G544" s="2">
        <v>55863</v>
      </c>
      <c r="H544" s="2">
        <v>1031</v>
      </c>
      <c r="I544" s="2">
        <v>349340</v>
      </c>
      <c r="J544" s="2">
        <v>295</v>
      </c>
      <c r="K544" s="2">
        <v>0.97</v>
      </c>
      <c r="L544" s="2">
        <v>6.29</v>
      </c>
      <c r="M544" s="2">
        <v>1.2</v>
      </c>
      <c r="N544" s="4">
        <v>7</v>
      </c>
    </row>
    <row r="545" spans="1:14" x14ac:dyDescent="0.35">
      <c r="A545" s="3">
        <v>2024</v>
      </c>
      <c r="B545" s="2">
        <v>1</v>
      </c>
      <c r="C545" s="2" t="s">
        <v>37</v>
      </c>
      <c r="D545" s="2" t="s">
        <v>18</v>
      </c>
      <c r="E545" s="2" t="s">
        <v>20</v>
      </c>
      <c r="F545" s="2" t="s">
        <v>17</v>
      </c>
      <c r="G545" s="2">
        <v>86415</v>
      </c>
      <c r="H545" s="2">
        <v>666</v>
      </c>
      <c r="I545" s="2">
        <v>378082</v>
      </c>
      <c r="J545" s="2">
        <v>291</v>
      </c>
      <c r="K545" s="2">
        <v>0.97</v>
      </c>
      <c r="L545" s="2">
        <v>6.29</v>
      </c>
      <c r="M545" s="2">
        <v>1.2</v>
      </c>
      <c r="N545" s="4">
        <v>4</v>
      </c>
    </row>
    <row r="546" spans="1:14" x14ac:dyDescent="0.35">
      <c r="A546" s="3">
        <v>2023</v>
      </c>
      <c r="B546" s="2">
        <v>6</v>
      </c>
      <c r="C546" s="2" t="s">
        <v>30</v>
      </c>
      <c r="D546" s="2" t="s">
        <v>29</v>
      </c>
      <c r="E546" s="2" t="s">
        <v>16</v>
      </c>
      <c r="F546" s="2" t="s">
        <v>27</v>
      </c>
      <c r="G546" s="2">
        <v>103968</v>
      </c>
      <c r="H546" s="2">
        <v>601</v>
      </c>
      <c r="I546" s="2">
        <v>451821</v>
      </c>
      <c r="J546" s="2">
        <v>153</v>
      </c>
      <c r="K546" s="2">
        <v>0.97</v>
      </c>
      <c r="L546" s="2">
        <v>6.29</v>
      </c>
      <c r="M546" s="2">
        <v>1.2</v>
      </c>
      <c r="N546" s="4">
        <v>4</v>
      </c>
    </row>
    <row r="547" spans="1:14" x14ac:dyDescent="0.35">
      <c r="A547" s="3">
        <v>2016</v>
      </c>
      <c r="B547" s="2">
        <v>8</v>
      </c>
      <c r="C547" s="2" t="s">
        <v>38</v>
      </c>
      <c r="D547" s="2" t="s">
        <v>15</v>
      </c>
      <c r="E547" s="2" t="s">
        <v>16</v>
      </c>
      <c r="F547" s="2" t="s">
        <v>27</v>
      </c>
      <c r="G547" s="2">
        <v>95430</v>
      </c>
      <c r="H547" s="2">
        <v>510</v>
      </c>
      <c r="I547" s="2">
        <v>369532</v>
      </c>
      <c r="J547" s="2">
        <v>214</v>
      </c>
      <c r="K547" s="2">
        <v>0.97</v>
      </c>
      <c r="L547" s="2">
        <v>6.29</v>
      </c>
      <c r="M547" s="2">
        <v>1.2</v>
      </c>
      <c r="N547" s="4">
        <v>1</v>
      </c>
    </row>
    <row r="548" spans="1:14" x14ac:dyDescent="0.35">
      <c r="A548" s="3">
        <v>2024</v>
      </c>
      <c r="B548" s="2">
        <v>3</v>
      </c>
      <c r="C548" s="2" t="s">
        <v>38</v>
      </c>
      <c r="D548" s="2" t="s">
        <v>22</v>
      </c>
      <c r="E548" s="2" t="s">
        <v>20</v>
      </c>
      <c r="F548" s="2" t="s">
        <v>27</v>
      </c>
      <c r="G548" s="2">
        <v>36515</v>
      </c>
      <c r="H548" s="2">
        <v>474</v>
      </c>
      <c r="I548" s="2">
        <v>262369</v>
      </c>
      <c r="J548" s="2">
        <v>48</v>
      </c>
      <c r="K548" s="2">
        <v>0.97</v>
      </c>
      <c r="L548" s="2">
        <v>6.29</v>
      </c>
      <c r="M548" s="2">
        <v>1.2</v>
      </c>
      <c r="N548" s="4">
        <v>2</v>
      </c>
    </row>
    <row r="549" spans="1:14" x14ac:dyDescent="0.35">
      <c r="A549" s="3">
        <v>2016</v>
      </c>
      <c r="B549" s="2">
        <v>8</v>
      </c>
      <c r="C549" s="2" t="s">
        <v>25</v>
      </c>
      <c r="D549" s="2" t="s">
        <v>33</v>
      </c>
      <c r="E549" s="2" t="s">
        <v>19</v>
      </c>
      <c r="F549" s="2" t="s">
        <v>23</v>
      </c>
      <c r="G549" s="2">
        <v>49605</v>
      </c>
      <c r="H549" s="2">
        <v>759</v>
      </c>
      <c r="I549" s="2">
        <v>105501</v>
      </c>
      <c r="J549" s="2">
        <v>163</v>
      </c>
      <c r="K549" s="2">
        <v>0.97</v>
      </c>
      <c r="L549" s="2">
        <v>6.29</v>
      </c>
      <c r="M549" s="2">
        <v>1.2</v>
      </c>
      <c r="N549" s="4">
        <v>9</v>
      </c>
    </row>
    <row r="550" spans="1:14" x14ac:dyDescent="0.35">
      <c r="A550" s="3">
        <v>2019</v>
      </c>
      <c r="B550" s="2">
        <v>12</v>
      </c>
      <c r="C550" s="2" t="s">
        <v>32</v>
      </c>
      <c r="D550" s="2" t="s">
        <v>26</v>
      </c>
      <c r="E550" s="2" t="s">
        <v>20</v>
      </c>
      <c r="F550" s="2" t="s">
        <v>23</v>
      </c>
      <c r="G550" s="2">
        <v>91240</v>
      </c>
      <c r="H550" s="2">
        <v>750</v>
      </c>
      <c r="I550" s="2">
        <v>234381</v>
      </c>
      <c r="J550" s="2">
        <v>185</v>
      </c>
      <c r="K550" s="2">
        <v>0.97</v>
      </c>
      <c r="L550" s="2">
        <v>6.29</v>
      </c>
      <c r="M550" s="2">
        <v>1.2</v>
      </c>
      <c r="N550" s="4">
        <v>10</v>
      </c>
    </row>
    <row r="551" spans="1:14" x14ac:dyDescent="0.35">
      <c r="A551" s="3">
        <v>2019</v>
      </c>
      <c r="B551" s="2">
        <v>1</v>
      </c>
      <c r="C551" s="2" t="s">
        <v>14</v>
      </c>
      <c r="D551" s="2" t="s">
        <v>34</v>
      </c>
      <c r="E551" s="2" t="s">
        <v>20</v>
      </c>
      <c r="F551" s="2" t="s">
        <v>20</v>
      </c>
      <c r="G551" s="2">
        <v>40586</v>
      </c>
      <c r="H551" s="2">
        <v>930</v>
      </c>
      <c r="I551" s="2">
        <v>77043</v>
      </c>
      <c r="J551" s="2">
        <v>250</v>
      </c>
      <c r="K551" s="2">
        <v>0.97</v>
      </c>
      <c r="L551" s="2">
        <v>6.29</v>
      </c>
      <c r="M551" s="2">
        <v>1.2</v>
      </c>
      <c r="N551" s="4">
        <v>8</v>
      </c>
    </row>
    <row r="552" spans="1:14" x14ac:dyDescent="0.35">
      <c r="A552" s="3">
        <v>2020</v>
      </c>
      <c r="B552" s="2">
        <v>11</v>
      </c>
      <c r="C552" s="2" t="s">
        <v>35</v>
      </c>
      <c r="D552" s="2" t="s">
        <v>18</v>
      </c>
      <c r="E552" s="2" t="s">
        <v>20</v>
      </c>
      <c r="F552" s="2" t="s">
        <v>17</v>
      </c>
      <c r="G552" s="2">
        <v>66186</v>
      </c>
      <c r="H552" s="2">
        <v>905</v>
      </c>
      <c r="I552" s="2">
        <v>83635</v>
      </c>
      <c r="J552" s="2">
        <v>395</v>
      </c>
      <c r="K552" s="2">
        <v>0.97</v>
      </c>
      <c r="L552" s="2">
        <v>6.29</v>
      </c>
      <c r="M552" s="2">
        <v>1.2</v>
      </c>
      <c r="N552" s="4">
        <v>8</v>
      </c>
    </row>
    <row r="553" spans="1:14" x14ac:dyDescent="0.35">
      <c r="A553" s="3">
        <v>2017</v>
      </c>
      <c r="B553" s="2">
        <v>11</v>
      </c>
      <c r="C553" s="2" t="s">
        <v>35</v>
      </c>
      <c r="D553" s="2" t="s">
        <v>26</v>
      </c>
      <c r="E553" s="2" t="s">
        <v>20</v>
      </c>
      <c r="F553" s="2" t="s">
        <v>23</v>
      </c>
      <c r="G553" s="2">
        <v>61928</v>
      </c>
      <c r="H553" s="2">
        <v>798</v>
      </c>
      <c r="I553" s="2">
        <v>260387</v>
      </c>
      <c r="J553" s="2">
        <v>378</v>
      </c>
      <c r="K553" s="2">
        <v>0.97</v>
      </c>
      <c r="L553" s="2">
        <v>6.29</v>
      </c>
      <c r="M553" s="2">
        <v>1.2</v>
      </c>
      <c r="N553" s="4">
        <v>9</v>
      </c>
    </row>
    <row r="554" spans="1:14" x14ac:dyDescent="0.35">
      <c r="A554" s="3">
        <v>2022</v>
      </c>
      <c r="B554" s="2">
        <v>9</v>
      </c>
      <c r="C554" s="2" t="s">
        <v>14</v>
      </c>
      <c r="D554" s="2" t="s">
        <v>26</v>
      </c>
      <c r="E554" s="2" t="s">
        <v>16</v>
      </c>
      <c r="F554" s="2" t="s">
        <v>27</v>
      </c>
      <c r="G554" s="2">
        <v>118087</v>
      </c>
      <c r="H554" s="2">
        <v>311</v>
      </c>
      <c r="I554" s="2">
        <v>130691</v>
      </c>
      <c r="J554" s="2">
        <v>143</v>
      </c>
      <c r="K554" s="2">
        <v>0.97</v>
      </c>
      <c r="L554" s="2">
        <v>6.29</v>
      </c>
      <c r="M554" s="2">
        <v>1.2</v>
      </c>
      <c r="N554" s="4">
        <v>7</v>
      </c>
    </row>
    <row r="555" spans="1:14" x14ac:dyDescent="0.35">
      <c r="A555" s="3">
        <v>2015</v>
      </c>
      <c r="B555" s="2">
        <v>11</v>
      </c>
      <c r="C555" s="2" t="s">
        <v>21</v>
      </c>
      <c r="D555" s="2" t="s">
        <v>31</v>
      </c>
      <c r="E555" s="2" t="s">
        <v>16</v>
      </c>
      <c r="F555" s="2" t="s">
        <v>23</v>
      </c>
      <c r="G555" s="2">
        <v>55711</v>
      </c>
      <c r="H555" s="2">
        <v>170</v>
      </c>
      <c r="I555" s="2">
        <v>345276</v>
      </c>
      <c r="J555" s="2">
        <v>55</v>
      </c>
      <c r="K555" s="2">
        <v>0.97</v>
      </c>
      <c r="L555" s="2">
        <v>6.29</v>
      </c>
      <c r="M555" s="2">
        <v>1.2</v>
      </c>
      <c r="N555" s="4">
        <v>9</v>
      </c>
    </row>
    <row r="556" spans="1:14" x14ac:dyDescent="0.35">
      <c r="A556" s="3">
        <v>2020</v>
      </c>
      <c r="B556" s="2">
        <v>9</v>
      </c>
      <c r="C556" s="2" t="s">
        <v>32</v>
      </c>
      <c r="D556" s="2" t="s">
        <v>15</v>
      </c>
      <c r="E556" s="2" t="s">
        <v>19</v>
      </c>
      <c r="F556" s="2" t="s">
        <v>17</v>
      </c>
      <c r="G556" s="2">
        <v>89962</v>
      </c>
      <c r="H556" s="2">
        <v>282</v>
      </c>
      <c r="I556" s="2">
        <v>327510</v>
      </c>
      <c r="J556" s="2">
        <v>59</v>
      </c>
      <c r="K556" s="2">
        <v>0.97</v>
      </c>
      <c r="L556" s="2">
        <v>6.29</v>
      </c>
      <c r="M556" s="2">
        <v>1.2</v>
      </c>
      <c r="N556" s="4">
        <v>10</v>
      </c>
    </row>
    <row r="557" spans="1:14" x14ac:dyDescent="0.35">
      <c r="A557" s="3">
        <v>2018</v>
      </c>
      <c r="B557" s="2">
        <v>5</v>
      </c>
      <c r="C557" s="2" t="s">
        <v>30</v>
      </c>
      <c r="D557" s="2" t="s">
        <v>34</v>
      </c>
      <c r="E557" s="2" t="s">
        <v>19</v>
      </c>
      <c r="F557" s="2" t="s">
        <v>23</v>
      </c>
      <c r="G557" s="2">
        <v>55039</v>
      </c>
      <c r="H557" s="2">
        <v>668</v>
      </c>
      <c r="I557" s="2">
        <v>143944</v>
      </c>
      <c r="J557" s="2">
        <v>175</v>
      </c>
      <c r="K557" s="2">
        <v>0.97</v>
      </c>
      <c r="L557" s="2">
        <v>6.29</v>
      </c>
      <c r="M557" s="2">
        <v>1.2</v>
      </c>
      <c r="N557" s="4">
        <v>2</v>
      </c>
    </row>
    <row r="558" spans="1:14" x14ac:dyDescent="0.35">
      <c r="A558" s="3">
        <v>2015</v>
      </c>
      <c r="B558" s="2">
        <v>10</v>
      </c>
      <c r="C558" s="2" t="s">
        <v>21</v>
      </c>
      <c r="D558" s="2" t="s">
        <v>33</v>
      </c>
      <c r="E558" s="2" t="s">
        <v>19</v>
      </c>
      <c r="F558" s="2" t="s">
        <v>27</v>
      </c>
      <c r="G558" s="2">
        <v>71561</v>
      </c>
      <c r="H558" s="2">
        <v>284</v>
      </c>
      <c r="I558" s="2">
        <v>253179</v>
      </c>
      <c r="J558" s="2">
        <v>115</v>
      </c>
      <c r="K558" s="2">
        <v>0.97</v>
      </c>
      <c r="L558" s="2">
        <v>6.29</v>
      </c>
      <c r="M558" s="2">
        <v>1.2</v>
      </c>
      <c r="N558" s="4">
        <v>6</v>
      </c>
    </row>
    <row r="559" spans="1:14" x14ac:dyDescent="0.35">
      <c r="A559" s="3">
        <v>2021</v>
      </c>
      <c r="B559" s="2">
        <v>4</v>
      </c>
      <c r="C559" s="2" t="s">
        <v>28</v>
      </c>
      <c r="D559" s="2" t="s">
        <v>24</v>
      </c>
      <c r="E559" s="2" t="s">
        <v>19</v>
      </c>
      <c r="F559" s="2" t="s">
        <v>20</v>
      </c>
      <c r="G559" s="2">
        <v>110483</v>
      </c>
      <c r="H559" s="2">
        <v>641</v>
      </c>
      <c r="I559" s="2">
        <v>427411</v>
      </c>
      <c r="J559" s="2">
        <v>225</v>
      </c>
      <c r="K559" s="2">
        <v>0.97</v>
      </c>
      <c r="L559" s="2">
        <v>6.29</v>
      </c>
      <c r="M559" s="2">
        <v>1.2</v>
      </c>
      <c r="N559" s="4">
        <v>3</v>
      </c>
    </row>
    <row r="560" spans="1:14" x14ac:dyDescent="0.35">
      <c r="A560" s="3">
        <v>2023</v>
      </c>
      <c r="B560" s="2">
        <v>11</v>
      </c>
      <c r="C560" s="2" t="s">
        <v>14</v>
      </c>
      <c r="D560" s="2" t="s">
        <v>31</v>
      </c>
      <c r="E560" s="2" t="s">
        <v>20</v>
      </c>
      <c r="F560" s="2" t="s">
        <v>27</v>
      </c>
      <c r="G560" s="2">
        <v>116395</v>
      </c>
      <c r="H560" s="2">
        <v>550</v>
      </c>
      <c r="I560" s="2">
        <v>89236</v>
      </c>
      <c r="J560" s="2">
        <v>155</v>
      </c>
      <c r="K560" s="2">
        <v>0.97</v>
      </c>
      <c r="L560" s="2">
        <v>6.29</v>
      </c>
      <c r="M560" s="2">
        <v>1.2</v>
      </c>
      <c r="N560" s="4">
        <v>6</v>
      </c>
    </row>
    <row r="561" spans="1:14" x14ac:dyDescent="0.35">
      <c r="A561" s="3">
        <v>2018</v>
      </c>
      <c r="B561" s="2">
        <v>6</v>
      </c>
      <c r="C561" s="2" t="s">
        <v>30</v>
      </c>
      <c r="D561" s="2" t="s">
        <v>26</v>
      </c>
      <c r="E561" s="2" t="s">
        <v>16</v>
      </c>
      <c r="F561" s="2" t="s">
        <v>17</v>
      </c>
      <c r="G561" s="2">
        <v>36577</v>
      </c>
      <c r="H561" s="2">
        <v>626</v>
      </c>
      <c r="I561" s="2">
        <v>316294</v>
      </c>
      <c r="J561" s="2">
        <v>81</v>
      </c>
      <c r="K561" s="2">
        <v>0.97</v>
      </c>
      <c r="L561" s="2">
        <v>6.29</v>
      </c>
      <c r="M561" s="2">
        <v>1.2</v>
      </c>
      <c r="N561" s="4">
        <v>3</v>
      </c>
    </row>
    <row r="562" spans="1:14" x14ac:dyDescent="0.35">
      <c r="A562" s="3">
        <v>2018</v>
      </c>
      <c r="B562" s="2">
        <v>12</v>
      </c>
      <c r="C562" s="2" t="s">
        <v>35</v>
      </c>
      <c r="D562" s="2" t="s">
        <v>26</v>
      </c>
      <c r="E562" s="2" t="s">
        <v>16</v>
      </c>
      <c r="F562" s="2" t="s">
        <v>20</v>
      </c>
      <c r="G562" s="2">
        <v>63350</v>
      </c>
      <c r="H562" s="2">
        <v>1033</v>
      </c>
      <c r="I562" s="2">
        <v>423513</v>
      </c>
      <c r="J562" s="2">
        <v>339</v>
      </c>
      <c r="K562" s="2">
        <v>0.97</v>
      </c>
      <c r="L562" s="2">
        <v>6.29</v>
      </c>
      <c r="M562" s="2">
        <v>1.2</v>
      </c>
      <c r="N562" s="4">
        <v>8</v>
      </c>
    </row>
    <row r="563" spans="1:14" x14ac:dyDescent="0.35">
      <c r="A563" s="3">
        <v>2020</v>
      </c>
      <c r="B563" s="2">
        <v>7</v>
      </c>
      <c r="C563" s="2" t="s">
        <v>36</v>
      </c>
      <c r="D563" s="2" t="s">
        <v>39</v>
      </c>
      <c r="E563" s="2" t="s">
        <v>19</v>
      </c>
      <c r="F563" s="2" t="s">
        <v>23</v>
      </c>
      <c r="G563" s="2">
        <v>68798</v>
      </c>
      <c r="H563" s="2">
        <v>730</v>
      </c>
      <c r="I563" s="2">
        <v>331567</v>
      </c>
      <c r="J563" s="2">
        <v>282</v>
      </c>
      <c r="K563" s="2">
        <v>0.97</v>
      </c>
      <c r="L563" s="2">
        <v>6.29</v>
      </c>
      <c r="M563" s="2">
        <v>1.2</v>
      </c>
      <c r="N563" s="4">
        <v>4</v>
      </c>
    </row>
    <row r="564" spans="1:14" x14ac:dyDescent="0.35">
      <c r="A564" s="3">
        <v>2017</v>
      </c>
      <c r="B564" s="2">
        <v>5</v>
      </c>
      <c r="C564" s="2" t="s">
        <v>25</v>
      </c>
      <c r="D564" s="2" t="s">
        <v>34</v>
      </c>
      <c r="E564" s="2" t="s">
        <v>19</v>
      </c>
      <c r="F564" s="2" t="s">
        <v>23</v>
      </c>
      <c r="G564" s="2">
        <v>116417</v>
      </c>
      <c r="H564" s="2">
        <v>705</v>
      </c>
      <c r="I564" s="2">
        <v>54137</v>
      </c>
      <c r="J564" s="2">
        <v>256</v>
      </c>
      <c r="K564" s="2">
        <v>0.97</v>
      </c>
      <c r="L564" s="2">
        <v>6.29</v>
      </c>
      <c r="M564" s="2">
        <v>1.2</v>
      </c>
      <c r="N564" s="4">
        <v>10</v>
      </c>
    </row>
    <row r="565" spans="1:14" x14ac:dyDescent="0.35">
      <c r="A565" s="3">
        <v>2020</v>
      </c>
      <c r="B565" s="2">
        <v>11</v>
      </c>
      <c r="C565" s="2" t="s">
        <v>35</v>
      </c>
      <c r="D565" s="2" t="s">
        <v>34</v>
      </c>
      <c r="E565" s="2" t="s">
        <v>20</v>
      </c>
      <c r="F565" s="2" t="s">
        <v>23</v>
      </c>
      <c r="G565" s="2">
        <v>45785</v>
      </c>
      <c r="H565" s="2">
        <v>542</v>
      </c>
      <c r="I565" s="2">
        <v>79992</v>
      </c>
      <c r="J565" s="2">
        <v>195</v>
      </c>
      <c r="K565" s="2">
        <v>0.97</v>
      </c>
      <c r="L565" s="2">
        <v>6.29</v>
      </c>
      <c r="M565" s="2">
        <v>1.2</v>
      </c>
      <c r="N565" s="4">
        <v>6</v>
      </c>
    </row>
    <row r="566" spans="1:14" x14ac:dyDescent="0.35">
      <c r="A566" s="3">
        <v>2021</v>
      </c>
      <c r="B566" s="2">
        <v>10</v>
      </c>
      <c r="C566" s="2" t="s">
        <v>32</v>
      </c>
      <c r="D566" s="2" t="s">
        <v>39</v>
      </c>
      <c r="E566" s="2" t="s">
        <v>20</v>
      </c>
      <c r="F566" s="2" t="s">
        <v>20</v>
      </c>
      <c r="G566" s="2">
        <v>107227</v>
      </c>
      <c r="H566" s="2">
        <v>380</v>
      </c>
      <c r="I566" s="2">
        <v>422684</v>
      </c>
      <c r="J566" s="2">
        <v>79</v>
      </c>
      <c r="K566" s="2">
        <v>0.97</v>
      </c>
      <c r="L566" s="2">
        <v>6.29</v>
      </c>
      <c r="M566" s="2">
        <v>1.2</v>
      </c>
      <c r="N566" s="4">
        <v>9</v>
      </c>
    </row>
    <row r="567" spans="1:14" x14ac:dyDescent="0.35">
      <c r="A567" s="3">
        <v>2024</v>
      </c>
      <c r="B567" s="2">
        <v>9</v>
      </c>
      <c r="C567" s="2" t="s">
        <v>38</v>
      </c>
      <c r="D567" s="2" t="s">
        <v>34</v>
      </c>
      <c r="E567" s="2" t="s">
        <v>19</v>
      </c>
      <c r="F567" s="2" t="s">
        <v>27</v>
      </c>
      <c r="G567" s="2">
        <v>96957</v>
      </c>
      <c r="H567" s="2">
        <v>605</v>
      </c>
      <c r="I567" s="2">
        <v>165140</v>
      </c>
      <c r="J567" s="2">
        <v>159</v>
      </c>
      <c r="K567" s="2">
        <v>0.97</v>
      </c>
      <c r="L567" s="2">
        <v>6.29</v>
      </c>
      <c r="M567" s="2">
        <v>1.2</v>
      </c>
      <c r="N567" s="4">
        <v>2</v>
      </c>
    </row>
    <row r="568" spans="1:14" x14ac:dyDescent="0.35">
      <c r="A568" s="3">
        <v>2024</v>
      </c>
      <c r="B568" s="2">
        <v>3</v>
      </c>
      <c r="C568" s="2" t="s">
        <v>36</v>
      </c>
      <c r="D568" s="2" t="s">
        <v>26</v>
      </c>
      <c r="E568" s="2" t="s">
        <v>16</v>
      </c>
      <c r="F568" s="2" t="s">
        <v>20</v>
      </c>
      <c r="G568" s="2">
        <v>100431</v>
      </c>
      <c r="H568" s="2">
        <v>646</v>
      </c>
      <c r="I568" s="2">
        <v>225993</v>
      </c>
      <c r="J568" s="2">
        <v>255</v>
      </c>
      <c r="K568" s="2">
        <v>0.97</v>
      </c>
      <c r="L568" s="2">
        <v>6.29</v>
      </c>
      <c r="M568" s="2">
        <v>1.2</v>
      </c>
      <c r="N568" s="4">
        <v>2</v>
      </c>
    </row>
    <row r="569" spans="1:14" x14ac:dyDescent="0.35">
      <c r="A569" s="3">
        <v>2017</v>
      </c>
      <c r="B569" s="2">
        <v>7</v>
      </c>
      <c r="C569" s="2" t="s">
        <v>25</v>
      </c>
      <c r="D569" s="2" t="s">
        <v>18</v>
      </c>
      <c r="E569" s="2" t="s">
        <v>16</v>
      </c>
      <c r="F569" s="2" t="s">
        <v>20</v>
      </c>
      <c r="G569" s="2">
        <v>52297</v>
      </c>
      <c r="H569" s="2">
        <v>738</v>
      </c>
      <c r="I569" s="2">
        <v>171225</v>
      </c>
      <c r="J569" s="2">
        <v>271</v>
      </c>
      <c r="K569" s="2">
        <v>0.97</v>
      </c>
      <c r="L569" s="2">
        <v>6.29</v>
      </c>
      <c r="M569" s="2">
        <v>1.2</v>
      </c>
      <c r="N569" s="4">
        <v>7</v>
      </c>
    </row>
    <row r="570" spans="1:14" x14ac:dyDescent="0.35">
      <c r="A570" s="3">
        <v>2021</v>
      </c>
      <c r="B570" s="2">
        <v>10</v>
      </c>
      <c r="C570" s="2" t="s">
        <v>25</v>
      </c>
      <c r="D570" s="2" t="s">
        <v>22</v>
      </c>
      <c r="E570" s="2" t="s">
        <v>16</v>
      </c>
      <c r="F570" s="2" t="s">
        <v>17</v>
      </c>
      <c r="G570" s="2">
        <v>106894</v>
      </c>
      <c r="H570" s="2">
        <v>467</v>
      </c>
      <c r="I570" s="2">
        <v>379061</v>
      </c>
      <c r="J570" s="2">
        <v>35</v>
      </c>
      <c r="K570" s="2">
        <v>0.97</v>
      </c>
      <c r="L570" s="2">
        <v>6.29</v>
      </c>
      <c r="M570" s="2">
        <v>1.2</v>
      </c>
      <c r="N570" s="4">
        <v>2</v>
      </c>
    </row>
    <row r="571" spans="1:14" x14ac:dyDescent="0.35">
      <c r="A571" s="3">
        <v>2017</v>
      </c>
      <c r="B571" s="2">
        <v>10</v>
      </c>
      <c r="C571" s="2" t="s">
        <v>28</v>
      </c>
      <c r="D571" s="2" t="s">
        <v>26</v>
      </c>
      <c r="E571" s="2" t="s">
        <v>19</v>
      </c>
      <c r="F571" s="2" t="s">
        <v>20</v>
      </c>
      <c r="G571" s="2">
        <v>98772</v>
      </c>
      <c r="H571" s="2">
        <v>406</v>
      </c>
      <c r="I571" s="2">
        <v>385834</v>
      </c>
      <c r="J571" s="2">
        <v>149</v>
      </c>
      <c r="K571" s="2">
        <v>0.97</v>
      </c>
      <c r="L571" s="2">
        <v>6.29</v>
      </c>
      <c r="M571" s="2">
        <v>1.2</v>
      </c>
      <c r="N571" s="4">
        <v>2</v>
      </c>
    </row>
    <row r="572" spans="1:14" x14ac:dyDescent="0.35">
      <c r="A572" s="3">
        <v>2016</v>
      </c>
      <c r="B572" s="2">
        <v>11</v>
      </c>
      <c r="C572" s="2" t="s">
        <v>28</v>
      </c>
      <c r="D572" s="2" t="s">
        <v>31</v>
      </c>
      <c r="E572" s="2" t="s">
        <v>16</v>
      </c>
      <c r="F572" s="2" t="s">
        <v>23</v>
      </c>
      <c r="G572" s="2">
        <v>54581</v>
      </c>
      <c r="H572" s="2">
        <v>346</v>
      </c>
      <c r="I572" s="2">
        <v>346379</v>
      </c>
      <c r="J572" s="2">
        <v>108</v>
      </c>
      <c r="K572" s="2">
        <v>0.97</v>
      </c>
      <c r="L572" s="2">
        <v>6.29</v>
      </c>
      <c r="M572" s="2">
        <v>1.2</v>
      </c>
      <c r="N572" s="4">
        <v>4</v>
      </c>
    </row>
    <row r="573" spans="1:14" x14ac:dyDescent="0.35">
      <c r="A573" s="3">
        <v>2024</v>
      </c>
      <c r="B573" s="2">
        <v>5</v>
      </c>
      <c r="C573" s="2" t="s">
        <v>37</v>
      </c>
      <c r="D573" s="2" t="s">
        <v>15</v>
      </c>
      <c r="E573" s="2" t="s">
        <v>20</v>
      </c>
      <c r="F573" s="2" t="s">
        <v>27</v>
      </c>
      <c r="G573" s="2">
        <v>90192</v>
      </c>
      <c r="H573" s="2">
        <v>784</v>
      </c>
      <c r="I573" s="2">
        <v>260047</v>
      </c>
      <c r="J573" s="2">
        <v>287</v>
      </c>
      <c r="K573" s="2">
        <v>0.97</v>
      </c>
      <c r="L573" s="2">
        <v>6.29</v>
      </c>
      <c r="M573" s="2">
        <v>1.2</v>
      </c>
      <c r="N573" s="4">
        <v>9</v>
      </c>
    </row>
    <row r="574" spans="1:14" x14ac:dyDescent="0.35">
      <c r="A574" s="3">
        <v>2018</v>
      </c>
      <c r="B574" s="2">
        <v>7</v>
      </c>
      <c r="C574" s="2" t="s">
        <v>35</v>
      </c>
      <c r="D574" s="2" t="s">
        <v>39</v>
      </c>
      <c r="E574" s="2" t="s">
        <v>20</v>
      </c>
      <c r="F574" s="2" t="s">
        <v>27</v>
      </c>
      <c r="G574" s="2">
        <v>36462</v>
      </c>
      <c r="H574" s="2">
        <v>182</v>
      </c>
      <c r="I574" s="2">
        <v>69122</v>
      </c>
      <c r="J574" s="2">
        <v>60</v>
      </c>
      <c r="K574" s="2">
        <v>0.97</v>
      </c>
      <c r="L574" s="2">
        <v>6.29</v>
      </c>
      <c r="M574" s="2">
        <v>1.2</v>
      </c>
      <c r="N574" s="4">
        <v>8</v>
      </c>
    </row>
    <row r="575" spans="1:14" x14ac:dyDescent="0.35">
      <c r="A575" s="3">
        <v>2022</v>
      </c>
      <c r="B575" s="2">
        <v>2</v>
      </c>
      <c r="C575" s="2" t="s">
        <v>35</v>
      </c>
      <c r="D575" s="2" t="s">
        <v>33</v>
      </c>
      <c r="E575" s="2" t="s">
        <v>19</v>
      </c>
      <c r="F575" s="2" t="s">
        <v>27</v>
      </c>
      <c r="G575" s="2">
        <v>99173</v>
      </c>
      <c r="H575" s="2">
        <v>431</v>
      </c>
      <c r="I575" s="2">
        <v>336100</v>
      </c>
      <c r="J575" s="2">
        <v>160</v>
      </c>
      <c r="K575" s="2">
        <v>0.97</v>
      </c>
      <c r="L575" s="2">
        <v>6.29</v>
      </c>
      <c r="M575" s="2">
        <v>1.2</v>
      </c>
      <c r="N575" s="4">
        <v>2</v>
      </c>
    </row>
    <row r="576" spans="1:14" x14ac:dyDescent="0.35">
      <c r="A576" s="3">
        <v>2023</v>
      </c>
      <c r="B576" s="2">
        <v>4</v>
      </c>
      <c r="C576" s="2" t="s">
        <v>35</v>
      </c>
      <c r="D576" s="2" t="s">
        <v>24</v>
      </c>
      <c r="E576" s="2" t="s">
        <v>20</v>
      </c>
      <c r="F576" s="2" t="s">
        <v>23</v>
      </c>
      <c r="G576" s="2">
        <v>50511</v>
      </c>
      <c r="H576" s="2">
        <v>309</v>
      </c>
      <c r="I576" s="2">
        <v>113879</v>
      </c>
      <c r="J576" s="2">
        <v>113</v>
      </c>
      <c r="K576" s="2">
        <v>0.97</v>
      </c>
      <c r="L576" s="2">
        <v>6.29</v>
      </c>
      <c r="M576" s="2">
        <v>1.2</v>
      </c>
      <c r="N576" s="4">
        <v>8</v>
      </c>
    </row>
    <row r="577" spans="1:14" x14ac:dyDescent="0.35">
      <c r="A577" s="3">
        <v>2021</v>
      </c>
      <c r="B577" s="2">
        <v>2</v>
      </c>
      <c r="C577" s="2" t="s">
        <v>37</v>
      </c>
      <c r="D577" s="2" t="s">
        <v>33</v>
      </c>
      <c r="E577" s="2" t="s">
        <v>19</v>
      </c>
      <c r="F577" s="2" t="s">
        <v>23</v>
      </c>
      <c r="G577" s="2">
        <v>111106</v>
      </c>
      <c r="H577" s="2">
        <v>381</v>
      </c>
      <c r="I577" s="2">
        <v>108560</v>
      </c>
      <c r="J577" s="2">
        <v>98</v>
      </c>
      <c r="K577" s="2">
        <v>0.97</v>
      </c>
      <c r="L577" s="2">
        <v>6.29</v>
      </c>
      <c r="M577" s="2">
        <v>1.2</v>
      </c>
      <c r="N577" s="4">
        <v>4</v>
      </c>
    </row>
    <row r="578" spans="1:14" x14ac:dyDescent="0.35">
      <c r="A578" s="3">
        <v>2015</v>
      </c>
      <c r="B578" s="2">
        <v>12</v>
      </c>
      <c r="C578" s="2" t="s">
        <v>21</v>
      </c>
      <c r="D578" s="2" t="s">
        <v>26</v>
      </c>
      <c r="E578" s="2" t="s">
        <v>16</v>
      </c>
      <c r="F578" s="2" t="s">
        <v>23</v>
      </c>
      <c r="G578" s="2">
        <v>83665</v>
      </c>
      <c r="H578" s="2">
        <v>553</v>
      </c>
      <c r="I578" s="2">
        <v>422454</v>
      </c>
      <c r="J578" s="2">
        <v>150</v>
      </c>
      <c r="K578" s="2">
        <v>0.97</v>
      </c>
      <c r="L578" s="2">
        <v>6.29</v>
      </c>
      <c r="M578" s="2">
        <v>1.2</v>
      </c>
      <c r="N578" s="4">
        <v>2</v>
      </c>
    </row>
    <row r="579" spans="1:14" x14ac:dyDescent="0.35">
      <c r="A579" s="3">
        <v>2017</v>
      </c>
      <c r="B579" s="2">
        <v>7</v>
      </c>
      <c r="C579" s="2" t="s">
        <v>25</v>
      </c>
      <c r="D579" s="2" t="s">
        <v>31</v>
      </c>
      <c r="E579" s="2" t="s">
        <v>16</v>
      </c>
      <c r="F579" s="2" t="s">
        <v>23</v>
      </c>
      <c r="G579" s="2">
        <v>79414</v>
      </c>
      <c r="H579" s="2">
        <v>632</v>
      </c>
      <c r="I579" s="2">
        <v>249757</v>
      </c>
      <c r="J579" s="2">
        <v>222</v>
      </c>
      <c r="K579" s="2">
        <v>0.97</v>
      </c>
      <c r="L579" s="2">
        <v>6.29</v>
      </c>
      <c r="M579" s="2">
        <v>1.2</v>
      </c>
      <c r="N579" s="4">
        <v>10</v>
      </c>
    </row>
    <row r="580" spans="1:14" x14ac:dyDescent="0.35">
      <c r="A580" s="3">
        <v>2023</v>
      </c>
      <c r="B580" s="2">
        <v>2</v>
      </c>
      <c r="C580" s="2" t="s">
        <v>36</v>
      </c>
      <c r="D580" s="2" t="s">
        <v>26</v>
      </c>
      <c r="E580" s="2" t="s">
        <v>16</v>
      </c>
      <c r="F580" s="2" t="s">
        <v>23</v>
      </c>
      <c r="G580" s="2">
        <v>116010</v>
      </c>
      <c r="H580" s="2">
        <v>887</v>
      </c>
      <c r="I580" s="2">
        <v>467876</v>
      </c>
      <c r="J580" s="2">
        <v>242</v>
      </c>
      <c r="K580" s="2">
        <v>0.97</v>
      </c>
      <c r="L580" s="2">
        <v>6.29</v>
      </c>
      <c r="M580" s="2">
        <v>1.2</v>
      </c>
      <c r="N580" s="4">
        <v>7</v>
      </c>
    </row>
    <row r="581" spans="1:14" x14ac:dyDescent="0.35">
      <c r="A581" s="3">
        <v>2015</v>
      </c>
      <c r="B581" s="2">
        <v>11</v>
      </c>
      <c r="C581" s="2" t="s">
        <v>32</v>
      </c>
      <c r="D581" s="2" t="s">
        <v>15</v>
      </c>
      <c r="E581" s="2" t="s">
        <v>20</v>
      </c>
      <c r="F581" s="2" t="s">
        <v>20</v>
      </c>
      <c r="G581" s="2">
        <v>107573</v>
      </c>
      <c r="H581" s="2">
        <v>759</v>
      </c>
      <c r="I581" s="2">
        <v>287268</v>
      </c>
      <c r="J581" s="2">
        <v>192</v>
      </c>
      <c r="K581" s="2">
        <v>0.97</v>
      </c>
      <c r="L581" s="2">
        <v>6.29</v>
      </c>
      <c r="M581" s="2">
        <v>1.2</v>
      </c>
      <c r="N581" s="4">
        <v>6</v>
      </c>
    </row>
    <row r="582" spans="1:14" x14ac:dyDescent="0.35">
      <c r="A582" s="3">
        <v>2023</v>
      </c>
      <c r="B582" s="2">
        <v>1</v>
      </c>
      <c r="C582" s="2" t="s">
        <v>25</v>
      </c>
      <c r="D582" s="2" t="s">
        <v>18</v>
      </c>
      <c r="E582" s="2" t="s">
        <v>19</v>
      </c>
      <c r="F582" s="2" t="s">
        <v>23</v>
      </c>
      <c r="G582" s="2">
        <v>48386</v>
      </c>
      <c r="H582" s="2">
        <v>615</v>
      </c>
      <c r="I582" s="2">
        <v>313312</v>
      </c>
      <c r="J582" s="2">
        <v>260</v>
      </c>
      <c r="K582" s="2">
        <v>0.97</v>
      </c>
      <c r="L582" s="2">
        <v>6.29</v>
      </c>
      <c r="M582" s="2">
        <v>1.2</v>
      </c>
      <c r="N582" s="4">
        <v>10</v>
      </c>
    </row>
    <row r="583" spans="1:14" x14ac:dyDescent="0.35">
      <c r="A583" s="3">
        <v>2022</v>
      </c>
      <c r="B583" s="2">
        <v>9</v>
      </c>
      <c r="C583" s="2" t="s">
        <v>28</v>
      </c>
      <c r="D583" s="2" t="s">
        <v>24</v>
      </c>
      <c r="E583" s="2" t="s">
        <v>16</v>
      </c>
      <c r="F583" s="2" t="s">
        <v>23</v>
      </c>
      <c r="G583" s="2">
        <v>89460</v>
      </c>
      <c r="H583" s="2">
        <v>111</v>
      </c>
      <c r="I583" s="2">
        <v>357268</v>
      </c>
      <c r="J583" s="2">
        <v>18</v>
      </c>
      <c r="K583" s="2">
        <v>0.97</v>
      </c>
      <c r="L583" s="2">
        <v>6.29</v>
      </c>
      <c r="M583" s="2">
        <v>1.2</v>
      </c>
      <c r="N583" s="4">
        <v>5</v>
      </c>
    </row>
    <row r="584" spans="1:14" x14ac:dyDescent="0.35">
      <c r="A584" s="3">
        <v>2015</v>
      </c>
      <c r="B584" s="2">
        <v>1</v>
      </c>
      <c r="C584" s="2" t="s">
        <v>30</v>
      </c>
      <c r="D584" s="2" t="s">
        <v>15</v>
      </c>
      <c r="E584" s="2" t="s">
        <v>19</v>
      </c>
      <c r="F584" s="2" t="s">
        <v>23</v>
      </c>
      <c r="G584" s="2">
        <v>41221</v>
      </c>
      <c r="H584" s="2">
        <v>492</v>
      </c>
      <c r="I584" s="2">
        <v>216969</v>
      </c>
      <c r="J584" s="2">
        <v>88</v>
      </c>
      <c r="K584" s="2">
        <v>0.97</v>
      </c>
      <c r="L584" s="2">
        <v>6.29</v>
      </c>
      <c r="M584" s="2">
        <v>1.2</v>
      </c>
      <c r="N584" s="4">
        <v>1</v>
      </c>
    </row>
    <row r="585" spans="1:14" x14ac:dyDescent="0.35">
      <c r="A585" s="3">
        <v>2020</v>
      </c>
      <c r="B585" s="2">
        <v>8</v>
      </c>
      <c r="C585" s="2" t="s">
        <v>38</v>
      </c>
      <c r="D585" s="2" t="s">
        <v>39</v>
      </c>
      <c r="E585" s="2" t="s">
        <v>16</v>
      </c>
      <c r="F585" s="2" t="s">
        <v>23</v>
      </c>
      <c r="G585" s="2">
        <v>58474</v>
      </c>
      <c r="H585" s="2">
        <v>245</v>
      </c>
      <c r="I585" s="2">
        <v>196104</v>
      </c>
      <c r="J585" s="2">
        <v>61</v>
      </c>
      <c r="K585" s="2">
        <v>0.97</v>
      </c>
      <c r="L585" s="2">
        <v>6.29</v>
      </c>
      <c r="M585" s="2">
        <v>1.2</v>
      </c>
      <c r="N585" s="4">
        <v>2</v>
      </c>
    </row>
    <row r="586" spans="1:14" x14ac:dyDescent="0.35">
      <c r="A586" s="3">
        <v>2019</v>
      </c>
      <c r="B586" s="2">
        <v>2</v>
      </c>
      <c r="C586" s="2" t="s">
        <v>37</v>
      </c>
      <c r="D586" s="2" t="s">
        <v>39</v>
      </c>
      <c r="E586" s="2" t="s">
        <v>20</v>
      </c>
      <c r="F586" s="2" t="s">
        <v>27</v>
      </c>
      <c r="G586" s="2">
        <v>56045</v>
      </c>
      <c r="H586" s="2">
        <v>1114</v>
      </c>
      <c r="I586" s="2">
        <v>364941</v>
      </c>
      <c r="J586" s="2">
        <v>395</v>
      </c>
      <c r="K586" s="2">
        <v>0.97</v>
      </c>
      <c r="L586" s="2">
        <v>6.29</v>
      </c>
      <c r="M586" s="2">
        <v>1.2</v>
      </c>
      <c r="N586" s="4">
        <v>8</v>
      </c>
    </row>
    <row r="587" spans="1:14" x14ac:dyDescent="0.35">
      <c r="A587" s="3">
        <v>2020</v>
      </c>
      <c r="B587" s="2">
        <v>12</v>
      </c>
      <c r="C587" s="2" t="s">
        <v>14</v>
      </c>
      <c r="D587" s="2" t="s">
        <v>26</v>
      </c>
      <c r="E587" s="2" t="s">
        <v>20</v>
      </c>
      <c r="F587" s="2" t="s">
        <v>23</v>
      </c>
      <c r="G587" s="2">
        <v>39922</v>
      </c>
      <c r="H587" s="2">
        <v>641</v>
      </c>
      <c r="I587" s="2">
        <v>347438</v>
      </c>
      <c r="J587" s="2">
        <v>278</v>
      </c>
      <c r="K587" s="2">
        <v>0.97</v>
      </c>
      <c r="L587" s="2">
        <v>6.29</v>
      </c>
      <c r="M587" s="2">
        <v>1.2</v>
      </c>
      <c r="N587" s="4">
        <v>1</v>
      </c>
    </row>
    <row r="588" spans="1:14" x14ac:dyDescent="0.35">
      <c r="A588" s="3">
        <v>2024</v>
      </c>
      <c r="B588" s="2">
        <v>8</v>
      </c>
      <c r="C588" s="2" t="s">
        <v>30</v>
      </c>
      <c r="D588" s="2" t="s">
        <v>31</v>
      </c>
      <c r="E588" s="2" t="s">
        <v>19</v>
      </c>
      <c r="F588" s="2" t="s">
        <v>20</v>
      </c>
      <c r="G588" s="2">
        <v>57706</v>
      </c>
      <c r="H588" s="2">
        <v>737</v>
      </c>
      <c r="I588" s="2">
        <v>487043</v>
      </c>
      <c r="J588" s="2">
        <v>235</v>
      </c>
      <c r="K588" s="2">
        <v>0.97</v>
      </c>
      <c r="L588" s="2">
        <v>6.29</v>
      </c>
      <c r="M588" s="2">
        <v>1.2</v>
      </c>
      <c r="N588" s="4">
        <v>3</v>
      </c>
    </row>
    <row r="589" spans="1:14" x14ac:dyDescent="0.35">
      <c r="A589" s="3">
        <v>2019</v>
      </c>
      <c r="B589" s="2">
        <v>3</v>
      </c>
      <c r="C589" s="2" t="s">
        <v>32</v>
      </c>
      <c r="D589" s="2" t="s">
        <v>15</v>
      </c>
      <c r="E589" s="2" t="s">
        <v>20</v>
      </c>
      <c r="F589" s="2" t="s">
        <v>20</v>
      </c>
      <c r="G589" s="2">
        <v>77771</v>
      </c>
      <c r="H589" s="2">
        <v>225</v>
      </c>
      <c r="I589" s="2">
        <v>315660</v>
      </c>
      <c r="J589" s="2">
        <v>60</v>
      </c>
      <c r="K589" s="2">
        <v>0.97</v>
      </c>
      <c r="L589" s="2">
        <v>6.29</v>
      </c>
      <c r="M589" s="2">
        <v>1.2</v>
      </c>
      <c r="N589" s="4">
        <v>2</v>
      </c>
    </row>
    <row r="590" spans="1:14" x14ac:dyDescent="0.35">
      <c r="A590" s="3">
        <v>2020</v>
      </c>
      <c r="B590" s="2">
        <v>6</v>
      </c>
      <c r="C590" s="2" t="s">
        <v>35</v>
      </c>
      <c r="D590" s="2" t="s">
        <v>29</v>
      </c>
      <c r="E590" s="2" t="s">
        <v>20</v>
      </c>
      <c r="F590" s="2" t="s">
        <v>20</v>
      </c>
      <c r="G590" s="2">
        <v>87335</v>
      </c>
      <c r="H590" s="2">
        <v>451</v>
      </c>
      <c r="I590" s="2">
        <v>200823</v>
      </c>
      <c r="J590" s="2">
        <v>195</v>
      </c>
      <c r="K590" s="2">
        <v>0.97</v>
      </c>
      <c r="L590" s="2">
        <v>6.29</v>
      </c>
      <c r="M590" s="2">
        <v>1.2</v>
      </c>
      <c r="N590" s="4">
        <v>5</v>
      </c>
    </row>
    <row r="591" spans="1:14" x14ac:dyDescent="0.35">
      <c r="A591" s="3">
        <v>2019</v>
      </c>
      <c r="B591" s="2">
        <v>3</v>
      </c>
      <c r="C591" s="2" t="s">
        <v>28</v>
      </c>
      <c r="D591" s="2" t="s">
        <v>31</v>
      </c>
      <c r="E591" s="2" t="s">
        <v>19</v>
      </c>
      <c r="F591" s="2" t="s">
        <v>17</v>
      </c>
      <c r="G591" s="2">
        <v>87949</v>
      </c>
      <c r="H591" s="2">
        <v>265</v>
      </c>
      <c r="I591" s="2">
        <v>80373</v>
      </c>
      <c r="J591" s="2">
        <v>43</v>
      </c>
      <c r="K591" s="2">
        <v>0.97</v>
      </c>
      <c r="L591" s="2">
        <v>6.29</v>
      </c>
      <c r="M591" s="2">
        <v>1.2</v>
      </c>
      <c r="N591" s="4">
        <v>4</v>
      </c>
    </row>
    <row r="592" spans="1:14" x14ac:dyDescent="0.35">
      <c r="A592" s="3">
        <v>2019</v>
      </c>
      <c r="B592" s="2">
        <v>7</v>
      </c>
      <c r="C592" s="2" t="s">
        <v>28</v>
      </c>
      <c r="D592" s="2" t="s">
        <v>18</v>
      </c>
      <c r="E592" s="2" t="s">
        <v>16</v>
      </c>
      <c r="F592" s="2" t="s">
        <v>27</v>
      </c>
      <c r="G592" s="2">
        <v>105714</v>
      </c>
      <c r="H592" s="2">
        <v>609</v>
      </c>
      <c r="I592" s="2">
        <v>172026</v>
      </c>
      <c r="J592" s="2">
        <v>300</v>
      </c>
      <c r="K592" s="2">
        <v>0.97</v>
      </c>
      <c r="L592" s="2">
        <v>6.29</v>
      </c>
      <c r="M592" s="2">
        <v>1.2</v>
      </c>
      <c r="N592" s="4">
        <v>7</v>
      </c>
    </row>
    <row r="593" spans="1:14" x14ac:dyDescent="0.35">
      <c r="A593" s="3">
        <v>2018</v>
      </c>
      <c r="B593" s="2">
        <v>10</v>
      </c>
      <c r="C593" s="2" t="s">
        <v>28</v>
      </c>
      <c r="D593" s="2" t="s">
        <v>39</v>
      </c>
      <c r="E593" s="2" t="s">
        <v>20</v>
      </c>
      <c r="F593" s="2" t="s">
        <v>23</v>
      </c>
      <c r="G593" s="2">
        <v>50240</v>
      </c>
      <c r="H593" s="2">
        <v>703</v>
      </c>
      <c r="I593" s="2">
        <v>80270</v>
      </c>
      <c r="J593" s="2">
        <v>239</v>
      </c>
      <c r="K593" s="2">
        <v>0.97</v>
      </c>
      <c r="L593" s="2">
        <v>6.29</v>
      </c>
      <c r="M593" s="2">
        <v>1.2</v>
      </c>
      <c r="N593" s="4">
        <v>5</v>
      </c>
    </row>
    <row r="594" spans="1:14" x14ac:dyDescent="0.35">
      <c r="A594" s="3">
        <v>2017</v>
      </c>
      <c r="B594" s="2">
        <v>9</v>
      </c>
      <c r="C594" s="2" t="s">
        <v>35</v>
      </c>
      <c r="D594" s="2" t="s">
        <v>26</v>
      </c>
      <c r="E594" s="2" t="s">
        <v>19</v>
      </c>
      <c r="F594" s="2" t="s">
        <v>17</v>
      </c>
      <c r="G594" s="2">
        <v>37716</v>
      </c>
      <c r="H594" s="2">
        <v>327</v>
      </c>
      <c r="I594" s="2">
        <v>453602</v>
      </c>
      <c r="J594" s="2">
        <v>140</v>
      </c>
      <c r="K594" s="2">
        <v>0.97</v>
      </c>
      <c r="L594" s="2">
        <v>6.29</v>
      </c>
      <c r="M594" s="2">
        <v>1.2</v>
      </c>
      <c r="N594" s="4">
        <v>8</v>
      </c>
    </row>
    <row r="595" spans="1:14" x14ac:dyDescent="0.35">
      <c r="A595" s="3">
        <v>2017</v>
      </c>
      <c r="B595" s="2">
        <v>2</v>
      </c>
      <c r="C595" s="2" t="s">
        <v>14</v>
      </c>
      <c r="D595" s="2" t="s">
        <v>34</v>
      </c>
      <c r="E595" s="2" t="s">
        <v>20</v>
      </c>
      <c r="F595" s="2" t="s">
        <v>23</v>
      </c>
      <c r="G595" s="2">
        <v>51574</v>
      </c>
      <c r="H595" s="2">
        <v>591</v>
      </c>
      <c r="I595" s="2">
        <v>282931</v>
      </c>
      <c r="J595" s="2">
        <v>129</v>
      </c>
      <c r="K595" s="2">
        <v>0.97</v>
      </c>
      <c r="L595" s="2">
        <v>6.29</v>
      </c>
      <c r="M595" s="2">
        <v>1.2</v>
      </c>
      <c r="N595" s="4">
        <v>4</v>
      </c>
    </row>
    <row r="596" spans="1:14" x14ac:dyDescent="0.35">
      <c r="A596" s="3">
        <v>2018</v>
      </c>
      <c r="B596" s="2">
        <v>12</v>
      </c>
      <c r="C596" s="2" t="s">
        <v>37</v>
      </c>
      <c r="D596" s="2" t="s">
        <v>39</v>
      </c>
      <c r="E596" s="2" t="s">
        <v>20</v>
      </c>
      <c r="F596" s="2" t="s">
        <v>17</v>
      </c>
      <c r="G596" s="2">
        <v>118255</v>
      </c>
      <c r="H596" s="2">
        <v>1069</v>
      </c>
      <c r="I596" s="2">
        <v>245889</v>
      </c>
      <c r="J596" s="2">
        <v>335</v>
      </c>
      <c r="K596" s="2">
        <v>0.97</v>
      </c>
      <c r="L596" s="2">
        <v>6.29</v>
      </c>
      <c r="M596" s="2">
        <v>1.2</v>
      </c>
      <c r="N596" s="4">
        <v>6</v>
      </c>
    </row>
    <row r="597" spans="1:14" x14ac:dyDescent="0.35">
      <c r="A597" s="3">
        <v>2023</v>
      </c>
      <c r="B597" s="2">
        <v>12</v>
      </c>
      <c r="C597" s="2" t="s">
        <v>30</v>
      </c>
      <c r="D597" s="2" t="s">
        <v>24</v>
      </c>
      <c r="E597" s="2" t="s">
        <v>20</v>
      </c>
      <c r="F597" s="2" t="s">
        <v>17</v>
      </c>
      <c r="G597" s="2">
        <v>108717</v>
      </c>
      <c r="H597" s="2">
        <v>530</v>
      </c>
      <c r="I597" s="2">
        <v>115184</v>
      </c>
      <c r="J597" s="2">
        <v>256</v>
      </c>
      <c r="K597" s="2">
        <v>0.97</v>
      </c>
      <c r="L597" s="2">
        <v>6.29</v>
      </c>
      <c r="M597" s="2">
        <v>1.2</v>
      </c>
      <c r="N597" s="4">
        <v>4</v>
      </c>
    </row>
    <row r="598" spans="1:14" x14ac:dyDescent="0.35">
      <c r="A598" s="3">
        <v>2016</v>
      </c>
      <c r="B598" s="2">
        <v>5</v>
      </c>
      <c r="C598" s="2" t="s">
        <v>35</v>
      </c>
      <c r="D598" s="2" t="s">
        <v>22</v>
      </c>
      <c r="E598" s="2" t="s">
        <v>20</v>
      </c>
      <c r="F598" s="2" t="s">
        <v>20</v>
      </c>
      <c r="G598" s="2">
        <v>79066</v>
      </c>
      <c r="H598" s="2">
        <v>587</v>
      </c>
      <c r="I598" s="2">
        <v>260765</v>
      </c>
      <c r="J598" s="2">
        <v>201</v>
      </c>
      <c r="K598" s="2">
        <v>0.97</v>
      </c>
      <c r="L598" s="2">
        <v>6.29</v>
      </c>
      <c r="M598" s="2">
        <v>1.2</v>
      </c>
      <c r="N598" s="4">
        <v>2</v>
      </c>
    </row>
    <row r="599" spans="1:14" x14ac:dyDescent="0.35">
      <c r="A599" s="3">
        <v>2023</v>
      </c>
      <c r="B599" s="2">
        <v>6</v>
      </c>
      <c r="C599" s="2" t="s">
        <v>32</v>
      </c>
      <c r="D599" s="2" t="s">
        <v>34</v>
      </c>
      <c r="E599" s="2" t="s">
        <v>19</v>
      </c>
      <c r="F599" s="2" t="s">
        <v>20</v>
      </c>
      <c r="G599" s="2">
        <v>96826</v>
      </c>
      <c r="H599" s="2">
        <v>905</v>
      </c>
      <c r="I599" s="2">
        <v>87879</v>
      </c>
      <c r="J599" s="2">
        <v>332</v>
      </c>
      <c r="K599" s="2">
        <v>0.97</v>
      </c>
      <c r="L599" s="2">
        <v>6.29</v>
      </c>
      <c r="M599" s="2">
        <v>1.2</v>
      </c>
      <c r="N599" s="4">
        <v>1</v>
      </c>
    </row>
    <row r="600" spans="1:14" x14ac:dyDescent="0.35">
      <c r="A600" s="3">
        <v>2015</v>
      </c>
      <c r="B600" s="2">
        <v>4</v>
      </c>
      <c r="C600" s="2" t="s">
        <v>37</v>
      </c>
      <c r="D600" s="2" t="s">
        <v>26</v>
      </c>
      <c r="E600" s="2" t="s">
        <v>19</v>
      </c>
      <c r="F600" s="2" t="s">
        <v>17</v>
      </c>
      <c r="G600" s="2">
        <v>55213</v>
      </c>
      <c r="H600" s="2">
        <v>717</v>
      </c>
      <c r="I600" s="2">
        <v>361741</v>
      </c>
      <c r="J600" s="2">
        <v>219</v>
      </c>
      <c r="K600" s="2">
        <v>0.97</v>
      </c>
      <c r="L600" s="2">
        <v>6.29</v>
      </c>
      <c r="M600" s="2">
        <v>1.2</v>
      </c>
      <c r="N600" s="4">
        <v>1</v>
      </c>
    </row>
    <row r="601" spans="1:14" x14ac:dyDescent="0.35">
      <c r="A601" s="3">
        <v>2015</v>
      </c>
      <c r="B601" s="2">
        <v>4</v>
      </c>
      <c r="C601" s="2" t="s">
        <v>32</v>
      </c>
      <c r="D601" s="2" t="s">
        <v>29</v>
      </c>
      <c r="E601" s="2" t="s">
        <v>19</v>
      </c>
      <c r="F601" s="2" t="s">
        <v>20</v>
      </c>
      <c r="G601" s="2">
        <v>106916</v>
      </c>
      <c r="H601" s="2">
        <v>408</v>
      </c>
      <c r="I601" s="2">
        <v>482348</v>
      </c>
      <c r="J601" s="2">
        <v>112</v>
      </c>
      <c r="K601" s="2">
        <v>0.97</v>
      </c>
      <c r="L601" s="2">
        <v>6.29</v>
      </c>
      <c r="M601" s="2">
        <v>1.2</v>
      </c>
      <c r="N601" s="4">
        <v>8</v>
      </c>
    </row>
    <row r="602" spans="1:14" x14ac:dyDescent="0.35">
      <c r="A602" s="3">
        <v>2019</v>
      </c>
      <c r="B602" s="2">
        <v>4</v>
      </c>
      <c r="C602" s="2" t="s">
        <v>37</v>
      </c>
      <c r="D602" s="2" t="s">
        <v>34</v>
      </c>
      <c r="E602" s="2" t="s">
        <v>20</v>
      </c>
      <c r="F602" s="2" t="s">
        <v>17</v>
      </c>
      <c r="G602" s="2">
        <v>101151</v>
      </c>
      <c r="H602" s="2">
        <v>976</v>
      </c>
      <c r="I602" s="2">
        <v>53626</v>
      </c>
      <c r="J602" s="2">
        <v>338</v>
      </c>
      <c r="K602" s="2">
        <v>0.97</v>
      </c>
      <c r="L602" s="2">
        <v>6.29</v>
      </c>
      <c r="M602" s="2">
        <v>1.2</v>
      </c>
      <c r="N602" s="4">
        <v>4</v>
      </c>
    </row>
    <row r="603" spans="1:14" x14ac:dyDescent="0.35">
      <c r="A603" s="3">
        <v>2020</v>
      </c>
      <c r="B603" s="2">
        <v>2</v>
      </c>
      <c r="C603" s="2" t="s">
        <v>14</v>
      </c>
      <c r="D603" s="2" t="s">
        <v>24</v>
      </c>
      <c r="E603" s="2" t="s">
        <v>20</v>
      </c>
      <c r="F603" s="2" t="s">
        <v>27</v>
      </c>
      <c r="G603" s="2">
        <v>85906</v>
      </c>
      <c r="H603" s="2">
        <v>802</v>
      </c>
      <c r="I603" s="2">
        <v>135936</v>
      </c>
      <c r="J603" s="2">
        <v>381</v>
      </c>
      <c r="K603" s="2">
        <v>0.97</v>
      </c>
      <c r="L603" s="2">
        <v>6.29</v>
      </c>
      <c r="M603" s="2">
        <v>1.2</v>
      </c>
      <c r="N603" s="4">
        <v>5</v>
      </c>
    </row>
    <row r="604" spans="1:14" x14ac:dyDescent="0.35">
      <c r="A604" s="3">
        <v>2020</v>
      </c>
      <c r="B604" s="2">
        <v>4</v>
      </c>
      <c r="C604" s="2" t="s">
        <v>38</v>
      </c>
      <c r="D604" s="2" t="s">
        <v>31</v>
      </c>
      <c r="E604" s="2" t="s">
        <v>20</v>
      </c>
      <c r="F604" s="2" t="s">
        <v>20</v>
      </c>
      <c r="G604" s="2">
        <v>35463</v>
      </c>
      <c r="H604" s="2">
        <v>644</v>
      </c>
      <c r="I604" s="2">
        <v>284873</v>
      </c>
      <c r="J604" s="2">
        <v>142</v>
      </c>
      <c r="K604" s="2">
        <v>0.97</v>
      </c>
      <c r="L604" s="2">
        <v>6.29</v>
      </c>
      <c r="M604" s="2">
        <v>1.2</v>
      </c>
      <c r="N604" s="4">
        <v>8</v>
      </c>
    </row>
    <row r="605" spans="1:14" x14ac:dyDescent="0.35">
      <c r="A605" s="3">
        <v>2017</v>
      </c>
      <c r="B605" s="2">
        <v>11</v>
      </c>
      <c r="C605" s="2" t="s">
        <v>32</v>
      </c>
      <c r="D605" s="2" t="s">
        <v>29</v>
      </c>
      <c r="E605" s="2" t="s">
        <v>19</v>
      </c>
      <c r="F605" s="2" t="s">
        <v>20</v>
      </c>
      <c r="G605" s="2">
        <v>66973</v>
      </c>
      <c r="H605" s="2">
        <v>737</v>
      </c>
      <c r="I605" s="2">
        <v>131515</v>
      </c>
      <c r="J605" s="2">
        <v>332</v>
      </c>
      <c r="K605" s="2">
        <v>0.97</v>
      </c>
      <c r="L605" s="2">
        <v>6.29</v>
      </c>
      <c r="M605" s="2">
        <v>1.2</v>
      </c>
      <c r="N605" s="4">
        <v>7</v>
      </c>
    </row>
    <row r="606" spans="1:14" x14ac:dyDescent="0.35">
      <c r="A606" s="3">
        <v>2021</v>
      </c>
      <c r="B606" s="2">
        <v>1</v>
      </c>
      <c r="C606" s="2" t="s">
        <v>35</v>
      </c>
      <c r="D606" s="2" t="s">
        <v>39</v>
      </c>
      <c r="E606" s="2" t="s">
        <v>20</v>
      </c>
      <c r="F606" s="2" t="s">
        <v>20</v>
      </c>
      <c r="G606" s="2">
        <v>109694</v>
      </c>
      <c r="H606" s="2">
        <v>410</v>
      </c>
      <c r="I606" s="2">
        <v>258137</v>
      </c>
      <c r="J606" s="2">
        <v>148</v>
      </c>
      <c r="K606" s="2">
        <v>0.97</v>
      </c>
      <c r="L606" s="2">
        <v>6.29</v>
      </c>
      <c r="M606" s="2">
        <v>1.2</v>
      </c>
      <c r="N606" s="4">
        <v>8</v>
      </c>
    </row>
    <row r="607" spans="1:14" x14ac:dyDescent="0.35">
      <c r="A607" s="3">
        <v>2023</v>
      </c>
      <c r="B607" s="2">
        <v>12</v>
      </c>
      <c r="C607" s="2" t="s">
        <v>37</v>
      </c>
      <c r="D607" s="2" t="s">
        <v>29</v>
      </c>
      <c r="E607" s="2" t="s">
        <v>16</v>
      </c>
      <c r="F607" s="2" t="s">
        <v>27</v>
      </c>
      <c r="G607" s="2">
        <v>55651</v>
      </c>
      <c r="H607" s="2">
        <v>511</v>
      </c>
      <c r="I607" s="2">
        <v>105390</v>
      </c>
      <c r="J607" s="2">
        <v>130</v>
      </c>
      <c r="K607" s="2">
        <v>0.97</v>
      </c>
      <c r="L607" s="2">
        <v>6.29</v>
      </c>
      <c r="M607" s="2">
        <v>1.2</v>
      </c>
      <c r="N607" s="4">
        <v>8</v>
      </c>
    </row>
    <row r="608" spans="1:14" x14ac:dyDescent="0.35">
      <c r="A608" s="3">
        <v>2024</v>
      </c>
      <c r="B608" s="2">
        <v>6</v>
      </c>
      <c r="C608" s="2" t="s">
        <v>28</v>
      </c>
      <c r="D608" s="2" t="s">
        <v>15</v>
      </c>
      <c r="E608" s="2" t="s">
        <v>20</v>
      </c>
      <c r="F608" s="2" t="s">
        <v>17</v>
      </c>
      <c r="G608" s="2">
        <v>103694</v>
      </c>
      <c r="H608" s="2">
        <v>527</v>
      </c>
      <c r="I608" s="2">
        <v>459861</v>
      </c>
      <c r="J608" s="2">
        <v>103</v>
      </c>
      <c r="K608" s="2">
        <v>0.97</v>
      </c>
      <c r="L608" s="2">
        <v>6.29</v>
      </c>
      <c r="M608" s="2">
        <v>1.2</v>
      </c>
      <c r="N608" s="4">
        <v>6</v>
      </c>
    </row>
    <row r="609" spans="1:14" x14ac:dyDescent="0.35">
      <c r="A609" s="3">
        <v>2022</v>
      </c>
      <c r="B609" s="2">
        <v>1</v>
      </c>
      <c r="C609" s="2" t="s">
        <v>25</v>
      </c>
      <c r="D609" s="2" t="s">
        <v>24</v>
      </c>
      <c r="E609" s="2" t="s">
        <v>16</v>
      </c>
      <c r="F609" s="2" t="s">
        <v>23</v>
      </c>
      <c r="G609" s="2">
        <v>55008</v>
      </c>
      <c r="H609" s="2">
        <v>521</v>
      </c>
      <c r="I609" s="2">
        <v>273032</v>
      </c>
      <c r="J609" s="2">
        <v>138</v>
      </c>
      <c r="K609" s="2">
        <v>0.97</v>
      </c>
      <c r="L609" s="2">
        <v>6.29</v>
      </c>
      <c r="M609" s="2">
        <v>1.2</v>
      </c>
      <c r="N609" s="4">
        <v>10</v>
      </c>
    </row>
    <row r="610" spans="1:14" x14ac:dyDescent="0.35">
      <c r="A610" s="3">
        <v>2020</v>
      </c>
      <c r="B610" s="2">
        <v>10</v>
      </c>
      <c r="C610" s="2" t="s">
        <v>28</v>
      </c>
      <c r="D610" s="2" t="s">
        <v>34</v>
      </c>
      <c r="E610" s="2" t="s">
        <v>20</v>
      </c>
      <c r="F610" s="2" t="s">
        <v>20</v>
      </c>
      <c r="G610" s="2">
        <v>105474</v>
      </c>
      <c r="H610" s="2">
        <v>355</v>
      </c>
      <c r="I610" s="2">
        <v>104144</v>
      </c>
      <c r="J610" s="2">
        <v>100</v>
      </c>
      <c r="K610" s="2">
        <v>0.97</v>
      </c>
      <c r="L610" s="2">
        <v>6.29</v>
      </c>
      <c r="M610" s="2">
        <v>1.2</v>
      </c>
      <c r="N610" s="4">
        <v>2</v>
      </c>
    </row>
    <row r="611" spans="1:14" x14ac:dyDescent="0.35">
      <c r="A611" s="3">
        <v>2022</v>
      </c>
      <c r="B611" s="2">
        <v>6</v>
      </c>
      <c r="C611" s="2" t="s">
        <v>21</v>
      </c>
      <c r="D611" s="2" t="s">
        <v>15</v>
      </c>
      <c r="E611" s="2" t="s">
        <v>19</v>
      </c>
      <c r="F611" s="2" t="s">
        <v>17</v>
      </c>
      <c r="G611" s="2">
        <v>73185</v>
      </c>
      <c r="H611" s="2">
        <v>406</v>
      </c>
      <c r="I611" s="2">
        <v>194454</v>
      </c>
      <c r="J611" s="2">
        <v>101</v>
      </c>
      <c r="K611" s="2">
        <v>0.97</v>
      </c>
      <c r="L611" s="2">
        <v>6.29</v>
      </c>
      <c r="M611" s="2">
        <v>1.2</v>
      </c>
      <c r="N611" s="4">
        <v>6</v>
      </c>
    </row>
    <row r="612" spans="1:14" x14ac:dyDescent="0.35">
      <c r="A612" s="3">
        <v>2019</v>
      </c>
      <c r="B612" s="2">
        <v>1</v>
      </c>
      <c r="C612" s="2" t="s">
        <v>38</v>
      </c>
      <c r="D612" s="2" t="s">
        <v>29</v>
      </c>
      <c r="E612" s="2" t="s">
        <v>20</v>
      </c>
      <c r="F612" s="2" t="s">
        <v>27</v>
      </c>
      <c r="G612" s="2">
        <v>109417</v>
      </c>
      <c r="H612" s="2">
        <v>250</v>
      </c>
      <c r="I612" s="2">
        <v>54025</v>
      </c>
      <c r="J612" s="2">
        <v>72</v>
      </c>
      <c r="K612" s="2">
        <v>0.97</v>
      </c>
      <c r="L612" s="2">
        <v>6.29</v>
      </c>
      <c r="M612" s="2">
        <v>1.2</v>
      </c>
      <c r="N612" s="4">
        <v>1</v>
      </c>
    </row>
    <row r="613" spans="1:14" x14ac:dyDescent="0.35">
      <c r="A613" s="3">
        <v>2022</v>
      </c>
      <c r="B613" s="2">
        <v>6</v>
      </c>
      <c r="C613" s="2" t="s">
        <v>38</v>
      </c>
      <c r="D613" s="2" t="s">
        <v>15</v>
      </c>
      <c r="E613" s="2" t="s">
        <v>16</v>
      </c>
      <c r="F613" s="2" t="s">
        <v>23</v>
      </c>
      <c r="G613" s="2">
        <v>106139</v>
      </c>
      <c r="H613" s="2">
        <v>407</v>
      </c>
      <c r="I613" s="2">
        <v>486442</v>
      </c>
      <c r="J613" s="2">
        <v>38</v>
      </c>
      <c r="K613" s="2">
        <v>0.97</v>
      </c>
      <c r="L613" s="2">
        <v>6.29</v>
      </c>
      <c r="M613" s="2">
        <v>1.2</v>
      </c>
      <c r="N613" s="4">
        <v>1</v>
      </c>
    </row>
    <row r="614" spans="1:14" x14ac:dyDescent="0.35">
      <c r="A614" s="3">
        <v>2024</v>
      </c>
      <c r="B614" s="2">
        <v>10</v>
      </c>
      <c r="C614" s="2" t="s">
        <v>28</v>
      </c>
      <c r="D614" s="2" t="s">
        <v>33</v>
      </c>
      <c r="E614" s="2" t="s">
        <v>16</v>
      </c>
      <c r="F614" s="2" t="s">
        <v>20</v>
      </c>
      <c r="G614" s="2">
        <v>69980</v>
      </c>
      <c r="H614" s="2">
        <v>914</v>
      </c>
      <c r="I614" s="2">
        <v>391524</v>
      </c>
      <c r="J614" s="2">
        <v>219</v>
      </c>
      <c r="K614" s="2">
        <v>0.97</v>
      </c>
      <c r="L614" s="2">
        <v>6.29</v>
      </c>
      <c r="M614" s="2">
        <v>1.2</v>
      </c>
      <c r="N614" s="4">
        <v>3</v>
      </c>
    </row>
    <row r="615" spans="1:14" x14ac:dyDescent="0.35">
      <c r="A615" s="3">
        <v>2018</v>
      </c>
      <c r="B615" s="2">
        <v>8</v>
      </c>
      <c r="C615" s="2" t="s">
        <v>30</v>
      </c>
      <c r="D615" s="2" t="s">
        <v>24</v>
      </c>
      <c r="E615" s="2" t="s">
        <v>20</v>
      </c>
      <c r="F615" s="2" t="s">
        <v>27</v>
      </c>
      <c r="G615" s="2">
        <v>57504</v>
      </c>
      <c r="H615" s="2">
        <v>387</v>
      </c>
      <c r="I615" s="2">
        <v>304043</v>
      </c>
      <c r="J615" s="2">
        <v>21</v>
      </c>
      <c r="K615" s="2">
        <v>0.97</v>
      </c>
      <c r="L615" s="2">
        <v>6.29</v>
      </c>
      <c r="M615" s="2">
        <v>1.2</v>
      </c>
      <c r="N615" s="4">
        <v>3</v>
      </c>
    </row>
    <row r="616" spans="1:14" x14ac:dyDescent="0.35">
      <c r="A616" s="3">
        <v>2024</v>
      </c>
      <c r="B616" s="2">
        <v>11</v>
      </c>
      <c r="C616" s="2" t="s">
        <v>14</v>
      </c>
      <c r="D616" s="2" t="s">
        <v>18</v>
      </c>
      <c r="E616" s="2" t="s">
        <v>16</v>
      </c>
      <c r="F616" s="2" t="s">
        <v>27</v>
      </c>
      <c r="G616" s="2">
        <v>89970</v>
      </c>
      <c r="H616" s="2">
        <v>798</v>
      </c>
      <c r="I616" s="2">
        <v>168910</v>
      </c>
      <c r="J616" s="2">
        <v>342</v>
      </c>
      <c r="K616" s="2">
        <v>0.97</v>
      </c>
      <c r="L616" s="2">
        <v>6.29</v>
      </c>
      <c r="M616" s="2">
        <v>1.2</v>
      </c>
      <c r="N616" s="4">
        <v>5</v>
      </c>
    </row>
    <row r="617" spans="1:14" x14ac:dyDescent="0.35">
      <c r="A617" s="3">
        <v>2022</v>
      </c>
      <c r="B617" s="2">
        <v>2</v>
      </c>
      <c r="C617" s="2" t="s">
        <v>32</v>
      </c>
      <c r="D617" s="2" t="s">
        <v>31</v>
      </c>
      <c r="E617" s="2" t="s">
        <v>16</v>
      </c>
      <c r="F617" s="2" t="s">
        <v>23</v>
      </c>
      <c r="G617" s="2">
        <v>51766</v>
      </c>
      <c r="H617" s="2">
        <v>1027</v>
      </c>
      <c r="I617" s="2">
        <v>146055</v>
      </c>
      <c r="J617" s="2">
        <v>306</v>
      </c>
      <c r="K617" s="2">
        <v>0.97</v>
      </c>
      <c r="L617" s="2">
        <v>6.29</v>
      </c>
      <c r="M617" s="2">
        <v>1.2</v>
      </c>
      <c r="N617" s="4">
        <v>1</v>
      </c>
    </row>
    <row r="618" spans="1:14" x14ac:dyDescent="0.35">
      <c r="A618" s="3">
        <v>2024</v>
      </c>
      <c r="B618" s="2">
        <v>2</v>
      </c>
      <c r="C618" s="2" t="s">
        <v>35</v>
      </c>
      <c r="D618" s="2" t="s">
        <v>29</v>
      </c>
      <c r="E618" s="2" t="s">
        <v>19</v>
      </c>
      <c r="F618" s="2" t="s">
        <v>17</v>
      </c>
      <c r="G618" s="2">
        <v>46695</v>
      </c>
      <c r="H618" s="2">
        <v>314</v>
      </c>
      <c r="I618" s="2">
        <v>438333</v>
      </c>
      <c r="J618" s="2">
        <v>139</v>
      </c>
      <c r="K618" s="2">
        <v>0.97</v>
      </c>
      <c r="L618" s="2">
        <v>6.29</v>
      </c>
      <c r="M618" s="2">
        <v>1.2</v>
      </c>
      <c r="N618" s="4">
        <v>10</v>
      </c>
    </row>
    <row r="619" spans="1:14" x14ac:dyDescent="0.35">
      <c r="A619" s="3">
        <v>2016</v>
      </c>
      <c r="B619" s="2">
        <v>12</v>
      </c>
      <c r="C619" s="2" t="s">
        <v>38</v>
      </c>
      <c r="D619" s="2" t="s">
        <v>24</v>
      </c>
      <c r="E619" s="2" t="s">
        <v>20</v>
      </c>
      <c r="F619" s="2" t="s">
        <v>20</v>
      </c>
      <c r="G619" s="2">
        <v>52796</v>
      </c>
      <c r="H619" s="2">
        <v>953</v>
      </c>
      <c r="I619" s="2">
        <v>255782</v>
      </c>
      <c r="J619" s="2">
        <v>302</v>
      </c>
      <c r="K619" s="2">
        <v>0.97</v>
      </c>
      <c r="L619" s="2">
        <v>6.29</v>
      </c>
      <c r="M619" s="2">
        <v>1.2</v>
      </c>
      <c r="N619" s="4">
        <v>6</v>
      </c>
    </row>
    <row r="620" spans="1:14" x14ac:dyDescent="0.35">
      <c r="A620" s="3">
        <v>2019</v>
      </c>
      <c r="B620" s="2">
        <v>4</v>
      </c>
      <c r="C620" s="2" t="s">
        <v>28</v>
      </c>
      <c r="D620" s="2" t="s">
        <v>18</v>
      </c>
      <c r="E620" s="2" t="s">
        <v>20</v>
      </c>
      <c r="F620" s="2" t="s">
        <v>20</v>
      </c>
      <c r="G620" s="2">
        <v>77543</v>
      </c>
      <c r="H620" s="2">
        <v>797</v>
      </c>
      <c r="I620" s="2">
        <v>446659</v>
      </c>
      <c r="J620" s="2">
        <v>182</v>
      </c>
      <c r="K620" s="2">
        <v>0.97</v>
      </c>
      <c r="L620" s="2">
        <v>6.29</v>
      </c>
      <c r="M620" s="2">
        <v>1.2</v>
      </c>
      <c r="N620" s="4">
        <v>7</v>
      </c>
    </row>
    <row r="621" spans="1:14" x14ac:dyDescent="0.35">
      <c r="A621" s="3">
        <v>2023</v>
      </c>
      <c r="B621" s="2">
        <v>11</v>
      </c>
      <c r="C621" s="2" t="s">
        <v>28</v>
      </c>
      <c r="D621" s="2" t="s">
        <v>18</v>
      </c>
      <c r="E621" s="2" t="s">
        <v>20</v>
      </c>
      <c r="F621" s="2" t="s">
        <v>17</v>
      </c>
      <c r="G621" s="2">
        <v>49559</v>
      </c>
      <c r="H621" s="2">
        <v>668</v>
      </c>
      <c r="I621" s="2">
        <v>333539</v>
      </c>
      <c r="J621" s="2">
        <v>217</v>
      </c>
      <c r="K621" s="2">
        <v>0.97</v>
      </c>
      <c r="L621" s="2">
        <v>6.29</v>
      </c>
      <c r="M621" s="2">
        <v>1.2</v>
      </c>
      <c r="N621" s="4">
        <v>10</v>
      </c>
    </row>
    <row r="622" spans="1:14" x14ac:dyDescent="0.35">
      <c r="A622" s="3">
        <v>2018</v>
      </c>
      <c r="B622" s="2">
        <v>3</v>
      </c>
      <c r="C622" s="2" t="s">
        <v>14</v>
      </c>
      <c r="D622" s="2" t="s">
        <v>26</v>
      </c>
      <c r="E622" s="2" t="s">
        <v>16</v>
      </c>
      <c r="F622" s="2" t="s">
        <v>17</v>
      </c>
      <c r="G622" s="2">
        <v>68139</v>
      </c>
      <c r="H622" s="2">
        <v>459</v>
      </c>
      <c r="I622" s="2">
        <v>322869</v>
      </c>
      <c r="J622" s="2">
        <v>33</v>
      </c>
      <c r="K622" s="2">
        <v>0.97</v>
      </c>
      <c r="L622" s="2">
        <v>6.29</v>
      </c>
      <c r="M622" s="2">
        <v>1.2</v>
      </c>
      <c r="N622" s="4">
        <v>3</v>
      </c>
    </row>
    <row r="623" spans="1:14" x14ac:dyDescent="0.35">
      <c r="A623" s="3">
        <v>2020</v>
      </c>
      <c r="B623" s="2">
        <v>4</v>
      </c>
      <c r="C623" s="2" t="s">
        <v>14</v>
      </c>
      <c r="D623" s="2" t="s">
        <v>15</v>
      </c>
      <c r="E623" s="2" t="s">
        <v>20</v>
      </c>
      <c r="F623" s="2" t="s">
        <v>17</v>
      </c>
      <c r="G623" s="2">
        <v>43802</v>
      </c>
      <c r="H623" s="2">
        <v>637</v>
      </c>
      <c r="I623" s="2">
        <v>83461</v>
      </c>
      <c r="J623" s="2">
        <v>108</v>
      </c>
      <c r="K623" s="2">
        <v>0.97</v>
      </c>
      <c r="L623" s="2">
        <v>6.29</v>
      </c>
      <c r="M623" s="2">
        <v>1.2</v>
      </c>
      <c r="N623" s="4">
        <v>4</v>
      </c>
    </row>
    <row r="624" spans="1:14" x14ac:dyDescent="0.35">
      <c r="A624" s="3">
        <v>2015</v>
      </c>
      <c r="B624" s="2">
        <v>12</v>
      </c>
      <c r="C624" s="2" t="s">
        <v>36</v>
      </c>
      <c r="D624" s="2" t="s">
        <v>18</v>
      </c>
      <c r="E624" s="2" t="s">
        <v>20</v>
      </c>
      <c r="F624" s="2" t="s">
        <v>23</v>
      </c>
      <c r="G624" s="2">
        <v>108843</v>
      </c>
      <c r="H624" s="2">
        <v>822</v>
      </c>
      <c r="I624" s="2">
        <v>308072</v>
      </c>
      <c r="J624" s="2">
        <v>365</v>
      </c>
      <c r="K624" s="2">
        <v>0.97</v>
      </c>
      <c r="L624" s="2">
        <v>6.29</v>
      </c>
      <c r="M624" s="2">
        <v>1.2</v>
      </c>
      <c r="N624" s="4">
        <v>10</v>
      </c>
    </row>
    <row r="625" spans="1:14" x14ac:dyDescent="0.35">
      <c r="A625" s="3">
        <v>2023</v>
      </c>
      <c r="B625" s="2">
        <v>7</v>
      </c>
      <c r="C625" s="2" t="s">
        <v>36</v>
      </c>
      <c r="D625" s="2" t="s">
        <v>33</v>
      </c>
      <c r="E625" s="2" t="s">
        <v>19</v>
      </c>
      <c r="F625" s="2" t="s">
        <v>23</v>
      </c>
      <c r="G625" s="2">
        <v>75205</v>
      </c>
      <c r="H625" s="2">
        <v>309</v>
      </c>
      <c r="I625" s="2">
        <v>91115</v>
      </c>
      <c r="J625" s="2">
        <v>148</v>
      </c>
      <c r="K625" s="2">
        <v>0.97</v>
      </c>
      <c r="L625" s="2">
        <v>6.29</v>
      </c>
      <c r="M625" s="2">
        <v>1.2</v>
      </c>
      <c r="N625" s="4">
        <v>10</v>
      </c>
    </row>
    <row r="626" spans="1:14" x14ac:dyDescent="0.35">
      <c r="A626" s="3">
        <v>2015</v>
      </c>
      <c r="B626" s="2">
        <v>11</v>
      </c>
      <c r="C626" s="2" t="s">
        <v>30</v>
      </c>
      <c r="D626" s="2" t="s">
        <v>24</v>
      </c>
      <c r="E626" s="2" t="s">
        <v>19</v>
      </c>
      <c r="F626" s="2" t="s">
        <v>20</v>
      </c>
      <c r="G626" s="2">
        <v>69159</v>
      </c>
      <c r="H626" s="2">
        <v>994</v>
      </c>
      <c r="I626" s="2">
        <v>160084</v>
      </c>
      <c r="J626" s="2">
        <v>323</v>
      </c>
      <c r="K626" s="2">
        <v>0.97</v>
      </c>
      <c r="L626" s="2">
        <v>6.29</v>
      </c>
      <c r="M626" s="2">
        <v>1.2</v>
      </c>
      <c r="N626" s="4">
        <v>10</v>
      </c>
    </row>
    <row r="627" spans="1:14" x14ac:dyDescent="0.35">
      <c r="A627" s="3">
        <v>2019</v>
      </c>
      <c r="B627" s="2">
        <v>1</v>
      </c>
      <c r="C627" s="2" t="s">
        <v>30</v>
      </c>
      <c r="D627" s="2" t="s">
        <v>22</v>
      </c>
      <c r="E627" s="2" t="s">
        <v>19</v>
      </c>
      <c r="F627" s="2" t="s">
        <v>23</v>
      </c>
      <c r="G627" s="2">
        <v>46516</v>
      </c>
      <c r="H627" s="2">
        <v>496</v>
      </c>
      <c r="I627" s="2">
        <v>395876</v>
      </c>
      <c r="J627" s="2">
        <v>183</v>
      </c>
      <c r="K627" s="2">
        <v>0.97</v>
      </c>
      <c r="L627" s="2">
        <v>6.29</v>
      </c>
      <c r="M627" s="2">
        <v>1.2</v>
      </c>
      <c r="N627" s="4">
        <v>10</v>
      </c>
    </row>
    <row r="628" spans="1:14" x14ac:dyDescent="0.35">
      <c r="A628" s="3">
        <v>2018</v>
      </c>
      <c r="B628" s="2">
        <v>6</v>
      </c>
      <c r="C628" s="2" t="s">
        <v>21</v>
      </c>
      <c r="D628" s="2" t="s">
        <v>22</v>
      </c>
      <c r="E628" s="2" t="s">
        <v>16</v>
      </c>
      <c r="F628" s="2" t="s">
        <v>27</v>
      </c>
      <c r="G628" s="2">
        <v>85492</v>
      </c>
      <c r="H628" s="2">
        <v>354</v>
      </c>
      <c r="I628" s="2">
        <v>391701</v>
      </c>
      <c r="J628" s="2">
        <v>38</v>
      </c>
      <c r="K628" s="2">
        <v>0.97</v>
      </c>
      <c r="L628" s="2">
        <v>6.29</v>
      </c>
      <c r="M628" s="2">
        <v>1.2</v>
      </c>
      <c r="N628" s="4">
        <v>10</v>
      </c>
    </row>
    <row r="629" spans="1:14" x14ac:dyDescent="0.35">
      <c r="A629" s="3">
        <v>2017</v>
      </c>
      <c r="B629" s="2">
        <v>3</v>
      </c>
      <c r="C629" s="2" t="s">
        <v>30</v>
      </c>
      <c r="D629" s="2" t="s">
        <v>29</v>
      </c>
      <c r="E629" s="2" t="s">
        <v>20</v>
      </c>
      <c r="F629" s="2" t="s">
        <v>20</v>
      </c>
      <c r="G629" s="2">
        <v>64086</v>
      </c>
      <c r="H629" s="2">
        <v>381</v>
      </c>
      <c r="I629" s="2">
        <v>383404</v>
      </c>
      <c r="J629" s="2">
        <v>152</v>
      </c>
      <c r="K629" s="2">
        <v>0.97</v>
      </c>
      <c r="L629" s="2">
        <v>6.29</v>
      </c>
      <c r="M629" s="2">
        <v>1.2</v>
      </c>
      <c r="N629" s="4">
        <v>3</v>
      </c>
    </row>
    <row r="630" spans="1:14" x14ac:dyDescent="0.35">
      <c r="A630" s="3">
        <v>2020</v>
      </c>
      <c r="B630" s="2">
        <v>11</v>
      </c>
      <c r="C630" s="2" t="s">
        <v>37</v>
      </c>
      <c r="D630" s="2" t="s">
        <v>39</v>
      </c>
      <c r="E630" s="2" t="s">
        <v>19</v>
      </c>
      <c r="F630" s="2" t="s">
        <v>23</v>
      </c>
      <c r="G630" s="2">
        <v>65480</v>
      </c>
      <c r="H630" s="2">
        <v>984</v>
      </c>
      <c r="I630" s="2">
        <v>209762</v>
      </c>
      <c r="J630" s="2">
        <v>325</v>
      </c>
      <c r="K630" s="2">
        <v>0.97</v>
      </c>
      <c r="L630" s="2">
        <v>6.29</v>
      </c>
      <c r="M630" s="2">
        <v>1.2</v>
      </c>
      <c r="N630" s="4">
        <v>1</v>
      </c>
    </row>
    <row r="631" spans="1:14" x14ac:dyDescent="0.35">
      <c r="A631" s="3">
        <v>2016</v>
      </c>
      <c r="B631" s="2">
        <v>10</v>
      </c>
      <c r="C631" s="2" t="s">
        <v>14</v>
      </c>
      <c r="D631" s="2" t="s">
        <v>15</v>
      </c>
      <c r="E631" s="2" t="s">
        <v>19</v>
      </c>
      <c r="F631" s="2" t="s">
        <v>17</v>
      </c>
      <c r="G631" s="2">
        <v>87091</v>
      </c>
      <c r="H631" s="2">
        <v>829</v>
      </c>
      <c r="I631" s="2">
        <v>313551</v>
      </c>
      <c r="J631" s="2">
        <v>360</v>
      </c>
      <c r="K631" s="2">
        <v>0.97</v>
      </c>
      <c r="L631" s="2">
        <v>6.29</v>
      </c>
      <c r="M631" s="2">
        <v>1.2</v>
      </c>
      <c r="N631" s="4">
        <v>8</v>
      </c>
    </row>
    <row r="632" spans="1:14" x14ac:dyDescent="0.35">
      <c r="A632" s="3">
        <v>2017</v>
      </c>
      <c r="B632" s="2">
        <v>7</v>
      </c>
      <c r="C632" s="2" t="s">
        <v>35</v>
      </c>
      <c r="D632" s="2" t="s">
        <v>39</v>
      </c>
      <c r="E632" s="2" t="s">
        <v>19</v>
      </c>
      <c r="F632" s="2" t="s">
        <v>27</v>
      </c>
      <c r="G632" s="2">
        <v>82766</v>
      </c>
      <c r="H632" s="2">
        <v>106</v>
      </c>
      <c r="I632" s="2">
        <v>123568</v>
      </c>
      <c r="J632" s="2">
        <v>51</v>
      </c>
      <c r="K632" s="2">
        <v>0.97</v>
      </c>
      <c r="L632" s="2">
        <v>6.29</v>
      </c>
      <c r="M632" s="2">
        <v>1.2</v>
      </c>
      <c r="N632" s="4">
        <v>10</v>
      </c>
    </row>
    <row r="633" spans="1:14" x14ac:dyDescent="0.35">
      <c r="A633" s="3">
        <v>2019</v>
      </c>
      <c r="B633" s="2">
        <v>10</v>
      </c>
      <c r="C633" s="2" t="s">
        <v>37</v>
      </c>
      <c r="D633" s="2" t="s">
        <v>18</v>
      </c>
      <c r="E633" s="2" t="s">
        <v>20</v>
      </c>
      <c r="F633" s="2" t="s">
        <v>17</v>
      </c>
      <c r="G633" s="2">
        <v>73737</v>
      </c>
      <c r="H633" s="2">
        <v>720</v>
      </c>
      <c r="I633" s="2">
        <v>108560</v>
      </c>
      <c r="J633" s="2">
        <v>308</v>
      </c>
      <c r="K633" s="2">
        <v>0.97</v>
      </c>
      <c r="L633" s="2">
        <v>6.29</v>
      </c>
      <c r="M633" s="2">
        <v>1.2</v>
      </c>
      <c r="N633" s="4">
        <v>10</v>
      </c>
    </row>
    <row r="634" spans="1:14" x14ac:dyDescent="0.35">
      <c r="A634" s="3">
        <v>2023</v>
      </c>
      <c r="B634" s="2">
        <v>2</v>
      </c>
      <c r="C634" s="2" t="s">
        <v>32</v>
      </c>
      <c r="D634" s="2" t="s">
        <v>24</v>
      </c>
      <c r="E634" s="2" t="s">
        <v>20</v>
      </c>
      <c r="F634" s="2" t="s">
        <v>20</v>
      </c>
      <c r="G634" s="2">
        <v>44265</v>
      </c>
      <c r="H634" s="2">
        <v>835</v>
      </c>
      <c r="I634" s="2">
        <v>490556</v>
      </c>
      <c r="J634" s="2">
        <v>217</v>
      </c>
      <c r="K634" s="2">
        <v>0.97</v>
      </c>
      <c r="L634" s="2">
        <v>6.29</v>
      </c>
      <c r="M634" s="2">
        <v>1.2</v>
      </c>
      <c r="N634" s="4">
        <v>2</v>
      </c>
    </row>
    <row r="635" spans="1:14" x14ac:dyDescent="0.35">
      <c r="A635" s="3">
        <v>2016</v>
      </c>
      <c r="B635" s="2">
        <v>2</v>
      </c>
      <c r="C635" s="2" t="s">
        <v>28</v>
      </c>
      <c r="D635" s="2" t="s">
        <v>29</v>
      </c>
      <c r="E635" s="2" t="s">
        <v>20</v>
      </c>
      <c r="F635" s="2" t="s">
        <v>17</v>
      </c>
      <c r="G635" s="2">
        <v>105990</v>
      </c>
      <c r="H635" s="2">
        <v>1024</v>
      </c>
      <c r="I635" s="2">
        <v>198866</v>
      </c>
      <c r="J635" s="2">
        <v>339</v>
      </c>
      <c r="K635" s="2">
        <v>0.97</v>
      </c>
      <c r="L635" s="2">
        <v>6.29</v>
      </c>
      <c r="M635" s="2">
        <v>1.2</v>
      </c>
      <c r="N635" s="4">
        <v>1</v>
      </c>
    </row>
    <row r="636" spans="1:14" x14ac:dyDescent="0.35">
      <c r="A636" s="3">
        <v>2024</v>
      </c>
      <c r="B636" s="2">
        <v>4</v>
      </c>
      <c r="C636" s="2" t="s">
        <v>30</v>
      </c>
      <c r="D636" s="2" t="s">
        <v>34</v>
      </c>
      <c r="E636" s="2" t="s">
        <v>16</v>
      </c>
      <c r="F636" s="2" t="s">
        <v>23</v>
      </c>
      <c r="G636" s="2">
        <v>50386</v>
      </c>
      <c r="H636" s="2">
        <v>815</v>
      </c>
      <c r="I636" s="2">
        <v>200953</v>
      </c>
      <c r="J636" s="2">
        <v>201</v>
      </c>
      <c r="K636" s="2">
        <v>0.97</v>
      </c>
      <c r="L636" s="2">
        <v>6.29</v>
      </c>
      <c r="M636" s="2">
        <v>1.2</v>
      </c>
      <c r="N636" s="4">
        <v>8</v>
      </c>
    </row>
    <row r="637" spans="1:14" x14ac:dyDescent="0.35">
      <c r="A637" s="3">
        <v>2022</v>
      </c>
      <c r="B637" s="2">
        <v>1</v>
      </c>
      <c r="C637" s="2" t="s">
        <v>28</v>
      </c>
      <c r="D637" s="2" t="s">
        <v>18</v>
      </c>
      <c r="E637" s="2" t="s">
        <v>16</v>
      </c>
      <c r="F637" s="2" t="s">
        <v>23</v>
      </c>
      <c r="G637" s="2">
        <v>72425</v>
      </c>
      <c r="H637" s="2">
        <v>719</v>
      </c>
      <c r="I637" s="2">
        <v>267364</v>
      </c>
      <c r="J637" s="2">
        <v>169</v>
      </c>
      <c r="K637" s="2">
        <v>0.97</v>
      </c>
      <c r="L637" s="2">
        <v>6.29</v>
      </c>
      <c r="M637" s="2">
        <v>1.2</v>
      </c>
      <c r="N637" s="4">
        <v>7</v>
      </c>
    </row>
    <row r="638" spans="1:14" x14ac:dyDescent="0.35">
      <c r="A638" s="3">
        <v>2016</v>
      </c>
      <c r="B638" s="2">
        <v>3</v>
      </c>
      <c r="C638" s="2" t="s">
        <v>38</v>
      </c>
      <c r="D638" s="2" t="s">
        <v>15</v>
      </c>
      <c r="E638" s="2" t="s">
        <v>19</v>
      </c>
      <c r="F638" s="2" t="s">
        <v>20</v>
      </c>
      <c r="G638" s="2">
        <v>78254</v>
      </c>
      <c r="H638" s="2">
        <v>377</v>
      </c>
      <c r="I638" s="2">
        <v>286770</v>
      </c>
      <c r="J638" s="2">
        <v>73</v>
      </c>
      <c r="K638" s="2">
        <v>0.97</v>
      </c>
      <c r="L638" s="2">
        <v>6.29</v>
      </c>
      <c r="M638" s="2">
        <v>1.2</v>
      </c>
      <c r="N638" s="4">
        <v>7</v>
      </c>
    </row>
    <row r="639" spans="1:14" x14ac:dyDescent="0.35">
      <c r="A639" s="3">
        <v>2019</v>
      </c>
      <c r="B639" s="2">
        <v>9</v>
      </c>
      <c r="C639" s="2" t="s">
        <v>21</v>
      </c>
      <c r="D639" s="2" t="s">
        <v>22</v>
      </c>
      <c r="E639" s="2" t="s">
        <v>20</v>
      </c>
      <c r="F639" s="2" t="s">
        <v>17</v>
      </c>
      <c r="G639" s="2">
        <v>88634</v>
      </c>
      <c r="H639" s="2">
        <v>663</v>
      </c>
      <c r="I639" s="2">
        <v>276024</v>
      </c>
      <c r="J639" s="2">
        <v>252</v>
      </c>
      <c r="K639" s="2">
        <v>0.97</v>
      </c>
      <c r="L639" s="2">
        <v>6.29</v>
      </c>
      <c r="M639" s="2">
        <v>1.2</v>
      </c>
      <c r="N639" s="4">
        <v>4</v>
      </c>
    </row>
    <row r="640" spans="1:14" x14ac:dyDescent="0.35">
      <c r="A640" s="3">
        <v>2021</v>
      </c>
      <c r="B640" s="2">
        <v>7</v>
      </c>
      <c r="C640" s="2" t="s">
        <v>38</v>
      </c>
      <c r="D640" s="2" t="s">
        <v>26</v>
      </c>
      <c r="E640" s="2" t="s">
        <v>19</v>
      </c>
      <c r="F640" s="2" t="s">
        <v>20</v>
      </c>
      <c r="G640" s="2">
        <v>82662</v>
      </c>
      <c r="H640" s="2">
        <v>641</v>
      </c>
      <c r="I640" s="2">
        <v>230775</v>
      </c>
      <c r="J640" s="2">
        <v>267</v>
      </c>
      <c r="K640" s="2">
        <v>0.97</v>
      </c>
      <c r="L640" s="2">
        <v>6.29</v>
      </c>
      <c r="M640" s="2">
        <v>1.2</v>
      </c>
      <c r="N640" s="4">
        <v>9</v>
      </c>
    </row>
    <row r="641" spans="1:14" x14ac:dyDescent="0.35">
      <c r="A641" s="3">
        <v>2022</v>
      </c>
      <c r="B641" s="2">
        <v>7</v>
      </c>
      <c r="C641" s="2" t="s">
        <v>21</v>
      </c>
      <c r="D641" s="2" t="s">
        <v>24</v>
      </c>
      <c r="E641" s="2" t="s">
        <v>20</v>
      </c>
      <c r="F641" s="2" t="s">
        <v>17</v>
      </c>
      <c r="G641" s="2">
        <v>110452</v>
      </c>
      <c r="H641" s="2">
        <v>415</v>
      </c>
      <c r="I641" s="2">
        <v>487570</v>
      </c>
      <c r="J641" s="2">
        <v>161</v>
      </c>
      <c r="K641" s="2">
        <v>0.97</v>
      </c>
      <c r="L641" s="2">
        <v>6.29</v>
      </c>
      <c r="M641" s="2">
        <v>1.2</v>
      </c>
      <c r="N641" s="4">
        <v>6</v>
      </c>
    </row>
    <row r="642" spans="1:14" x14ac:dyDescent="0.35">
      <c r="A642" s="3">
        <v>2015</v>
      </c>
      <c r="B642" s="2">
        <v>11</v>
      </c>
      <c r="C642" s="2" t="s">
        <v>36</v>
      </c>
      <c r="D642" s="2" t="s">
        <v>31</v>
      </c>
      <c r="E642" s="2" t="s">
        <v>20</v>
      </c>
      <c r="F642" s="2" t="s">
        <v>27</v>
      </c>
      <c r="G642" s="2">
        <v>45143</v>
      </c>
      <c r="H642" s="2">
        <v>651</v>
      </c>
      <c r="I642" s="2">
        <v>141288</v>
      </c>
      <c r="J642" s="2">
        <v>224</v>
      </c>
      <c r="K642" s="2">
        <v>0.97</v>
      </c>
      <c r="L642" s="2">
        <v>6.29</v>
      </c>
      <c r="M642" s="2">
        <v>1.2</v>
      </c>
      <c r="N642" s="4">
        <v>2</v>
      </c>
    </row>
    <row r="643" spans="1:14" x14ac:dyDescent="0.35">
      <c r="A643" s="3">
        <v>2020</v>
      </c>
      <c r="B643" s="2">
        <v>4</v>
      </c>
      <c r="C643" s="2" t="s">
        <v>28</v>
      </c>
      <c r="D643" s="2" t="s">
        <v>39</v>
      </c>
      <c r="E643" s="2" t="s">
        <v>20</v>
      </c>
      <c r="F643" s="2" t="s">
        <v>23</v>
      </c>
      <c r="G643" s="2">
        <v>50581</v>
      </c>
      <c r="H643" s="2">
        <v>877</v>
      </c>
      <c r="I643" s="2">
        <v>431164</v>
      </c>
      <c r="J643" s="2">
        <v>331</v>
      </c>
      <c r="K643" s="2">
        <v>0.97</v>
      </c>
      <c r="L643" s="2">
        <v>6.29</v>
      </c>
      <c r="M643" s="2">
        <v>1.2</v>
      </c>
      <c r="N643" s="4">
        <v>1</v>
      </c>
    </row>
    <row r="644" spans="1:14" x14ac:dyDescent="0.35">
      <c r="A644" s="3">
        <v>2015</v>
      </c>
      <c r="B644" s="2">
        <v>2</v>
      </c>
      <c r="C644" s="2" t="s">
        <v>21</v>
      </c>
      <c r="D644" s="2" t="s">
        <v>29</v>
      </c>
      <c r="E644" s="2" t="s">
        <v>16</v>
      </c>
      <c r="F644" s="2" t="s">
        <v>20</v>
      </c>
      <c r="G644" s="2">
        <v>102443</v>
      </c>
      <c r="H644" s="2">
        <v>533</v>
      </c>
      <c r="I644" s="2">
        <v>411445</v>
      </c>
      <c r="J644" s="2">
        <v>175</v>
      </c>
      <c r="K644" s="2">
        <v>0.97</v>
      </c>
      <c r="L644" s="2">
        <v>6.29</v>
      </c>
      <c r="M644" s="2">
        <v>1.2</v>
      </c>
      <c r="N644" s="4">
        <v>1</v>
      </c>
    </row>
    <row r="645" spans="1:14" x14ac:dyDescent="0.35">
      <c r="A645" s="3">
        <v>2016</v>
      </c>
      <c r="B645" s="2">
        <v>4</v>
      </c>
      <c r="C645" s="2" t="s">
        <v>25</v>
      </c>
      <c r="D645" s="2" t="s">
        <v>39</v>
      </c>
      <c r="E645" s="2" t="s">
        <v>16</v>
      </c>
      <c r="F645" s="2" t="s">
        <v>27</v>
      </c>
      <c r="G645" s="2">
        <v>64424</v>
      </c>
      <c r="H645" s="2">
        <v>456</v>
      </c>
      <c r="I645" s="2">
        <v>299836</v>
      </c>
      <c r="J645" s="2">
        <v>40</v>
      </c>
      <c r="K645" s="2">
        <v>0.97</v>
      </c>
      <c r="L645" s="2">
        <v>6.29</v>
      </c>
      <c r="M645" s="2">
        <v>1.2</v>
      </c>
      <c r="N645" s="4">
        <v>9</v>
      </c>
    </row>
    <row r="646" spans="1:14" x14ac:dyDescent="0.35">
      <c r="A646" s="3">
        <v>2015</v>
      </c>
      <c r="B646" s="2">
        <v>6</v>
      </c>
      <c r="C646" s="2" t="s">
        <v>37</v>
      </c>
      <c r="D646" s="2" t="s">
        <v>24</v>
      </c>
      <c r="E646" s="2" t="s">
        <v>20</v>
      </c>
      <c r="F646" s="2" t="s">
        <v>27</v>
      </c>
      <c r="G646" s="2">
        <v>76984</v>
      </c>
      <c r="H646" s="2">
        <v>814</v>
      </c>
      <c r="I646" s="2">
        <v>64390</v>
      </c>
      <c r="J646" s="2">
        <v>380</v>
      </c>
      <c r="K646" s="2">
        <v>0.97</v>
      </c>
      <c r="L646" s="2">
        <v>6.29</v>
      </c>
      <c r="M646" s="2">
        <v>1.2</v>
      </c>
      <c r="N646" s="4">
        <v>4</v>
      </c>
    </row>
    <row r="647" spans="1:14" x14ac:dyDescent="0.35">
      <c r="A647" s="3">
        <v>2019</v>
      </c>
      <c r="B647" s="2">
        <v>11</v>
      </c>
      <c r="C647" s="2" t="s">
        <v>21</v>
      </c>
      <c r="D647" s="2" t="s">
        <v>39</v>
      </c>
      <c r="E647" s="2" t="s">
        <v>19</v>
      </c>
      <c r="F647" s="2" t="s">
        <v>20</v>
      </c>
      <c r="G647" s="2">
        <v>76505</v>
      </c>
      <c r="H647" s="2">
        <v>557</v>
      </c>
      <c r="I647" s="2">
        <v>268547</v>
      </c>
      <c r="J647" s="2">
        <v>241</v>
      </c>
      <c r="K647" s="2">
        <v>0.97</v>
      </c>
      <c r="L647" s="2">
        <v>6.29</v>
      </c>
      <c r="M647" s="2">
        <v>1.2</v>
      </c>
      <c r="N647" s="4">
        <v>5</v>
      </c>
    </row>
    <row r="648" spans="1:14" x14ac:dyDescent="0.35">
      <c r="A648" s="3">
        <v>2024</v>
      </c>
      <c r="B648" s="2">
        <v>11</v>
      </c>
      <c r="C648" s="2" t="s">
        <v>21</v>
      </c>
      <c r="D648" s="2" t="s">
        <v>24</v>
      </c>
      <c r="E648" s="2" t="s">
        <v>20</v>
      </c>
      <c r="F648" s="2" t="s">
        <v>20</v>
      </c>
      <c r="G648" s="2">
        <v>97699</v>
      </c>
      <c r="H648" s="2">
        <v>730</v>
      </c>
      <c r="I648" s="2">
        <v>77307</v>
      </c>
      <c r="J648" s="2">
        <v>291</v>
      </c>
      <c r="K648" s="2">
        <v>0.97</v>
      </c>
      <c r="L648" s="2">
        <v>6.29</v>
      </c>
      <c r="M648" s="2">
        <v>1.2</v>
      </c>
      <c r="N648" s="4">
        <v>3</v>
      </c>
    </row>
    <row r="649" spans="1:14" x14ac:dyDescent="0.35">
      <c r="A649" s="3">
        <v>2023</v>
      </c>
      <c r="B649" s="2">
        <v>3</v>
      </c>
      <c r="C649" s="2" t="s">
        <v>37</v>
      </c>
      <c r="D649" s="2" t="s">
        <v>39</v>
      </c>
      <c r="E649" s="2" t="s">
        <v>20</v>
      </c>
      <c r="F649" s="2" t="s">
        <v>27</v>
      </c>
      <c r="G649" s="2">
        <v>61957</v>
      </c>
      <c r="H649" s="2">
        <v>550</v>
      </c>
      <c r="I649" s="2">
        <v>277436</v>
      </c>
      <c r="J649" s="2">
        <v>38</v>
      </c>
      <c r="K649" s="2">
        <v>0.97</v>
      </c>
      <c r="L649" s="2">
        <v>6.29</v>
      </c>
      <c r="M649" s="2">
        <v>1.2</v>
      </c>
      <c r="N649" s="4">
        <v>4</v>
      </c>
    </row>
    <row r="650" spans="1:14" x14ac:dyDescent="0.35">
      <c r="A650" s="3">
        <v>2020</v>
      </c>
      <c r="B650" s="2">
        <v>1</v>
      </c>
      <c r="C650" s="2" t="s">
        <v>28</v>
      </c>
      <c r="D650" s="2" t="s">
        <v>33</v>
      </c>
      <c r="E650" s="2" t="s">
        <v>19</v>
      </c>
      <c r="F650" s="2" t="s">
        <v>17</v>
      </c>
      <c r="G650" s="2">
        <v>60464</v>
      </c>
      <c r="H650" s="2">
        <v>842</v>
      </c>
      <c r="I650" s="2">
        <v>275121</v>
      </c>
      <c r="J650" s="2">
        <v>204</v>
      </c>
      <c r="K650" s="2">
        <v>0.97</v>
      </c>
      <c r="L650" s="2">
        <v>6.29</v>
      </c>
      <c r="M650" s="2">
        <v>1.2</v>
      </c>
      <c r="N650" s="4">
        <v>8</v>
      </c>
    </row>
    <row r="651" spans="1:14" x14ac:dyDescent="0.35">
      <c r="A651" s="3">
        <v>2015</v>
      </c>
      <c r="B651" s="2">
        <v>12</v>
      </c>
      <c r="C651" s="2" t="s">
        <v>28</v>
      </c>
      <c r="D651" s="2" t="s">
        <v>34</v>
      </c>
      <c r="E651" s="2" t="s">
        <v>20</v>
      </c>
      <c r="F651" s="2" t="s">
        <v>27</v>
      </c>
      <c r="G651" s="2">
        <v>58649</v>
      </c>
      <c r="H651" s="2">
        <v>1071</v>
      </c>
      <c r="I651" s="2">
        <v>301063</v>
      </c>
      <c r="J651" s="2">
        <v>343</v>
      </c>
      <c r="K651" s="2">
        <v>0.97</v>
      </c>
      <c r="L651" s="2">
        <v>6.29</v>
      </c>
      <c r="M651" s="2">
        <v>1.2</v>
      </c>
      <c r="N651" s="4">
        <v>4</v>
      </c>
    </row>
    <row r="652" spans="1:14" x14ac:dyDescent="0.35">
      <c r="A652" s="3">
        <v>2015</v>
      </c>
      <c r="B652" s="2">
        <v>8</v>
      </c>
      <c r="C652" s="2" t="s">
        <v>37</v>
      </c>
      <c r="D652" s="2" t="s">
        <v>18</v>
      </c>
      <c r="E652" s="2" t="s">
        <v>19</v>
      </c>
      <c r="F652" s="2" t="s">
        <v>20</v>
      </c>
      <c r="G652" s="2">
        <v>77065</v>
      </c>
      <c r="H652" s="2">
        <v>929</v>
      </c>
      <c r="I652" s="2">
        <v>74502</v>
      </c>
      <c r="J652" s="2">
        <v>265</v>
      </c>
      <c r="K652" s="2">
        <v>0.97</v>
      </c>
      <c r="L652" s="2">
        <v>6.29</v>
      </c>
      <c r="M652" s="2">
        <v>1.2</v>
      </c>
      <c r="N652" s="4">
        <v>9</v>
      </c>
    </row>
    <row r="653" spans="1:14" x14ac:dyDescent="0.35">
      <c r="A653" s="3">
        <v>2016</v>
      </c>
      <c r="B653" s="2">
        <v>12</v>
      </c>
      <c r="C653" s="2" t="s">
        <v>38</v>
      </c>
      <c r="D653" s="2" t="s">
        <v>18</v>
      </c>
      <c r="E653" s="2" t="s">
        <v>16</v>
      </c>
      <c r="F653" s="2" t="s">
        <v>27</v>
      </c>
      <c r="G653" s="2">
        <v>69758</v>
      </c>
      <c r="H653" s="2">
        <v>977</v>
      </c>
      <c r="I653" s="2">
        <v>72486</v>
      </c>
      <c r="J653" s="2">
        <v>290</v>
      </c>
      <c r="K653" s="2">
        <v>0.97</v>
      </c>
      <c r="L653" s="2">
        <v>6.29</v>
      </c>
      <c r="M653" s="2">
        <v>1.2</v>
      </c>
      <c r="N653" s="4">
        <v>9</v>
      </c>
    </row>
    <row r="654" spans="1:14" x14ac:dyDescent="0.35">
      <c r="A654" s="3">
        <v>2023</v>
      </c>
      <c r="B654" s="2">
        <v>5</v>
      </c>
      <c r="C654" s="2" t="s">
        <v>25</v>
      </c>
      <c r="D654" s="2" t="s">
        <v>15</v>
      </c>
      <c r="E654" s="2" t="s">
        <v>16</v>
      </c>
      <c r="F654" s="2" t="s">
        <v>17</v>
      </c>
      <c r="G654" s="2">
        <v>40596</v>
      </c>
      <c r="H654" s="2">
        <v>989</v>
      </c>
      <c r="I654" s="2">
        <v>423957</v>
      </c>
      <c r="J654" s="2">
        <v>313</v>
      </c>
      <c r="K654" s="2">
        <v>0.97</v>
      </c>
      <c r="L654" s="2">
        <v>6.29</v>
      </c>
      <c r="M654" s="2">
        <v>1.2</v>
      </c>
      <c r="N654" s="4">
        <v>6</v>
      </c>
    </row>
    <row r="655" spans="1:14" x14ac:dyDescent="0.35">
      <c r="A655" s="3">
        <v>2017</v>
      </c>
      <c r="B655" s="2">
        <v>5</v>
      </c>
      <c r="C655" s="2" t="s">
        <v>35</v>
      </c>
      <c r="D655" s="2" t="s">
        <v>31</v>
      </c>
      <c r="E655" s="2" t="s">
        <v>19</v>
      </c>
      <c r="F655" s="2" t="s">
        <v>23</v>
      </c>
      <c r="G655" s="2">
        <v>51374</v>
      </c>
      <c r="H655" s="2">
        <v>1096</v>
      </c>
      <c r="I655" s="2">
        <v>219330</v>
      </c>
      <c r="J655" s="2">
        <v>330</v>
      </c>
      <c r="K655" s="2">
        <v>0.97</v>
      </c>
      <c r="L655" s="2">
        <v>6.29</v>
      </c>
      <c r="M655" s="2">
        <v>1.2</v>
      </c>
      <c r="N655" s="4">
        <v>2</v>
      </c>
    </row>
    <row r="656" spans="1:14" x14ac:dyDescent="0.35">
      <c r="A656" s="3">
        <v>2015</v>
      </c>
      <c r="B656" s="2">
        <v>11</v>
      </c>
      <c r="C656" s="2" t="s">
        <v>32</v>
      </c>
      <c r="D656" s="2" t="s">
        <v>31</v>
      </c>
      <c r="E656" s="2" t="s">
        <v>16</v>
      </c>
      <c r="F656" s="2" t="s">
        <v>23</v>
      </c>
      <c r="G656" s="2">
        <v>38775</v>
      </c>
      <c r="H656" s="2">
        <v>835</v>
      </c>
      <c r="I656" s="2">
        <v>238788</v>
      </c>
      <c r="J656" s="2">
        <v>332</v>
      </c>
      <c r="K656" s="2">
        <v>0.97</v>
      </c>
      <c r="L656" s="2">
        <v>6.29</v>
      </c>
      <c r="M656" s="2">
        <v>1.2</v>
      </c>
      <c r="N656" s="4">
        <v>10</v>
      </c>
    </row>
    <row r="657" spans="1:14" x14ac:dyDescent="0.35">
      <c r="A657" s="3">
        <v>2019</v>
      </c>
      <c r="B657" s="2">
        <v>4</v>
      </c>
      <c r="C657" s="2" t="s">
        <v>25</v>
      </c>
      <c r="D657" s="2" t="s">
        <v>15</v>
      </c>
      <c r="E657" s="2" t="s">
        <v>16</v>
      </c>
      <c r="F657" s="2" t="s">
        <v>27</v>
      </c>
      <c r="G657" s="2">
        <v>62388</v>
      </c>
      <c r="H657" s="2">
        <v>886</v>
      </c>
      <c r="I657" s="2">
        <v>278300</v>
      </c>
      <c r="J657" s="2">
        <v>355</v>
      </c>
      <c r="K657" s="2">
        <v>0.97</v>
      </c>
      <c r="L657" s="2">
        <v>6.29</v>
      </c>
      <c r="M657" s="2">
        <v>1.2</v>
      </c>
      <c r="N657" s="4">
        <v>7</v>
      </c>
    </row>
    <row r="658" spans="1:14" x14ac:dyDescent="0.35">
      <c r="A658" s="3">
        <v>2021</v>
      </c>
      <c r="B658" s="2">
        <v>6</v>
      </c>
      <c r="C658" s="2" t="s">
        <v>28</v>
      </c>
      <c r="D658" s="2" t="s">
        <v>26</v>
      </c>
      <c r="E658" s="2" t="s">
        <v>19</v>
      </c>
      <c r="F658" s="2" t="s">
        <v>17</v>
      </c>
      <c r="G658" s="2">
        <v>56029</v>
      </c>
      <c r="H658" s="2">
        <v>682</v>
      </c>
      <c r="I658" s="2">
        <v>153920</v>
      </c>
      <c r="J658" s="2">
        <v>303</v>
      </c>
      <c r="K658" s="2">
        <v>0.97</v>
      </c>
      <c r="L658" s="2">
        <v>6.29</v>
      </c>
      <c r="M658" s="2">
        <v>1.2</v>
      </c>
      <c r="N658" s="4">
        <v>9</v>
      </c>
    </row>
    <row r="659" spans="1:14" x14ac:dyDescent="0.35">
      <c r="A659" s="3">
        <v>2020</v>
      </c>
      <c r="B659" s="2">
        <v>3</v>
      </c>
      <c r="C659" s="2" t="s">
        <v>35</v>
      </c>
      <c r="D659" s="2" t="s">
        <v>18</v>
      </c>
      <c r="E659" s="2" t="s">
        <v>16</v>
      </c>
      <c r="F659" s="2" t="s">
        <v>23</v>
      </c>
      <c r="G659" s="2">
        <v>118981</v>
      </c>
      <c r="H659" s="2">
        <v>622</v>
      </c>
      <c r="I659" s="2">
        <v>262566</v>
      </c>
      <c r="J659" s="2">
        <v>96</v>
      </c>
      <c r="K659" s="2">
        <v>0.97</v>
      </c>
      <c r="L659" s="2">
        <v>6.29</v>
      </c>
      <c r="M659" s="2">
        <v>1.2</v>
      </c>
      <c r="N659" s="4">
        <v>6</v>
      </c>
    </row>
    <row r="660" spans="1:14" x14ac:dyDescent="0.35">
      <c r="A660" s="3">
        <v>2015</v>
      </c>
      <c r="B660" s="2">
        <v>9</v>
      </c>
      <c r="C660" s="2" t="s">
        <v>36</v>
      </c>
      <c r="D660" s="2" t="s">
        <v>26</v>
      </c>
      <c r="E660" s="2" t="s">
        <v>20</v>
      </c>
      <c r="F660" s="2" t="s">
        <v>27</v>
      </c>
      <c r="G660" s="2">
        <v>88639</v>
      </c>
      <c r="H660" s="2">
        <v>482</v>
      </c>
      <c r="I660" s="2">
        <v>394912</v>
      </c>
      <c r="J660" s="2">
        <v>158</v>
      </c>
      <c r="K660" s="2">
        <v>0.97</v>
      </c>
      <c r="L660" s="2">
        <v>6.29</v>
      </c>
      <c r="M660" s="2">
        <v>1.2</v>
      </c>
      <c r="N660" s="4">
        <v>3</v>
      </c>
    </row>
    <row r="661" spans="1:14" x14ac:dyDescent="0.35">
      <c r="A661" s="3">
        <v>2019</v>
      </c>
      <c r="B661" s="2">
        <v>5</v>
      </c>
      <c r="C661" s="2" t="s">
        <v>30</v>
      </c>
      <c r="D661" s="2" t="s">
        <v>24</v>
      </c>
      <c r="E661" s="2" t="s">
        <v>20</v>
      </c>
      <c r="F661" s="2" t="s">
        <v>27</v>
      </c>
      <c r="G661" s="2">
        <v>49645</v>
      </c>
      <c r="H661" s="2">
        <v>739</v>
      </c>
      <c r="I661" s="2">
        <v>453964</v>
      </c>
      <c r="J661" s="2">
        <v>258</v>
      </c>
      <c r="K661" s="2">
        <v>0.97</v>
      </c>
      <c r="L661" s="2">
        <v>6.29</v>
      </c>
      <c r="M661" s="2">
        <v>1.2</v>
      </c>
      <c r="N661" s="4">
        <v>7</v>
      </c>
    </row>
    <row r="662" spans="1:14" x14ac:dyDescent="0.35">
      <c r="A662" s="3">
        <v>2019</v>
      </c>
      <c r="B662" s="2">
        <v>3</v>
      </c>
      <c r="C662" s="2" t="s">
        <v>21</v>
      </c>
      <c r="D662" s="2" t="s">
        <v>24</v>
      </c>
      <c r="E662" s="2" t="s">
        <v>19</v>
      </c>
      <c r="F662" s="2" t="s">
        <v>17</v>
      </c>
      <c r="G662" s="2">
        <v>66105</v>
      </c>
      <c r="H662" s="2">
        <v>1062</v>
      </c>
      <c r="I662" s="2">
        <v>112785</v>
      </c>
      <c r="J662" s="2">
        <v>330</v>
      </c>
      <c r="K662" s="2">
        <v>0.97</v>
      </c>
      <c r="L662" s="2">
        <v>6.29</v>
      </c>
      <c r="M662" s="2">
        <v>1.2</v>
      </c>
      <c r="N662" s="4">
        <v>5</v>
      </c>
    </row>
    <row r="663" spans="1:14" x14ac:dyDescent="0.35">
      <c r="A663" s="3">
        <v>2020</v>
      </c>
      <c r="B663" s="2">
        <v>11</v>
      </c>
      <c r="C663" s="2" t="s">
        <v>37</v>
      </c>
      <c r="D663" s="2" t="s">
        <v>22</v>
      </c>
      <c r="E663" s="2" t="s">
        <v>16</v>
      </c>
      <c r="F663" s="2" t="s">
        <v>20</v>
      </c>
      <c r="G663" s="2">
        <v>48668</v>
      </c>
      <c r="H663" s="2">
        <v>995</v>
      </c>
      <c r="I663" s="2">
        <v>126050</v>
      </c>
      <c r="J663" s="2">
        <v>292</v>
      </c>
      <c r="K663" s="2">
        <v>0.97</v>
      </c>
      <c r="L663" s="2">
        <v>6.29</v>
      </c>
      <c r="M663" s="2">
        <v>1.2</v>
      </c>
      <c r="N663" s="4">
        <v>1</v>
      </c>
    </row>
    <row r="664" spans="1:14" x14ac:dyDescent="0.35">
      <c r="A664" s="3">
        <v>2017</v>
      </c>
      <c r="B664" s="2">
        <v>1</v>
      </c>
      <c r="C664" s="2" t="s">
        <v>37</v>
      </c>
      <c r="D664" s="2" t="s">
        <v>39</v>
      </c>
      <c r="E664" s="2" t="s">
        <v>20</v>
      </c>
      <c r="F664" s="2" t="s">
        <v>27</v>
      </c>
      <c r="G664" s="2">
        <v>50960</v>
      </c>
      <c r="H664" s="2">
        <v>759</v>
      </c>
      <c r="I664" s="2">
        <v>72738</v>
      </c>
      <c r="J664" s="2">
        <v>371</v>
      </c>
      <c r="K664" s="2">
        <v>0.97</v>
      </c>
      <c r="L664" s="2">
        <v>6.29</v>
      </c>
      <c r="M664" s="2">
        <v>1.2</v>
      </c>
      <c r="N664" s="4">
        <v>3</v>
      </c>
    </row>
    <row r="665" spans="1:14" x14ac:dyDescent="0.35">
      <c r="A665" s="3">
        <v>2019</v>
      </c>
      <c r="B665" s="2">
        <v>10</v>
      </c>
      <c r="C665" s="2" t="s">
        <v>21</v>
      </c>
      <c r="D665" s="2" t="s">
        <v>31</v>
      </c>
      <c r="E665" s="2" t="s">
        <v>20</v>
      </c>
      <c r="F665" s="2" t="s">
        <v>20</v>
      </c>
      <c r="G665" s="2">
        <v>46357</v>
      </c>
      <c r="H665" s="2">
        <v>895</v>
      </c>
      <c r="I665" s="2">
        <v>124231</v>
      </c>
      <c r="J665" s="2">
        <v>388</v>
      </c>
      <c r="K665" s="2">
        <v>0.97</v>
      </c>
      <c r="L665" s="2">
        <v>6.29</v>
      </c>
      <c r="M665" s="2">
        <v>1.2</v>
      </c>
      <c r="N665" s="4">
        <v>5</v>
      </c>
    </row>
    <row r="666" spans="1:14" x14ac:dyDescent="0.35">
      <c r="A666" s="3">
        <v>2021</v>
      </c>
      <c r="B666" s="2">
        <v>12</v>
      </c>
      <c r="C666" s="2" t="s">
        <v>30</v>
      </c>
      <c r="D666" s="2" t="s">
        <v>22</v>
      </c>
      <c r="E666" s="2" t="s">
        <v>16</v>
      </c>
      <c r="F666" s="2" t="s">
        <v>20</v>
      </c>
      <c r="G666" s="2">
        <v>99604</v>
      </c>
      <c r="H666" s="2">
        <v>754</v>
      </c>
      <c r="I666" s="2">
        <v>123606</v>
      </c>
      <c r="J666" s="2">
        <v>207</v>
      </c>
      <c r="K666" s="2">
        <v>0.97</v>
      </c>
      <c r="L666" s="2">
        <v>6.29</v>
      </c>
      <c r="M666" s="2">
        <v>1.2</v>
      </c>
      <c r="N666" s="4">
        <v>7</v>
      </c>
    </row>
    <row r="667" spans="1:14" x14ac:dyDescent="0.35">
      <c r="A667" s="3">
        <v>2019</v>
      </c>
      <c r="B667" s="2">
        <v>6</v>
      </c>
      <c r="C667" s="2" t="s">
        <v>32</v>
      </c>
      <c r="D667" s="2" t="s">
        <v>34</v>
      </c>
      <c r="E667" s="2" t="s">
        <v>16</v>
      </c>
      <c r="F667" s="2" t="s">
        <v>23</v>
      </c>
      <c r="G667" s="2">
        <v>86796</v>
      </c>
      <c r="H667" s="2">
        <v>203</v>
      </c>
      <c r="I667" s="2">
        <v>353806</v>
      </c>
      <c r="J667" s="2">
        <v>53</v>
      </c>
      <c r="K667" s="2">
        <v>0.97</v>
      </c>
      <c r="L667" s="2">
        <v>6.29</v>
      </c>
      <c r="M667" s="2">
        <v>1.2</v>
      </c>
      <c r="N667" s="4">
        <v>3</v>
      </c>
    </row>
    <row r="668" spans="1:14" x14ac:dyDescent="0.35">
      <c r="A668" s="3">
        <v>2019</v>
      </c>
      <c r="B668" s="2">
        <v>2</v>
      </c>
      <c r="C668" s="2" t="s">
        <v>30</v>
      </c>
      <c r="D668" s="2" t="s">
        <v>15</v>
      </c>
      <c r="E668" s="2" t="s">
        <v>20</v>
      </c>
      <c r="F668" s="2" t="s">
        <v>20</v>
      </c>
      <c r="G668" s="2">
        <v>50804</v>
      </c>
      <c r="H668" s="2">
        <v>1193</v>
      </c>
      <c r="I668" s="2">
        <v>430457</v>
      </c>
      <c r="J668" s="2">
        <v>365</v>
      </c>
      <c r="K668" s="2">
        <v>0.97</v>
      </c>
      <c r="L668" s="2">
        <v>6.29</v>
      </c>
      <c r="M668" s="2">
        <v>1.2</v>
      </c>
      <c r="N668" s="4">
        <v>6</v>
      </c>
    </row>
    <row r="669" spans="1:14" x14ac:dyDescent="0.35">
      <c r="A669" s="3">
        <v>2019</v>
      </c>
      <c r="B669" s="2">
        <v>3</v>
      </c>
      <c r="C669" s="2" t="s">
        <v>35</v>
      </c>
      <c r="D669" s="2" t="s">
        <v>15</v>
      </c>
      <c r="E669" s="2" t="s">
        <v>20</v>
      </c>
      <c r="F669" s="2" t="s">
        <v>17</v>
      </c>
      <c r="G669" s="2">
        <v>49626</v>
      </c>
      <c r="H669" s="2">
        <v>226</v>
      </c>
      <c r="I669" s="2">
        <v>277369</v>
      </c>
      <c r="J669" s="2">
        <v>37</v>
      </c>
      <c r="K669" s="2">
        <v>0.97</v>
      </c>
      <c r="L669" s="2">
        <v>6.29</v>
      </c>
      <c r="M669" s="2">
        <v>1.2</v>
      </c>
      <c r="N669" s="4">
        <v>5</v>
      </c>
    </row>
    <row r="670" spans="1:14" x14ac:dyDescent="0.35">
      <c r="A670" s="3">
        <v>2024</v>
      </c>
      <c r="B670" s="2">
        <v>1</v>
      </c>
      <c r="C670" s="2" t="s">
        <v>30</v>
      </c>
      <c r="D670" s="2" t="s">
        <v>24</v>
      </c>
      <c r="E670" s="2" t="s">
        <v>19</v>
      </c>
      <c r="F670" s="2" t="s">
        <v>23</v>
      </c>
      <c r="G670" s="2">
        <v>63132</v>
      </c>
      <c r="H670" s="2">
        <v>267</v>
      </c>
      <c r="I670" s="2">
        <v>327267</v>
      </c>
      <c r="J670" s="2">
        <v>26</v>
      </c>
      <c r="K670" s="2">
        <v>0.97</v>
      </c>
      <c r="L670" s="2">
        <v>6.29</v>
      </c>
      <c r="M670" s="2">
        <v>1.2</v>
      </c>
      <c r="N670" s="4">
        <v>1</v>
      </c>
    </row>
    <row r="671" spans="1:14" x14ac:dyDescent="0.35">
      <c r="A671" s="3">
        <v>2024</v>
      </c>
      <c r="B671" s="2">
        <v>9</v>
      </c>
      <c r="C671" s="2" t="s">
        <v>35</v>
      </c>
      <c r="D671" s="2" t="s">
        <v>18</v>
      </c>
      <c r="E671" s="2" t="s">
        <v>19</v>
      </c>
      <c r="F671" s="2" t="s">
        <v>23</v>
      </c>
      <c r="G671" s="2">
        <v>42951</v>
      </c>
      <c r="H671" s="2">
        <v>475</v>
      </c>
      <c r="I671" s="2">
        <v>206688</v>
      </c>
      <c r="J671" s="2">
        <v>136</v>
      </c>
      <c r="K671" s="2">
        <v>0.97</v>
      </c>
      <c r="L671" s="2">
        <v>6.29</v>
      </c>
      <c r="M671" s="2">
        <v>1.2</v>
      </c>
      <c r="N671" s="4">
        <v>10</v>
      </c>
    </row>
    <row r="672" spans="1:14" x14ac:dyDescent="0.35">
      <c r="A672" s="3">
        <v>2017</v>
      </c>
      <c r="B672" s="2">
        <v>8</v>
      </c>
      <c r="C672" s="2" t="s">
        <v>30</v>
      </c>
      <c r="D672" s="2" t="s">
        <v>26</v>
      </c>
      <c r="E672" s="2" t="s">
        <v>20</v>
      </c>
      <c r="F672" s="2" t="s">
        <v>23</v>
      </c>
      <c r="G672" s="2">
        <v>41449</v>
      </c>
      <c r="H672" s="2">
        <v>1119</v>
      </c>
      <c r="I672" s="2">
        <v>323326</v>
      </c>
      <c r="J672" s="2">
        <v>388</v>
      </c>
      <c r="K672" s="2">
        <v>0.97</v>
      </c>
      <c r="L672" s="2">
        <v>6.29</v>
      </c>
      <c r="M672" s="2">
        <v>1.2</v>
      </c>
      <c r="N672" s="4">
        <v>6</v>
      </c>
    </row>
    <row r="673" spans="1:14" x14ac:dyDescent="0.35">
      <c r="A673" s="3">
        <v>2015</v>
      </c>
      <c r="B673" s="2">
        <v>12</v>
      </c>
      <c r="C673" s="2" t="s">
        <v>32</v>
      </c>
      <c r="D673" s="2" t="s">
        <v>31</v>
      </c>
      <c r="E673" s="2" t="s">
        <v>19</v>
      </c>
      <c r="F673" s="2" t="s">
        <v>27</v>
      </c>
      <c r="G673" s="2">
        <v>54065</v>
      </c>
      <c r="H673" s="2">
        <v>713</v>
      </c>
      <c r="I673" s="2">
        <v>402513</v>
      </c>
      <c r="J673" s="2">
        <v>177</v>
      </c>
      <c r="K673" s="2">
        <v>0.97</v>
      </c>
      <c r="L673" s="2">
        <v>6.29</v>
      </c>
      <c r="M673" s="2">
        <v>1.2</v>
      </c>
      <c r="N673" s="4">
        <v>8</v>
      </c>
    </row>
    <row r="674" spans="1:14" x14ac:dyDescent="0.35">
      <c r="A674" s="3">
        <v>2019</v>
      </c>
      <c r="B674" s="2">
        <v>2</v>
      </c>
      <c r="C674" s="2" t="s">
        <v>32</v>
      </c>
      <c r="D674" s="2" t="s">
        <v>22</v>
      </c>
      <c r="E674" s="2" t="s">
        <v>20</v>
      </c>
      <c r="F674" s="2" t="s">
        <v>27</v>
      </c>
      <c r="G674" s="2">
        <v>44130</v>
      </c>
      <c r="H674" s="2">
        <v>744</v>
      </c>
      <c r="I674" s="2">
        <v>212403</v>
      </c>
      <c r="J674" s="2">
        <v>253</v>
      </c>
      <c r="K674" s="2">
        <v>0.97</v>
      </c>
      <c r="L674" s="2">
        <v>6.29</v>
      </c>
      <c r="M674" s="2">
        <v>1.2</v>
      </c>
      <c r="N674" s="4">
        <v>1</v>
      </c>
    </row>
    <row r="675" spans="1:14" x14ac:dyDescent="0.35">
      <c r="A675" s="3">
        <v>2023</v>
      </c>
      <c r="B675" s="2">
        <v>12</v>
      </c>
      <c r="C675" s="2" t="s">
        <v>28</v>
      </c>
      <c r="D675" s="2" t="s">
        <v>26</v>
      </c>
      <c r="E675" s="2" t="s">
        <v>20</v>
      </c>
      <c r="F675" s="2" t="s">
        <v>20</v>
      </c>
      <c r="G675" s="2">
        <v>97287</v>
      </c>
      <c r="H675" s="2">
        <v>963</v>
      </c>
      <c r="I675" s="2">
        <v>227170</v>
      </c>
      <c r="J675" s="2">
        <v>396</v>
      </c>
      <c r="K675" s="2">
        <v>0.97</v>
      </c>
      <c r="L675" s="2">
        <v>6.29</v>
      </c>
      <c r="M675" s="2">
        <v>1.2</v>
      </c>
      <c r="N675" s="4">
        <v>2</v>
      </c>
    </row>
    <row r="676" spans="1:14" x14ac:dyDescent="0.35">
      <c r="A676" s="3">
        <v>2015</v>
      </c>
      <c r="B676" s="2">
        <v>11</v>
      </c>
      <c r="C676" s="2" t="s">
        <v>21</v>
      </c>
      <c r="D676" s="2" t="s">
        <v>22</v>
      </c>
      <c r="E676" s="2" t="s">
        <v>19</v>
      </c>
      <c r="F676" s="2" t="s">
        <v>23</v>
      </c>
      <c r="G676" s="2">
        <v>86702</v>
      </c>
      <c r="H676" s="2">
        <v>304</v>
      </c>
      <c r="I676" s="2">
        <v>76128</v>
      </c>
      <c r="J676" s="2">
        <v>85</v>
      </c>
      <c r="K676" s="2">
        <v>0.97</v>
      </c>
      <c r="L676" s="2">
        <v>6.29</v>
      </c>
      <c r="M676" s="2">
        <v>1.2</v>
      </c>
      <c r="N676" s="4">
        <v>4</v>
      </c>
    </row>
    <row r="677" spans="1:14" x14ac:dyDescent="0.35">
      <c r="A677" s="3">
        <v>2017</v>
      </c>
      <c r="B677" s="2">
        <v>8</v>
      </c>
      <c r="C677" s="2" t="s">
        <v>32</v>
      </c>
      <c r="D677" s="2" t="s">
        <v>39</v>
      </c>
      <c r="E677" s="2" t="s">
        <v>19</v>
      </c>
      <c r="F677" s="2" t="s">
        <v>23</v>
      </c>
      <c r="G677" s="2">
        <v>71993</v>
      </c>
      <c r="H677" s="2">
        <v>766</v>
      </c>
      <c r="I677" s="2">
        <v>81556</v>
      </c>
      <c r="J677" s="2">
        <v>240</v>
      </c>
      <c r="K677" s="2">
        <v>0.97</v>
      </c>
      <c r="L677" s="2">
        <v>6.29</v>
      </c>
      <c r="M677" s="2">
        <v>1.2</v>
      </c>
      <c r="N677" s="4">
        <v>2</v>
      </c>
    </row>
    <row r="678" spans="1:14" x14ac:dyDescent="0.35">
      <c r="A678" s="3">
        <v>2018</v>
      </c>
      <c r="B678" s="2">
        <v>12</v>
      </c>
      <c r="C678" s="2" t="s">
        <v>35</v>
      </c>
      <c r="D678" s="2" t="s">
        <v>34</v>
      </c>
      <c r="E678" s="2" t="s">
        <v>16</v>
      </c>
      <c r="F678" s="2" t="s">
        <v>17</v>
      </c>
      <c r="G678" s="2">
        <v>66875</v>
      </c>
      <c r="H678" s="2">
        <v>434</v>
      </c>
      <c r="I678" s="2">
        <v>308470</v>
      </c>
      <c r="J678" s="2">
        <v>213</v>
      </c>
      <c r="K678" s="2">
        <v>0.97</v>
      </c>
      <c r="L678" s="2">
        <v>6.29</v>
      </c>
      <c r="M678" s="2">
        <v>1.2</v>
      </c>
      <c r="N678" s="4">
        <v>9</v>
      </c>
    </row>
    <row r="679" spans="1:14" x14ac:dyDescent="0.35">
      <c r="A679" s="3">
        <v>2015</v>
      </c>
      <c r="B679" s="2">
        <v>9</v>
      </c>
      <c r="C679" s="2" t="s">
        <v>32</v>
      </c>
      <c r="D679" s="2" t="s">
        <v>34</v>
      </c>
      <c r="E679" s="2" t="s">
        <v>16</v>
      </c>
      <c r="F679" s="2" t="s">
        <v>20</v>
      </c>
      <c r="G679" s="2">
        <v>41054</v>
      </c>
      <c r="H679" s="2">
        <v>905</v>
      </c>
      <c r="I679" s="2">
        <v>202948</v>
      </c>
      <c r="J679" s="2">
        <v>257</v>
      </c>
      <c r="K679" s="2">
        <v>0.97</v>
      </c>
      <c r="L679" s="2">
        <v>6.29</v>
      </c>
      <c r="M679" s="2">
        <v>1.2</v>
      </c>
      <c r="N679" s="4">
        <v>10</v>
      </c>
    </row>
    <row r="680" spans="1:14" x14ac:dyDescent="0.35">
      <c r="A680" s="3">
        <v>2015</v>
      </c>
      <c r="B680" s="2">
        <v>1</v>
      </c>
      <c r="C680" s="2" t="s">
        <v>28</v>
      </c>
      <c r="D680" s="2" t="s">
        <v>26</v>
      </c>
      <c r="E680" s="2" t="s">
        <v>16</v>
      </c>
      <c r="F680" s="2" t="s">
        <v>17</v>
      </c>
      <c r="G680" s="2">
        <v>83517</v>
      </c>
      <c r="H680" s="2">
        <v>662</v>
      </c>
      <c r="I680" s="2">
        <v>190021</v>
      </c>
      <c r="J680" s="2">
        <v>311</v>
      </c>
      <c r="K680" s="2">
        <v>0.97</v>
      </c>
      <c r="L680" s="2">
        <v>6.29</v>
      </c>
      <c r="M680" s="2">
        <v>1.2</v>
      </c>
      <c r="N680" s="4">
        <v>8</v>
      </c>
    </row>
    <row r="681" spans="1:14" x14ac:dyDescent="0.35">
      <c r="A681" s="3">
        <v>2022</v>
      </c>
      <c r="B681" s="2">
        <v>5</v>
      </c>
      <c r="C681" s="2" t="s">
        <v>37</v>
      </c>
      <c r="D681" s="2" t="s">
        <v>26</v>
      </c>
      <c r="E681" s="2" t="s">
        <v>20</v>
      </c>
      <c r="F681" s="2" t="s">
        <v>20</v>
      </c>
      <c r="G681" s="2">
        <v>111368</v>
      </c>
      <c r="H681" s="2">
        <v>513</v>
      </c>
      <c r="I681" s="2">
        <v>101962</v>
      </c>
      <c r="J681" s="2">
        <v>223</v>
      </c>
      <c r="K681" s="2">
        <v>0.97</v>
      </c>
      <c r="L681" s="2">
        <v>6.29</v>
      </c>
      <c r="M681" s="2">
        <v>1.2</v>
      </c>
      <c r="N681" s="4">
        <v>8</v>
      </c>
    </row>
    <row r="682" spans="1:14" x14ac:dyDescent="0.35">
      <c r="A682" s="3">
        <v>2016</v>
      </c>
      <c r="B682" s="2">
        <v>8</v>
      </c>
      <c r="C682" s="2" t="s">
        <v>35</v>
      </c>
      <c r="D682" s="2" t="s">
        <v>26</v>
      </c>
      <c r="E682" s="2" t="s">
        <v>19</v>
      </c>
      <c r="F682" s="2" t="s">
        <v>20</v>
      </c>
      <c r="G682" s="2">
        <v>64670</v>
      </c>
      <c r="H682" s="2">
        <v>800</v>
      </c>
      <c r="I682" s="2">
        <v>140054</v>
      </c>
      <c r="J682" s="2">
        <v>224</v>
      </c>
      <c r="K682" s="2">
        <v>0.97</v>
      </c>
      <c r="L682" s="2">
        <v>6.29</v>
      </c>
      <c r="M682" s="2">
        <v>1.2</v>
      </c>
      <c r="N682" s="4">
        <v>4</v>
      </c>
    </row>
    <row r="683" spans="1:14" x14ac:dyDescent="0.35">
      <c r="A683" s="3">
        <v>2022</v>
      </c>
      <c r="B683" s="2">
        <v>11</v>
      </c>
      <c r="C683" s="2" t="s">
        <v>28</v>
      </c>
      <c r="D683" s="2" t="s">
        <v>22</v>
      </c>
      <c r="E683" s="2" t="s">
        <v>20</v>
      </c>
      <c r="F683" s="2" t="s">
        <v>27</v>
      </c>
      <c r="G683" s="2">
        <v>84112</v>
      </c>
      <c r="H683" s="2">
        <v>679</v>
      </c>
      <c r="I683" s="2">
        <v>252278</v>
      </c>
      <c r="J683" s="2">
        <v>167</v>
      </c>
      <c r="K683" s="2">
        <v>0.97</v>
      </c>
      <c r="L683" s="2">
        <v>6.29</v>
      </c>
      <c r="M683" s="2">
        <v>1.2</v>
      </c>
      <c r="N683" s="4">
        <v>5</v>
      </c>
    </row>
    <row r="684" spans="1:14" x14ac:dyDescent="0.35">
      <c r="A684" s="3">
        <v>2021</v>
      </c>
      <c r="B684" s="2">
        <v>2</v>
      </c>
      <c r="C684" s="2" t="s">
        <v>38</v>
      </c>
      <c r="D684" s="2" t="s">
        <v>39</v>
      </c>
      <c r="E684" s="2" t="s">
        <v>19</v>
      </c>
      <c r="F684" s="2" t="s">
        <v>27</v>
      </c>
      <c r="G684" s="2">
        <v>63307</v>
      </c>
      <c r="H684" s="2">
        <v>221</v>
      </c>
      <c r="I684" s="2">
        <v>74099</v>
      </c>
      <c r="J684" s="2">
        <v>78</v>
      </c>
      <c r="K684" s="2">
        <v>0.97</v>
      </c>
      <c r="L684" s="2">
        <v>6.29</v>
      </c>
      <c r="M684" s="2">
        <v>1.2</v>
      </c>
      <c r="N684" s="4">
        <v>4</v>
      </c>
    </row>
    <row r="685" spans="1:14" x14ac:dyDescent="0.35">
      <c r="A685" s="3">
        <v>2024</v>
      </c>
      <c r="B685" s="2">
        <v>4</v>
      </c>
      <c r="C685" s="2" t="s">
        <v>38</v>
      </c>
      <c r="D685" s="2" t="s">
        <v>33</v>
      </c>
      <c r="E685" s="2" t="s">
        <v>20</v>
      </c>
      <c r="F685" s="2" t="s">
        <v>17</v>
      </c>
      <c r="G685" s="2">
        <v>102087</v>
      </c>
      <c r="H685" s="2">
        <v>256</v>
      </c>
      <c r="I685" s="2">
        <v>285943</v>
      </c>
      <c r="J685" s="2">
        <v>94</v>
      </c>
      <c r="K685" s="2">
        <v>0.97</v>
      </c>
      <c r="L685" s="2">
        <v>6.29</v>
      </c>
      <c r="M685" s="2">
        <v>1.2</v>
      </c>
      <c r="N685" s="4">
        <v>9</v>
      </c>
    </row>
    <row r="686" spans="1:14" x14ac:dyDescent="0.35">
      <c r="A686" s="3">
        <v>2024</v>
      </c>
      <c r="B686" s="2">
        <v>7</v>
      </c>
      <c r="C686" s="2" t="s">
        <v>36</v>
      </c>
      <c r="D686" s="2" t="s">
        <v>26</v>
      </c>
      <c r="E686" s="2" t="s">
        <v>16</v>
      </c>
      <c r="F686" s="2" t="s">
        <v>20</v>
      </c>
      <c r="G686" s="2">
        <v>82922</v>
      </c>
      <c r="H686" s="2">
        <v>853</v>
      </c>
      <c r="I686" s="2">
        <v>455932</v>
      </c>
      <c r="J686" s="2">
        <v>276</v>
      </c>
      <c r="K686" s="2">
        <v>0.97</v>
      </c>
      <c r="L686" s="2">
        <v>6.29</v>
      </c>
      <c r="M686" s="2">
        <v>1.2</v>
      </c>
      <c r="N686" s="4">
        <v>2</v>
      </c>
    </row>
    <row r="687" spans="1:14" x14ac:dyDescent="0.35">
      <c r="A687" s="3">
        <v>2016</v>
      </c>
      <c r="B687" s="2">
        <v>3</v>
      </c>
      <c r="C687" s="2" t="s">
        <v>30</v>
      </c>
      <c r="D687" s="2" t="s">
        <v>18</v>
      </c>
      <c r="E687" s="2" t="s">
        <v>16</v>
      </c>
      <c r="F687" s="2" t="s">
        <v>23</v>
      </c>
      <c r="G687" s="2">
        <v>98080</v>
      </c>
      <c r="H687" s="2">
        <v>317</v>
      </c>
      <c r="I687" s="2">
        <v>233683</v>
      </c>
      <c r="J687" s="2">
        <v>78</v>
      </c>
      <c r="K687" s="2">
        <v>0.97</v>
      </c>
      <c r="L687" s="2">
        <v>6.29</v>
      </c>
      <c r="M687" s="2">
        <v>1.2</v>
      </c>
      <c r="N687" s="4">
        <v>8</v>
      </c>
    </row>
    <row r="688" spans="1:14" x14ac:dyDescent="0.35">
      <c r="A688" s="3">
        <v>2020</v>
      </c>
      <c r="B688" s="2">
        <v>12</v>
      </c>
      <c r="C688" s="2" t="s">
        <v>21</v>
      </c>
      <c r="D688" s="2" t="s">
        <v>31</v>
      </c>
      <c r="E688" s="2" t="s">
        <v>16</v>
      </c>
      <c r="F688" s="2" t="s">
        <v>27</v>
      </c>
      <c r="G688" s="2">
        <v>114335</v>
      </c>
      <c r="H688" s="2">
        <v>461</v>
      </c>
      <c r="I688" s="2">
        <v>219957</v>
      </c>
      <c r="J688" s="2">
        <v>108</v>
      </c>
      <c r="K688" s="2">
        <v>0.97</v>
      </c>
      <c r="L688" s="2">
        <v>6.29</v>
      </c>
      <c r="M688" s="2">
        <v>1.2</v>
      </c>
      <c r="N688" s="4">
        <v>2</v>
      </c>
    </row>
    <row r="689" spans="1:14" x14ac:dyDescent="0.35">
      <c r="A689" s="3">
        <v>2020</v>
      </c>
      <c r="B689" s="2">
        <v>5</v>
      </c>
      <c r="C689" s="2" t="s">
        <v>14</v>
      </c>
      <c r="D689" s="2" t="s">
        <v>31</v>
      </c>
      <c r="E689" s="2" t="s">
        <v>20</v>
      </c>
      <c r="F689" s="2" t="s">
        <v>23</v>
      </c>
      <c r="G689" s="2">
        <v>61312</v>
      </c>
      <c r="H689" s="2">
        <v>964</v>
      </c>
      <c r="I689" s="2">
        <v>365288</v>
      </c>
      <c r="J689" s="2">
        <v>356</v>
      </c>
      <c r="K689" s="2">
        <v>0.97</v>
      </c>
      <c r="L689" s="2">
        <v>6.29</v>
      </c>
      <c r="M689" s="2">
        <v>1.2</v>
      </c>
      <c r="N689" s="4">
        <v>1</v>
      </c>
    </row>
    <row r="690" spans="1:14" x14ac:dyDescent="0.35">
      <c r="A690" s="3">
        <v>2017</v>
      </c>
      <c r="B690" s="2">
        <v>8</v>
      </c>
      <c r="C690" s="2" t="s">
        <v>25</v>
      </c>
      <c r="D690" s="2" t="s">
        <v>22</v>
      </c>
      <c r="E690" s="2" t="s">
        <v>19</v>
      </c>
      <c r="F690" s="2" t="s">
        <v>17</v>
      </c>
      <c r="G690" s="2">
        <v>101985</v>
      </c>
      <c r="H690" s="2">
        <v>453</v>
      </c>
      <c r="I690" s="2">
        <v>246292</v>
      </c>
      <c r="J690" s="2">
        <v>225</v>
      </c>
      <c r="K690" s="2">
        <v>0.97</v>
      </c>
      <c r="L690" s="2">
        <v>6.29</v>
      </c>
      <c r="M690" s="2">
        <v>1.2</v>
      </c>
      <c r="N690" s="4">
        <v>10</v>
      </c>
    </row>
    <row r="691" spans="1:14" x14ac:dyDescent="0.35">
      <c r="A691" s="3">
        <v>2016</v>
      </c>
      <c r="B691" s="2">
        <v>12</v>
      </c>
      <c r="C691" s="2" t="s">
        <v>28</v>
      </c>
      <c r="D691" s="2" t="s">
        <v>26</v>
      </c>
      <c r="E691" s="2" t="s">
        <v>19</v>
      </c>
      <c r="F691" s="2" t="s">
        <v>27</v>
      </c>
      <c r="G691" s="2">
        <v>92608</v>
      </c>
      <c r="H691" s="2">
        <v>622</v>
      </c>
      <c r="I691" s="2">
        <v>57837</v>
      </c>
      <c r="J691" s="2">
        <v>170</v>
      </c>
      <c r="K691" s="2">
        <v>0.97</v>
      </c>
      <c r="L691" s="2">
        <v>6.29</v>
      </c>
      <c r="M691" s="2">
        <v>1.2</v>
      </c>
      <c r="N691" s="4">
        <v>3</v>
      </c>
    </row>
    <row r="692" spans="1:14" x14ac:dyDescent="0.35">
      <c r="A692" s="3">
        <v>2015</v>
      </c>
      <c r="B692" s="2">
        <v>10</v>
      </c>
      <c r="C692" s="2" t="s">
        <v>37</v>
      </c>
      <c r="D692" s="2" t="s">
        <v>24</v>
      </c>
      <c r="E692" s="2" t="s">
        <v>16</v>
      </c>
      <c r="F692" s="2" t="s">
        <v>27</v>
      </c>
      <c r="G692" s="2">
        <v>75277</v>
      </c>
      <c r="H692" s="2">
        <v>275</v>
      </c>
      <c r="I692" s="2">
        <v>230427</v>
      </c>
      <c r="J692" s="2">
        <v>103</v>
      </c>
      <c r="K692" s="2">
        <v>0.97</v>
      </c>
      <c r="L692" s="2">
        <v>6.29</v>
      </c>
      <c r="M692" s="2">
        <v>1.2</v>
      </c>
      <c r="N692" s="4">
        <v>9</v>
      </c>
    </row>
    <row r="693" spans="1:14" x14ac:dyDescent="0.35">
      <c r="A693" s="3">
        <v>2020</v>
      </c>
      <c r="B693" s="2">
        <v>3</v>
      </c>
      <c r="C693" s="2" t="s">
        <v>25</v>
      </c>
      <c r="D693" s="2" t="s">
        <v>15</v>
      </c>
      <c r="E693" s="2" t="s">
        <v>16</v>
      </c>
      <c r="F693" s="2" t="s">
        <v>20</v>
      </c>
      <c r="G693" s="2">
        <v>66551</v>
      </c>
      <c r="H693" s="2">
        <v>400</v>
      </c>
      <c r="I693" s="2">
        <v>228371</v>
      </c>
      <c r="J693" s="2">
        <v>183</v>
      </c>
      <c r="K693" s="2">
        <v>0.97</v>
      </c>
      <c r="L693" s="2">
        <v>6.29</v>
      </c>
      <c r="M693" s="2">
        <v>1.2</v>
      </c>
      <c r="N693" s="4">
        <v>3</v>
      </c>
    </row>
    <row r="694" spans="1:14" x14ac:dyDescent="0.35">
      <c r="A694" s="3">
        <v>2019</v>
      </c>
      <c r="B694" s="2">
        <v>4</v>
      </c>
      <c r="C694" s="2" t="s">
        <v>37</v>
      </c>
      <c r="D694" s="2" t="s">
        <v>33</v>
      </c>
      <c r="E694" s="2" t="s">
        <v>16</v>
      </c>
      <c r="F694" s="2" t="s">
        <v>17</v>
      </c>
      <c r="G694" s="2">
        <v>91597</v>
      </c>
      <c r="H694" s="2">
        <v>769</v>
      </c>
      <c r="I694" s="2">
        <v>462375</v>
      </c>
      <c r="J694" s="2">
        <v>174</v>
      </c>
      <c r="K694" s="2">
        <v>0.97</v>
      </c>
      <c r="L694" s="2">
        <v>6.29</v>
      </c>
      <c r="M694" s="2">
        <v>1.2</v>
      </c>
      <c r="N694" s="4">
        <v>9</v>
      </c>
    </row>
    <row r="695" spans="1:14" x14ac:dyDescent="0.35">
      <c r="A695" s="3">
        <v>2023</v>
      </c>
      <c r="B695" s="2">
        <v>9</v>
      </c>
      <c r="C695" s="2" t="s">
        <v>25</v>
      </c>
      <c r="D695" s="2" t="s">
        <v>18</v>
      </c>
      <c r="E695" s="2" t="s">
        <v>16</v>
      </c>
      <c r="F695" s="2" t="s">
        <v>20</v>
      </c>
      <c r="G695" s="2">
        <v>80212</v>
      </c>
      <c r="H695" s="2">
        <v>519</v>
      </c>
      <c r="I695" s="2">
        <v>437356</v>
      </c>
      <c r="J695" s="2">
        <v>124</v>
      </c>
      <c r="K695" s="2">
        <v>0.97</v>
      </c>
      <c r="L695" s="2">
        <v>6.29</v>
      </c>
      <c r="M695" s="2">
        <v>1.2</v>
      </c>
      <c r="N695" s="4">
        <v>7</v>
      </c>
    </row>
    <row r="696" spans="1:14" x14ac:dyDescent="0.35">
      <c r="A696" s="3">
        <v>2015</v>
      </c>
      <c r="B696" s="2">
        <v>7</v>
      </c>
      <c r="C696" s="2" t="s">
        <v>28</v>
      </c>
      <c r="D696" s="2" t="s">
        <v>39</v>
      </c>
      <c r="E696" s="2" t="s">
        <v>19</v>
      </c>
      <c r="F696" s="2" t="s">
        <v>27</v>
      </c>
      <c r="G696" s="2">
        <v>44637</v>
      </c>
      <c r="H696" s="2">
        <v>861</v>
      </c>
      <c r="I696" s="2">
        <v>428824</v>
      </c>
      <c r="J696" s="2">
        <v>229</v>
      </c>
      <c r="K696" s="2">
        <v>0.97</v>
      </c>
      <c r="L696" s="2">
        <v>6.29</v>
      </c>
      <c r="M696" s="2">
        <v>1.2</v>
      </c>
      <c r="N696" s="4">
        <v>10</v>
      </c>
    </row>
    <row r="697" spans="1:14" x14ac:dyDescent="0.35">
      <c r="A697" s="3">
        <v>2021</v>
      </c>
      <c r="B697" s="2">
        <v>1</v>
      </c>
      <c r="C697" s="2" t="s">
        <v>14</v>
      </c>
      <c r="D697" s="2" t="s">
        <v>24</v>
      </c>
      <c r="E697" s="2" t="s">
        <v>20</v>
      </c>
      <c r="F697" s="2" t="s">
        <v>17</v>
      </c>
      <c r="G697" s="2">
        <v>78258</v>
      </c>
      <c r="H697" s="2">
        <v>505</v>
      </c>
      <c r="I697" s="2">
        <v>298003</v>
      </c>
      <c r="J697" s="2">
        <v>40</v>
      </c>
      <c r="K697" s="2">
        <v>0.97</v>
      </c>
      <c r="L697" s="2">
        <v>6.29</v>
      </c>
      <c r="M697" s="2">
        <v>1.2</v>
      </c>
      <c r="N697" s="4">
        <v>1</v>
      </c>
    </row>
    <row r="698" spans="1:14" x14ac:dyDescent="0.35">
      <c r="A698" s="3">
        <v>2019</v>
      </c>
      <c r="B698" s="2">
        <v>12</v>
      </c>
      <c r="C698" s="2" t="s">
        <v>25</v>
      </c>
      <c r="D698" s="2" t="s">
        <v>34</v>
      </c>
      <c r="E698" s="2" t="s">
        <v>20</v>
      </c>
      <c r="F698" s="2" t="s">
        <v>27</v>
      </c>
      <c r="G698" s="2">
        <v>70693</v>
      </c>
      <c r="H698" s="2">
        <v>429</v>
      </c>
      <c r="I698" s="2">
        <v>418946</v>
      </c>
      <c r="J698" s="2">
        <v>20</v>
      </c>
      <c r="K698" s="2">
        <v>0.97</v>
      </c>
      <c r="L698" s="2">
        <v>6.29</v>
      </c>
      <c r="M698" s="2">
        <v>1.2</v>
      </c>
      <c r="N698" s="4">
        <v>10</v>
      </c>
    </row>
    <row r="699" spans="1:14" x14ac:dyDescent="0.35">
      <c r="A699" s="3">
        <v>2019</v>
      </c>
      <c r="B699" s="2">
        <v>4</v>
      </c>
      <c r="C699" s="2" t="s">
        <v>28</v>
      </c>
      <c r="D699" s="2" t="s">
        <v>24</v>
      </c>
      <c r="E699" s="2" t="s">
        <v>20</v>
      </c>
      <c r="F699" s="2" t="s">
        <v>17</v>
      </c>
      <c r="G699" s="2">
        <v>44824</v>
      </c>
      <c r="H699" s="2">
        <v>1007</v>
      </c>
      <c r="I699" s="2">
        <v>152413</v>
      </c>
      <c r="J699" s="2">
        <v>352</v>
      </c>
      <c r="K699" s="2">
        <v>0.97</v>
      </c>
      <c r="L699" s="2">
        <v>6.29</v>
      </c>
      <c r="M699" s="2">
        <v>1.2</v>
      </c>
      <c r="N699" s="4">
        <v>5</v>
      </c>
    </row>
    <row r="700" spans="1:14" x14ac:dyDescent="0.35">
      <c r="A700" s="3">
        <v>2016</v>
      </c>
      <c r="B700" s="2">
        <v>4</v>
      </c>
      <c r="C700" s="2" t="s">
        <v>32</v>
      </c>
      <c r="D700" s="2" t="s">
        <v>22</v>
      </c>
      <c r="E700" s="2" t="s">
        <v>20</v>
      </c>
      <c r="F700" s="2" t="s">
        <v>27</v>
      </c>
      <c r="G700" s="2">
        <v>61950</v>
      </c>
      <c r="H700" s="2">
        <v>931</v>
      </c>
      <c r="I700" s="2">
        <v>101012</v>
      </c>
      <c r="J700" s="2">
        <v>386</v>
      </c>
      <c r="K700" s="2">
        <v>0.97</v>
      </c>
      <c r="L700" s="2">
        <v>6.29</v>
      </c>
      <c r="M700" s="2">
        <v>1.2</v>
      </c>
      <c r="N700" s="4">
        <v>9</v>
      </c>
    </row>
    <row r="701" spans="1:14" x14ac:dyDescent="0.35">
      <c r="A701" s="3">
        <v>2017</v>
      </c>
      <c r="B701" s="2">
        <v>9</v>
      </c>
      <c r="C701" s="2" t="s">
        <v>14</v>
      </c>
      <c r="D701" s="2" t="s">
        <v>33</v>
      </c>
      <c r="E701" s="2" t="s">
        <v>16</v>
      </c>
      <c r="F701" s="2" t="s">
        <v>23</v>
      </c>
      <c r="G701" s="2">
        <v>58488</v>
      </c>
      <c r="H701" s="2">
        <v>426</v>
      </c>
      <c r="I701" s="2">
        <v>180193</v>
      </c>
      <c r="J701" s="2">
        <v>139</v>
      </c>
      <c r="K701" s="2">
        <v>0.97</v>
      </c>
      <c r="L701" s="2">
        <v>6.29</v>
      </c>
      <c r="M701" s="2">
        <v>1.2</v>
      </c>
      <c r="N701" s="4">
        <v>3</v>
      </c>
    </row>
    <row r="702" spans="1:14" x14ac:dyDescent="0.35">
      <c r="A702" s="3">
        <v>2021</v>
      </c>
      <c r="B702" s="2">
        <v>6</v>
      </c>
      <c r="C702" s="2" t="s">
        <v>35</v>
      </c>
      <c r="D702" s="2" t="s">
        <v>29</v>
      </c>
      <c r="E702" s="2" t="s">
        <v>16</v>
      </c>
      <c r="F702" s="2" t="s">
        <v>23</v>
      </c>
      <c r="G702" s="2">
        <v>35215</v>
      </c>
      <c r="H702" s="2">
        <v>288</v>
      </c>
      <c r="I702" s="2">
        <v>268168</v>
      </c>
      <c r="J702" s="2">
        <v>114</v>
      </c>
      <c r="K702" s="2">
        <v>0.97</v>
      </c>
      <c r="L702" s="2">
        <v>6.29</v>
      </c>
      <c r="M702" s="2">
        <v>1.2</v>
      </c>
      <c r="N702" s="4">
        <v>9</v>
      </c>
    </row>
    <row r="703" spans="1:14" x14ac:dyDescent="0.35">
      <c r="A703" s="3">
        <v>2020</v>
      </c>
      <c r="B703" s="2">
        <v>9</v>
      </c>
      <c r="C703" s="2" t="s">
        <v>37</v>
      </c>
      <c r="D703" s="2" t="s">
        <v>29</v>
      </c>
      <c r="E703" s="2" t="s">
        <v>16</v>
      </c>
      <c r="F703" s="2" t="s">
        <v>20</v>
      </c>
      <c r="G703" s="2">
        <v>46523</v>
      </c>
      <c r="H703" s="2">
        <v>298</v>
      </c>
      <c r="I703" s="2">
        <v>198178</v>
      </c>
      <c r="J703" s="2">
        <v>36</v>
      </c>
      <c r="K703" s="2">
        <v>0.97</v>
      </c>
      <c r="L703" s="2">
        <v>6.29</v>
      </c>
      <c r="M703" s="2">
        <v>1.2</v>
      </c>
      <c r="N703" s="4">
        <v>5</v>
      </c>
    </row>
    <row r="704" spans="1:14" x14ac:dyDescent="0.35">
      <c r="A704" s="3">
        <v>2016</v>
      </c>
      <c r="B704" s="2">
        <v>12</v>
      </c>
      <c r="C704" s="2" t="s">
        <v>38</v>
      </c>
      <c r="D704" s="2" t="s">
        <v>26</v>
      </c>
      <c r="E704" s="2" t="s">
        <v>20</v>
      </c>
      <c r="F704" s="2" t="s">
        <v>23</v>
      </c>
      <c r="G704" s="2">
        <v>110900</v>
      </c>
      <c r="H704" s="2">
        <v>868</v>
      </c>
      <c r="I704" s="2">
        <v>108123</v>
      </c>
      <c r="J704" s="2">
        <v>236</v>
      </c>
      <c r="K704" s="2">
        <v>0.97</v>
      </c>
      <c r="L704" s="2">
        <v>6.29</v>
      </c>
      <c r="M704" s="2">
        <v>1.2</v>
      </c>
      <c r="N704" s="4">
        <v>9</v>
      </c>
    </row>
    <row r="705" spans="1:14" x14ac:dyDescent="0.35">
      <c r="A705" s="3">
        <v>2020</v>
      </c>
      <c r="B705" s="2">
        <v>6</v>
      </c>
      <c r="C705" s="2" t="s">
        <v>30</v>
      </c>
      <c r="D705" s="2" t="s">
        <v>26</v>
      </c>
      <c r="E705" s="2" t="s">
        <v>16</v>
      </c>
      <c r="F705" s="2" t="s">
        <v>27</v>
      </c>
      <c r="G705" s="2">
        <v>103689</v>
      </c>
      <c r="H705" s="2">
        <v>92</v>
      </c>
      <c r="I705" s="2">
        <v>161825</v>
      </c>
      <c r="J705" s="2">
        <v>11</v>
      </c>
      <c r="K705" s="2">
        <v>0.97</v>
      </c>
      <c r="L705" s="2">
        <v>6.29</v>
      </c>
      <c r="M705" s="2">
        <v>1.2</v>
      </c>
      <c r="N705" s="4">
        <v>10</v>
      </c>
    </row>
    <row r="706" spans="1:14" x14ac:dyDescent="0.35">
      <c r="A706" s="3">
        <v>2016</v>
      </c>
      <c r="B706" s="2">
        <v>6</v>
      </c>
      <c r="C706" s="2" t="s">
        <v>38</v>
      </c>
      <c r="D706" s="2" t="s">
        <v>22</v>
      </c>
      <c r="E706" s="2" t="s">
        <v>16</v>
      </c>
      <c r="F706" s="2" t="s">
        <v>27</v>
      </c>
      <c r="G706" s="2">
        <v>58834</v>
      </c>
      <c r="H706" s="2">
        <v>1006</v>
      </c>
      <c r="I706" s="2">
        <v>58720</v>
      </c>
      <c r="J706" s="2">
        <v>368</v>
      </c>
      <c r="K706" s="2">
        <v>0.97</v>
      </c>
      <c r="L706" s="2">
        <v>6.29</v>
      </c>
      <c r="M706" s="2">
        <v>1.2</v>
      </c>
      <c r="N706" s="4">
        <v>6</v>
      </c>
    </row>
    <row r="707" spans="1:14" x14ac:dyDescent="0.35">
      <c r="A707" s="3">
        <v>2016</v>
      </c>
      <c r="B707" s="2">
        <v>5</v>
      </c>
      <c r="C707" s="2" t="s">
        <v>14</v>
      </c>
      <c r="D707" s="2" t="s">
        <v>39</v>
      </c>
      <c r="E707" s="2" t="s">
        <v>19</v>
      </c>
      <c r="F707" s="2" t="s">
        <v>23</v>
      </c>
      <c r="G707" s="2">
        <v>69474</v>
      </c>
      <c r="H707" s="2">
        <v>548</v>
      </c>
      <c r="I707" s="2">
        <v>218733</v>
      </c>
      <c r="J707" s="2">
        <v>110</v>
      </c>
      <c r="K707" s="2">
        <v>0.97</v>
      </c>
      <c r="L707" s="2">
        <v>6.29</v>
      </c>
      <c r="M707" s="2">
        <v>1.2</v>
      </c>
      <c r="N707" s="4">
        <v>9</v>
      </c>
    </row>
    <row r="708" spans="1:14" x14ac:dyDescent="0.35">
      <c r="A708" s="3">
        <v>2016</v>
      </c>
      <c r="B708" s="2">
        <v>5</v>
      </c>
      <c r="C708" s="2" t="s">
        <v>35</v>
      </c>
      <c r="D708" s="2" t="s">
        <v>26</v>
      </c>
      <c r="E708" s="2" t="s">
        <v>19</v>
      </c>
      <c r="F708" s="2" t="s">
        <v>20</v>
      </c>
      <c r="G708" s="2">
        <v>78066</v>
      </c>
      <c r="H708" s="2">
        <v>187</v>
      </c>
      <c r="I708" s="2">
        <v>296103</v>
      </c>
      <c r="J708" s="2">
        <v>30</v>
      </c>
      <c r="K708" s="2">
        <v>0.97</v>
      </c>
      <c r="L708" s="2">
        <v>6.29</v>
      </c>
      <c r="M708" s="2">
        <v>1.2</v>
      </c>
      <c r="N708" s="4">
        <v>7</v>
      </c>
    </row>
    <row r="709" spans="1:14" x14ac:dyDescent="0.35">
      <c r="A709" s="3">
        <v>2017</v>
      </c>
      <c r="B709" s="2">
        <v>2</v>
      </c>
      <c r="C709" s="2" t="s">
        <v>37</v>
      </c>
      <c r="D709" s="2" t="s">
        <v>15</v>
      </c>
      <c r="E709" s="2" t="s">
        <v>16</v>
      </c>
      <c r="F709" s="2" t="s">
        <v>23</v>
      </c>
      <c r="G709" s="2">
        <v>45400</v>
      </c>
      <c r="H709" s="2">
        <v>286</v>
      </c>
      <c r="I709" s="2">
        <v>274970</v>
      </c>
      <c r="J709" s="2">
        <v>67</v>
      </c>
      <c r="K709" s="2">
        <v>0.97</v>
      </c>
      <c r="L709" s="2">
        <v>6.29</v>
      </c>
      <c r="M709" s="2">
        <v>1.2</v>
      </c>
      <c r="N709" s="4">
        <v>7</v>
      </c>
    </row>
    <row r="710" spans="1:14" x14ac:dyDescent="0.35">
      <c r="A710" s="3">
        <v>2016</v>
      </c>
      <c r="B710" s="2">
        <v>8</v>
      </c>
      <c r="C710" s="2" t="s">
        <v>35</v>
      </c>
      <c r="D710" s="2" t="s">
        <v>33</v>
      </c>
      <c r="E710" s="2" t="s">
        <v>19</v>
      </c>
      <c r="F710" s="2" t="s">
        <v>17</v>
      </c>
      <c r="G710" s="2">
        <v>45345</v>
      </c>
      <c r="H710" s="2">
        <v>916</v>
      </c>
      <c r="I710" s="2">
        <v>274866</v>
      </c>
      <c r="J710" s="2">
        <v>398</v>
      </c>
      <c r="K710" s="2">
        <v>0.97</v>
      </c>
      <c r="L710" s="2">
        <v>6.29</v>
      </c>
      <c r="M710" s="2">
        <v>1.2</v>
      </c>
      <c r="N710" s="4">
        <v>8</v>
      </c>
    </row>
    <row r="711" spans="1:14" x14ac:dyDescent="0.35">
      <c r="A711" s="3">
        <v>2018</v>
      </c>
      <c r="B711" s="2">
        <v>8</v>
      </c>
      <c r="C711" s="2" t="s">
        <v>25</v>
      </c>
      <c r="D711" s="2" t="s">
        <v>22</v>
      </c>
      <c r="E711" s="2" t="s">
        <v>19</v>
      </c>
      <c r="F711" s="2" t="s">
        <v>17</v>
      </c>
      <c r="G711" s="2">
        <v>68896</v>
      </c>
      <c r="H711" s="2">
        <v>708</v>
      </c>
      <c r="I711" s="2">
        <v>464336</v>
      </c>
      <c r="J711" s="2">
        <v>189</v>
      </c>
      <c r="K711" s="2">
        <v>0.97</v>
      </c>
      <c r="L711" s="2">
        <v>6.29</v>
      </c>
      <c r="M711" s="2">
        <v>1.2</v>
      </c>
      <c r="N711" s="4">
        <v>7</v>
      </c>
    </row>
    <row r="712" spans="1:14" x14ac:dyDescent="0.35">
      <c r="A712" s="3">
        <v>2023</v>
      </c>
      <c r="B712" s="2">
        <v>11</v>
      </c>
      <c r="C712" s="2" t="s">
        <v>37</v>
      </c>
      <c r="D712" s="2" t="s">
        <v>31</v>
      </c>
      <c r="E712" s="2" t="s">
        <v>16</v>
      </c>
      <c r="F712" s="2" t="s">
        <v>17</v>
      </c>
      <c r="G712" s="2">
        <v>63899</v>
      </c>
      <c r="H712" s="2">
        <v>1021</v>
      </c>
      <c r="I712" s="2">
        <v>200862</v>
      </c>
      <c r="J712" s="2">
        <v>350</v>
      </c>
      <c r="K712" s="2">
        <v>0.97</v>
      </c>
      <c r="L712" s="2">
        <v>6.29</v>
      </c>
      <c r="M712" s="2">
        <v>1.2</v>
      </c>
      <c r="N712" s="4">
        <v>9</v>
      </c>
    </row>
    <row r="713" spans="1:14" x14ac:dyDescent="0.35">
      <c r="A713" s="3">
        <v>2020</v>
      </c>
      <c r="B713" s="2">
        <v>1</v>
      </c>
      <c r="C713" s="2" t="s">
        <v>25</v>
      </c>
      <c r="D713" s="2" t="s">
        <v>34</v>
      </c>
      <c r="E713" s="2" t="s">
        <v>16</v>
      </c>
      <c r="F713" s="2" t="s">
        <v>23</v>
      </c>
      <c r="G713" s="2">
        <v>63229</v>
      </c>
      <c r="H713" s="2">
        <v>749</v>
      </c>
      <c r="I713" s="2">
        <v>108655</v>
      </c>
      <c r="J713" s="2">
        <v>358</v>
      </c>
      <c r="K713" s="2">
        <v>0.97</v>
      </c>
      <c r="L713" s="2">
        <v>6.29</v>
      </c>
      <c r="M713" s="2">
        <v>1.2</v>
      </c>
      <c r="N713" s="4">
        <v>9</v>
      </c>
    </row>
    <row r="714" spans="1:14" x14ac:dyDescent="0.35">
      <c r="A714" s="3">
        <v>2015</v>
      </c>
      <c r="B714" s="2">
        <v>8</v>
      </c>
      <c r="C714" s="2" t="s">
        <v>28</v>
      </c>
      <c r="D714" s="2" t="s">
        <v>22</v>
      </c>
      <c r="E714" s="2" t="s">
        <v>16</v>
      </c>
      <c r="F714" s="2" t="s">
        <v>23</v>
      </c>
      <c r="G714" s="2">
        <v>40583</v>
      </c>
      <c r="H714" s="2">
        <v>417</v>
      </c>
      <c r="I714" s="2">
        <v>240715</v>
      </c>
      <c r="J714" s="2">
        <v>29</v>
      </c>
      <c r="K714" s="2">
        <v>0.97</v>
      </c>
      <c r="L714" s="2">
        <v>6.29</v>
      </c>
      <c r="M714" s="2">
        <v>1.2</v>
      </c>
      <c r="N714" s="4">
        <v>6</v>
      </c>
    </row>
    <row r="715" spans="1:14" x14ac:dyDescent="0.35">
      <c r="A715" s="3">
        <v>2022</v>
      </c>
      <c r="B715" s="2">
        <v>5</v>
      </c>
      <c r="C715" s="2" t="s">
        <v>14</v>
      </c>
      <c r="D715" s="2" t="s">
        <v>22</v>
      </c>
      <c r="E715" s="2" t="s">
        <v>16</v>
      </c>
      <c r="F715" s="2" t="s">
        <v>23</v>
      </c>
      <c r="G715" s="2">
        <v>39897</v>
      </c>
      <c r="H715" s="2">
        <v>631</v>
      </c>
      <c r="I715" s="2">
        <v>143448</v>
      </c>
      <c r="J715" s="2">
        <v>264</v>
      </c>
      <c r="K715" s="2">
        <v>0.97</v>
      </c>
      <c r="L715" s="2">
        <v>6.29</v>
      </c>
      <c r="M715" s="2">
        <v>1.2</v>
      </c>
      <c r="N715" s="4">
        <v>7</v>
      </c>
    </row>
    <row r="716" spans="1:14" x14ac:dyDescent="0.35">
      <c r="A716" s="3">
        <v>2021</v>
      </c>
      <c r="B716" s="2">
        <v>2</v>
      </c>
      <c r="C716" s="2" t="s">
        <v>28</v>
      </c>
      <c r="D716" s="2" t="s">
        <v>29</v>
      </c>
      <c r="E716" s="2" t="s">
        <v>20</v>
      </c>
      <c r="F716" s="2" t="s">
        <v>17</v>
      </c>
      <c r="G716" s="2">
        <v>106537</v>
      </c>
      <c r="H716" s="2">
        <v>928</v>
      </c>
      <c r="I716" s="2">
        <v>228446</v>
      </c>
      <c r="J716" s="2">
        <v>326</v>
      </c>
      <c r="K716" s="2">
        <v>0.97</v>
      </c>
      <c r="L716" s="2">
        <v>6.29</v>
      </c>
      <c r="M716" s="2">
        <v>1.2</v>
      </c>
      <c r="N716" s="4">
        <v>2</v>
      </c>
    </row>
    <row r="717" spans="1:14" x14ac:dyDescent="0.35">
      <c r="A717" s="3">
        <v>2024</v>
      </c>
      <c r="B717" s="2">
        <v>2</v>
      </c>
      <c r="C717" s="2" t="s">
        <v>36</v>
      </c>
      <c r="D717" s="2" t="s">
        <v>18</v>
      </c>
      <c r="E717" s="2" t="s">
        <v>20</v>
      </c>
      <c r="F717" s="2" t="s">
        <v>20</v>
      </c>
      <c r="G717" s="2">
        <v>39567</v>
      </c>
      <c r="H717" s="2">
        <v>123</v>
      </c>
      <c r="I717" s="2">
        <v>223979</v>
      </c>
      <c r="J717" s="2">
        <v>47</v>
      </c>
      <c r="K717" s="2">
        <v>0.97</v>
      </c>
      <c r="L717" s="2">
        <v>6.29</v>
      </c>
      <c r="M717" s="2">
        <v>1.2</v>
      </c>
      <c r="N717" s="4">
        <v>9</v>
      </c>
    </row>
    <row r="718" spans="1:14" x14ac:dyDescent="0.35">
      <c r="A718" s="3">
        <v>2017</v>
      </c>
      <c r="B718" s="2">
        <v>6</v>
      </c>
      <c r="C718" s="2" t="s">
        <v>35</v>
      </c>
      <c r="D718" s="2" t="s">
        <v>39</v>
      </c>
      <c r="E718" s="2" t="s">
        <v>16</v>
      </c>
      <c r="F718" s="2" t="s">
        <v>27</v>
      </c>
      <c r="G718" s="2">
        <v>109807</v>
      </c>
      <c r="H718" s="2">
        <v>380</v>
      </c>
      <c r="I718" s="2">
        <v>231143</v>
      </c>
      <c r="J718" s="2">
        <v>157</v>
      </c>
      <c r="K718" s="2">
        <v>0.97</v>
      </c>
      <c r="L718" s="2">
        <v>6.29</v>
      </c>
      <c r="M718" s="2">
        <v>1.2</v>
      </c>
      <c r="N718" s="4">
        <v>1</v>
      </c>
    </row>
    <row r="719" spans="1:14" x14ac:dyDescent="0.35">
      <c r="A719" s="3">
        <v>2015</v>
      </c>
      <c r="B719" s="2">
        <v>11</v>
      </c>
      <c r="C719" s="2" t="s">
        <v>25</v>
      </c>
      <c r="D719" s="2" t="s">
        <v>18</v>
      </c>
      <c r="E719" s="2" t="s">
        <v>19</v>
      </c>
      <c r="F719" s="2" t="s">
        <v>23</v>
      </c>
      <c r="G719" s="2">
        <v>112239</v>
      </c>
      <c r="H719" s="2">
        <v>446</v>
      </c>
      <c r="I719" s="2">
        <v>170507</v>
      </c>
      <c r="J719" s="2">
        <v>34</v>
      </c>
      <c r="K719" s="2">
        <v>0.97</v>
      </c>
      <c r="L719" s="2">
        <v>6.29</v>
      </c>
      <c r="M719" s="2">
        <v>1.2</v>
      </c>
      <c r="N719" s="4">
        <v>1</v>
      </c>
    </row>
    <row r="720" spans="1:14" x14ac:dyDescent="0.35">
      <c r="A720" s="3">
        <v>2019</v>
      </c>
      <c r="B720" s="2">
        <v>9</v>
      </c>
      <c r="C720" s="2" t="s">
        <v>32</v>
      </c>
      <c r="D720" s="2" t="s">
        <v>15</v>
      </c>
      <c r="E720" s="2" t="s">
        <v>16</v>
      </c>
      <c r="F720" s="2" t="s">
        <v>20</v>
      </c>
      <c r="G720" s="2">
        <v>48329</v>
      </c>
      <c r="H720" s="2">
        <v>1088</v>
      </c>
      <c r="I720" s="2">
        <v>346956</v>
      </c>
      <c r="J720" s="2">
        <v>395</v>
      </c>
      <c r="K720" s="2">
        <v>0.97</v>
      </c>
      <c r="L720" s="2">
        <v>6.29</v>
      </c>
      <c r="M720" s="2">
        <v>1.2</v>
      </c>
      <c r="N720" s="4">
        <v>3</v>
      </c>
    </row>
    <row r="721" spans="1:14" x14ac:dyDescent="0.35">
      <c r="A721" s="3">
        <v>2018</v>
      </c>
      <c r="B721" s="2">
        <v>1</v>
      </c>
      <c r="C721" s="2" t="s">
        <v>28</v>
      </c>
      <c r="D721" s="2" t="s">
        <v>31</v>
      </c>
      <c r="E721" s="2" t="s">
        <v>16</v>
      </c>
      <c r="F721" s="2" t="s">
        <v>27</v>
      </c>
      <c r="G721" s="2">
        <v>106792</v>
      </c>
      <c r="H721" s="2">
        <v>496</v>
      </c>
      <c r="I721" s="2">
        <v>361714</v>
      </c>
      <c r="J721" s="2">
        <v>130</v>
      </c>
      <c r="K721" s="2">
        <v>0.97</v>
      </c>
      <c r="L721" s="2">
        <v>6.29</v>
      </c>
      <c r="M721" s="2">
        <v>1.2</v>
      </c>
      <c r="N721" s="4">
        <v>6</v>
      </c>
    </row>
    <row r="722" spans="1:14" x14ac:dyDescent="0.35">
      <c r="A722" s="3">
        <v>2024</v>
      </c>
      <c r="B722" s="2">
        <v>12</v>
      </c>
      <c r="C722" s="2" t="s">
        <v>36</v>
      </c>
      <c r="D722" s="2" t="s">
        <v>29</v>
      </c>
      <c r="E722" s="2" t="s">
        <v>19</v>
      </c>
      <c r="F722" s="2" t="s">
        <v>27</v>
      </c>
      <c r="G722" s="2">
        <v>35228</v>
      </c>
      <c r="H722" s="2">
        <v>171</v>
      </c>
      <c r="I722" s="2">
        <v>363045</v>
      </c>
      <c r="J722" s="2">
        <v>35</v>
      </c>
      <c r="K722" s="2">
        <v>0.97</v>
      </c>
      <c r="L722" s="2">
        <v>6.29</v>
      </c>
      <c r="M722" s="2">
        <v>1.2</v>
      </c>
      <c r="N722" s="4">
        <v>5</v>
      </c>
    </row>
    <row r="723" spans="1:14" x14ac:dyDescent="0.35">
      <c r="A723" s="3">
        <v>2022</v>
      </c>
      <c r="B723" s="2">
        <v>6</v>
      </c>
      <c r="C723" s="2" t="s">
        <v>21</v>
      </c>
      <c r="D723" s="2" t="s">
        <v>31</v>
      </c>
      <c r="E723" s="2" t="s">
        <v>20</v>
      </c>
      <c r="F723" s="2" t="s">
        <v>27</v>
      </c>
      <c r="G723" s="2">
        <v>117214</v>
      </c>
      <c r="H723" s="2">
        <v>511</v>
      </c>
      <c r="I723" s="2">
        <v>110186</v>
      </c>
      <c r="J723" s="2">
        <v>178</v>
      </c>
      <c r="K723" s="2">
        <v>0.97</v>
      </c>
      <c r="L723" s="2">
        <v>6.29</v>
      </c>
      <c r="M723" s="2">
        <v>1.2</v>
      </c>
      <c r="N723" s="4">
        <v>2</v>
      </c>
    </row>
    <row r="724" spans="1:14" x14ac:dyDescent="0.35">
      <c r="A724" s="3">
        <v>2015</v>
      </c>
      <c r="B724" s="2">
        <v>9</v>
      </c>
      <c r="C724" s="2" t="s">
        <v>38</v>
      </c>
      <c r="D724" s="2" t="s">
        <v>15</v>
      </c>
      <c r="E724" s="2" t="s">
        <v>16</v>
      </c>
      <c r="F724" s="2" t="s">
        <v>20</v>
      </c>
      <c r="G724" s="2">
        <v>72052</v>
      </c>
      <c r="H724" s="2">
        <v>908</v>
      </c>
      <c r="I724" s="2">
        <v>172066</v>
      </c>
      <c r="J724" s="2">
        <v>332</v>
      </c>
      <c r="K724" s="2">
        <v>0.97</v>
      </c>
      <c r="L724" s="2">
        <v>6.29</v>
      </c>
      <c r="M724" s="2">
        <v>1.2</v>
      </c>
      <c r="N724" s="4">
        <v>9</v>
      </c>
    </row>
    <row r="725" spans="1:14" x14ac:dyDescent="0.35">
      <c r="A725" s="3">
        <v>2024</v>
      </c>
      <c r="B725" s="2">
        <v>8</v>
      </c>
      <c r="C725" s="2" t="s">
        <v>37</v>
      </c>
      <c r="D725" s="2" t="s">
        <v>18</v>
      </c>
      <c r="E725" s="2" t="s">
        <v>16</v>
      </c>
      <c r="F725" s="2" t="s">
        <v>20</v>
      </c>
      <c r="G725" s="2">
        <v>92769</v>
      </c>
      <c r="H725" s="2">
        <v>778</v>
      </c>
      <c r="I725" s="2">
        <v>440508</v>
      </c>
      <c r="J725" s="2">
        <v>234</v>
      </c>
      <c r="K725" s="2">
        <v>0.97</v>
      </c>
      <c r="L725" s="2">
        <v>6.29</v>
      </c>
      <c r="M725" s="2">
        <v>1.2</v>
      </c>
      <c r="N725" s="4">
        <v>10</v>
      </c>
    </row>
    <row r="726" spans="1:14" x14ac:dyDescent="0.35">
      <c r="A726" s="3">
        <v>2015</v>
      </c>
      <c r="B726" s="2">
        <v>11</v>
      </c>
      <c r="C726" s="2" t="s">
        <v>36</v>
      </c>
      <c r="D726" s="2" t="s">
        <v>22</v>
      </c>
      <c r="E726" s="2" t="s">
        <v>20</v>
      </c>
      <c r="F726" s="2" t="s">
        <v>17</v>
      </c>
      <c r="G726" s="2">
        <v>81032</v>
      </c>
      <c r="H726" s="2">
        <v>247</v>
      </c>
      <c r="I726" s="2">
        <v>231323</v>
      </c>
      <c r="J726" s="2">
        <v>10</v>
      </c>
      <c r="K726" s="2">
        <v>0.97</v>
      </c>
      <c r="L726" s="2">
        <v>6.29</v>
      </c>
      <c r="M726" s="2">
        <v>1.2</v>
      </c>
      <c r="N726" s="4">
        <v>4</v>
      </c>
    </row>
    <row r="727" spans="1:14" x14ac:dyDescent="0.35">
      <c r="A727" s="3">
        <v>2018</v>
      </c>
      <c r="B727" s="2">
        <v>6</v>
      </c>
      <c r="C727" s="2" t="s">
        <v>14</v>
      </c>
      <c r="D727" s="2" t="s">
        <v>26</v>
      </c>
      <c r="E727" s="2" t="s">
        <v>20</v>
      </c>
      <c r="F727" s="2" t="s">
        <v>20</v>
      </c>
      <c r="G727" s="2">
        <v>68686</v>
      </c>
      <c r="H727" s="2">
        <v>834</v>
      </c>
      <c r="I727" s="2">
        <v>246243</v>
      </c>
      <c r="J727" s="2">
        <v>316</v>
      </c>
      <c r="K727" s="2">
        <v>0.97</v>
      </c>
      <c r="L727" s="2">
        <v>6.29</v>
      </c>
      <c r="M727" s="2">
        <v>1.2</v>
      </c>
      <c r="N727" s="4">
        <v>4</v>
      </c>
    </row>
    <row r="728" spans="1:14" x14ac:dyDescent="0.35">
      <c r="A728" s="3">
        <v>2022</v>
      </c>
      <c r="B728" s="2">
        <v>3</v>
      </c>
      <c r="C728" s="2" t="s">
        <v>28</v>
      </c>
      <c r="D728" s="2" t="s">
        <v>26</v>
      </c>
      <c r="E728" s="2" t="s">
        <v>19</v>
      </c>
      <c r="F728" s="2" t="s">
        <v>20</v>
      </c>
      <c r="G728" s="2">
        <v>111981</v>
      </c>
      <c r="H728" s="2">
        <v>573</v>
      </c>
      <c r="I728" s="2">
        <v>86160</v>
      </c>
      <c r="J728" s="2">
        <v>270</v>
      </c>
      <c r="K728" s="2">
        <v>0.97</v>
      </c>
      <c r="L728" s="2">
        <v>6.29</v>
      </c>
      <c r="M728" s="2">
        <v>1.2</v>
      </c>
      <c r="N728" s="4">
        <v>5</v>
      </c>
    </row>
    <row r="729" spans="1:14" x14ac:dyDescent="0.35">
      <c r="A729" s="3">
        <v>2019</v>
      </c>
      <c r="B729" s="2">
        <v>8</v>
      </c>
      <c r="C729" s="2" t="s">
        <v>14</v>
      </c>
      <c r="D729" s="2" t="s">
        <v>24</v>
      </c>
      <c r="E729" s="2" t="s">
        <v>20</v>
      </c>
      <c r="F729" s="2" t="s">
        <v>20</v>
      </c>
      <c r="G729" s="2">
        <v>98261</v>
      </c>
      <c r="H729" s="2">
        <v>155</v>
      </c>
      <c r="I729" s="2">
        <v>69156</v>
      </c>
      <c r="J729" s="2">
        <v>22</v>
      </c>
      <c r="K729" s="2">
        <v>0.97</v>
      </c>
      <c r="L729" s="2">
        <v>6.29</v>
      </c>
      <c r="M729" s="2">
        <v>1.2</v>
      </c>
      <c r="N729" s="4">
        <v>8</v>
      </c>
    </row>
    <row r="730" spans="1:14" x14ac:dyDescent="0.35">
      <c r="A730" s="3">
        <v>2016</v>
      </c>
      <c r="B730" s="2">
        <v>9</v>
      </c>
      <c r="C730" s="2" t="s">
        <v>38</v>
      </c>
      <c r="D730" s="2" t="s">
        <v>34</v>
      </c>
      <c r="E730" s="2" t="s">
        <v>20</v>
      </c>
      <c r="F730" s="2" t="s">
        <v>27</v>
      </c>
      <c r="G730" s="2">
        <v>37809</v>
      </c>
      <c r="H730" s="2">
        <v>529</v>
      </c>
      <c r="I730" s="2">
        <v>126208</v>
      </c>
      <c r="J730" s="2">
        <v>57</v>
      </c>
      <c r="K730" s="2">
        <v>0.97</v>
      </c>
      <c r="L730" s="2">
        <v>6.29</v>
      </c>
      <c r="M730" s="2">
        <v>1.2</v>
      </c>
      <c r="N730" s="4">
        <v>10</v>
      </c>
    </row>
    <row r="731" spans="1:14" x14ac:dyDescent="0.35">
      <c r="A731" s="3">
        <v>2020</v>
      </c>
      <c r="B731" s="2">
        <v>1</v>
      </c>
      <c r="C731" s="2" t="s">
        <v>32</v>
      </c>
      <c r="D731" s="2" t="s">
        <v>39</v>
      </c>
      <c r="E731" s="2" t="s">
        <v>20</v>
      </c>
      <c r="F731" s="2" t="s">
        <v>23</v>
      </c>
      <c r="G731" s="2">
        <v>76785</v>
      </c>
      <c r="H731" s="2">
        <v>744</v>
      </c>
      <c r="I731" s="2">
        <v>199001</v>
      </c>
      <c r="J731" s="2">
        <v>322</v>
      </c>
      <c r="K731" s="2">
        <v>0.97</v>
      </c>
      <c r="L731" s="2">
        <v>6.29</v>
      </c>
      <c r="M731" s="2">
        <v>1.2</v>
      </c>
      <c r="N731" s="4">
        <v>4</v>
      </c>
    </row>
    <row r="732" spans="1:14" x14ac:dyDescent="0.35">
      <c r="A732" s="3">
        <v>2019</v>
      </c>
      <c r="B732" s="2">
        <v>12</v>
      </c>
      <c r="C732" s="2" t="s">
        <v>35</v>
      </c>
      <c r="D732" s="2" t="s">
        <v>15</v>
      </c>
      <c r="E732" s="2" t="s">
        <v>19</v>
      </c>
      <c r="F732" s="2" t="s">
        <v>17</v>
      </c>
      <c r="G732" s="2">
        <v>71547</v>
      </c>
      <c r="H732" s="2">
        <v>1087</v>
      </c>
      <c r="I732" s="2">
        <v>281226</v>
      </c>
      <c r="J732" s="2">
        <v>380</v>
      </c>
      <c r="K732" s="2">
        <v>0.97</v>
      </c>
      <c r="L732" s="2">
        <v>6.29</v>
      </c>
      <c r="M732" s="2">
        <v>1.2</v>
      </c>
      <c r="N732" s="4">
        <v>5</v>
      </c>
    </row>
    <row r="733" spans="1:14" x14ac:dyDescent="0.35">
      <c r="A733" s="3">
        <v>2016</v>
      </c>
      <c r="B733" s="2">
        <v>9</v>
      </c>
      <c r="C733" s="2" t="s">
        <v>35</v>
      </c>
      <c r="D733" s="2" t="s">
        <v>34</v>
      </c>
      <c r="E733" s="2" t="s">
        <v>20</v>
      </c>
      <c r="F733" s="2" t="s">
        <v>23</v>
      </c>
      <c r="G733" s="2">
        <v>77818</v>
      </c>
      <c r="H733" s="2">
        <v>684</v>
      </c>
      <c r="I733" s="2">
        <v>497421</v>
      </c>
      <c r="J733" s="2">
        <v>300</v>
      </c>
      <c r="K733" s="2">
        <v>0.97</v>
      </c>
      <c r="L733" s="2">
        <v>6.29</v>
      </c>
      <c r="M733" s="2">
        <v>1.2</v>
      </c>
      <c r="N733" s="4">
        <v>4</v>
      </c>
    </row>
    <row r="734" spans="1:14" x14ac:dyDescent="0.35">
      <c r="A734" s="3">
        <v>2017</v>
      </c>
      <c r="B734" s="2">
        <v>6</v>
      </c>
      <c r="C734" s="2" t="s">
        <v>14</v>
      </c>
      <c r="D734" s="2" t="s">
        <v>39</v>
      </c>
      <c r="E734" s="2" t="s">
        <v>20</v>
      </c>
      <c r="F734" s="2" t="s">
        <v>23</v>
      </c>
      <c r="G734" s="2">
        <v>106927</v>
      </c>
      <c r="H734" s="2">
        <v>933</v>
      </c>
      <c r="I734" s="2">
        <v>291766</v>
      </c>
      <c r="J734" s="2">
        <v>341</v>
      </c>
      <c r="K734" s="2">
        <v>0.97</v>
      </c>
      <c r="L734" s="2">
        <v>6.29</v>
      </c>
      <c r="M734" s="2">
        <v>1.2</v>
      </c>
      <c r="N734" s="4">
        <v>6</v>
      </c>
    </row>
    <row r="735" spans="1:14" x14ac:dyDescent="0.35">
      <c r="A735" s="3">
        <v>2023</v>
      </c>
      <c r="B735" s="2">
        <v>6</v>
      </c>
      <c r="C735" s="2" t="s">
        <v>25</v>
      </c>
      <c r="D735" s="2" t="s">
        <v>34</v>
      </c>
      <c r="E735" s="2" t="s">
        <v>19</v>
      </c>
      <c r="F735" s="2" t="s">
        <v>20</v>
      </c>
      <c r="G735" s="2">
        <v>100681</v>
      </c>
      <c r="H735" s="2">
        <v>235</v>
      </c>
      <c r="I735" s="2">
        <v>245413</v>
      </c>
      <c r="J735" s="2">
        <v>103</v>
      </c>
      <c r="K735" s="2">
        <v>0.97</v>
      </c>
      <c r="L735" s="2">
        <v>6.29</v>
      </c>
      <c r="M735" s="2">
        <v>1.2</v>
      </c>
      <c r="N735" s="4">
        <v>3</v>
      </c>
    </row>
    <row r="736" spans="1:14" x14ac:dyDescent="0.35">
      <c r="A736" s="3">
        <v>2021</v>
      </c>
      <c r="B736" s="2">
        <v>12</v>
      </c>
      <c r="C736" s="2" t="s">
        <v>32</v>
      </c>
      <c r="D736" s="2" t="s">
        <v>18</v>
      </c>
      <c r="E736" s="2" t="s">
        <v>20</v>
      </c>
      <c r="F736" s="2" t="s">
        <v>17</v>
      </c>
      <c r="G736" s="2">
        <v>114465</v>
      </c>
      <c r="H736" s="2">
        <v>553</v>
      </c>
      <c r="I736" s="2">
        <v>407521</v>
      </c>
      <c r="J736" s="2">
        <v>270</v>
      </c>
      <c r="K736" s="2">
        <v>0.97</v>
      </c>
      <c r="L736" s="2">
        <v>6.29</v>
      </c>
      <c r="M736" s="2">
        <v>1.2</v>
      </c>
      <c r="N736" s="4">
        <v>8</v>
      </c>
    </row>
    <row r="737" spans="1:14" x14ac:dyDescent="0.35">
      <c r="A737" s="3">
        <v>2021</v>
      </c>
      <c r="B737" s="2">
        <v>4</v>
      </c>
      <c r="C737" s="2" t="s">
        <v>35</v>
      </c>
      <c r="D737" s="2" t="s">
        <v>39</v>
      </c>
      <c r="E737" s="2" t="s">
        <v>20</v>
      </c>
      <c r="F737" s="2" t="s">
        <v>23</v>
      </c>
      <c r="G737" s="2">
        <v>72333</v>
      </c>
      <c r="H737" s="2">
        <v>644</v>
      </c>
      <c r="I737" s="2">
        <v>355007</v>
      </c>
      <c r="J737" s="2">
        <v>287</v>
      </c>
      <c r="K737" s="2">
        <v>0.97</v>
      </c>
      <c r="L737" s="2">
        <v>6.29</v>
      </c>
      <c r="M737" s="2">
        <v>1.2</v>
      </c>
      <c r="N737" s="4">
        <v>6</v>
      </c>
    </row>
    <row r="738" spans="1:14" x14ac:dyDescent="0.35">
      <c r="A738" s="3">
        <v>2020</v>
      </c>
      <c r="B738" s="2">
        <v>1</v>
      </c>
      <c r="C738" s="2" t="s">
        <v>32</v>
      </c>
      <c r="D738" s="2" t="s">
        <v>18</v>
      </c>
      <c r="E738" s="2" t="s">
        <v>19</v>
      </c>
      <c r="F738" s="2" t="s">
        <v>23</v>
      </c>
      <c r="G738" s="2">
        <v>51576</v>
      </c>
      <c r="H738" s="2">
        <v>1073</v>
      </c>
      <c r="I738" s="2">
        <v>262909</v>
      </c>
      <c r="J738" s="2">
        <v>368</v>
      </c>
      <c r="K738" s="2">
        <v>0.97</v>
      </c>
      <c r="L738" s="2">
        <v>6.29</v>
      </c>
      <c r="M738" s="2">
        <v>1.2</v>
      </c>
      <c r="N738" s="4">
        <v>10</v>
      </c>
    </row>
    <row r="739" spans="1:14" x14ac:dyDescent="0.35">
      <c r="A739" s="3">
        <v>2022</v>
      </c>
      <c r="B739" s="2">
        <v>10</v>
      </c>
      <c r="C739" s="2" t="s">
        <v>36</v>
      </c>
      <c r="D739" s="2" t="s">
        <v>22</v>
      </c>
      <c r="E739" s="2" t="s">
        <v>16</v>
      </c>
      <c r="F739" s="2" t="s">
        <v>17</v>
      </c>
      <c r="G739" s="2">
        <v>74405</v>
      </c>
      <c r="H739" s="2">
        <v>597</v>
      </c>
      <c r="I739" s="2">
        <v>115439</v>
      </c>
      <c r="J739" s="2">
        <v>214</v>
      </c>
      <c r="K739" s="2">
        <v>0.97</v>
      </c>
      <c r="L739" s="2">
        <v>6.29</v>
      </c>
      <c r="M739" s="2">
        <v>1.2</v>
      </c>
      <c r="N739" s="4">
        <v>5</v>
      </c>
    </row>
    <row r="740" spans="1:14" x14ac:dyDescent="0.35">
      <c r="A740" s="3">
        <v>2018</v>
      </c>
      <c r="B740" s="2">
        <v>8</v>
      </c>
      <c r="C740" s="2" t="s">
        <v>32</v>
      </c>
      <c r="D740" s="2" t="s">
        <v>29</v>
      </c>
      <c r="E740" s="2" t="s">
        <v>19</v>
      </c>
      <c r="F740" s="2" t="s">
        <v>20</v>
      </c>
      <c r="G740" s="2">
        <v>108779</v>
      </c>
      <c r="H740" s="2">
        <v>827</v>
      </c>
      <c r="I740" s="2">
        <v>188266</v>
      </c>
      <c r="J740" s="2">
        <v>194</v>
      </c>
      <c r="K740" s="2">
        <v>0.97</v>
      </c>
      <c r="L740" s="2">
        <v>6.29</v>
      </c>
      <c r="M740" s="2">
        <v>1.2</v>
      </c>
      <c r="N740" s="4">
        <v>2</v>
      </c>
    </row>
    <row r="741" spans="1:14" x14ac:dyDescent="0.35">
      <c r="A741" s="3">
        <v>2022</v>
      </c>
      <c r="B741" s="2">
        <v>2</v>
      </c>
      <c r="C741" s="2" t="s">
        <v>30</v>
      </c>
      <c r="D741" s="2" t="s">
        <v>18</v>
      </c>
      <c r="E741" s="2" t="s">
        <v>20</v>
      </c>
      <c r="F741" s="2" t="s">
        <v>23</v>
      </c>
      <c r="G741" s="2">
        <v>66601</v>
      </c>
      <c r="H741" s="2">
        <v>425</v>
      </c>
      <c r="I741" s="2">
        <v>252459</v>
      </c>
      <c r="J741" s="2">
        <v>184</v>
      </c>
      <c r="K741" s="2">
        <v>0.97</v>
      </c>
      <c r="L741" s="2">
        <v>6.29</v>
      </c>
      <c r="M741" s="2">
        <v>1.2</v>
      </c>
      <c r="N741" s="4">
        <v>10</v>
      </c>
    </row>
    <row r="742" spans="1:14" x14ac:dyDescent="0.35">
      <c r="A742" s="3">
        <v>2018</v>
      </c>
      <c r="B742" s="2">
        <v>12</v>
      </c>
      <c r="C742" s="2" t="s">
        <v>38</v>
      </c>
      <c r="D742" s="2" t="s">
        <v>26</v>
      </c>
      <c r="E742" s="2" t="s">
        <v>20</v>
      </c>
      <c r="F742" s="2" t="s">
        <v>27</v>
      </c>
      <c r="G742" s="2">
        <v>102946</v>
      </c>
      <c r="H742" s="2">
        <v>869</v>
      </c>
      <c r="I742" s="2">
        <v>171361</v>
      </c>
      <c r="J742" s="2">
        <v>396</v>
      </c>
      <c r="K742" s="2">
        <v>0.97</v>
      </c>
      <c r="L742" s="2">
        <v>6.29</v>
      </c>
      <c r="M742" s="2">
        <v>1.2</v>
      </c>
      <c r="N742" s="4">
        <v>10</v>
      </c>
    </row>
    <row r="743" spans="1:14" x14ac:dyDescent="0.35">
      <c r="A743" s="3">
        <v>2022</v>
      </c>
      <c r="B743" s="2">
        <v>1</v>
      </c>
      <c r="C743" s="2" t="s">
        <v>35</v>
      </c>
      <c r="D743" s="2" t="s">
        <v>34</v>
      </c>
      <c r="E743" s="2" t="s">
        <v>20</v>
      </c>
      <c r="F743" s="2" t="s">
        <v>23</v>
      </c>
      <c r="G743" s="2">
        <v>102356</v>
      </c>
      <c r="H743" s="2">
        <v>1067</v>
      </c>
      <c r="I743" s="2">
        <v>262986</v>
      </c>
      <c r="J743" s="2">
        <v>389</v>
      </c>
      <c r="K743" s="2">
        <v>0.97</v>
      </c>
      <c r="L743" s="2">
        <v>6.29</v>
      </c>
      <c r="M743" s="2">
        <v>1.2</v>
      </c>
      <c r="N743" s="4">
        <v>7</v>
      </c>
    </row>
    <row r="744" spans="1:14" x14ac:dyDescent="0.35">
      <c r="A744" s="3">
        <v>2023</v>
      </c>
      <c r="B744" s="2">
        <v>2</v>
      </c>
      <c r="C744" s="2" t="s">
        <v>32</v>
      </c>
      <c r="D744" s="2" t="s">
        <v>24</v>
      </c>
      <c r="E744" s="2" t="s">
        <v>19</v>
      </c>
      <c r="F744" s="2" t="s">
        <v>27</v>
      </c>
      <c r="G744" s="2">
        <v>87116</v>
      </c>
      <c r="H744" s="2">
        <v>816</v>
      </c>
      <c r="I744" s="2">
        <v>247286</v>
      </c>
      <c r="J744" s="2">
        <v>318</v>
      </c>
      <c r="K744" s="2">
        <v>0.97</v>
      </c>
      <c r="L744" s="2">
        <v>6.29</v>
      </c>
      <c r="M744" s="2">
        <v>1.2</v>
      </c>
      <c r="N744" s="4">
        <v>2</v>
      </c>
    </row>
    <row r="745" spans="1:14" x14ac:dyDescent="0.35">
      <c r="A745" s="3">
        <v>2017</v>
      </c>
      <c r="B745" s="2">
        <v>1</v>
      </c>
      <c r="C745" s="2" t="s">
        <v>14</v>
      </c>
      <c r="D745" s="2" t="s">
        <v>33</v>
      </c>
      <c r="E745" s="2" t="s">
        <v>20</v>
      </c>
      <c r="F745" s="2" t="s">
        <v>20</v>
      </c>
      <c r="G745" s="2">
        <v>97894</v>
      </c>
      <c r="H745" s="2">
        <v>457</v>
      </c>
      <c r="I745" s="2">
        <v>408320</v>
      </c>
      <c r="J745" s="2">
        <v>78</v>
      </c>
      <c r="K745" s="2">
        <v>0.97</v>
      </c>
      <c r="L745" s="2">
        <v>6.29</v>
      </c>
      <c r="M745" s="2">
        <v>1.2</v>
      </c>
      <c r="N745" s="4">
        <v>1</v>
      </c>
    </row>
    <row r="746" spans="1:14" x14ac:dyDescent="0.35">
      <c r="A746" s="3">
        <v>2017</v>
      </c>
      <c r="B746" s="2">
        <v>1</v>
      </c>
      <c r="C746" s="2" t="s">
        <v>21</v>
      </c>
      <c r="D746" s="2" t="s">
        <v>39</v>
      </c>
      <c r="E746" s="2" t="s">
        <v>20</v>
      </c>
      <c r="F746" s="2" t="s">
        <v>23</v>
      </c>
      <c r="G746" s="2">
        <v>69635</v>
      </c>
      <c r="H746" s="2">
        <v>533</v>
      </c>
      <c r="I746" s="2">
        <v>79777</v>
      </c>
      <c r="J746" s="2">
        <v>113</v>
      </c>
      <c r="K746" s="2">
        <v>0.97</v>
      </c>
      <c r="L746" s="2">
        <v>6.29</v>
      </c>
      <c r="M746" s="2">
        <v>1.2</v>
      </c>
      <c r="N746" s="4">
        <v>7</v>
      </c>
    </row>
    <row r="747" spans="1:14" x14ac:dyDescent="0.35">
      <c r="A747" s="3">
        <v>2016</v>
      </c>
      <c r="B747" s="2">
        <v>9</v>
      </c>
      <c r="C747" s="2" t="s">
        <v>30</v>
      </c>
      <c r="D747" s="2" t="s">
        <v>15</v>
      </c>
      <c r="E747" s="2" t="s">
        <v>19</v>
      </c>
      <c r="F747" s="2" t="s">
        <v>17</v>
      </c>
      <c r="G747" s="2">
        <v>42465</v>
      </c>
      <c r="H747" s="2">
        <v>775</v>
      </c>
      <c r="I747" s="2">
        <v>306427</v>
      </c>
      <c r="J747" s="2">
        <v>255</v>
      </c>
      <c r="K747" s="2">
        <v>0.97</v>
      </c>
      <c r="L747" s="2">
        <v>6.29</v>
      </c>
      <c r="M747" s="2">
        <v>1.2</v>
      </c>
      <c r="N747" s="4">
        <v>5</v>
      </c>
    </row>
    <row r="748" spans="1:14" x14ac:dyDescent="0.35">
      <c r="A748" s="3">
        <v>2024</v>
      </c>
      <c r="B748" s="2">
        <v>1</v>
      </c>
      <c r="C748" s="2" t="s">
        <v>30</v>
      </c>
      <c r="D748" s="2" t="s">
        <v>24</v>
      </c>
      <c r="E748" s="2" t="s">
        <v>16</v>
      </c>
      <c r="F748" s="2" t="s">
        <v>17</v>
      </c>
      <c r="G748" s="2">
        <v>91754</v>
      </c>
      <c r="H748" s="2">
        <v>683</v>
      </c>
      <c r="I748" s="2">
        <v>207255</v>
      </c>
      <c r="J748" s="2">
        <v>170</v>
      </c>
      <c r="K748" s="2">
        <v>0.97</v>
      </c>
      <c r="L748" s="2">
        <v>6.29</v>
      </c>
      <c r="M748" s="2">
        <v>1.2</v>
      </c>
      <c r="N748" s="4">
        <v>1</v>
      </c>
    </row>
    <row r="749" spans="1:14" x14ac:dyDescent="0.35">
      <c r="A749" s="3">
        <v>2017</v>
      </c>
      <c r="B749" s="2">
        <v>4</v>
      </c>
      <c r="C749" s="2" t="s">
        <v>25</v>
      </c>
      <c r="D749" s="2" t="s">
        <v>26</v>
      </c>
      <c r="E749" s="2" t="s">
        <v>16</v>
      </c>
      <c r="F749" s="2" t="s">
        <v>23</v>
      </c>
      <c r="G749" s="2">
        <v>73871</v>
      </c>
      <c r="H749" s="2">
        <v>525</v>
      </c>
      <c r="I749" s="2">
        <v>470661</v>
      </c>
      <c r="J749" s="2">
        <v>209</v>
      </c>
      <c r="K749" s="2">
        <v>0.97</v>
      </c>
      <c r="L749" s="2">
        <v>6.29</v>
      </c>
      <c r="M749" s="2">
        <v>1.2</v>
      </c>
      <c r="N749" s="4">
        <v>4</v>
      </c>
    </row>
    <row r="750" spans="1:14" x14ac:dyDescent="0.35">
      <c r="A750" s="3">
        <v>2017</v>
      </c>
      <c r="B750" s="2">
        <v>10</v>
      </c>
      <c r="C750" s="2" t="s">
        <v>32</v>
      </c>
      <c r="D750" s="2" t="s">
        <v>18</v>
      </c>
      <c r="E750" s="2" t="s">
        <v>20</v>
      </c>
      <c r="F750" s="2" t="s">
        <v>20</v>
      </c>
      <c r="G750" s="2">
        <v>97874</v>
      </c>
      <c r="H750" s="2">
        <v>482</v>
      </c>
      <c r="I750" s="2">
        <v>248110</v>
      </c>
      <c r="J750" s="2">
        <v>225</v>
      </c>
      <c r="K750" s="2">
        <v>0.97</v>
      </c>
      <c r="L750" s="2">
        <v>6.29</v>
      </c>
      <c r="M750" s="2">
        <v>1.2</v>
      </c>
      <c r="N750" s="4">
        <v>4</v>
      </c>
    </row>
    <row r="751" spans="1:14" x14ac:dyDescent="0.35">
      <c r="A751" s="3">
        <v>2019</v>
      </c>
      <c r="B751" s="2">
        <v>6</v>
      </c>
      <c r="C751" s="2" t="s">
        <v>25</v>
      </c>
      <c r="D751" s="2" t="s">
        <v>29</v>
      </c>
      <c r="E751" s="2" t="s">
        <v>19</v>
      </c>
      <c r="F751" s="2" t="s">
        <v>20</v>
      </c>
      <c r="G751" s="2">
        <v>112733</v>
      </c>
      <c r="H751" s="2">
        <v>861</v>
      </c>
      <c r="I751" s="2">
        <v>399345</v>
      </c>
      <c r="J751" s="2">
        <v>221</v>
      </c>
      <c r="K751" s="2">
        <v>0.97</v>
      </c>
      <c r="L751" s="2">
        <v>6.29</v>
      </c>
      <c r="M751" s="2">
        <v>1.2</v>
      </c>
      <c r="N751" s="4">
        <v>10</v>
      </c>
    </row>
    <row r="752" spans="1:14" x14ac:dyDescent="0.35">
      <c r="A752" s="3">
        <v>2019</v>
      </c>
      <c r="B752" s="2">
        <v>7</v>
      </c>
      <c r="C752" s="2" t="s">
        <v>25</v>
      </c>
      <c r="D752" s="2" t="s">
        <v>22</v>
      </c>
      <c r="E752" s="2" t="s">
        <v>20</v>
      </c>
      <c r="F752" s="2" t="s">
        <v>17</v>
      </c>
      <c r="G752" s="2">
        <v>64511</v>
      </c>
      <c r="H752" s="2">
        <v>193</v>
      </c>
      <c r="I752" s="2">
        <v>459414</v>
      </c>
      <c r="J752" s="2">
        <v>25</v>
      </c>
      <c r="K752" s="2">
        <v>0.97</v>
      </c>
      <c r="L752" s="2">
        <v>6.29</v>
      </c>
      <c r="M752" s="2">
        <v>1.2</v>
      </c>
      <c r="N752" s="4">
        <v>7</v>
      </c>
    </row>
    <row r="753" spans="1:14" x14ac:dyDescent="0.35">
      <c r="A753" s="3">
        <v>2016</v>
      </c>
      <c r="B753" s="2">
        <v>2</v>
      </c>
      <c r="C753" s="2" t="s">
        <v>21</v>
      </c>
      <c r="D753" s="2" t="s">
        <v>33</v>
      </c>
      <c r="E753" s="2" t="s">
        <v>19</v>
      </c>
      <c r="F753" s="2" t="s">
        <v>23</v>
      </c>
      <c r="G753" s="2">
        <v>115960</v>
      </c>
      <c r="H753" s="2">
        <v>805</v>
      </c>
      <c r="I753" s="2">
        <v>464627</v>
      </c>
      <c r="J753" s="2">
        <v>381</v>
      </c>
      <c r="K753" s="2">
        <v>0.97</v>
      </c>
      <c r="L753" s="2">
        <v>6.29</v>
      </c>
      <c r="M753" s="2">
        <v>1.2</v>
      </c>
      <c r="N753" s="4">
        <v>9</v>
      </c>
    </row>
    <row r="754" spans="1:14" x14ac:dyDescent="0.35">
      <c r="A754" s="3">
        <v>2024</v>
      </c>
      <c r="B754" s="2">
        <v>6</v>
      </c>
      <c r="C754" s="2" t="s">
        <v>36</v>
      </c>
      <c r="D754" s="2" t="s">
        <v>31</v>
      </c>
      <c r="E754" s="2" t="s">
        <v>19</v>
      </c>
      <c r="F754" s="2" t="s">
        <v>20</v>
      </c>
      <c r="G754" s="2">
        <v>83821</v>
      </c>
      <c r="H754" s="2">
        <v>883</v>
      </c>
      <c r="I754" s="2">
        <v>231649</v>
      </c>
      <c r="J754" s="2">
        <v>341</v>
      </c>
      <c r="K754" s="2">
        <v>0.97</v>
      </c>
      <c r="L754" s="2">
        <v>6.29</v>
      </c>
      <c r="M754" s="2">
        <v>1.2</v>
      </c>
      <c r="N754" s="4">
        <v>2</v>
      </c>
    </row>
    <row r="755" spans="1:14" x14ac:dyDescent="0.35">
      <c r="A755" s="3">
        <v>2020</v>
      </c>
      <c r="B755" s="2">
        <v>7</v>
      </c>
      <c r="C755" s="2" t="s">
        <v>32</v>
      </c>
      <c r="D755" s="2" t="s">
        <v>24</v>
      </c>
      <c r="E755" s="2" t="s">
        <v>16</v>
      </c>
      <c r="F755" s="2" t="s">
        <v>17</v>
      </c>
      <c r="G755" s="2">
        <v>100776</v>
      </c>
      <c r="H755" s="2">
        <v>714</v>
      </c>
      <c r="I755" s="2">
        <v>328011</v>
      </c>
      <c r="J755" s="2">
        <v>214</v>
      </c>
      <c r="K755" s="2">
        <v>0.97</v>
      </c>
      <c r="L755" s="2">
        <v>6.29</v>
      </c>
      <c r="M755" s="2">
        <v>1.2</v>
      </c>
      <c r="N755" s="4">
        <v>1</v>
      </c>
    </row>
    <row r="756" spans="1:14" x14ac:dyDescent="0.35">
      <c r="A756" s="3">
        <v>2019</v>
      </c>
      <c r="B756" s="2">
        <v>10</v>
      </c>
      <c r="C756" s="2" t="s">
        <v>28</v>
      </c>
      <c r="D756" s="2" t="s">
        <v>29</v>
      </c>
      <c r="E756" s="2" t="s">
        <v>16</v>
      </c>
      <c r="F756" s="2" t="s">
        <v>27</v>
      </c>
      <c r="G756" s="2">
        <v>105167</v>
      </c>
      <c r="H756" s="2">
        <v>824</v>
      </c>
      <c r="I756" s="2">
        <v>112501</v>
      </c>
      <c r="J756" s="2">
        <v>374</v>
      </c>
      <c r="K756" s="2">
        <v>0.97</v>
      </c>
      <c r="L756" s="2">
        <v>6.29</v>
      </c>
      <c r="M756" s="2">
        <v>1.2</v>
      </c>
      <c r="N756" s="4">
        <v>2</v>
      </c>
    </row>
    <row r="757" spans="1:14" x14ac:dyDescent="0.35">
      <c r="A757" s="3">
        <v>2020</v>
      </c>
      <c r="B757" s="2">
        <v>10</v>
      </c>
      <c r="C757" s="2" t="s">
        <v>35</v>
      </c>
      <c r="D757" s="2" t="s">
        <v>31</v>
      </c>
      <c r="E757" s="2" t="s">
        <v>19</v>
      </c>
      <c r="F757" s="2" t="s">
        <v>23</v>
      </c>
      <c r="G757" s="2">
        <v>110135</v>
      </c>
      <c r="H757" s="2">
        <v>347</v>
      </c>
      <c r="I757" s="2">
        <v>195338</v>
      </c>
      <c r="J757" s="2">
        <v>48</v>
      </c>
      <c r="K757" s="2">
        <v>0.97</v>
      </c>
      <c r="L757" s="2">
        <v>6.29</v>
      </c>
      <c r="M757" s="2">
        <v>1.2</v>
      </c>
      <c r="N757" s="4">
        <v>7</v>
      </c>
    </row>
    <row r="758" spans="1:14" x14ac:dyDescent="0.35">
      <c r="A758" s="3">
        <v>2015</v>
      </c>
      <c r="B758" s="2">
        <v>2</v>
      </c>
      <c r="C758" s="2" t="s">
        <v>25</v>
      </c>
      <c r="D758" s="2" t="s">
        <v>33</v>
      </c>
      <c r="E758" s="2" t="s">
        <v>20</v>
      </c>
      <c r="F758" s="2" t="s">
        <v>27</v>
      </c>
      <c r="G758" s="2">
        <v>79462</v>
      </c>
      <c r="H758" s="2">
        <v>298</v>
      </c>
      <c r="I758" s="2">
        <v>351566</v>
      </c>
      <c r="J758" s="2">
        <v>98</v>
      </c>
      <c r="K758" s="2">
        <v>0.97</v>
      </c>
      <c r="L758" s="2">
        <v>6.29</v>
      </c>
      <c r="M758" s="2">
        <v>1.2</v>
      </c>
      <c r="N758" s="4">
        <v>10</v>
      </c>
    </row>
    <row r="759" spans="1:14" x14ac:dyDescent="0.35">
      <c r="A759" s="3">
        <v>2019</v>
      </c>
      <c r="B759" s="2">
        <v>2</v>
      </c>
      <c r="C759" s="2" t="s">
        <v>38</v>
      </c>
      <c r="D759" s="2" t="s">
        <v>15</v>
      </c>
      <c r="E759" s="2" t="s">
        <v>16</v>
      </c>
      <c r="F759" s="2" t="s">
        <v>27</v>
      </c>
      <c r="G759" s="2">
        <v>96382</v>
      </c>
      <c r="H759" s="2">
        <v>596</v>
      </c>
      <c r="I759" s="2">
        <v>216280</v>
      </c>
      <c r="J759" s="2">
        <v>265</v>
      </c>
      <c r="K759" s="2">
        <v>0.97</v>
      </c>
      <c r="L759" s="2">
        <v>6.29</v>
      </c>
      <c r="M759" s="2">
        <v>1.2</v>
      </c>
      <c r="N759" s="4">
        <v>6</v>
      </c>
    </row>
    <row r="760" spans="1:14" x14ac:dyDescent="0.35">
      <c r="A760" s="3">
        <v>2023</v>
      </c>
      <c r="B760" s="2">
        <v>10</v>
      </c>
      <c r="C760" s="2" t="s">
        <v>37</v>
      </c>
      <c r="D760" s="2" t="s">
        <v>15</v>
      </c>
      <c r="E760" s="2" t="s">
        <v>20</v>
      </c>
      <c r="F760" s="2" t="s">
        <v>20</v>
      </c>
      <c r="G760" s="2">
        <v>67574</v>
      </c>
      <c r="H760" s="2">
        <v>713</v>
      </c>
      <c r="I760" s="2">
        <v>171544</v>
      </c>
      <c r="J760" s="2">
        <v>263</v>
      </c>
      <c r="K760" s="2">
        <v>0.97</v>
      </c>
      <c r="L760" s="2">
        <v>6.29</v>
      </c>
      <c r="M760" s="2">
        <v>1.2</v>
      </c>
      <c r="N760" s="4">
        <v>4</v>
      </c>
    </row>
    <row r="761" spans="1:14" x14ac:dyDescent="0.35">
      <c r="A761" s="3">
        <v>2024</v>
      </c>
      <c r="B761" s="2">
        <v>7</v>
      </c>
      <c r="C761" s="2" t="s">
        <v>38</v>
      </c>
      <c r="D761" s="2" t="s">
        <v>34</v>
      </c>
      <c r="E761" s="2" t="s">
        <v>16</v>
      </c>
      <c r="F761" s="2" t="s">
        <v>20</v>
      </c>
      <c r="G761" s="2">
        <v>76910</v>
      </c>
      <c r="H761" s="2">
        <v>686</v>
      </c>
      <c r="I761" s="2">
        <v>474429</v>
      </c>
      <c r="J761" s="2">
        <v>225</v>
      </c>
      <c r="K761" s="2">
        <v>0.97</v>
      </c>
      <c r="L761" s="2">
        <v>6.29</v>
      </c>
      <c r="M761" s="2">
        <v>1.2</v>
      </c>
      <c r="N761" s="4">
        <v>1</v>
      </c>
    </row>
    <row r="762" spans="1:14" x14ac:dyDescent="0.35">
      <c r="A762" s="3">
        <v>2016</v>
      </c>
      <c r="B762" s="2">
        <v>12</v>
      </c>
      <c r="C762" s="2" t="s">
        <v>21</v>
      </c>
      <c r="D762" s="2" t="s">
        <v>33</v>
      </c>
      <c r="E762" s="2" t="s">
        <v>16</v>
      </c>
      <c r="F762" s="2" t="s">
        <v>20</v>
      </c>
      <c r="G762" s="2">
        <v>108531</v>
      </c>
      <c r="H762" s="2">
        <v>785</v>
      </c>
      <c r="I762" s="2">
        <v>188439</v>
      </c>
      <c r="J762" s="2">
        <v>377</v>
      </c>
      <c r="K762" s="2">
        <v>0.97</v>
      </c>
      <c r="L762" s="2">
        <v>6.29</v>
      </c>
      <c r="M762" s="2">
        <v>1.2</v>
      </c>
      <c r="N762" s="4">
        <v>1</v>
      </c>
    </row>
    <row r="763" spans="1:14" x14ac:dyDescent="0.35">
      <c r="A763" s="3">
        <v>2015</v>
      </c>
      <c r="B763" s="2">
        <v>1</v>
      </c>
      <c r="C763" s="2" t="s">
        <v>21</v>
      </c>
      <c r="D763" s="2" t="s">
        <v>33</v>
      </c>
      <c r="E763" s="2" t="s">
        <v>20</v>
      </c>
      <c r="F763" s="2" t="s">
        <v>23</v>
      </c>
      <c r="G763" s="2">
        <v>60186</v>
      </c>
      <c r="H763" s="2">
        <v>922</v>
      </c>
      <c r="I763" s="2">
        <v>305230</v>
      </c>
      <c r="J763" s="2">
        <v>312</v>
      </c>
      <c r="K763" s="2">
        <v>0.97</v>
      </c>
      <c r="L763" s="2">
        <v>6.29</v>
      </c>
      <c r="M763" s="2">
        <v>1.2</v>
      </c>
      <c r="N763" s="4">
        <v>5</v>
      </c>
    </row>
    <row r="764" spans="1:14" x14ac:dyDescent="0.35">
      <c r="A764" s="3">
        <v>2024</v>
      </c>
      <c r="B764" s="2">
        <v>8</v>
      </c>
      <c r="C764" s="2" t="s">
        <v>14</v>
      </c>
      <c r="D764" s="2" t="s">
        <v>31</v>
      </c>
      <c r="E764" s="2" t="s">
        <v>16</v>
      </c>
      <c r="F764" s="2" t="s">
        <v>27</v>
      </c>
      <c r="G764" s="2">
        <v>57813</v>
      </c>
      <c r="H764" s="2">
        <v>514</v>
      </c>
      <c r="I764" s="2">
        <v>85362</v>
      </c>
      <c r="J764" s="2">
        <v>181</v>
      </c>
      <c r="K764" s="2">
        <v>0.97</v>
      </c>
      <c r="L764" s="2">
        <v>6.29</v>
      </c>
      <c r="M764" s="2">
        <v>1.2</v>
      </c>
      <c r="N764" s="4">
        <v>1</v>
      </c>
    </row>
    <row r="765" spans="1:14" x14ac:dyDescent="0.35">
      <c r="A765" s="3">
        <v>2023</v>
      </c>
      <c r="B765" s="2">
        <v>11</v>
      </c>
      <c r="C765" s="2" t="s">
        <v>36</v>
      </c>
      <c r="D765" s="2" t="s">
        <v>29</v>
      </c>
      <c r="E765" s="2" t="s">
        <v>16</v>
      </c>
      <c r="F765" s="2" t="s">
        <v>23</v>
      </c>
      <c r="G765" s="2">
        <v>113812</v>
      </c>
      <c r="H765" s="2">
        <v>570</v>
      </c>
      <c r="I765" s="2">
        <v>300449</v>
      </c>
      <c r="J765" s="2">
        <v>146</v>
      </c>
      <c r="K765" s="2">
        <v>0.97</v>
      </c>
      <c r="L765" s="2">
        <v>6.29</v>
      </c>
      <c r="M765" s="2">
        <v>1.2</v>
      </c>
      <c r="N765" s="4">
        <v>7</v>
      </c>
    </row>
    <row r="766" spans="1:14" x14ac:dyDescent="0.35">
      <c r="A766" s="3">
        <v>2024</v>
      </c>
      <c r="B766" s="2">
        <v>3</v>
      </c>
      <c r="C766" s="2" t="s">
        <v>35</v>
      </c>
      <c r="D766" s="2" t="s">
        <v>39</v>
      </c>
      <c r="E766" s="2" t="s">
        <v>20</v>
      </c>
      <c r="F766" s="2" t="s">
        <v>20</v>
      </c>
      <c r="G766" s="2">
        <v>113282</v>
      </c>
      <c r="H766" s="2">
        <v>1129</v>
      </c>
      <c r="I766" s="2">
        <v>363732</v>
      </c>
      <c r="J766" s="2">
        <v>393</v>
      </c>
      <c r="K766" s="2">
        <v>0.97</v>
      </c>
      <c r="L766" s="2">
        <v>6.29</v>
      </c>
      <c r="M766" s="2">
        <v>1.2</v>
      </c>
      <c r="N766" s="4">
        <v>1</v>
      </c>
    </row>
    <row r="767" spans="1:14" x14ac:dyDescent="0.35">
      <c r="A767" s="3">
        <v>2023</v>
      </c>
      <c r="B767" s="2">
        <v>11</v>
      </c>
      <c r="C767" s="2" t="s">
        <v>25</v>
      </c>
      <c r="D767" s="2" t="s">
        <v>31</v>
      </c>
      <c r="E767" s="2" t="s">
        <v>16</v>
      </c>
      <c r="F767" s="2" t="s">
        <v>27</v>
      </c>
      <c r="G767" s="2">
        <v>53557</v>
      </c>
      <c r="H767" s="2">
        <v>599</v>
      </c>
      <c r="I767" s="2">
        <v>219357</v>
      </c>
      <c r="J767" s="2">
        <v>187</v>
      </c>
      <c r="K767" s="2">
        <v>0.97</v>
      </c>
      <c r="L767" s="2">
        <v>6.29</v>
      </c>
      <c r="M767" s="2">
        <v>1.2</v>
      </c>
      <c r="N767" s="4">
        <v>1</v>
      </c>
    </row>
    <row r="768" spans="1:14" x14ac:dyDescent="0.35">
      <c r="A768" s="3">
        <v>2023</v>
      </c>
      <c r="B768" s="2">
        <v>6</v>
      </c>
      <c r="C768" s="2" t="s">
        <v>38</v>
      </c>
      <c r="D768" s="2" t="s">
        <v>22</v>
      </c>
      <c r="E768" s="2" t="s">
        <v>16</v>
      </c>
      <c r="F768" s="2" t="s">
        <v>23</v>
      </c>
      <c r="G768" s="2">
        <v>63060</v>
      </c>
      <c r="H768" s="2">
        <v>256</v>
      </c>
      <c r="I768" s="2">
        <v>176683</v>
      </c>
      <c r="J768" s="2">
        <v>86</v>
      </c>
      <c r="K768" s="2">
        <v>0.97</v>
      </c>
      <c r="L768" s="2">
        <v>6.29</v>
      </c>
      <c r="M768" s="2">
        <v>1.2</v>
      </c>
      <c r="N768" s="4">
        <v>2</v>
      </c>
    </row>
    <row r="769" spans="1:14" x14ac:dyDescent="0.35">
      <c r="A769" s="3">
        <v>2020</v>
      </c>
      <c r="B769" s="2">
        <v>9</v>
      </c>
      <c r="C769" s="2" t="s">
        <v>37</v>
      </c>
      <c r="D769" s="2" t="s">
        <v>15</v>
      </c>
      <c r="E769" s="2" t="s">
        <v>16</v>
      </c>
      <c r="F769" s="2" t="s">
        <v>23</v>
      </c>
      <c r="G769" s="2">
        <v>93866</v>
      </c>
      <c r="H769" s="2">
        <v>377</v>
      </c>
      <c r="I769" s="2">
        <v>306157</v>
      </c>
      <c r="J769" s="2">
        <v>197</v>
      </c>
      <c r="K769" s="2">
        <v>0.97</v>
      </c>
      <c r="L769" s="2">
        <v>6.29</v>
      </c>
      <c r="M769" s="2">
        <v>1.2</v>
      </c>
      <c r="N769" s="4">
        <v>10</v>
      </c>
    </row>
    <row r="770" spans="1:14" x14ac:dyDescent="0.35">
      <c r="A770" s="3">
        <v>2022</v>
      </c>
      <c r="B770" s="2">
        <v>6</v>
      </c>
      <c r="C770" s="2" t="s">
        <v>21</v>
      </c>
      <c r="D770" s="2" t="s">
        <v>15</v>
      </c>
      <c r="E770" s="2" t="s">
        <v>20</v>
      </c>
      <c r="F770" s="2" t="s">
        <v>17</v>
      </c>
      <c r="G770" s="2">
        <v>107104</v>
      </c>
      <c r="H770" s="2">
        <v>185</v>
      </c>
      <c r="I770" s="2">
        <v>255827</v>
      </c>
      <c r="J770" s="2">
        <v>24</v>
      </c>
      <c r="K770" s="2">
        <v>0.97</v>
      </c>
      <c r="L770" s="2">
        <v>6.29</v>
      </c>
      <c r="M770" s="2">
        <v>1.2</v>
      </c>
      <c r="N770" s="4">
        <v>3</v>
      </c>
    </row>
    <row r="771" spans="1:14" x14ac:dyDescent="0.35">
      <c r="A771" s="3">
        <v>2015</v>
      </c>
      <c r="B771" s="2">
        <v>9</v>
      </c>
      <c r="C771" s="2" t="s">
        <v>21</v>
      </c>
      <c r="D771" s="2" t="s">
        <v>34</v>
      </c>
      <c r="E771" s="2" t="s">
        <v>19</v>
      </c>
      <c r="F771" s="2" t="s">
        <v>23</v>
      </c>
      <c r="G771" s="2">
        <v>119577</v>
      </c>
      <c r="H771" s="2">
        <v>678</v>
      </c>
      <c r="I771" s="2">
        <v>252918</v>
      </c>
      <c r="J771" s="2">
        <v>301</v>
      </c>
      <c r="K771" s="2">
        <v>0.97</v>
      </c>
      <c r="L771" s="2">
        <v>6.29</v>
      </c>
      <c r="M771" s="2">
        <v>1.2</v>
      </c>
      <c r="N771" s="4">
        <v>1</v>
      </c>
    </row>
    <row r="772" spans="1:14" x14ac:dyDescent="0.35">
      <c r="A772" s="3">
        <v>2024</v>
      </c>
      <c r="B772" s="2">
        <v>7</v>
      </c>
      <c r="C772" s="2" t="s">
        <v>36</v>
      </c>
      <c r="D772" s="2" t="s">
        <v>22</v>
      </c>
      <c r="E772" s="2" t="s">
        <v>20</v>
      </c>
      <c r="F772" s="2" t="s">
        <v>20</v>
      </c>
      <c r="G772" s="2">
        <v>41080</v>
      </c>
      <c r="H772" s="2">
        <v>967</v>
      </c>
      <c r="I772" s="2">
        <v>348451</v>
      </c>
      <c r="J772" s="2">
        <v>328</v>
      </c>
      <c r="K772" s="2">
        <v>0.97</v>
      </c>
      <c r="L772" s="2">
        <v>6.29</v>
      </c>
      <c r="M772" s="2">
        <v>1.2</v>
      </c>
      <c r="N772" s="4">
        <v>9</v>
      </c>
    </row>
    <row r="773" spans="1:14" x14ac:dyDescent="0.35">
      <c r="A773" s="3">
        <v>2018</v>
      </c>
      <c r="B773" s="2">
        <v>9</v>
      </c>
      <c r="C773" s="2" t="s">
        <v>37</v>
      </c>
      <c r="D773" s="2" t="s">
        <v>15</v>
      </c>
      <c r="E773" s="2" t="s">
        <v>19</v>
      </c>
      <c r="F773" s="2" t="s">
        <v>23</v>
      </c>
      <c r="G773" s="2">
        <v>48854</v>
      </c>
      <c r="H773" s="2">
        <v>966</v>
      </c>
      <c r="I773" s="2">
        <v>392424</v>
      </c>
      <c r="J773" s="2">
        <v>334</v>
      </c>
      <c r="K773" s="2">
        <v>0.97</v>
      </c>
      <c r="L773" s="2">
        <v>6.29</v>
      </c>
      <c r="M773" s="2">
        <v>1.2</v>
      </c>
      <c r="N773" s="4">
        <v>10</v>
      </c>
    </row>
    <row r="774" spans="1:14" x14ac:dyDescent="0.35">
      <c r="A774" s="3">
        <v>2015</v>
      </c>
      <c r="B774" s="2">
        <v>2</v>
      </c>
      <c r="C774" s="2" t="s">
        <v>37</v>
      </c>
      <c r="D774" s="2" t="s">
        <v>31</v>
      </c>
      <c r="E774" s="2" t="s">
        <v>16</v>
      </c>
      <c r="F774" s="2" t="s">
        <v>27</v>
      </c>
      <c r="G774" s="2">
        <v>102695</v>
      </c>
      <c r="H774" s="2">
        <v>538</v>
      </c>
      <c r="I774" s="2">
        <v>463083</v>
      </c>
      <c r="J774" s="2">
        <v>223</v>
      </c>
      <c r="K774" s="2">
        <v>0.97</v>
      </c>
      <c r="L774" s="2">
        <v>6.29</v>
      </c>
      <c r="M774" s="2">
        <v>1.2</v>
      </c>
      <c r="N774" s="4">
        <v>8</v>
      </c>
    </row>
    <row r="775" spans="1:14" x14ac:dyDescent="0.35">
      <c r="A775" s="3">
        <v>2022</v>
      </c>
      <c r="B775" s="2">
        <v>12</v>
      </c>
      <c r="C775" s="2" t="s">
        <v>36</v>
      </c>
      <c r="D775" s="2" t="s">
        <v>22</v>
      </c>
      <c r="E775" s="2" t="s">
        <v>19</v>
      </c>
      <c r="F775" s="2" t="s">
        <v>23</v>
      </c>
      <c r="G775" s="2">
        <v>62025</v>
      </c>
      <c r="H775" s="2">
        <v>880</v>
      </c>
      <c r="I775" s="2">
        <v>368667</v>
      </c>
      <c r="J775" s="2">
        <v>217</v>
      </c>
      <c r="K775" s="2">
        <v>0.97</v>
      </c>
      <c r="L775" s="2">
        <v>6.29</v>
      </c>
      <c r="M775" s="2">
        <v>1.2</v>
      </c>
      <c r="N775" s="4">
        <v>5</v>
      </c>
    </row>
    <row r="776" spans="1:14" x14ac:dyDescent="0.35">
      <c r="A776" s="3">
        <v>2015</v>
      </c>
      <c r="B776" s="2">
        <v>8</v>
      </c>
      <c r="C776" s="2" t="s">
        <v>21</v>
      </c>
      <c r="D776" s="2" t="s">
        <v>31</v>
      </c>
      <c r="E776" s="2" t="s">
        <v>20</v>
      </c>
      <c r="F776" s="2" t="s">
        <v>17</v>
      </c>
      <c r="G776" s="2">
        <v>87982</v>
      </c>
      <c r="H776" s="2">
        <v>495</v>
      </c>
      <c r="I776" s="2">
        <v>449594</v>
      </c>
      <c r="J776" s="2">
        <v>178</v>
      </c>
      <c r="K776" s="2">
        <v>0.97</v>
      </c>
      <c r="L776" s="2">
        <v>6.29</v>
      </c>
      <c r="M776" s="2">
        <v>1.2</v>
      </c>
      <c r="N776" s="4">
        <v>2</v>
      </c>
    </row>
    <row r="777" spans="1:14" x14ac:dyDescent="0.35">
      <c r="A777" s="3">
        <v>2017</v>
      </c>
      <c r="B777" s="2">
        <v>8</v>
      </c>
      <c r="C777" s="2" t="s">
        <v>35</v>
      </c>
      <c r="D777" s="2" t="s">
        <v>39</v>
      </c>
      <c r="E777" s="2" t="s">
        <v>20</v>
      </c>
      <c r="F777" s="2" t="s">
        <v>27</v>
      </c>
      <c r="G777" s="2">
        <v>76081</v>
      </c>
      <c r="H777" s="2">
        <v>879</v>
      </c>
      <c r="I777" s="2">
        <v>265757</v>
      </c>
      <c r="J777" s="2">
        <v>339</v>
      </c>
      <c r="K777" s="2">
        <v>0.97</v>
      </c>
      <c r="L777" s="2">
        <v>6.29</v>
      </c>
      <c r="M777" s="2">
        <v>1.2</v>
      </c>
      <c r="N777" s="4">
        <v>5</v>
      </c>
    </row>
    <row r="778" spans="1:14" x14ac:dyDescent="0.35">
      <c r="A778" s="3">
        <v>2018</v>
      </c>
      <c r="B778" s="2">
        <v>2</v>
      </c>
      <c r="C778" s="2" t="s">
        <v>32</v>
      </c>
      <c r="D778" s="2" t="s">
        <v>39</v>
      </c>
      <c r="E778" s="2" t="s">
        <v>16</v>
      </c>
      <c r="F778" s="2" t="s">
        <v>27</v>
      </c>
      <c r="G778" s="2">
        <v>39368</v>
      </c>
      <c r="H778" s="2">
        <v>971</v>
      </c>
      <c r="I778" s="2">
        <v>157669</v>
      </c>
      <c r="J778" s="2">
        <v>289</v>
      </c>
      <c r="K778" s="2">
        <v>0.97</v>
      </c>
      <c r="L778" s="2">
        <v>6.29</v>
      </c>
      <c r="M778" s="2">
        <v>1.2</v>
      </c>
      <c r="N778" s="4">
        <v>6</v>
      </c>
    </row>
    <row r="779" spans="1:14" x14ac:dyDescent="0.35">
      <c r="A779" s="3">
        <v>2022</v>
      </c>
      <c r="B779" s="2">
        <v>12</v>
      </c>
      <c r="C779" s="2" t="s">
        <v>32</v>
      </c>
      <c r="D779" s="2" t="s">
        <v>15</v>
      </c>
      <c r="E779" s="2" t="s">
        <v>19</v>
      </c>
      <c r="F779" s="2" t="s">
        <v>17</v>
      </c>
      <c r="G779" s="2">
        <v>62094</v>
      </c>
      <c r="H779" s="2">
        <v>1012</v>
      </c>
      <c r="I779" s="2">
        <v>258030</v>
      </c>
      <c r="J779" s="2">
        <v>314</v>
      </c>
      <c r="K779" s="2">
        <v>0.97</v>
      </c>
      <c r="L779" s="2">
        <v>6.29</v>
      </c>
      <c r="M779" s="2">
        <v>1.2</v>
      </c>
      <c r="N779" s="4">
        <v>1</v>
      </c>
    </row>
    <row r="780" spans="1:14" x14ac:dyDescent="0.35">
      <c r="A780" s="3">
        <v>2020</v>
      </c>
      <c r="B780" s="2">
        <v>4</v>
      </c>
      <c r="C780" s="2" t="s">
        <v>36</v>
      </c>
      <c r="D780" s="2" t="s">
        <v>15</v>
      </c>
      <c r="E780" s="2" t="s">
        <v>16</v>
      </c>
      <c r="F780" s="2" t="s">
        <v>20</v>
      </c>
      <c r="G780" s="2">
        <v>81040</v>
      </c>
      <c r="H780" s="2">
        <v>707</v>
      </c>
      <c r="I780" s="2">
        <v>208998</v>
      </c>
      <c r="J780" s="2">
        <v>155</v>
      </c>
      <c r="K780" s="2">
        <v>0.97</v>
      </c>
      <c r="L780" s="2">
        <v>6.29</v>
      </c>
      <c r="M780" s="2">
        <v>1.2</v>
      </c>
      <c r="N780" s="4">
        <v>4</v>
      </c>
    </row>
    <row r="781" spans="1:14" x14ac:dyDescent="0.35">
      <c r="A781" s="3">
        <v>2024</v>
      </c>
      <c r="B781" s="2">
        <v>11</v>
      </c>
      <c r="C781" s="2" t="s">
        <v>37</v>
      </c>
      <c r="D781" s="2" t="s">
        <v>29</v>
      </c>
      <c r="E781" s="2" t="s">
        <v>16</v>
      </c>
      <c r="F781" s="2" t="s">
        <v>27</v>
      </c>
      <c r="G781" s="2">
        <v>101766</v>
      </c>
      <c r="H781" s="2">
        <v>753</v>
      </c>
      <c r="I781" s="2">
        <v>153215</v>
      </c>
      <c r="J781" s="2">
        <v>272</v>
      </c>
      <c r="K781" s="2">
        <v>0.97</v>
      </c>
      <c r="L781" s="2">
        <v>6.29</v>
      </c>
      <c r="M781" s="2">
        <v>1.2</v>
      </c>
      <c r="N781" s="4">
        <v>9</v>
      </c>
    </row>
    <row r="782" spans="1:14" x14ac:dyDescent="0.35">
      <c r="A782" s="3">
        <v>2021</v>
      </c>
      <c r="B782" s="2">
        <v>7</v>
      </c>
      <c r="C782" s="2" t="s">
        <v>25</v>
      </c>
      <c r="D782" s="2" t="s">
        <v>39</v>
      </c>
      <c r="E782" s="2" t="s">
        <v>20</v>
      </c>
      <c r="F782" s="2" t="s">
        <v>20</v>
      </c>
      <c r="G782" s="2">
        <v>118053</v>
      </c>
      <c r="H782" s="2">
        <v>290</v>
      </c>
      <c r="I782" s="2">
        <v>148707</v>
      </c>
      <c r="J782" s="2">
        <v>13</v>
      </c>
      <c r="K782" s="2">
        <v>0.97</v>
      </c>
      <c r="L782" s="2">
        <v>6.29</v>
      </c>
      <c r="M782" s="2">
        <v>1.2</v>
      </c>
      <c r="N782" s="4">
        <v>2</v>
      </c>
    </row>
    <row r="783" spans="1:14" x14ac:dyDescent="0.35">
      <c r="A783" s="3">
        <v>2022</v>
      </c>
      <c r="B783" s="2">
        <v>11</v>
      </c>
      <c r="C783" s="2" t="s">
        <v>36</v>
      </c>
      <c r="D783" s="2" t="s">
        <v>24</v>
      </c>
      <c r="E783" s="2" t="s">
        <v>19</v>
      </c>
      <c r="F783" s="2" t="s">
        <v>27</v>
      </c>
      <c r="G783" s="2">
        <v>58991</v>
      </c>
      <c r="H783" s="2">
        <v>457</v>
      </c>
      <c r="I783" s="2">
        <v>456396</v>
      </c>
      <c r="J783" s="2">
        <v>99</v>
      </c>
      <c r="K783" s="2">
        <v>0.97</v>
      </c>
      <c r="L783" s="2">
        <v>6.29</v>
      </c>
      <c r="M783" s="2">
        <v>1.2</v>
      </c>
      <c r="N783" s="4">
        <v>5</v>
      </c>
    </row>
    <row r="784" spans="1:14" x14ac:dyDescent="0.35">
      <c r="A784" s="3">
        <v>2016</v>
      </c>
      <c r="B784" s="2">
        <v>4</v>
      </c>
      <c r="C784" s="2" t="s">
        <v>35</v>
      </c>
      <c r="D784" s="2" t="s">
        <v>24</v>
      </c>
      <c r="E784" s="2" t="s">
        <v>19</v>
      </c>
      <c r="F784" s="2" t="s">
        <v>27</v>
      </c>
      <c r="G784" s="2">
        <v>36301</v>
      </c>
      <c r="H784" s="2">
        <v>595</v>
      </c>
      <c r="I784" s="2">
        <v>142837</v>
      </c>
      <c r="J784" s="2">
        <v>69</v>
      </c>
      <c r="K784" s="2">
        <v>0.97</v>
      </c>
      <c r="L784" s="2">
        <v>6.29</v>
      </c>
      <c r="M784" s="2">
        <v>1.2</v>
      </c>
      <c r="N784" s="4">
        <v>1</v>
      </c>
    </row>
    <row r="785" spans="1:14" x14ac:dyDescent="0.35">
      <c r="A785" s="3">
        <v>2024</v>
      </c>
      <c r="B785" s="2">
        <v>4</v>
      </c>
      <c r="C785" s="2" t="s">
        <v>36</v>
      </c>
      <c r="D785" s="2" t="s">
        <v>34</v>
      </c>
      <c r="E785" s="2" t="s">
        <v>19</v>
      </c>
      <c r="F785" s="2" t="s">
        <v>20</v>
      </c>
      <c r="G785" s="2">
        <v>63610</v>
      </c>
      <c r="H785" s="2">
        <v>1086</v>
      </c>
      <c r="I785" s="2">
        <v>430214</v>
      </c>
      <c r="J785" s="2">
        <v>320</v>
      </c>
      <c r="K785" s="2">
        <v>0.97</v>
      </c>
      <c r="L785" s="2">
        <v>6.29</v>
      </c>
      <c r="M785" s="2">
        <v>1.2</v>
      </c>
      <c r="N785" s="4">
        <v>4</v>
      </c>
    </row>
    <row r="786" spans="1:14" x14ac:dyDescent="0.35">
      <c r="A786" s="3">
        <v>2022</v>
      </c>
      <c r="B786" s="2">
        <v>6</v>
      </c>
      <c r="C786" s="2" t="s">
        <v>30</v>
      </c>
      <c r="D786" s="2" t="s">
        <v>39</v>
      </c>
      <c r="E786" s="2" t="s">
        <v>19</v>
      </c>
      <c r="F786" s="2" t="s">
        <v>27</v>
      </c>
      <c r="G786" s="2">
        <v>116463</v>
      </c>
      <c r="H786" s="2">
        <v>244</v>
      </c>
      <c r="I786" s="2">
        <v>480147</v>
      </c>
      <c r="J786" s="2">
        <v>25</v>
      </c>
      <c r="K786" s="2">
        <v>0.97</v>
      </c>
      <c r="L786" s="2">
        <v>6.29</v>
      </c>
      <c r="M786" s="2">
        <v>1.2</v>
      </c>
      <c r="N786" s="4">
        <v>4</v>
      </c>
    </row>
    <row r="787" spans="1:14" x14ac:dyDescent="0.35">
      <c r="A787" s="3">
        <v>2017</v>
      </c>
      <c r="B787" s="2">
        <v>10</v>
      </c>
      <c r="C787" s="2" t="s">
        <v>38</v>
      </c>
      <c r="D787" s="2" t="s">
        <v>31</v>
      </c>
      <c r="E787" s="2" t="s">
        <v>16</v>
      </c>
      <c r="F787" s="2" t="s">
        <v>20</v>
      </c>
      <c r="G787" s="2">
        <v>69678</v>
      </c>
      <c r="H787" s="2">
        <v>889</v>
      </c>
      <c r="I787" s="2">
        <v>467230</v>
      </c>
      <c r="J787" s="2">
        <v>236</v>
      </c>
      <c r="K787" s="2">
        <v>0.97</v>
      </c>
      <c r="L787" s="2">
        <v>6.29</v>
      </c>
      <c r="M787" s="2">
        <v>1.2</v>
      </c>
      <c r="N787" s="4">
        <v>6</v>
      </c>
    </row>
    <row r="788" spans="1:14" x14ac:dyDescent="0.35">
      <c r="A788" s="3">
        <v>2021</v>
      </c>
      <c r="B788" s="2">
        <v>6</v>
      </c>
      <c r="C788" s="2" t="s">
        <v>37</v>
      </c>
      <c r="D788" s="2" t="s">
        <v>31</v>
      </c>
      <c r="E788" s="2" t="s">
        <v>16</v>
      </c>
      <c r="F788" s="2" t="s">
        <v>17</v>
      </c>
      <c r="G788" s="2">
        <v>59466</v>
      </c>
      <c r="H788" s="2">
        <v>415</v>
      </c>
      <c r="I788" s="2">
        <v>295847</v>
      </c>
      <c r="J788" s="2">
        <v>38</v>
      </c>
      <c r="K788" s="2">
        <v>0.97</v>
      </c>
      <c r="L788" s="2">
        <v>6.29</v>
      </c>
      <c r="M788" s="2">
        <v>1.2</v>
      </c>
      <c r="N788" s="4">
        <v>10</v>
      </c>
    </row>
    <row r="789" spans="1:14" x14ac:dyDescent="0.35">
      <c r="A789" s="3">
        <v>2017</v>
      </c>
      <c r="B789" s="2">
        <v>10</v>
      </c>
      <c r="C789" s="2" t="s">
        <v>14</v>
      </c>
      <c r="D789" s="2" t="s">
        <v>26</v>
      </c>
      <c r="E789" s="2" t="s">
        <v>20</v>
      </c>
      <c r="F789" s="2" t="s">
        <v>20</v>
      </c>
      <c r="G789" s="2">
        <v>115440</v>
      </c>
      <c r="H789" s="2">
        <v>527</v>
      </c>
      <c r="I789" s="2">
        <v>277544</v>
      </c>
      <c r="J789" s="2">
        <v>160</v>
      </c>
      <c r="K789" s="2">
        <v>0.97</v>
      </c>
      <c r="L789" s="2">
        <v>6.29</v>
      </c>
      <c r="M789" s="2">
        <v>1.2</v>
      </c>
      <c r="N789" s="4">
        <v>9</v>
      </c>
    </row>
    <row r="790" spans="1:14" x14ac:dyDescent="0.35">
      <c r="A790" s="3">
        <v>2021</v>
      </c>
      <c r="B790" s="2">
        <v>3</v>
      </c>
      <c r="C790" s="2" t="s">
        <v>14</v>
      </c>
      <c r="D790" s="2" t="s">
        <v>22</v>
      </c>
      <c r="E790" s="2" t="s">
        <v>16</v>
      </c>
      <c r="F790" s="2" t="s">
        <v>17</v>
      </c>
      <c r="G790" s="2">
        <v>75875</v>
      </c>
      <c r="H790" s="2">
        <v>694</v>
      </c>
      <c r="I790" s="2">
        <v>392016</v>
      </c>
      <c r="J790" s="2">
        <v>254</v>
      </c>
      <c r="K790" s="2">
        <v>0.97</v>
      </c>
      <c r="L790" s="2">
        <v>6.29</v>
      </c>
      <c r="M790" s="2">
        <v>1.2</v>
      </c>
      <c r="N790" s="4">
        <v>3</v>
      </c>
    </row>
    <row r="791" spans="1:14" x14ac:dyDescent="0.35">
      <c r="A791" s="3">
        <v>2016</v>
      </c>
      <c r="B791" s="2">
        <v>9</v>
      </c>
      <c r="C791" s="2" t="s">
        <v>37</v>
      </c>
      <c r="D791" s="2" t="s">
        <v>18</v>
      </c>
      <c r="E791" s="2" t="s">
        <v>16</v>
      </c>
      <c r="F791" s="2" t="s">
        <v>27</v>
      </c>
      <c r="G791" s="2">
        <v>61081</v>
      </c>
      <c r="H791" s="2">
        <v>848</v>
      </c>
      <c r="I791" s="2">
        <v>399880</v>
      </c>
      <c r="J791" s="2">
        <v>279</v>
      </c>
      <c r="K791" s="2">
        <v>0.97</v>
      </c>
      <c r="L791" s="2">
        <v>6.29</v>
      </c>
      <c r="M791" s="2">
        <v>1.2</v>
      </c>
      <c r="N791" s="4">
        <v>9</v>
      </c>
    </row>
    <row r="792" spans="1:14" x14ac:dyDescent="0.35">
      <c r="A792" s="3">
        <v>2024</v>
      </c>
      <c r="B792" s="2">
        <v>12</v>
      </c>
      <c r="C792" s="2" t="s">
        <v>35</v>
      </c>
      <c r="D792" s="2" t="s">
        <v>24</v>
      </c>
      <c r="E792" s="2" t="s">
        <v>20</v>
      </c>
      <c r="F792" s="2" t="s">
        <v>20</v>
      </c>
      <c r="G792" s="2">
        <v>59354</v>
      </c>
      <c r="H792" s="2">
        <v>426</v>
      </c>
      <c r="I792" s="2">
        <v>317614</v>
      </c>
      <c r="J792" s="2">
        <v>88</v>
      </c>
      <c r="K792" s="2">
        <v>0.97</v>
      </c>
      <c r="L792" s="2">
        <v>6.29</v>
      </c>
      <c r="M792" s="2">
        <v>1.2</v>
      </c>
      <c r="N792" s="4">
        <v>6</v>
      </c>
    </row>
    <row r="793" spans="1:14" x14ac:dyDescent="0.35">
      <c r="A793" s="3">
        <v>2020</v>
      </c>
      <c r="B793" s="2">
        <v>10</v>
      </c>
      <c r="C793" s="2" t="s">
        <v>30</v>
      </c>
      <c r="D793" s="2" t="s">
        <v>15</v>
      </c>
      <c r="E793" s="2" t="s">
        <v>20</v>
      </c>
      <c r="F793" s="2" t="s">
        <v>27</v>
      </c>
      <c r="G793" s="2">
        <v>53300</v>
      </c>
      <c r="H793" s="2">
        <v>782</v>
      </c>
      <c r="I793" s="2">
        <v>277467</v>
      </c>
      <c r="J793" s="2">
        <v>298</v>
      </c>
      <c r="K793" s="2">
        <v>0.97</v>
      </c>
      <c r="L793" s="2">
        <v>6.29</v>
      </c>
      <c r="M793" s="2">
        <v>1.2</v>
      </c>
      <c r="N793" s="4">
        <v>7</v>
      </c>
    </row>
    <row r="794" spans="1:14" x14ac:dyDescent="0.35">
      <c r="A794" s="3">
        <v>2017</v>
      </c>
      <c r="B794" s="2">
        <v>11</v>
      </c>
      <c r="C794" s="2" t="s">
        <v>30</v>
      </c>
      <c r="D794" s="2" t="s">
        <v>34</v>
      </c>
      <c r="E794" s="2" t="s">
        <v>20</v>
      </c>
      <c r="F794" s="2" t="s">
        <v>20</v>
      </c>
      <c r="G794" s="2">
        <v>99384</v>
      </c>
      <c r="H794" s="2">
        <v>515</v>
      </c>
      <c r="I794" s="2">
        <v>196025</v>
      </c>
      <c r="J794" s="2">
        <v>162</v>
      </c>
      <c r="K794" s="2">
        <v>0.97</v>
      </c>
      <c r="L794" s="2">
        <v>6.29</v>
      </c>
      <c r="M794" s="2">
        <v>1.2</v>
      </c>
      <c r="N794" s="4">
        <v>10</v>
      </c>
    </row>
    <row r="795" spans="1:14" x14ac:dyDescent="0.35">
      <c r="A795" s="3">
        <v>2017</v>
      </c>
      <c r="B795" s="2">
        <v>2</v>
      </c>
      <c r="C795" s="2" t="s">
        <v>21</v>
      </c>
      <c r="D795" s="2" t="s">
        <v>18</v>
      </c>
      <c r="E795" s="2" t="s">
        <v>16</v>
      </c>
      <c r="F795" s="2" t="s">
        <v>17</v>
      </c>
      <c r="G795" s="2">
        <v>95892</v>
      </c>
      <c r="H795" s="2">
        <v>804</v>
      </c>
      <c r="I795" s="2">
        <v>285652</v>
      </c>
      <c r="J795" s="2">
        <v>286</v>
      </c>
      <c r="K795" s="2">
        <v>0.97</v>
      </c>
      <c r="L795" s="2">
        <v>6.29</v>
      </c>
      <c r="M795" s="2">
        <v>1.2</v>
      </c>
      <c r="N795" s="4">
        <v>2</v>
      </c>
    </row>
    <row r="796" spans="1:14" x14ac:dyDescent="0.35">
      <c r="A796" s="3">
        <v>2023</v>
      </c>
      <c r="B796" s="2">
        <v>6</v>
      </c>
      <c r="C796" s="2" t="s">
        <v>38</v>
      </c>
      <c r="D796" s="2" t="s">
        <v>33</v>
      </c>
      <c r="E796" s="2" t="s">
        <v>16</v>
      </c>
      <c r="F796" s="2" t="s">
        <v>17</v>
      </c>
      <c r="G796" s="2">
        <v>70525</v>
      </c>
      <c r="H796" s="2">
        <v>869</v>
      </c>
      <c r="I796" s="2">
        <v>481723</v>
      </c>
      <c r="J796" s="2">
        <v>288</v>
      </c>
      <c r="K796" s="2">
        <v>0.97</v>
      </c>
      <c r="L796" s="2">
        <v>6.29</v>
      </c>
      <c r="M796" s="2">
        <v>1.2</v>
      </c>
      <c r="N796" s="4">
        <v>10</v>
      </c>
    </row>
    <row r="797" spans="1:14" x14ac:dyDescent="0.35">
      <c r="A797" s="3">
        <v>2021</v>
      </c>
      <c r="B797" s="2">
        <v>12</v>
      </c>
      <c r="C797" s="2" t="s">
        <v>32</v>
      </c>
      <c r="D797" s="2" t="s">
        <v>34</v>
      </c>
      <c r="E797" s="2" t="s">
        <v>20</v>
      </c>
      <c r="F797" s="2" t="s">
        <v>20</v>
      </c>
      <c r="G797" s="2">
        <v>61532</v>
      </c>
      <c r="H797" s="2">
        <v>201</v>
      </c>
      <c r="I797" s="2">
        <v>405113</v>
      </c>
      <c r="J797" s="2">
        <v>66</v>
      </c>
      <c r="K797" s="2">
        <v>0.97</v>
      </c>
      <c r="L797" s="2">
        <v>6.29</v>
      </c>
      <c r="M797" s="2">
        <v>1.2</v>
      </c>
      <c r="N797" s="4">
        <v>6</v>
      </c>
    </row>
    <row r="798" spans="1:14" x14ac:dyDescent="0.35">
      <c r="A798" s="3">
        <v>2019</v>
      </c>
      <c r="B798" s="2">
        <v>7</v>
      </c>
      <c r="C798" s="2" t="s">
        <v>28</v>
      </c>
      <c r="D798" s="2" t="s">
        <v>33</v>
      </c>
      <c r="E798" s="2" t="s">
        <v>20</v>
      </c>
      <c r="F798" s="2" t="s">
        <v>17</v>
      </c>
      <c r="G798" s="2">
        <v>41464</v>
      </c>
      <c r="H798" s="2">
        <v>524</v>
      </c>
      <c r="I798" s="2">
        <v>141493</v>
      </c>
      <c r="J798" s="2">
        <v>195</v>
      </c>
      <c r="K798" s="2">
        <v>0.97</v>
      </c>
      <c r="L798" s="2">
        <v>6.29</v>
      </c>
      <c r="M798" s="2">
        <v>1.2</v>
      </c>
      <c r="N798" s="4">
        <v>6</v>
      </c>
    </row>
    <row r="799" spans="1:14" x14ac:dyDescent="0.35">
      <c r="A799" s="3">
        <v>2024</v>
      </c>
      <c r="B799" s="2">
        <v>12</v>
      </c>
      <c r="C799" s="2" t="s">
        <v>35</v>
      </c>
      <c r="D799" s="2" t="s">
        <v>39</v>
      </c>
      <c r="E799" s="2" t="s">
        <v>20</v>
      </c>
      <c r="F799" s="2" t="s">
        <v>27</v>
      </c>
      <c r="G799" s="2">
        <v>51562</v>
      </c>
      <c r="H799" s="2">
        <v>476</v>
      </c>
      <c r="I799" s="2">
        <v>318667</v>
      </c>
      <c r="J799" s="2">
        <v>102</v>
      </c>
      <c r="K799" s="2">
        <v>0.97</v>
      </c>
      <c r="L799" s="2">
        <v>6.29</v>
      </c>
      <c r="M799" s="2">
        <v>1.2</v>
      </c>
      <c r="N799" s="4">
        <v>2</v>
      </c>
    </row>
    <row r="800" spans="1:14" x14ac:dyDescent="0.35">
      <c r="A800" s="3">
        <v>2021</v>
      </c>
      <c r="B800" s="2">
        <v>9</v>
      </c>
      <c r="C800" s="2" t="s">
        <v>28</v>
      </c>
      <c r="D800" s="2" t="s">
        <v>33</v>
      </c>
      <c r="E800" s="2" t="s">
        <v>16</v>
      </c>
      <c r="F800" s="2" t="s">
        <v>27</v>
      </c>
      <c r="G800" s="2">
        <v>90514</v>
      </c>
      <c r="H800" s="2">
        <v>884</v>
      </c>
      <c r="I800" s="2">
        <v>267995</v>
      </c>
      <c r="J800" s="2">
        <v>285</v>
      </c>
      <c r="K800" s="2">
        <v>0.97</v>
      </c>
      <c r="L800" s="2">
        <v>6.29</v>
      </c>
      <c r="M800" s="2">
        <v>1.2</v>
      </c>
      <c r="N800" s="4">
        <v>2</v>
      </c>
    </row>
    <row r="801" spans="1:14" x14ac:dyDescent="0.35">
      <c r="A801" s="3">
        <v>2023</v>
      </c>
      <c r="B801" s="2">
        <v>3</v>
      </c>
      <c r="C801" s="2" t="s">
        <v>28</v>
      </c>
      <c r="D801" s="2" t="s">
        <v>33</v>
      </c>
      <c r="E801" s="2" t="s">
        <v>16</v>
      </c>
      <c r="F801" s="2" t="s">
        <v>23</v>
      </c>
      <c r="G801" s="2">
        <v>109219</v>
      </c>
      <c r="H801" s="2">
        <v>430</v>
      </c>
      <c r="I801" s="2">
        <v>238262</v>
      </c>
      <c r="J801" s="2">
        <v>167</v>
      </c>
      <c r="K801" s="2">
        <v>0.97</v>
      </c>
      <c r="L801" s="2">
        <v>6.29</v>
      </c>
      <c r="M801" s="2">
        <v>1.2</v>
      </c>
      <c r="N801" s="4">
        <v>2</v>
      </c>
    </row>
    <row r="802" spans="1:14" x14ac:dyDescent="0.35">
      <c r="A802" s="3">
        <v>2015</v>
      </c>
      <c r="B802" s="2">
        <v>10</v>
      </c>
      <c r="C802" s="2" t="s">
        <v>37</v>
      </c>
      <c r="D802" s="2" t="s">
        <v>29</v>
      </c>
      <c r="E802" s="2" t="s">
        <v>19</v>
      </c>
      <c r="F802" s="2" t="s">
        <v>17</v>
      </c>
      <c r="G802" s="2">
        <v>67634</v>
      </c>
      <c r="H802" s="2">
        <v>849</v>
      </c>
      <c r="I802" s="2">
        <v>490977</v>
      </c>
      <c r="J802" s="2">
        <v>284</v>
      </c>
      <c r="K802" s="2">
        <v>0.97</v>
      </c>
      <c r="L802" s="2">
        <v>6.29</v>
      </c>
      <c r="M802" s="2">
        <v>1.2</v>
      </c>
      <c r="N802" s="4">
        <v>10</v>
      </c>
    </row>
    <row r="803" spans="1:14" x14ac:dyDescent="0.35">
      <c r="A803" s="3">
        <v>2021</v>
      </c>
      <c r="B803" s="2">
        <v>3</v>
      </c>
      <c r="C803" s="2" t="s">
        <v>14</v>
      </c>
      <c r="D803" s="2" t="s">
        <v>29</v>
      </c>
      <c r="E803" s="2" t="s">
        <v>16</v>
      </c>
      <c r="F803" s="2" t="s">
        <v>27</v>
      </c>
      <c r="G803" s="2">
        <v>35060</v>
      </c>
      <c r="H803" s="2">
        <v>469</v>
      </c>
      <c r="I803" s="2">
        <v>343313</v>
      </c>
      <c r="J803" s="2">
        <v>190</v>
      </c>
      <c r="K803" s="2">
        <v>0.97</v>
      </c>
      <c r="L803" s="2">
        <v>6.29</v>
      </c>
      <c r="M803" s="2">
        <v>1.2</v>
      </c>
      <c r="N803" s="4">
        <v>1</v>
      </c>
    </row>
    <row r="804" spans="1:14" x14ac:dyDescent="0.35">
      <c r="A804" s="3">
        <v>2020</v>
      </c>
      <c r="B804" s="2">
        <v>7</v>
      </c>
      <c r="C804" s="2" t="s">
        <v>14</v>
      </c>
      <c r="D804" s="2" t="s">
        <v>29</v>
      </c>
      <c r="E804" s="2" t="s">
        <v>16</v>
      </c>
      <c r="F804" s="2" t="s">
        <v>20</v>
      </c>
      <c r="G804" s="2">
        <v>44269</v>
      </c>
      <c r="H804" s="2">
        <v>994</v>
      </c>
      <c r="I804" s="2">
        <v>95641</v>
      </c>
      <c r="J804" s="2">
        <v>368</v>
      </c>
      <c r="K804" s="2">
        <v>0.97</v>
      </c>
      <c r="L804" s="2">
        <v>6.29</v>
      </c>
      <c r="M804" s="2">
        <v>1.2</v>
      </c>
      <c r="N804" s="4">
        <v>5</v>
      </c>
    </row>
    <row r="805" spans="1:14" x14ac:dyDescent="0.35">
      <c r="A805" s="3">
        <v>2024</v>
      </c>
      <c r="B805" s="2">
        <v>4</v>
      </c>
      <c r="C805" s="2" t="s">
        <v>32</v>
      </c>
      <c r="D805" s="2" t="s">
        <v>39</v>
      </c>
      <c r="E805" s="2" t="s">
        <v>16</v>
      </c>
      <c r="F805" s="2" t="s">
        <v>17</v>
      </c>
      <c r="G805" s="2">
        <v>98143</v>
      </c>
      <c r="H805" s="2">
        <v>468</v>
      </c>
      <c r="I805" s="2">
        <v>204062</v>
      </c>
      <c r="J805" s="2">
        <v>86</v>
      </c>
      <c r="K805" s="2">
        <v>0.97</v>
      </c>
      <c r="L805" s="2">
        <v>6.29</v>
      </c>
      <c r="M805" s="2">
        <v>1.2</v>
      </c>
      <c r="N805" s="4">
        <v>8</v>
      </c>
    </row>
    <row r="806" spans="1:14" x14ac:dyDescent="0.35">
      <c r="A806" s="3">
        <v>2023</v>
      </c>
      <c r="B806" s="2">
        <v>8</v>
      </c>
      <c r="C806" s="2" t="s">
        <v>37</v>
      </c>
      <c r="D806" s="2" t="s">
        <v>18</v>
      </c>
      <c r="E806" s="2" t="s">
        <v>20</v>
      </c>
      <c r="F806" s="2" t="s">
        <v>27</v>
      </c>
      <c r="G806" s="2">
        <v>58065</v>
      </c>
      <c r="H806" s="2">
        <v>786</v>
      </c>
      <c r="I806" s="2">
        <v>79661</v>
      </c>
      <c r="J806" s="2">
        <v>160</v>
      </c>
      <c r="K806" s="2">
        <v>0.97</v>
      </c>
      <c r="L806" s="2">
        <v>6.29</v>
      </c>
      <c r="M806" s="2">
        <v>1.2</v>
      </c>
      <c r="N806" s="4">
        <v>2</v>
      </c>
    </row>
    <row r="807" spans="1:14" x14ac:dyDescent="0.35">
      <c r="A807" s="3">
        <v>2015</v>
      </c>
      <c r="B807" s="2">
        <v>7</v>
      </c>
      <c r="C807" s="2" t="s">
        <v>28</v>
      </c>
      <c r="D807" s="2" t="s">
        <v>34</v>
      </c>
      <c r="E807" s="2" t="s">
        <v>16</v>
      </c>
      <c r="F807" s="2" t="s">
        <v>17</v>
      </c>
      <c r="G807" s="2">
        <v>37895</v>
      </c>
      <c r="H807" s="2">
        <v>762</v>
      </c>
      <c r="I807" s="2">
        <v>194491</v>
      </c>
      <c r="J807" s="2">
        <v>247</v>
      </c>
      <c r="K807" s="2">
        <v>0.97</v>
      </c>
      <c r="L807" s="2">
        <v>6.29</v>
      </c>
      <c r="M807" s="2">
        <v>1.2</v>
      </c>
      <c r="N807" s="4">
        <v>5</v>
      </c>
    </row>
    <row r="808" spans="1:14" x14ac:dyDescent="0.35">
      <c r="A808" s="3">
        <v>2018</v>
      </c>
      <c r="B808" s="2">
        <v>5</v>
      </c>
      <c r="C808" s="2" t="s">
        <v>25</v>
      </c>
      <c r="D808" s="2" t="s">
        <v>34</v>
      </c>
      <c r="E808" s="2" t="s">
        <v>20</v>
      </c>
      <c r="F808" s="2" t="s">
        <v>20</v>
      </c>
      <c r="G808" s="2">
        <v>115859</v>
      </c>
      <c r="H808" s="2">
        <v>640</v>
      </c>
      <c r="I808" s="2">
        <v>326601</v>
      </c>
      <c r="J808" s="2">
        <v>298</v>
      </c>
      <c r="K808" s="2">
        <v>0.97</v>
      </c>
      <c r="L808" s="2">
        <v>6.29</v>
      </c>
      <c r="M808" s="2">
        <v>1.2</v>
      </c>
      <c r="N808" s="4">
        <v>8</v>
      </c>
    </row>
    <row r="809" spans="1:14" x14ac:dyDescent="0.35">
      <c r="A809" s="3">
        <v>2023</v>
      </c>
      <c r="B809" s="2">
        <v>7</v>
      </c>
      <c r="C809" s="2" t="s">
        <v>14</v>
      </c>
      <c r="D809" s="2" t="s">
        <v>15</v>
      </c>
      <c r="E809" s="2" t="s">
        <v>19</v>
      </c>
      <c r="F809" s="2" t="s">
        <v>27</v>
      </c>
      <c r="G809" s="2">
        <v>47352</v>
      </c>
      <c r="H809" s="2">
        <v>640</v>
      </c>
      <c r="I809" s="2">
        <v>379744</v>
      </c>
      <c r="J809" s="2">
        <v>240</v>
      </c>
      <c r="K809" s="2">
        <v>0.97</v>
      </c>
      <c r="L809" s="2">
        <v>6.29</v>
      </c>
      <c r="M809" s="2">
        <v>1.2</v>
      </c>
      <c r="N809" s="4">
        <v>10</v>
      </c>
    </row>
    <row r="810" spans="1:14" x14ac:dyDescent="0.35">
      <c r="A810" s="3">
        <v>2018</v>
      </c>
      <c r="B810" s="2">
        <v>3</v>
      </c>
      <c r="C810" s="2" t="s">
        <v>35</v>
      </c>
      <c r="D810" s="2" t="s">
        <v>29</v>
      </c>
      <c r="E810" s="2" t="s">
        <v>19</v>
      </c>
      <c r="F810" s="2" t="s">
        <v>23</v>
      </c>
      <c r="G810" s="2">
        <v>84737</v>
      </c>
      <c r="H810" s="2">
        <v>224</v>
      </c>
      <c r="I810" s="2">
        <v>153619</v>
      </c>
      <c r="J810" s="2">
        <v>27</v>
      </c>
      <c r="K810" s="2">
        <v>0.97</v>
      </c>
      <c r="L810" s="2">
        <v>6.29</v>
      </c>
      <c r="M810" s="2">
        <v>1.2</v>
      </c>
      <c r="N810" s="4">
        <v>5</v>
      </c>
    </row>
    <row r="811" spans="1:14" x14ac:dyDescent="0.35">
      <c r="A811" s="3">
        <v>2024</v>
      </c>
      <c r="B811" s="2">
        <v>12</v>
      </c>
      <c r="C811" s="2" t="s">
        <v>35</v>
      </c>
      <c r="D811" s="2" t="s">
        <v>39</v>
      </c>
      <c r="E811" s="2" t="s">
        <v>20</v>
      </c>
      <c r="F811" s="2" t="s">
        <v>23</v>
      </c>
      <c r="G811" s="2">
        <v>67016</v>
      </c>
      <c r="H811" s="2">
        <v>641</v>
      </c>
      <c r="I811" s="2">
        <v>388246</v>
      </c>
      <c r="J811" s="2">
        <v>82</v>
      </c>
      <c r="K811" s="2">
        <v>0.97</v>
      </c>
      <c r="L811" s="2">
        <v>6.29</v>
      </c>
      <c r="M811" s="2">
        <v>1.2</v>
      </c>
      <c r="N811" s="4">
        <v>2</v>
      </c>
    </row>
    <row r="812" spans="1:14" x14ac:dyDescent="0.35">
      <c r="A812" s="3">
        <v>2017</v>
      </c>
      <c r="B812" s="2">
        <v>2</v>
      </c>
      <c r="C812" s="2" t="s">
        <v>21</v>
      </c>
      <c r="D812" s="2" t="s">
        <v>15</v>
      </c>
      <c r="E812" s="2" t="s">
        <v>20</v>
      </c>
      <c r="F812" s="2" t="s">
        <v>17</v>
      </c>
      <c r="G812" s="2">
        <v>96304</v>
      </c>
      <c r="H812" s="2">
        <v>668</v>
      </c>
      <c r="I812" s="2">
        <v>83085</v>
      </c>
      <c r="J812" s="2">
        <v>198</v>
      </c>
      <c r="K812" s="2">
        <v>0.97</v>
      </c>
      <c r="L812" s="2">
        <v>6.29</v>
      </c>
      <c r="M812" s="2">
        <v>1.2</v>
      </c>
      <c r="N812" s="4">
        <v>3</v>
      </c>
    </row>
    <row r="813" spans="1:14" x14ac:dyDescent="0.35">
      <c r="A813" s="3">
        <v>2023</v>
      </c>
      <c r="B813" s="2">
        <v>6</v>
      </c>
      <c r="C813" s="2" t="s">
        <v>36</v>
      </c>
      <c r="D813" s="2" t="s">
        <v>22</v>
      </c>
      <c r="E813" s="2" t="s">
        <v>20</v>
      </c>
      <c r="F813" s="2" t="s">
        <v>20</v>
      </c>
      <c r="G813" s="2">
        <v>46962</v>
      </c>
      <c r="H813" s="2">
        <v>396</v>
      </c>
      <c r="I813" s="2">
        <v>147064</v>
      </c>
      <c r="J813" s="2">
        <v>26</v>
      </c>
      <c r="K813" s="2">
        <v>0.97</v>
      </c>
      <c r="L813" s="2">
        <v>6.29</v>
      </c>
      <c r="M813" s="2">
        <v>1.2</v>
      </c>
      <c r="N813" s="4">
        <v>6</v>
      </c>
    </row>
    <row r="814" spans="1:14" x14ac:dyDescent="0.35">
      <c r="A814" s="3">
        <v>2016</v>
      </c>
      <c r="B814" s="2">
        <v>2</v>
      </c>
      <c r="C814" s="2" t="s">
        <v>25</v>
      </c>
      <c r="D814" s="2" t="s">
        <v>15</v>
      </c>
      <c r="E814" s="2" t="s">
        <v>16</v>
      </c>
      <c r="F814" s="2" t="s">
        <v>27</v>
      </c>
      <c r="G814" s="2">
        <v>68302</v>
      </c>
      <c r="H814" s="2">
        <v>438</v>
      </c>
      <c r="I814" s="2">
        <v>231726</v>
      </c>
      <c r="J814" s="2">
        <v>28</v>
      </c>
      <c r="K814" s="2">
        <v>0.97</v>
      </c>
      <c r="L814" s="2">
        <v>6.29</v>
      </c>
      <c r="M814" s="2">
        <v>1.2</v>
      </c>
      <c r="N814" s="4">
        <v>5</v>
      </c>
    </row>
    <row r="815" spans="1:14" x14ac:dyDescent="0.35">
      <c r="A815" s="3">
        <v>2018</v>
      </c>
      <c r="B815" s="2">
        <v>3</v>
      </c>
      <c r="C815" s="2" t="s">
        <v>14</v>
      </c>
      <c r="D815" s="2" t="s">
        <v>18</v>
      </c>
      <c r="E815" s="2" t="s">
        <v>19</v>
      </c>
      <c r="F815" s="2" t="s">
        <v>20</v>
      </c>
      <c r="G815" s="2">
        <v>39011</v>
      </c>
      <c r="H815" s="2">
        <v>951</v>
      </c>
      <c r="I815" s="2">
        <v>449346</v>
      </c>
      <c r="J815" s="2">
        <v>228</v>
      </c>
      <c r="K815" s="2">
        <v>0.97</v>
      </c>
      <c r="L815" s="2">
        <v>6.29</v>
      </c>
      <c r="M815" s="2">
        <v>1.2</v>
      </c>
      <c r="N815" s="4">
        <v>4</v>
      </c>
    </row>
    <row r="816" spans="1:14" x14ac:dyDescent="0.35">
      <c r="A816" s="3">
        <v>2020</v>
      </c>
      <c r="B816" s="2">
        <v>6</v>
      </c>
      <c r="C816" s="2" t="s">
        <v>30</v>
      </c>
      <c r="D816" s="2" t="s">
        <v>24</v>
      </c>
      <c r="E816" s="2" t="s">
        <v>20</v>
      </c>
      <c r="F816" s="2" t="s">
        <v>27</v>
      </c>
      <c r="G816" s="2">
        <v>54782</v>
      </c>
      <c r="H816" s="2">
        <v>1066</v>
      </c>
      <c r="I816" s="2">
        <v>155723</v>
      </c>
      <c r="J816" s="2">
        <v>335</v>
      </c>
      <c r="K816" s="2">
        <v>0.97</v>
      </c>
      <c r="L816" s="2">
        <v>6.29</v>
      </c>
      <c r="M816" s="2">
        <v>1.2</v>
      </c>
      <c r="N816" s="4">
        <v>4</v>
      </c>
    </row>
    <row r="817" spans="1:14" x14ac:dyDescent="0.35">
      <c r="A817" s="3">
        <v>2016</v>
      </c>
      <c r="B817" s="2">
        <v>5</v>
      </c>
      <c r="C817" s="2" t="s">
        <v>14</v>
      </c>
      <c r="D817" s="2" t="s">
        <v>33</v>
      </c>
      <c r="E817" s="2" t="s">
        <v>16</v>
      </c>
      <c r="F817" s="2" t="s">
        <v>17</v>
      </c>
      <c r="G817" s="2">
        <v>102691</v>
      </c>
      <c r="H817" s="2">
        <v>390</v>
      </c>
      <c r="I817" s="2">
        <v>183114</v>
      </c>
      <c r="J817" s="2">
        <v>129</v>
      </c>
      <c r="K817" s="2">
        <v>0.97</v>
      </c>
      <c r="L817" s="2">
        <v>6.29</v>
      </c>
      <c r="M817" s="2">
        <v>1.2</v>
      </c>
      <c r="N817" s="4">
        <v>5</v>
      </c>
    </row>
    <row r="818" spans="1:14" x14ac:dyDescent="0.35">
      <c r="A818" s="3">
        <v>2022</v>
      </c>
      <c r="B818" s="2">
        <v>8</v>
      </c>
      <c r="C818" s="2" t="s">
        <v>21</v>
      </c>
      <c r="D818" s="2" t="s">
        <v>29</v>
      </c>
      <c r="E818" s="2" t="s">
        <v>19</v>
      </c>
      <c r="F818" s="2" t="s">
        <v>27</v>
      </c>
      <c r="G818" s="2">
        <v>74725</v>
      </c>
      <c r="H818" s="2">
        <v>303</v>
      </c>
      <c r="I818" s="2">
        <v>382278</v>
      </c>
      <c r="J818" s="2">
        <v>110</v>
      </c>
      <c r="K818" s="2">
        <v>0.97</v>
      </c>
      <c r="L818" s="2">
        <v>6.29</v>
      </c>
      <c r="M818" s="2">
        <v>1.2</v>
      </c>
      <c r="N818" s="4">
        <v>2</v>
      </c>
    </row>
    <row r="819" spans="1:14" x14ac:dyDescent="0.35">
      <c r="A819" s="3">
        <v>2022</v>
      </c>
      <c r="B819" s="2">
        <v>9</v>
      </c>
      <c r="C819" s="2" t="s">
        <v>35</v>
      </c>
      <c r="D819" s="2" t="s">
        <v>24</v>
      </c>
      <c r="E819" s="2" t="s">
        <v>16</v>
      </c>
      <c r="F819" s="2" t="s">
        <v>20</v>
      </c>
      <c r="G819" s="2">
        <v>44196</v>
      </c>
      <c r="H819" s="2">
        <v>247</v>
      </c>
      <c r="I819" s="2">
        <v>355126</v>
      </c>
      <c r="J819" s="2">
        <v>43</v>
      </c>
      <c r="K819" s="2">
        <v>0.97</v>
      </c>
      <c r="L819" s="2">
        <v>6.29</v>
      </c>
      <c r="M819" s="2">
        <v>1.2</v>
      </c>
      <c r="N819" s="4">
        <v>9</v>
      </c>
    </row>
    <row r="820" spans="1:14" x14ac:dyDescent="0.35">
      <c r="A820" s="3">
        <v>2015</v>
      </c>
      <c r="B820" s="2">
        <v>11</v>
      </c>
      <c r="C820" s="2" t="s">
        <v>28</v>
      </c>
      <c r="D820" s="2" t="s">
        <v>15</v>
      </c>
      <c r="E820" s="2" t="s">
        <v>19</v>
      </c>
      <c r="F820" s="2" t="s">
        <v>20</v>
      </c>
      <c r="G820" s="2">
        <v>78459</v>
      </c>
      <c r="H820" s="2">
        <v>576</v>
      </c>
      <c r="I820" s="2">
        <v>377329</v>
      </c>
      <c r="J820" s="2">
        <v>93</v>
      </c>
      <c r="K820" s="2">
        <v>0.97</v>
      </c>
      <c r="L820" s="2">
        <v>6.29</v>
      </c>
      <c r="M820" s="2">
        <v>1.2</v>
      </c>
      <c r="N820" s="4">
        <v>2</v>
      </c>
    </row>
    <row r="821" spans="1:14" x14ac:dyDescent="0.35">
      <c r="A821" s="3">
        <v>2017</v>
      </c>
      <c r="B821" s="2">
        <v>3</v>
      </c>
      <c r="C821" s="2" t="s">
        <v>30</v>
      </c>
      <c r="D821" s="2" t="s">
        <v>39</v>
      </c>
      <c r="E821" s="2" t="s">
        <v>16</v>
      </c>
      <c r="F821" s="2" t="s">
        <v>17</v>
      </c>
      <c r="G821" s="2">
        <v>113863</v>
      </c>
      <c r="H821" s="2">
        <v>693</v>
      </c>
      <c r="I821" s="2">
        <v>83477</v>
      </c>
      <c r="J821" s="2">
        <v>205</v>
      </c>
      <c r="K821" s="2">
        <v>0.97</v>
      </c>
      <c r="L821" s="2">
        <v>6.29</v>
      </c>
      <c r="M821" s="2">
        <v>1.2</v>
      </c>
      <c r="N821" s="4">
        <v>10</v>
      </c>
    </row>
    <row r="822" spans="1:14" x14ac:dyDescent="0.35">
      <c r="A822" s="3">
        <v>2024</v>
      </c>
      <c r="B822" s="2">
        <v>12</v>
      </c>
      <c r="C822" s="2" t="s">
        <v>37</v>
      </c>
      <c r="D822" s="2" t="s">
        <v>33</v>
      </c>
      <c r="E822" s="2" t="s">
        <v>19</v>
      </c>
      <c r="F822" s="2" t="s">
        <v>20</v>
      </c>
      <c r="G822" s="2">
        <v>67769</v>
      </c>
      <c r="H822" s="2">
        <v>1095</v>
      </c>
      <c r="I822" s="2">
        <v>164161</v>
      </c>
      <c r="J822" s="2">
        <v>339</v>
      </c>
      <c r="K822" s="2">
        <v>0.97</v>
      </c>
      <c r="L822" s="2">
        <v>6.29</v>
      </c>
      <c r="M822" s="2">
        <v>1.2</v>
      </c>
      <c r="N822" s="4">
        <v>2</v>
      </c>
    </row>
    <row r="823" spans="1:14" x14ac:dyDescent="0.35">
      <c r="A823" s="3">
        <v>2023</v>
      </c>
      <c r="B823" s="2">
        <v>10</v>
      </c>
      <c r="C823" s="2" t="s">
        <v>38</v>
      </c>
      <c r="D823" s="2" t="s">
        <v>34</v>
      </c>
      <c r="E823" s="2" t="s">
        <v>19</v>
      </c>
      <c r="F823" s="2" t="s">
        <v>27</v>
      </c>
      <c r="G823" s="2">
        <v>59700</v>
      </c>
      <c r="H823" s="2">
        <v>482</v>
      </c>
      <c r="I823" s="2">
        <v>364853</v>
      </c>
      <c r="J823" s="2">
        <v>211</v>
      </c>
      <c r="K823" s="2">
        <v>0.97</v>
      </c>
      <c r="L823" s="2">
        <v>6.29</v>
      </c>
      <c r="M823" s="2">
        <v>1.2</v>
      </c>
      <c r="N823" s="4">
        <v>10</v>
      </c>
    </row>
    <row r="824" spans="1:14" x14ac:dyDescent="0.35">
      <c r="A824" s="3">
        <v>2019</v>
      </c>
      <c r="B824" s="2">
        <v>3</v>
      </c>
      <c r="C824" s="2" t="s">
        <v>28</v>
      </c>
      <c r="D824" s="2" t="s">
        <v>31</v>
      </c>
      <c r="E824" s="2" t="s">
        <v>16</v>
      </c>
      <c r="F824" s="2" t="s">
        <v>17</v>
      </c>
      <c r="G824" s="2">
        <v>115356</v>
      </c>
      <c r="H824" s="2">
        <v>980</v>
      </c>
      <c r="I824" s="2">
        <v>209788</v>
      </c>
      <c r="J824" s="2">
        <v>353</v>
      </c>
      <c r="K824" s="2">
        <v>0.97</v>
      </c>
      <c r="L824" s="2">
        <v>6.29</v>
      </c>
      <c r="M824" s="2">
        <v>1.2</v>
      </c>
      <c r="N824" s="4">
        <v>9</v>
      </c>
    </row>
    <row r="825" spans="1:14" x14ac:dyDescent="0.35">
      <c r="A825" s="3">
        <v>2020</v>
      </c>
      <c r="B825" s="2">
        <v>3</v>
      </c>
      <c r="C825" s="2" t="s">
        <v>38</v>
      </c>
      <c r="D825" s="2" t="s">
        <v>33</v>
      </c>
      <c r="E825" s="2" t="s">
        <v>20</v>
      </c>
      <c r="F825" s="2" t="s">
        <v>27</v>
      </c>
      <c r="G825" s="2">
        <v>111427</v>
      </c>
      <c r="H825" s="2">
        <v>1075</v>
      </c>
      <c r="I825" s="2">
        <v>390281</v>
      </c>
      <c r="J825" s="2">
        <v>350</v>
      </c>
      <c r="K825" s="2">
        <v>0.97</v>
      </c>
      <c r="L825" s="2">
        <v>6.29</v>
      </c>
      <c r="M825" s="2">
        <v>1.2</v>
      </c>
      <c r="N825" s="4">
        <v>3</v>
      </c>
    </row>
    <row r="826" spans="1:14" x14ac:dyDescent="0.35">
      <c r="A826" s="3">
        <v>2018</v>
      </c>
      <c r="B826" s="2">
        <v>6</v>
      </c>
      <c r="C826" s="2" t="s">
        <v>25</v>
      </c>
      <c r="D826" s="2" t="s">
        <v>18</v>
      </c>
      <c r="E826" s="2" t="s">
        <v>19</v>
      </c>
      <c r="F826" s="2" t="s">
        <v>20</v>
      </c>
      <c r="G826" s="2">
        <v>40269</v>
      </c>
      <c r="H826" s="2">
        <v>476</v>
      </c>
      <c r="I826" s="2">
        <v>348162</v>
      </c>
      <c r="J826" s="2">
        <v>20</v>
      </c>
      <c r="K826" s="2">
        <v>0.97</v>
      </c>
      <c r="L826" s="2">
        <v>6.29</v>
      </c>
      <c r="M826" s="2">
        <v>1.2</v>
      </c>
      <c r="N826" s="4">
        <v>10</v>
      </c>
    </row>
    <row r="827" spans="1:14" x14ac:dyDescent="0.35">
      <c r="A827" s="3">
        <v>2024</v>
      </c>
      <c r="B827" s="2">
        <v>1</v>
      </c>
      <c r="C827" s="2" t="s">
        <v>36</v>
      </c>
      <c r="D827" s="2" t="s">
        <v>18</v>
      </c>
      <c r="E827" s="2" t="s">
        <v>20</v>
      </c>
      <c r="F827" s="2" t="s">
        <v>17</v>
      </c>
      <c r="G827" s="2">
        <v>78880</v>
      </c>
      <c r="H827" s="2">
        <v>1122</v>
      </c>
      <c r="I827" s="2">
        <v>189133</v>
      </c>
      <c r="J827" s="2">
        <v>356</v>
      </c>
      <c r="K827" s="2">
        <v>0.97</v>
      </c>
      <c r="L827" s="2">
        <v>6.29</v>
      </c>
      <c r="M827" s="2">
        <v>1.2</v>
      </c>
      <c r="N827" s="4">
        <v>7</v>
      </c>
    </row>
    <row r="828" spans="1:14" x14ac:dyDescent="0.35">
      <c r="A828" s="3">
        <v>2016</v>
      </c>
      <c r="B828" s="2">
        <v>7</v>
      </c>
      <c r="C828" s="2" t="s">
        <v>30</v>
      </c>
      <c r="D828" s="2" t="s">
        <v>15</v>
      </c>
      <c r="E828" s="2" t="s">
        <v>16</v>
      </c>
      <c r="F828" s="2" t="s">
        <v>27</v>
      </c>
      <c r="G828" s="2">
        <v>43320</v>
      </c>
      <c r="H828" s="2">
        <v>641</v>
      </c>
      <c r="I828" s="2">
        <v>189681</v>
      </c>
      <c r="J828" s="2">
        <v>227</v>
      </c>
      <c r="K828" s="2">
        <v>0.97</v>
      </c>
      <c r="L828" s="2">
        <v>6.29</v>
      </c>
      <c r="M828" s="2">
        <v>1.2</v>
      </c>
      <c r="N828" s="4">
        <v>4</v>
      </c>
    </row>
    <row r="829" spans="1:14" x14ac:dyDescent="0.35">
      <c r="A829" s="3">
        <v>2022</v>
      </c>
      <c r="B829" s="2">
        <v>12</v>
      </c>
      <c r="C829" s="2" t="s">
        <v>32</v>
      </c>
      <c r="D829" s="2" t="s">
        <v>22</v>
      </c>
      <c r="E829" s="2" t="s">
        <v>20</v>
      </c>
      <c r="F829" s="2" t="s">
        <v>20</v>
      </c>
      <c r="G829" s="2">
        <v>84589</v>
      </c>
      <c r="H829" s="2">
        <v>820</v>
      </c>
      <c r="I829" s="2">
        <v>347515</v>
      </c>
      <c r="J829" s="2">
        <v>262</v>
      </c>
      <c r="K829" s="2">
        <v>0.97</v>
      </c>
      <c r="L829" s="2">
        <v>6.29</v>
      </c>
      <c r="M829" s="2">
        <v>1.2</v>
      </c>
      <c r="N829" s="4">
        <v>6</v>
      </c>
    </row>
    <row r="830" spans="1:14" x14ac:dyDescent="0.35">
      <c r="A830" s="3">
        <v>2020</v>
      </c>
      <c r="B830" s="2">
        <v>1</v>
      </c>
      <c r="C830" s="2" t="s">
        <v>30</v>
      </c>
      <c r="D830" s="2" t="s">
        <v>18</v>
      </c>
      <c r="E830" s="2" t="s">
        <v>20</v>
      </c>
      <c r="F830" s="2" t="s">
        <v>20</v>
      </c>
      <c r="G830" s="2">
        <v>111276</v>
      </c>
      <c r="H830" s="2">
        <v>789</v>
      </c>
      <c r="I830" s="2">
        <v>291422</v>
      </c>
      <c r="J830" s="2">
        <v>231</v>
      </c>
      <c r="K830" s="2">
        <v>0.97</v>
      </c>
      <c r="L830" s="2">
        <v>6.29</v>
      </c>
      <c r="M830" s="2">
        <v>1.2</v>
      </c>
      <c r="N830" s="4">
        <v>4</v>
      </c>
    </row>
    <row r="831" spans="1:14" x14ac:dyDescent="0.35">
      <c r="A831" s="3">
        <v>2019</v>
      </c>
      <c r="B831" s="2">
        <v>5</v>
      </c>
      <c r="C831" s="2" t="s">
        <v>14</v>
      </c>
      <c r="D831" s="2" t="s">
        <v>18</v>
      </c>
      <c r="E831" s="2" t="s">
        <v>20</v>
      </c>
      <c r="F831" s="2" t="s">
        <v>23</v>
      </c>
      <c r="G831" s="2">
        <v>70897</v>
      </c>
      <c r="H831" s="2">
        <v>985</v>
      </c>
      <c r="I831" s="2">
        <v>395165</v>
      </c>
      <c r="J831" s="2">
        <v>392</v>
      </c>
      <c r="K831" s="2">
        <v>0.97</v>
      </c>
      <c r="L831" s="2">
        <v>6.29</v>
      </c>
      <c r="M831" s="2">
        <v>1.2</v>
      </c>
      <c r="N831" s="4">
        <v>10</v>
      </c>
    </row>
    <row r="832" spans="1:14" x14ac:dyDescent="0.35">
      <c r="A832" s="3">
        <v>2023</v>
      </c>
      <c r="B832" s="2">
        <v>10</v>
      </c>
      <c r="C832" s="2" t="s">
        <v>35</v>
      </c>
      <c r="D832" s="2" t="s">
        <v>39</v>
      </c>
      <c r="E832" s="2" t="s">
        <v>20</v>
      </c>
      <c r="F832" s="2" t="s">
        <v>20</v>
      </c>
      <c r="G832" s="2">
        <v>93565</v>
      </c>
      <c r="H832" s="2">
        <v>928</v>
      </c>
      <c r="I832" s="2">
        <v>464021</v>
      </c>
      <c r="J832" s="2">
        <v>378</v>
      </c>
      <c r="K832" s="2">
        <v>0.97</v>
      </c>
      <c r="L832" s="2">
        <v>6.29</v>
      </c>
      <c r="M832" s="2">
        <v>1.2</v>
      </c>
      <c r="N832" s="4">
        <v>7</v>
      </c>
    </row>
    <row r="833" spans="1:14" x14ac:dyDescent="0.35">
      <c r="A833" s="3">
        <v>2015</v>
      </c>
      <c r="B833" s="2">
        <v>8</v>
      </c>
      <c r="C833" s="2" t="s">
        <v>14</v>
      </c>
      <c r="D833" s="2" t="s">
        <v>15</v>
      </c>
      <c r="E833" s="2" t="s">
        <v>20</v>
      </c>
      <c r="F833" s="2" t="s">
        <v>27</v>
      </c>
      <c r="G833" s="2">
        <v>65930</v>
      </c>
      <c r="H833" s="2">
        <v>301</v>
      </c>
      <c r="I833" s="2">
        <v>320001</v>
      </c>
      <c r="J833" s="2">
        <v>89</v>
      </c>
      <c r="K833" s="2">
        <v>0.97</v>
      </c>
      <c r="L833" s="2">
        <v>6.29</v>
      </c>
      <c r="M833" s="2">
        <v>1.2</v>
      </c>
      <c r="N833" s="4">
        <v>1</v>
      </c>
    </row>
    <row r="834" spans="1:14" x14ac:dyDescent="0.35">
      <c r="A834" s="3">
        <v>2019</v>
      </c>
      <c r="B834" s="2">
        <v>4</v>
      </c>
      <c r="C834" s="2" t="s">
        <v>14</v>
      </c>
      <c r="D834" s="2" t="s">
        <v>33</v>
      </c>
      <c r="E834" s="2" t="s">
        <v>19</v>
      </c>
      <c r="F834" s="2" t="s">
        <v>17</v>
      </c>
      <c r="G834" s="2">
        <v>92233</v>
      </c>
      <c r="H834" s="2">
        <v>70</v>
      </c>
      <c r="I834" s="2">
        <v>192692</v>
      </c>
      <c r="J834" s="2">
        <v>16</v>
      </c>
      <c r="K834" s="2">
        <v>0.97</v>
      </c>
      <c r="L834" s="2">
        <v>6.29</v>
      </c>
      <c r="M834" s="2">
        <v>1.2</v>
      </c>
      <c r="N834" s="4">
        <v>3</v>
      </c>
    </row>
    <row r="835" spans="1:14" x14ac:dyDescent="0.35">
      <c r="A835" s="3">
        <v>2020</v>
      </c>
      <c r="B835" s="2">
        <v>5</v>
      </c>
      <c r="C835" s="2" t="s">
        <v>25</v>
      </c>
      <c r="D835" s="2" t="s">
        <v>22</v>
      </c>
      <c r="E835" s="2" t="s">
        <v>19</v>
      </c>
      <c r="F835" s="2" t="s">
        <v>23</v>
      </c>
      <c r="G835" s="2">
        <v>117821</v>
      </c>
      <c r="H835" s="2">
        <v>654</v>
      </c>
      <c r="I835" s="2">
        <v>58177</v>
      </c>
      <c r="J835" s="2">
        <v>281</v>
      </c>
      <c r="K835" s="2">
        <v>0.97</v>
      </c>
      <c r="L835" s="2">
        <v>6.29</v>
      </c>
      <c r="M835" s="2">
        <v>1.2</v>
      </c>
      <c r="N835" s="4">
        <v>3</v>
      </c>
    </row>
    <row r="836" spans="1:14" x14ac:dyDescent="0.35">
      <c r="A836" s="3">
        <v>2019</v>
      </c>
      <c r="B836" s="2">
        <v>4</v>
      </c>
      <c r="C836" s="2" t="s">
        <v>28</v>
      </c>
      <c r="D836" s="2" t="s">
        <v>24</v>
      </c>
      <c r="E836" s="2" t="s">
        <v>19</v>
      </c>
      <c r="F836" s="2" t="s">
        <v>20</v>
      </c>
      <c r="G836" s="2">
        <v>49380</v>
      </c>
      <c r="H836" s="2">
        <v>584</v>
      </c>
      <c r="I836" s="2">
        <v>473327</v>
      </c>
      <c r="J836" s="2">
        <v>236</v>
      </c>
      <c r="K836" s="2">
        <v>0.97</v>
      </c>
      <c r="L836" s="2">
        <v>6.29</v>
      </c>
      <c r="M836" s="2">
        <v>1.2</v>
      </c>
      <c r="N836" s="4">
        <v>1</v>
      </c>
    </row>
    <row r="837" spans="1:14" x14ac:dyDescent="0.35">
      <c r="A837" s="3">
        <v>2020</v>
      </c>
      <c r="B837" s="2">
        <v>12</v>
      </c>
      <c r="C837" s="2" t="s">
        <v>32</v>
      </c>
      <c r="D837" s="2" t="s">
        <v>31</v>
      </c>
      <c r="E837" s="2" t="s">
        <v>16</v>
      </c>
      <c r="F837" s="2" t="s">
        <v>20</v>
      </c>
      <c r="G837" s="2">
        <v>111896</v>
      </c>
      <c r="H837" s="2">
        <v>396</v>
      </c>
      <c r="I837" s="2">
        <v>301842</v>
      </c>
      <c r="J837" s="2">
        <v>25</v>
      </c>
      <c r="K837" s="2">
        <v>0.97</v>
      </c>
      <c r="L837" s="2">
        <v>6.29</v>
      </c>
      <c r="M837" s="2">
        <v>1.2</v>
      </c>
      <c r="N837" s="4">
        <v>6</v>
      </c>
    </row>
    <row r="838" spans="1:14" x14ac:dyDescent="0.35">
      <c r="A838" s="3">
        <v>2020</v>
      </c>
      <c r="B838" s="2">
        <v>12</v>
      </c>
      <c r="C838" s="2" t="s">
        <v>32</v>
      </c>
      <c r="D838" s="2" t="s">
        <v>29</v>
      </c>
      <c r="E838" s="2" t="s">
        <v>20</v>
      </c>
      <c r="F838" s="2" t="s">
        <v>20</v>
      </c>
      <c r="G838" s="2">
        <v>105934</v>
      </c>
      <c r="H838" s="2">
        <v>238</v>
      </c>
      <c r="I838" s="2">
        <v>400722</v>
      </c>
      <c r="J838" s="2">
        <v>21</v>
      </c>
      <c r="K838" s="2">
        <v>0.97</v>
      </c>
      <c r="L838" s="2">
        <v>6.29</v>
      </c>
      <c r="M838" s="2">
        <v>1.2</v>
      </c>
      <c r="N838" s="4">
        <v>9</v>
      </c>
    </row>
    <row r="839" spans="1:14" x14ac:dyDescent="0.35">
      <c r="A839" s="3">
        <v>2021</v>
      </c>
      <c r="B839" s="2">
        <v>4</v>
      </c>
      <c r="C839" s="2" t="s">
        <v>14</v>
      </c>
      <c r="D839" s="2" t="s">
        <v>34</v>
      </c>
      <c r="E839" s="2" t="s">
        <v>19</v>
      </c>
      <c r="F839" s="2" t="s">
        <v>27</v>
      </c>
      <c r="G839" s="2">
        <v>90830</v>
      </c>
      <c r="H839" s="2">
        <v>629</v>
      </c>
      <c r="I839" s="2">
        <v>139941</v>
      </c>
      <c r="J839" s="2">
        <v>300</v>
      </c>
      <c r="K839" s="2">
        <v>0.97</v>
      </c>
      <c r="L839" s="2">
        <v>6.29</v>
      </c>
      <c r="M839" s="2">
        <v>1.2</v>
      </c>
      <c r="N839" s="4">
        <v>8</v>
      </c>
    </row>
    <row r="840" spans="1:14" x14ac:dyDescent="0.35">
      <c r="A840" s="3">
        <v>2018</v>
      </c>
      <c r="B840" s="2">
        <v>12</v>
      </c>
      <c r="C840" s="2" t="s">
        <v>38</v>
      </c>
      <c r="D840" s="2" t="s">
        <v>18</v>
      </c>
      <c r="E840" s="2" t="s">
        <v>16</v>
      </c>
      <c r="F840" s="2" t="s">
        <v>23</v>
      </c>
      <c r="G840" s="2">
        <v>40529</v>
      </c>
      <c r="H840" s="2">
        <v>662</v>
      </c>
      <c r="I840" s="2">
        <v>308121</v>
      </c>
      <c r="J840" s="2">
        <v>250</v>
      </c>
      <c r="K840" s="2">
        <v>0.97</v>
      </c>
      <c r="L840" s="2">
        <v>6.29</v>
      </c>
      <c r="M840" s="2">
        <v>1.2</v>
      </c>
      <c r="N840" s="4">
        <v>7</v>
      </c>
    </row>
    <row r="841" spans="1:14" x14ac:dyDescent="0.35">
      <c r="A841" s="3">
        <v>2022</v>
      </c>
      <c r="B841" s="2">
        <v>8</v>
      </c>
      <c r="C841" s="2" t="s">
        <v>25</v>
      </c>
      <c r="D841" s="2" t="s">
        <v>15</v>
      </c>
      <c r="E841" s="2" t="s">
        <v>19</v>
      </c>
      <c r="F841" s="2" t="s">
        <v>27</v>
      </c>
      <c r="G841" s="2">
        <v>117987</v>
      </c>
      <c r="H841" s="2">
        <v>80</v>
      </c>
      <c r="I841" s="2">
        <v>61826</v>
      </c>
      <c r="J841" s="2">
        <v>30</v>
      </c>
      <c r="K841" s="2">
        <v>0.97</v>
      </c>
      <c r="L841" s="2">
        <v>6.29</v>
      </c>
      <c r="M841" s="2">
        <v>1.2</v>
      </c>
      <c r="N841" s="4">
        <v>10</v>
      </c>
    </row>
    <row r="842" spans="1:14" x14ac:dyDescent="0.35">
      <c r="A842" s="3">
        <v>2021</v>
      </c>
      <c r="B842" s="2">
        <v>2</v>
      </c>
      <c r="C842" s="2" t="s">
        <v>14</v>
      </c>
      <c r="D842" s="2" t="s">
        <v>29</v>
      </c>
      <c r="E842" s="2" t="s">
        <v>19</v>
      </c>
      <c r="F842" s="2" t="s">
        <v>23</v>
      </c>
      <c r="G842" s="2">
        <v>84178</v>
      </c>
      <c r="H842" s="2">
        <v>401</v>
      </c>
      <c r="I842" s="2">
        <v>194962</v>
      </c>
      <c r="J842" s="2">
        <v>187</v>
      </c>
      <c r="K842" s="2">
        <v>0.97</v>
      </c>
      <c r="L842" s="2">
        <v>6.29</v>
      </c>
      <c r="M842" s="2">
        <v>1.2</v>
      </c>
      <c r="N842" s="4">
        <v>8</v>
      </c>
    </row>
    <row r="843" spans="1:14" x14ac:dyDescent="0.35">
      <c r="A843" s="3">
        <v>2023</v>
      </c>
      <c r="B843" s="2">
        <v>1</v>
      </c>
      <c r="C843" s="2" t="s">
        <v>36</v>
      </c>
      <c r="D843" s="2" t="s">
        <v>34</v>
      </c>
      <c r="E843" s="2" t="s">
        <v>20</v>
      </c>
      <c r="F843" s="2" t="s">
        <v>17</v>
      </c>
      <c r="G843" s="2">
        <v>41937</v>
      </c>
      <c r="H843" s="2">
        <v>588</v>
      </c>
      <c r="I843" s="2">
        <v>394572</v>
      </c>
      <c r="J843" s="2">
        <v>237</v>
      </c>
      <c r="K843" s="2">
        <v>0.97</v>
      </c>
      <c r="L843" s="2">
        <v>6.29</v>
      </c>
      <c r="M843" s="2">
        <v>1.2</v>
      </c>
      <c r="N843" s="4">
        <v>6</v>
      </c>
    </row>
    <row r="844" spans="1:14" x14ac:dyDescent="0.35">
      <c r="A844" s="3">
        <v>2021</v>
      </c>
      <c r="B844" s="2">
        <v>3</v>
      </c>
      <c r="C844" s="2" t="s">
        <v>35</v>
      </c>
      <c r="D844" s="2" t="s">
        <v>34</v>
      </c>
      <c r="E844" s="2" t="s">
        <v>16</v>
      </c>
      <c r="F844" s="2" t="s">
        <v>27</v>
      </c>
      <c r="G844" s="2">
        <v>74886</v>
      </c>
      <c r="H844" s="2">
        <v>935</v>
      </c>
      <c r="I844" s="2">
        <v>176044</v>
      </c>
      <c r="J844" s="2">
        <v>282</v>
      </c>
      <c r="K844" s="2">
        <v>0.97</v>
      </c>
      <c r="L844" s="2">
        <v>6.29</v>
      </c>
      <c r="M844" s="2">
        <v>1.2</v>
      </c>
      <c r="N844" s="4">
        <v>9</v>
      </c>
    </row>
    <row r="845" spans="1:14" x14ac:dyDescent="0.35">
      <c r="A845" s="3">
        <v>2017</v>
      </c>
      <c r="B845" s="2">
        <v>9</v>
      </c>
      <c r="C845" s="2" t="s">
        <v>28</v>
      </c>
      <c r="D845" s="2" t="s">
        <v>24</v>
      </c>
      <c r="E845" s="2" t="s">
        <v>20</v>
      </c>
      <c r="F845" s="2" t="s">
        <v>27</v>
      </c>
      <c r="G845" s="2">
        <v>84699</v>
      </c>
      <c r="H845" s="2">
        <v>796</v>
      </c>
      <c r="I845" s="2">
        <v>239103</v>
      </c>
      <c r="J845" s="2">
        <v>297</v>
      </c>
      <c r="K845" s="2">
        <v>0.97</v>
      </c>
      <c r="L845" s="2">
        <v>6.29</v>
      </c>
      <c r="M845" s="2">
        <v>1.2</v>
      </c>
      <c r="N845" s="4">
        <v>3</v>
      </c>
    </row>
    <row r="846" spans="1:14" x14ac:dyDescent="0.35">
      <c r="A846" s="3">
        <v>2017</v>
      </c>
      <c r="B846" s="2">
        <v>4</v>
      </c>
      <c r="C846" s="2" t="s">
        <v>37</v>
      </c>
      <c r="D846" s="2" t="s">
        <v>24</v>
      </c>
      <c r="E846" s="2" t="s">
        <v>20</v>
      </c>
      <c r="F846" s="2" t="s">
        <v>17</v>
      </c>
      <c r="G846" s="2">
        <v>111396</v>
      </c>
      <c r="H846" s="2">
        <v>964</v>
      </c>
      <c r="I846" s="2">
        <v>387164</v>
      </c>
      <c r="J846" s="2">
        <v>306</v>
      </c>
      <c r="K846" s="2">
        <v>0.97</v>
      </c>
      <c r="L846" s="2">
        <v>6.29</v>
      </c>
      <c r="M846" s="2">
        <v>1.2</v>
      </c>
      <c r="N846" s="4">
        <v>10</v>
      </c>
    </row>
    <row r="847" spans="1:14" x14ac:dyDescent="0.35">
      <c r="A847" s="3">
        <v>2022</v>
      </c>
      <c r="B847" s="2">
        <v>10</v>
      </c>
      <c r="C847" s="2" t="s">
        <v>36</v>
      </c>
      <c r="D847" s="2" t="s">
        <v>24</v>
      </c>
      <c r="E847" s="2" t="s">
        <v>19</v>
      </c>
      <c r="F847" s="2" t="s">
        <v>23</v>
      </c>
      <c r="G847" s="2">
        <v>60279</v>
      </c>
      <c r="H847" s="2">
        <v>312</v>
      </c>
      <c r="I847" s="2">
        <v>55495</v>
      </c>
      <c r="J847" s="2">
        <v>143</v>
      </c>
      <c r="K847" s="2">
        <v>0.97</v>
      </c>
      <c r="L847" s="2">
        <v>6.29</v>
      </c>
      <c r="M847" s="2">
        <v>1.2</v>
      </c>
      <c r="N847" s="4">
        <v>10</v>
      </c>
    </row>
    <row r="848" spans="1:14" x14ac:dyDescent="0.35">
      <c r="A848" s="3">
        <v>2019</v>
      </c>
      <c r="B848" s="2">
        <v>5</v>
      </c>
      <c r="C848" s="2" t="s">
        <v>38</v>
      </c>
      <c r="D848" s="2" t="s">
        <v>26</v>
      </c>
      <c r="E848" s="2" t="s">
        <v>20</v>
      </c>
      <c r="F848" s="2" t="s">
        <v>20</v>
      </c>
      <c r="G848" s="2">
        <v>73106</v>
      </c>
      <c r="H848" s="2">
        <v>977</v>
      </c>
      <c r="I848" s="2">
        <v>78481</v>
      </c>
      <c r="J848" s="2">
        <v>292</v>
      </c>
      <c r="K848" s="2">
        <v>0.97</v>
      </c>
      <c r="L848" s="2">
        <v>6.29</v>
      </c>
      <c r="M848" s="2">
        <v>1.2</v>
      </c>
      <c r="N848" s="4">
        <v>9</v>
      </c>
    </row>
    <row r="849" spans="1:14" x14ac:dyDescent="0.35">
      <c r="A849" s="3">
        <v>2018</v>
      </c>
      <c r="B849" s="2">
        <v>2</v>
      </c>
      <c r="C849" s="2" t="s">
        <v>30</v>
      </c>
      <c r="D849" s="2" t="s">
        <v>26</v>
      </c>
      <c r="E849" s="2" t="s">
        <v>16</v>
      </c>
      <c r="F849" s="2" t="s">
        <v>17</v>
      </c>
      <c r="G849" s="2">
        <v>114737</v>
      </c>
      <c r="H849" s="2">
        <v>747</v>
      </c>
      <c r="I849" s="2">
        <v>192339</v>
      </c>
      <c r="J849" s="2">
        <v>162</v>
      </c>
      <c r="K849" s="2">
        <v>0.97</v>
      </c>
      <c r="L849" s="2">
        <v>6.29</v>
      </c>
      <c r="M849" s="2">
        <v>1.2</v>
      </c>
      <c r="N849" s="4">
        <v>4</v>
      </c>
    </row>
    <row r="850" spans="1:14" x14ac:dyDescent="0.35">
      <c r="A850" s="3">
        <v>2022</v>
      </c>
      <c r="B850" s="2">
        <v>4</v>
      </c>
      <c r="C850" s="2" t="s">
        <v>30</v>
      </c>
      <c r="D850" s="2" t="s">
        <v>34</v>
      </c>
      <c r="E850" s="2" t="s">
        <v>20</v>
      </c>
      <c r="F850" s="2" t="s">
        <v>20</v>
      </c>
      <c r="G850" s="2">
        <v>75544</v>
      </c>
      <c r="H850" s="2">
        <v>581</v>
      </c>
      <c r="I850" s="2">
        <v>430041</v>
      </c>
      <c r="J850" s="2">
        <v>75</v>
      </c>
      <c r="K850" s="2">
        <v>0.97</v>
      </c>
      <c r="L850" s="2">
        <v>6.29</v>
      </c>
      <c r="M850" s="2">
        <v>1.2</v>
      </c>
      <c r="N850" s="4">
        <v>7</v>
      </c>
    </row>
    <row r="851" spans="1:14" x14ac:dyDescent="0.35">
      <c r="A851" s="3">
        <v>2020</v>
      </c>
      <c r="B851" s="2">
        <v>2</v>
      </c>
      <c r="C851" s="2" t="s">
        <v>36</v>
      </c>
      <c r="D851" s="2" t="s">
        <v>24</v>
      </c>
      <c r="E851" s="2" t="s">
        <v>20</v>
      </c>
      <c r="F851" s="2" t="s">
        <v>20</v>
      </c>
      <c r="G851" s="2">
        <v>43997</v>
      </c>
      <c r="H851" s="2">
        <v>389</v>
      </c>
      <c r="I851" s="2">
        <v>286774</v>
      </c>
      <c r="J851" s="2">
        <v>146</v>
      </c>
      <c r="K851" s="2">
        <v>0.97</v>
      </c>
      <c r="L851" s="2">
        <v>6.29</v>
      </c>
      <c r="M851" s="2">
        <v>1.2</v>
      </c>
      <c r="N851" s="4">
        <v>9</v>
      </c>
    </row>
    <row r="852" spans="1:14" x14ac:dyDescent="0.35">
      <c r="A852" s="3">
        <v>2016</v>
      </c>
      <c r="B852" s="2">
        <v>2</v>
      </c>
      <c r="C852" s="2" t="s">
        <v>14</v>
      </c>
      <c r="D852" s="2" t="s">
        <v>39</v>
      </c>
      <c r="E852" s="2" t="s">
        <v>20</v>
      </c>
      <c r="F852" s="2" t="s">
        <v>17</v>
      </c>
      <c r="G852" s="2">
        <v>75860</v>
      </c>
      <c r="H852" s="2">
        <v>330</v>
      </c>
      <c r="I852" s="2">
        <v>187815</v>
      </c>
      <c r="J852" s="2">
        <v>101</v>
      </c>
      <c r="K852" s="2">
        <v>0.97</v>
      </c>
      <c r="L852" s="2">
        <v>6.29</v>
      </c>
      <c r="M852" s="2">
        <v>1.2</v>
      </c>
      <c r="N852" s="4">
        <v>2</v>
      </c>
    </row>
    <row r="853" spans="1:14" x14ac:dyDescent="0.35">
      <c r="A853" s="3">
        <v>2018</v>
      </c>
      <c r="B853" s="2">
        <v>4</v>
      </c>
      <c r="C853" s="2" t="s">
        <v>37</v>
      </c>
      <c r="D853" s="2" t="s">
        <v>18</v>
      </c>
      <c r="E853" s="2" t="s">
        <v>19</v>
      </c>
      <c r="F853" s="2" t="s">
        <v>23</v>
      </c>
      <c r="G853" s="2">
        <v>38225</v>
      </c>
      <c r="H853" s="2">
        <v>1118</v>
      </c>
      <c r="I853" s="2">
        <v>498016</v>
      </c>
      <c r="J853" s="2">
        <v>326</v>
      </c>
      <c r="K853" s="2">
        <v>0.97</v>
      </c>
      <c r="L853" s="2">
        <v>6.29</v>
      </c>
      <c r="M853" s="2">
        <v>1.2</v>
      </c>
      <c r="N853" s="4">
        <v>2</v>
      </c>
    </row>
    <row r="854" spans="1:14" x14ac:dyDescent="0.35">
      <c r="A854" s="3">
        <v>2018</v>
      </c>
      <c r="B854" s="2">
        <v>6</v>
      </c>
      <c r="C854" s="2" t="s">
        <v>21</v>
      </c>
      <c r="D854" s="2" t="s">
        <v>29</v>
      </c>
      <c r="E854" s="2" t="s">
        <v>16</v>
      </c>
      <c r="F854" s="2" t="s">
        <v>20</v>
      </c>
      <c r="G854" s="2">
        <v>94470</v>
      </c>
      <c r="H854" s="2">
        <v>733</v>
      </c>
      <c r="I854" s="2">
        <v>153475</v>
      </c>
      <c r="J854" s="2">
        <v>268</v>
      </c>
      <c r="K854" s="2">
        <v>0.97</v>
      </c>
      <c r="L854" s="2">
        <v>6.29</v>
      </c>
      <c r="M854" s="2">
        <v>1.2</v>
      </c>
      <c r="N854" s="4">
        <v>9</v>
      </c>
    </row>
    <row r="855" spans="1:14" x14ac:dyDescent="0.35">
      <c r="A855" s="3">
        <v>2020</v>
      </c>
      <c r="B855" s="2">
        <v>7</v>
      </c>
      <c r="C855" s="2" t="s">
        <v>21</v>
      </c>
      <c r="D855" s="2" t="s">
        <v>29</v>
      </c>
      <c r="E855" s="2" t="s">
        <v>19</v>
      </c>
      <c r="F855" s="2" t="s">
        <v>17</v>
      </c>
      <c r="G855" s="2">
        <v>98656</v>
      </c>
      <c r="H855" s="2">
        <v>479</v>
      </c>
      <c r="I855" s="2">
        <v>229845</v>
      </c>
      <c r="J855" s="2">
        <v>112</v>
      </c>
      <c r="K855" s="2">
        <v>0.97</v>
      </c>
      <c r="L855" s="2">
        <v>6.29</v>
      </c>
      <c r="M855" s="2">
        <v>1.2</v>
      </c>
      <c r="N855" s="4">
        <v>3</v>
      </c>
    </row>
    <row r="856" spans="1:14" x14ac:dyDescent="0.35">
      <c r="A856" s="3">
        <v>2020</v>
      </c>
      <c r="B856" s="2">
        <v>10</v>
      </c>
      <c r="C856" s="2" t="s">
        <v>38</v>
      </c>
      <c r="D856" s="2" t="s">
        <v>26</v>
      </c>
      <c r="E856" s="2" t="s">
        <v>19</v>
      </c>
      <c r="F856" s="2" t="s">
        <v>27</v>
      </c>
      <c r="G856" s="2">
        <v>86880</v>
      </c>
      <c r="H856" s="2">
        <v>194</v>
      </c>
      <c r="I856" s="2">
        <v>369186</v>
      </c>
      <c r="J856" s="2">
        <v>64</v>
      </c>
      <c r="K856" s="2">
        <v>0.97</v>
      </c>
      <c r="L856" s="2">
        <v>6.29</v>
      </c>
      <c r="M856" s="2">
        <v>1.2</v>
      </c>
      <c r="N856" s="4">
        <v>9</v>
      </c>
    </row>
    <row r="857" spans="1:14" x14ac:dyDescent="0.35">
      <c r="A857" s="3">
        <v>2015</v>
      </c>
      <c r="B857" s="2">
        <v>3</v>
      </c>
      <c r="C857" s="2" t="s">
        <v>14</v>
      </c>
      <c r="D857" s="2" t="s">
        <v>34</v>
      </c>
      <c r="E857" s="2" t="s">
        <v>19</v>
      </c>
      <c r="F857" s="2" t="s">
        <v>27</v>
      </c>
      <c r="G857" s="2">
        <v>96078</v>
      </c>
      <c r="H857" s="2">
        <v>637</v>
      </c>
      <c r="I857" s="2">
        <v>99476</v>
      </c>
      <c r="J857" s="2">
        <v>266</v>
      </c>
      <c r="K857" s="2">
        <v>0.97</v>
      </c>
      <c r="L857" s="2">
        <v>6.29</v>
      </c>
      <c r="M857" s="2">
        <v>1.2</v>
      </c>
      <c r="N857" s="4">
        <v>5</v>
      </c>
    </row>
    <row r="858" spans="1:14" x14ac:dyDescent="0.35">
      <c r="A858" s="3">
        <v>2022</v>
      </c>
      <c r="B858" s="2">
        <v>3</v>
      </c>
      <c r="C858" s="2" t="s">
        <v>32</v>
      </c>
      <c r="D858" s="2" t="s">
        <v>15</v>
      </c>
      <c r="E858" s="2" t="s">
        <v>19</v>
      </c>
      <c r="F858" s="2" t="s">
        <v>27</v>
      </c>
      <c r="G858" s="2">
        <v>111290</v>
      </c>
      <c r="H858" s="2">
        <v>277</v>
      </c>
      <c r="I858" s="2">
        <v>273177</v>
      </c>
      <c r="J858" s="2">
        <v>110</v>
      </c>
      <c r="K858" s="2">
        <v>0.97</v>
      </c>
      <c r="L858" s="2">
        <v>6.29</v>
      </c>
      <c r="M858" s="2">
        <v>1.2</v>
      </c>
      <c r="N858" s="4">
        <v>6</v>
      </c>
    </row>
    <row r="859" spans="1:14" x14ac:dyDescent="0.35">
      <c r="A859" s="3">
        <v>2020</v>
      </c>
      <c r="B859" s="2">
        <v>10</v>
      </c>
      <c r="C859" s="2" t="s">
        <v>32</v>
      </c>
      <c r="D859" s="2" t="s">
        <v>33</v>
      </c>
      <c r="E859" s="2" t="s">
        <v>19</v>
      </c>
      <c r="F859" s="2" t="s">
        <v>17</v>
      </c>
      <c r="G859" s="2">
        <v>91633</v>
      </c>
      <c r="H859" s="2">
        <v>502</v>
      </c>
      <c r="I859" s="2">
        <v>340696</v>
      </c>
      <c r="J859" s="2">
        <v>207</v>
      </c>
      <c r="K859" s="2">
        <v>0.97</v>
      </c>
      <c r="L859" s="2">
        <v>6.29</v>
      </c>
      <c r="M859" s="2">
        <v>1.2</v>
      </c>
      <c r="N859" s="4">
        <v>2</v>
      </c>
    </row>
    <row r="860" spans="1:14" x14ac:dyDescent="0.35">
      <c r="A860" s="3">
        <v>2017</v>
      </c>
      <c r="B860" s="2">
        <v>6</v>
      </c>
      <c r="C860" s="2" t="s">
        <v>28</v>
      </c>
      <c r="D860" s="2" t="s">
        <v>33</v>
      </c>
      <c r="E860" s="2" t="s">
        <v>16</v>
      </c>
      <c r="F860" s="2" t="s">
        <v>27</v>
      </c>
      <c r="G860" s="2">
        <v>61655</v>
      </c>
      <c r="H860" s="2">
        <v>1066</v>
      </c>
      <c r="I860" s="2">
        <v>246314</v>
      </c>
      <c r="J860" s="2">
        <v>310</v>
      </c>
      <c r="K860" s="2">
        <v>0.97</v>
      </c>
      <c r="L860" s="2">
        <v>6.29</v>
      </c>
      <c r="M860" s="2">
        <v>1.2</v>
      </c>
      <c r="N860" s="4">
        <v>8</v>
      </c>
    </row>
    <row r="861" spans="1:14" x14ac:dyDescent="0.35">
      <c r="A861" s="3">
        <v>2023</v>
      </c>
      <c r="B861" s="2">
        <v>12</v>
      </c>
      <c r="C861" s="2" t="s">
        <v>37</v>
      </c>
      <c r="D861" s="2" t="s">
        <v>26</v>
      </c>
      <c r="E861" s="2" t="s">
        <v>20</v>
      </c>
      <c r="F861" s="2" t="s">
        <v>20</v>
      </c>
      <c r="G861" s="2">
        <v>78601</v>
      </c>
      <c r="H861" s="2">
        <v>810</v>
      </c>
      <c r="I861" s="2">
        <v>488988</v>
      </c>
      <c r="J861" s="2">
        <v>235</v>
      </c>
      <c r="K861" s="2">
        <v>0.97</v>
      </c>
      <c r="L861" s="2">
        <v>6.29</v>
      </c>
      <c r="M861" s="2">
        <v>1.2</v>
      </c>
      <c r="N861" s="4">
        <v>9</v>
      </c>
    </row>
    <row r="862" spans="1:14" x14ac:dyDescent="0.35">
      <c r="A862" s="3">
        <v>2016</v>
      </c>
      <c r="B862" s="2">
        <v>3</v>
      </c>
      <c r="C862" s="2" t="s">
        <v>37</v>
      </c>
      <c r="D862" s="2" t="s">
        <v>15</v>
      </c>
      <c r="E862" s="2" t="s">
        <v>19</v>
      </c>
      <c r="F862" s="2" t="s">
        <v>27</v>
      </c>
      <c r="G862" s="2">
        <v>38114</v>
      </c>
      <c r="H862" s="2">
        <v>968</v>
      </c>
      <c r="I862" s="2">
        <v>486946</v>
      </c>
      <c r="J862" s="2">
        <v>246</v>
      </c>
      <c r="K862" s="2">
        <v>0.97</v>
      </c>
      <c r="L862" s="2">
        <v>6.29</v>
      </c>
      <c r="M862" s="2">
        <v>1.2</v>
      </c>
      <c r="N862" s="4">
        <v>2</v>
      </c>
    </row>
    <row r="863" spans="1:14" x14ac:dyDescent="0.35">
      <c r="A863" s="3">
        <v>2022</v>
      </c>
      <c r="B863" s="2">
        <v>2</v>
      </c>
      <c r="C863" s="2" t="s">
        <v>30</v>
      </c>
      <c r="D863" s="2" t="s">
        <v>26</v>
      </c>
      <c r="E863" s="2" t="s">
        <v>19</v>
      </c>
      <c r="F863" s="2" t="s">
        <v>27</v>
      </c>
      <c r="G863" s="2">
        <v>61502</v>
      </c>
      <c r="H863" s="2">
        <v>270</v>
      </c>
      <c r="I863" s="2">
        <v>210020</v>
      </c>
      <c r="J863" s="2">
        <v>35</v>
      </c>
      <c r="K863" s="2">
        <v>0.97</v>
      </c>
      <c r="L863" s="2">
        <v>6.29</v>
      </c>
      <c r="M863" s="2">
        <v>1.2</v>
      </c>
      <c r="N863" s="4">
        <v>6</v>
      </c>
    </row>
    <row r="864" spans="1:14" x14ac:dyDescent="0.35">
      <c r="A864" s="3">
        <v>2024</v>
      </c>
      <c r="B864" s="2">
        <v>8</v>
      </c>
      <c r="C864" s="2" t="s">
        <v>25</v>
      </c>
      <c r="D864" s="2" t="s">
        <v>33</v>
      </c>
      <c r="E864" s="2" t="s">
        <v>16</v>
      </c>
      <c r="F864" s="2" t="s">
        <v>20</v>
      </c>
      <c r="G864" s="2">
        <v>84768</v>
      </c>
      <c r="H864" s="2">
        <v>451</v>
      </c>
      <c r="I864" s="2">
        <v>257383</v>
      </c>
      <c r="J864" s="2">
        <v>130</v>
      </c>
      <c r="K864" s="2">
        <v>0.97</v>
      </c>
      <c r="L864" s="2">
        <v>6.29</v>
      </c>
      <c r="M864" s="2">
        <v>1.2</v>
      </c>
      <c r="N864" s="4">
        <v>6</v>
      </c>
    </row>
    <row r="865" spans="1:14" x14ac:dyDescent="0.35">
      <c r="A865" s="3">
        <v>2017</v>
      </c>
      <c r="B865" s="2">
        <v>5</v>
      </c>
      <c r="C865" s="2" t="s">
        <v>38</v>
      </c>
      <c r="D865" s="2" t="s">
        <v>15</v>
      </c>
      <c r="E865" s="2" t="s">
        <v>16</v>
      </c>
      <c r="F865" s="2" t="s">
        <v>27</v>
      </c>
      <c r="G865" s="2">
        <v>83128</v>
      </c>
      <c r="H865" s="2">
        <v>512</v>
      </c>
      <c r="I865" s="2">
        <v>119093</v>
      </c>
      <c r="J865" s="2">
        <v>191</v>
      </c>
      <c r="K865" s="2">
        <v>0.97</v>
      </c>
      <c r="L865" s="2">
        <v>6.29</v>
      </c>
      <c r="M865" s="2">
        <v>1.2</v>
      </c>
      <c r="N865" s="4">
        <v>8</v>
      </c>
    </row>
    <row r="866" spans="1:14" x14ac:dyDescent="0.35">
      <c r="A866" s="3">
        <v>2019</v>
      </c>
      <c r="B866" s="2">
        <v>1</v>
      </c>
      <c r="C866" s="2" t="s">
        <v>21</v>
      </c>
      <c r="D866" s="2" t="s">
        <v>24</v>
      </c>
      <c r="E866" s="2" t="s">
        <v>20</v>
      </c>
      <c r="F866" s="2" t="s">
        <v>20</v>
      </c>
      <c r="G866" s="2">
        <v>55028</v>
      </c>
      <c r="H866" s="2">
        <v>685</v>
      </c>
      <c r="I866" s="2">
        <v>119123</v>
      </c>
      <c r="J866" s="2">
        <v>208</v>
      </c>
      <c r="K866" s="2">
        <v>0.97</v>
      </c>
      <c r="L866" s="2">
        <v>6.29</v>
      </c>
      <c r="M866" s="2">
        <v>1.2</v>
      </c>
      <c r="N866" s="4">
        <v>10</v>
      </c>
    </row>
    <row r="867" spans="1:14" x14ac:dyDescent="0.35">
      <c r="A867" s="3">
        <v>2020</v>
      </c>
      <c r="B867" s="2">
        <v>3</v>
      </c>
      <c r="C867" s="2" t="s">
        <v>38</v>
      </c>
      <c r="D867" s="2" t="s">
        <v>34</v>
      </c>
      <c r="E867" s="2" t="s">
        <v>16</v>
      </c>
      <c r="F867" s="2" t="s">
        <v>27</v>
      </c>
      <c r="G867" s="2">
        <v>90565</v>
      </c>
      <c r="H867" s="2">
        <v>1051</v>
      </c>
      <c r="I867" s="2">
        <v>66535</v>
      </c>
      <c r="J867" s="2">
        <v>311</v>
      </c>
      <c r="K867" s="2">
        <v>0.97</v>
      </c>
      <c r="L867" s="2">
        <v>6.29</v>
      </c>
      <c r="M867" s="2">
        <v>1.2</v>
      </c>
      <c r="N867" s="4">
        <v>5</v>
      </c>
    </row>
    <row r="868" spans="1:14" x14ac:dyDescent="0.35">
      <c r="A868" s="3">
        <v>2024</v>
      </c>
      <c r="B868" s="2">
        <v>10</v>
      </c>
      <c r="C868" s="2" t="s">
        <v>32</v>
      </c>
      <c r="D868" s="2" t="s">
        <v>29</v>
      </c>
      <c r="E868" s="2" t="s">
        <v>20</v>
      </c>
      <c r="F868" s="2" t="s">
        <v>20</v>
      </c>
      <c r="G868" s="2">
        <v>118123</v>
      </c>
      <c r="H868" s="2">
        <v>912</v>
      </c>
      <c r="I868" s="2">
        <v>378634</v>
      </c>
      <c r="J868" s="2">
        <v>264</v>
      </c>
      <c r="K868" s="2">
        <v>0.97</v>
      </c>
      <c r="L868" s="2">
        <v>6.29</v>
      </c>
      <c r="M868" s="2">
        <v>1.2</v>
      </c>
      <c r="N868" s="4">
        <v>9</v>
      </c>
    </row>
    <row r="869" spans="1:14" x14ac:dyDescent="0.35">
      <c r="A869" s="3">
        <v>2020</v>
      </c>
      <c r="B869" s="2">
        <v>8</v>
      </c>
      <c r="C869" s="2" t="s">
        <v>32</v>
      </c>
      <c r="D869" s="2" t="s">
        <v>39</v>
      </c>
      <c r="E869" s="2" t="s">
        <v>19</v>
      </c>
      <c r="F869" s="2" t="s">
        <v>27</v>
      </c>
      <c r="G869" s="2">
        <v>70333</v>
      </c>
      <c r="H869" s="2">
        <v>376</v>
      </c>
      <c r="I869" s="2">
        <v>96562</v>
      </c>
      <c r="J869" s="2">
        <v>131</v>
      </c>
      <c r="K869" s="2">
        <v>0.97</v>
      </c>
      <c r="L869" s="2">
        <v>6.29</v>
      </c>
      <c r="M869" s="2">
        <v>1.2</v>
      </c>
      <c r="N869" s="4">
        <v>1</v>
      </c>
    </row>
    <row r="870" spans="1:14" x14ac:dyDescent="0.35">
      <c r="A870" s="3">
        <v>2018</v>
      </c>
      <c r="B870" s="2">
        <v>4</v>
      </c>
      <c r="C870" s="2" t="s">
        <v>36</v>
      </c>
      <c r="D870" s="2" t="s">
        <v>22</v>
      </c>
      <c r="E870" s="2" t="s">
        <v>19</v>
      </c>
      <c r="F870" s="2" t="s">
        <v>20</v>
      </c>
      <c r="G870" s="2">
        <v>38174</v>
      </c>
      <c r="H870" s="2">
        <v>420</v>
      </c>
      <c r="I870" s="2">
        <v>431186</v>
      </c>
      <c r="J870" s="2">
        <v>40</v>
      </c>
      <c r="K870" s="2">
        <v>0.97</v>
      </c>
      <c r="L870" s="2">
        <v>6.29</v>
      </c>
      <c r="M870" s="2">
        <v>1.2</v>
      </c>
      <c r="N870" s="4">
        <v>9</v>
      </c>
    </row>
    <row r="871" spans="1:14" x14ac:dyDescent="0.35">
      <c r="A871" s="3">
        <v>2017</v>
      </c>
      <c r="B871" s="2">
        <v>7</v>
      </c>
      <c r="C871" s="2" t="s">
        <v>28</v>
      </c>
      <c r="D871" s="2" t="s">
        <v>34</v>
      </c>
      <c r="E871" s="2" t="s">
        <v>20</v>
      </c>
      <c r="F871" s="2" t="s">
        <v>17</v>
      </c>
      <c r="G871" s="2">
        <v>70398</v>
      </c>
      <c r="H871" s="2">
        <v>951</v>
      </c>
      <c r="I871" s="2">
        <v>306323</v>
      </c>
      <c r="J871" s="2">
        <v>324</v>
      </c>
      <c r="K871" s="2">
        <v>0.97</v>
      </c>
      <c r="L871" s="2">
        <v>6.29</v>
      </c>
      <c r="M871" s="2">
        <v>1.2</v>
      </c>
      <c r="N871" s="4">
        <v>10</v>
      </c>
    </row>
    <row r="872" spans="1:14" x14ac:dyDescent="0.35">
      <c r="A872" s="3">
        <v>2018</v>
      </c>
      <c r="B872" s="2">
        <v>10</v>
      </c>
      <c r="C872" s="2" t="s">
        <v>37</v>
      </c>
      <c r="D872" s="2" t="s">
        <v>24</v>
      </c>
      <c r="E872" s="2" t="s">
        <v>16</v>
      </c>
      <c r="F872" s="2" t="s">
        <v>20</v>
      </c>
      <c r="G872" s="2">
        <v>70929</v>
      </c>
      <c r="H872" s="2">
        <v>869</v>
      </c>
      <c r="I872" s="2">
        <v>401224</v>
      </c>
      <c r="J872" s="2">
        <v>294</v>
      </c>
      <c r="K872" s="2">
        <v>0.97</v>
      </c>
      <c r="L872" s="2">
        <v>6.29</v>
      </c>
      <c r="M872" s="2">
        <v>1.2</v>
      </c>
      <c r="N872" s="4">
        <v>7</v>
      </c>
    </row>
    <row r="873" spans="1:14" x14ac:dyDescent="0.35">
      <c r="A873" s="3">
        <v>2015</v>
      </c>
      <c r="B873" s="2">
        <v>12</v>
      </c>
      <c r="C873" s="2" t="s">
        <v>35</v>
      </c>
      <c r="D873" s="2" t="s">
        <v>33</v>
      </c>
      <c r="E873" s="2" t="s">
        <v>20</v>
      </c>
      <c r="F873" s="2" t="s">
        <v>27</v>
      </c>
      <c r="G873" s="2">
        <v>39321</v>
      </c>
      <c r="H873" s="2">
        <v>367</v>
      </c>
      <c r="I873" s="2">
        <v>308916</v>
      </c>
      <c r="J873" s="2">
        <v>115</v>
      </c>
      <c r="K873" s="2">
        <v>0.97</v>
      </c>
      <c r="L873" s="2">
        <v>6.29</v>
      </c>
      <c r="M873" s="2">
        <v>1.2</v>
      </c>
      <c r="N873" s="4">
        <v>4</v>
      </c>
    </row>
    <row r="874" spans="1:14" x14ac:dyDescent="0.35">
      <c r="A874" s="3">
        <v>2018</v>
      </c>
      <c r="B874" s="2">
        <v>2</v>
      </c>
      <c r="C874" s="2" t="s">
        <v>38</v>
      </c>
      <c r="D874" s="2" t="s">
        <v>24</v>
      </c>
      <c r="E874" s="2" t="s">
        <v>16</v>
      </c>
      <c r="F874" s="2" t="s">
        <v>27</v>
      </c>
      <c r="G874" s="2">
        <v>90421</v>
      </c>
      <c r="H874" s="2">
        <v>591</v>
      </c>
      <c r="I874" s="2">
        <v>239607</v>
      </c>
      <c r="J874" s="2">
        <v>233</v>
      </c>
      <c r="K874" s="2">
        <v>0.97</v>
      </c>
      <c r="L874" s="2">
        <v>6.29</v>
      </c>
      <c r="M874" s="2">
        <v>1.2</v>
      </c>
      <c r="N874" s="4">
        <v>3</v>
      </c>
    </row>
    <row r="875" spans="1:14" x14ac:dyDescent="0.35">
      <c r="A875" s="3">
        <v>2015</v>
      </c>
      <c r="B875" s="2">
        <v>7</v>
      </c>
      <c r="C875" s="2" t="s">
        <v>32</v>
      </c>
      <c r="D875" s="2" t="s">
        <v>26</v>
      </c>
      <c r="E875" s="2" t="s">
        <v>19</v>
      </c>
      <c r="F875" s="2" t="s">
        <v>23</v>
      </c>
      <c r="G875" s="2">
        <v>107635</v>
      </c>
      <c r="H875" s="2">
        <v>662</v>
      </c>
      <c r="I875" s="2">
        <v>280063</v>
      </c>
      <c r="J875" s="2">
        <v>282</v>
      </c>
      <c r="K875" s="2">
        <v>0.97</v>
      </c>
      <c r="L875" s="2">
        <v>6.29</v>
      </c>
      <c r="M875" s="2">
        <v>1.2</v>
      </c>
      <c r="N875" s="4">
        <v>10</v>
      </c>
    </row>
    <row r="876" spans="1:14" x14ac:dyDescent="0.35">
      <c r="A876" s="3">
        <v>2015</v>
      </c>
      <c r="B876" s="2">
        <v>5</v>
      </c>
      <c r="C876" s="2" t="s">
        <v>25</v>
      </c>
      <c r="D876" s="2" t="s">
        <v>15</v>
      </c>
      <c r="E876" s="2" t="s">
        <v>16</v>
      </c>
      <c r="F876" s="2" t="s">
        <v>20</v>
      </c>
      <c r="G876" s="2">
        <v>58760</v>
      </c>
      <c r="H876" s="2">
        <v>916</v>
      </c>
      <c r="I876" s="2">
        <v>91269</v>
      </c>
      <c r="J876" s="2">
        <v>241</v>
      </c>
      <c r="K876" s="2">
        <v>0.97</v>
      </c>
      <c r="L876" s="2">
        <v>6.29</v>
      </c>
      <c r="M876" s="2">
        <v>1.2</v>
      </c>
      <c r="N876" s="4">
        <v>6</v>
      </c>
    </row>
    <row r="877" spans="1:14" x14ac:dyDescent="0.35">
      <c r="A877" s="3">
        <v>2024</v>
      </c>
      <c r="B877" s="2">
        <v>5</v>
      </c>
      <c r="C877" s="2" t="s">
        <v>30</v>
      </c>
      <c r="D877" s="2" t="s">
        <v>29</v>
      </c>
      <c r="E877" s="2" t="s">
        <v>20</v>
      </c>
      <c r="F877" s="2" t="s">
        <v>17</v>
      </c>
      <c r="G877" s="2">
        <v>46360</v>
      </c>
      <c r="H877" s="2">
        <v>695</v>
      </c>
      <c r="I877" s="2">
        <v>130674</v>
      </c>
      <c r="J877" s="2">
        <v>265</v>
      </c>
      <c r="K877" s="2">
        <v>0.97</v>
      </c>
      <c r="L877" s="2">
        <v>6.29</v>
      </c>
      <c r="M877" s="2">
        <v>1.2</v>
      </c>
      <c r="N877" s="4">
        <v>1</v>
      </c>
    </row>
    <row r="878" spans="1:14" x14ac:dyDescent="0.35">
      <c r="A878" s="3">
        <v>2020</v>
      </c>
      <c r="B878" s="2">
        <v>6</v>
      </c>
      <c r="C878" s="2" t="s">
        <v>21</v>
      </c>
      <c r="D878" s="2" t="s">
        <v>18</v>
      </c>
      <c r="E878" s="2" t="s">
        <v>20</v>
      </c>
      <c r="F878" s="2" t="s">
        <v>20</v>
      </c>
      <c r="G878" s="2">
        <v>45313</v>
      </c>
      <c r="H878" s="2">
        <v>530</v>
      </c>
      <c r="I878" s="2">
        <v>354606</v>
      </c>
      <c r="J878" s="2">
        <v>33</v>
      </c>
      <c r="K878" s="2">
        <v>0.97</v>
      </c>
      <c r="L878" s="2">
        <v>6.29</v>
      </c>
      <c r="M878" s="2">
        <v>1.2</v>
      </c>
      <c r="N878" s="4">
        <v>3</v>
      </c>
    </row>
    <row r="879" spans="1:14" x14ac:dyDescent="0.35">
      <c r="A879" s="3">
        <v>2019</v>
      </c>
      <c r="B879" s="2">
        <v>9</v>
      </c>
      <c r="C879" s="2" t="s">
        <v>28</v>
      </c>
      <c r="D879" s="2" t="s">
        <v>26</v>
      </c>
      <c r="E879" s="2" t="s">
        <v>19</v>
      </c>
      <c r="F879" s="2" t="s">
        <v>20</v>
      </c>
      <c r="G879" s="2">
        <v>40801</v>
      </c>
      <c r="H879" s="2">
        <v>716</v>
      </c>
      <c r="I879" s="2">
        <v>446343</v>
      </c>
      <c r="J879" s="2">
        <v>118</v>
      </c>
      <c r="K879" s="2">
        <v>0.97</v>
      </c>
      <c r="L879" s="2">
        <v>6.29</v>
      </c>
      <c r="M879" s="2">
        <v>1.2</v>
      </c>
      <c r="N879" s="4">
        <v>2</v>
      </c>
    </row>
    <row r="880" spans="1:14" x14ac:dyDescent="0.35">
      <c r="A880" s="3">
        <v>2018</v>
      </c>
      <c r="B880" s="2">
        <v>6</v>
      </c>
      <c r="C880" s="2" t="s">
        <v>25</v>
      </c>
      <c r="D880" s="2" t="s">
        <v>34</v>
      </c>
      <c r="E880" s="2" t="s">
        <v>16</v>
      </c>
      <c r="F880" s="2" t="s">
        <v>17</v>
      </c>
      <c r="G880" s="2">
        <v>49130</v>
      </c>
      <c r="H880" s="2">
        <v>533</v>
      </c>
      <c r="I880" s="2">
        <v>335291</v>
      </c>
      <c r="J880" s="2">
        <v>200</v>
      </c>
      <c r="K880" s="2">
        <v>0.97</v>
      </c>
      <c r="L880" s="2">
        <v>6.29</v>
      </c>
      <c r="M880" s="2">
        <v>1.2</v>
      </c>
      <c r="N880" s="4">
        <v>9</v>
      </c>
    </row>
    <row r="881" spans="1:14" x14ac:dyDescent="0.35">
      <c r="A881" s="3">
        <v>2017</v>
      </c>
      <c r="B881" s="2">
        <v>12</v>
      </c>
      <c r="C881" s="2" t="s">
        <v>28</v>
      </c>
      <c r="D881" s="2" t="s">
        <v>26</v>
      </c>
      <c r="E881" s="2" t="s">
        <v>16</v>
      </c>
      <c r="F881" s="2" t="s">
        <v>20</v>
      </c>
      <c r="G881" s="2">
        <v>49271</v>
      </c>
      <c r="H881" s="2">
        <v>967</v>
      </c>
      <c r="I881" s="2">
        <v>488744</v>
      </c>
      <c r="J881" s="2">
        <v>356</v>
      </c>
      <c r="K881" s="2">
        <v>0.97</v>
      </c>
      <c r="L881" s="2">
        <v>6.29</v>
      </c>
      <c r="M881" s="2">
        <v>1.2</v>
      </c>
      <c r="N881" s="4">
        <v>3</v>
      </c>
    </row>
    <row r="882" spans="1:14" x14ac:dyDescent="0.35">
      <c r="A882" s="3">
        <v>2015</v>
      </c>
      <c r="B882" s="2">
        <v>8</v>
      </c>
      <c r="C882" s="2" t="s">
        <v>36</v>
      </c>
      <c r="D882" s="2" t="s">
        <v>34</v>
      </c>
      <c r="E882" s="2" t="s">
        <v>16</v>
      </c>
      <c r="F882" s="2" t="s">
        <v>17</v>
      </c>
      <c r="G882" s="2">
        <v>51075</v>
      </c>
      <c r="H882" s="2">
        <v>388</v>
      </c>
      <c r="I882" s="2">
        <v>127095</v>
      </c>
      <c r="J882" s="2">
        <v>34</v>
      </c>
      <c r="K882" s="2">
        <v>0.97</v>
      </c>
      <c r="L882" s="2">
        <v>6.29</v>
      </c>
      <c r="M882" s="2">
        <v>1.2</v>
      </c>
      <c r="N882" s="4">
        <v>2</v>
      </c>
    </row>
    <row r="883" spans="1:14" x14ac:dyDescent="0.35">
      <c r="A883" s="3">
        <v>2020</v>
      </c>
      <c r="B883" s="2">
        <v>7</v>
      </c>
      <c r="C883" s="2" t="s">
        <v>35</v>
      </c>
      <c r="D883" s="2" t="s">
        <v>18</v>
      </c>
      <c r="E883" s="2" t="s">
        <v>19</v>
      </c>
      <c r="F883" s="2" t="s">
        <v>17</v>
      </c>
      <c r="G883" s="2">
        <v>53984</v>
      </c>
      <c r="H883" s="2">
        <v>545</v>
      </c>
      <c r="I883" s="2">
        <v>294172</v>
      </c>
      <c r="J883" s="2">
        <v>196</v>
      </c>
      <c r="K883" s="2">
        <v>0.97</v>
      </c>
      <c r="L883" s="2">
        <v>6.29</v>
      </c>
      <c r="M883" s="2">
        <v>1.2</v>
      </c>
      <c r="N883" s="4">
        <v>4</v>
      </c>
    </row>
    <row r="884" spans="1:14" x14ac:dyDescent="0.35">
      <c r="A884" s="3">
        <v>2016</v>
      </c>
      <c r="B884" s="2">
        <v>9</v>
      </c>
      <c r="C884" s="2" t="s">
        <v>32</v>
      </c>
      <c r="D884" s="2" t="s">
        <v>31</v>
      </c>
      <c r="E884" s="2" t="s">
        <v>16</v>
      </c>
      <c r="F884" s="2" t="s">
        <v>20</v>
      </c>
      <c r="G884" s="2">
        <v>95942</v>
      </c>
      <c r="H884" s="2">
        <v>892</v>
      </c>
      <c r="I884" s="2">
        <v>250003</v>
      </c>
      <c r="J884" s="2">
        <v>297</v>
      </c>
      <c r="K884" s="2">
        <v>0.97</v>
      </c>
      <c r="L884" s="2">
        <v>6.29</v>
      </c>
      <c r="M884" s="2">
        <v>1.2</v>
      </c>
      <c r="N884" s="4">
        <v>2</v>
      </c>
    </row>
    <row r="885" spans="1:14" x14ac:dyDescent="0.35">
      <c r="A885" s="3">
        <v>2022</v>
      </c>
      <c r="B885" s="2">
        <v>4</v>
      </c>
      <c r="C885" s="2" t="s">
        <v>30</v>
      </c>
      <c r="D885" s="2" t="s">
        <v>29</v>
      </c>
      <c r="E885" s="2" t="s">
        <v>20</v>
      </c>
      <c r="F885" s="2" t="s">
        <v>20</v>
      </c>
      <c r="G885" s="2">
        <v>47861</v>
      </c>
      <c r="H885" s="2">
        <v>669</v>
      </c>
      <c r="I885" s="2">
        <v>140925</v>
      </c>
      <c r="J885" s="2">
        <v>125</v>
      </c>
      <c r="K885" s="2">
        <v>0.97</v>
      </c>
      <c r="L885" s="2">
        <v>6.29</v>
      </c>
      <c r="M885" s="2">
        <v>1.2</v>
      </c>
      <c r="N885" s="4">
        <v>1</v>
      </c>
    </row>
    <row r="886" spans="1:14" x14ac:dyDescent="0.35">
      <c r="A886" s="3">
        <v>2024</v>
      </c>
      <c r="B886" s="2">
        <v>2</v>
      </c>
      <c r="C886" s="2" t="s">
        <v>25</v>
      </c>
      <c r="D886" s="2" t="s">
        <v>39</v>
      </c>
      <c r="E886" s="2" t="s">
        <v>16</v>
      </c>
      <c r="F886" s="2" t="s">
        <v>27</v>
      </c>
      <c r="G886" s="2">
        <v>117203</v>
      </c>
      <c r="H886" s="2">
        <v>926</v>
      </c>
      <c r="I886" s="2">
        <v>116381</v>
      </c>
      <c r="J886" s="2">
        <v>347</v>
      </c>
      <c r="K886" s="2">
        <v>0.97</v>
      </c>
      <c r="L886" s="2">
        <v>6.29</v>
      </c>
      <c r="M886" s="2">
        <v>1.2</v>
      </c>
      <c r="N886" s="4">
        <v>6</v>
      </c>
    </row>
    <row r="887" spans="1:14" x14ac:dyDescent="0.35">
      <c r="A887" s="3">
        <v>2019</v>
      </c>
      <c r="B887" s="2">
        <v>7</v>
      </c>
      <c r="C887" s="2" t="s">
        <v>28</v>
      </c>
      <c r="D887" s="2" t="s">
        <v>39</v>
      </c>
      <c r="E887" s="2" t="s">
        <v>19</v>
      </c>
      <c r="F887" s="2" t="s">
        <v>27</v>
      </c>
      <c r="G887" s="2">
        <v>106376</v>
      </c>
      <c r="H887" s="2">
        <v>749</v>
      </c>
      <c r="I887" s="2">
        <v>149468</v>
      </c>
      <c r="J887" s="2">
        <v>375</v>
      </c>
      <c r="K887" s="2">
        <v>0.97</v>
      </c>
      <c r="L887" s="2">
        <v>6.29</v>
      </c>
      <c r="M887" s="2">
        <v>1.2</v>
      </c>
      <c r="N887" s="4">
        <v>10</v>
      </c>
    </row>
    <row r="888" spans="1:14" x14ac:dyDescent="0.35">
      <c r="A888" s="3">
        <v>2021</v>
      </c>
      <c r="B888" s="2">
        <v>6</v>
      </c>
      <c r="C888" s="2" t="s">
        <v>37</v>
      </c>
      <c r="D888" s="2" t="s">
        <v>22</v>
      </c>
      <c r="E888" s="2" t="s">
        <v>16</v>
      </c>
      <c r="F888" s="2" t="s">
        <v>23</v>
      </c>
      <c r="G888" s="2">
        <v>96247</v>
      </c>
      <c r="H888" s="2">
        <v>136</v>
      </c>
      <c r="I888" s="2">
        <v>292330</v>
      </c>
      <c r="J888" s="2">
        <v>46</v>
      </c>
      <c r="K888" s="2">
        <v>0.97</v>
      </c>
      <c r="L888" s="2">
        <v>6.29</v>
      </c>
      <c r="M888" s="2">
        <v>1.2</v>
      </c>
      <c r="N888" s="4">
        <v>8</v>
      </c>
    </row>
    <row r="889" spans="1:14" x14ac:dyDescent="0.35">
      <c r="A889" s="3">
        <v>2024</v>
      </c>
      <c r="B889" s="2">
        <v>1</v>
      </c>
      <c r="C889" s="2" t="s">
        <v>36</v>
      </c>
      <c r="D889" s="2" t="s">
        <v>24</v>
      </c>
      <c r="E889" s="2" t="s">
        <v>16</v>
      </c>
      <c r="F889" s="2" t="s">
        <v>23</v>
      </c>
      <c r="G889" s="2">
        <v>104101</v>
      </c>
      <c r="H889" s="2">
        <v>727</v>
      </c>
      <c r="I889" s="2">
        <v>375893</v>
      </c>
      <c r="J889" s="2">
        <v>291</v>
      </c>
      <c r="K889" s="2">
        <v>0.97</v>
      </c>
      <c r="L889" s="2">
        <v>6.29</v>
      </c>
      <c r="M889" s="2">
        <v>1.2</v>
      </c>
      <c r="N889" s="4">
        <v>10</v>
      </c>
    </row>
    <row r="890" spans="1:14" x14ac:dyDescent="0.35">
      <c r="A890" s="3">
        <v>2016</v>
      </c>
      <c r="B890" s="2">
        <v>11</v>
      </c>
      <c r="C890" s="2" t="s">
        <v>37</v>
      </c>
      <c r="D890" s="2" t="s">
        <v>31</v>
      </c>
      <c r="E890" s="2" t="s">
        <v>20</v>
      </c>
      <c r="F890" s="2" t="s">
        <v>20</v>
      </c>
      <c r="G890" s="2">
        <v>55977</v>
      </c>
      <c r="H890" s="2">
        <v>600</v>
      </c>
      <c r="I890" s="2">
        <v>481888</v>
      </c>
      <c r="J890" s="2">
        <v>146</v>
      </c>
      <c r="K890" s="2">
        <v>0.97</v>
      </c>
      <c r="L890" s="2">
        <v>6.29</v>
      </c>
      <c r="M890" s="2">
        <v>1.2</v>
      </c>
      <c r="N890" s="4">
        <v>10</v>
      </c>
    </row>
    <row r="891" spans="1:14" x14ac:dyDescent="0.35">
      <c r="A891" s="3">
        <v>2022</v>
      </c>
      <c r="B891" s="2">
        <v>9</v>
      </c>
      <c r="C891" s="2" t="s">
        <v>30</v>
      </c>
      <c r="D891" s="2" t="s">
        <v>39</v>
      </c>
      <c r="E891" s="2" t="s">
        <v>16</v>
      </c>
      <c r="F891" s="2" t="s">
        <v>17</v>
      </c>
      <c r="G891" s="2">
        <v>85617</v>
      </c>
      <c r="H891" s="2">
        <v>674</v>
      </c>
      <c r="I891" s="2">
        <v>63731</v>
      </c>
      <c r="J891" s="2">
        <v>236</v>
      </c>
      <c r="K891" s="2">
        <v>0.97</v>
      </c>
      <c r="L891" s="2">
        <v>6.29</v>
      </c>
      <c r="M891" s="2">
        <v>1.2</v>
      </c>
      <c r="N891" s="4">
        <v>2</v>
      </c>
    </row>
    <row r="892" spans="1:14" x14ac:dyDescent="0.35">
      <c r="A892" s="3">
        <v>2016</v>
      </c>
      <c r="B892" s="2">
        <v>9</v>
      </c>
      <c r="C892" s="2" t="s">
        <v>25</v>
      </c>
      <c r="D892" s="2" t="s">
        <v>26</v>
      </c>
      <c r="E892" s="2" t="s">
        <v>20</v>
      </c>
      <c r="F892" s="2" t="s">
        <v>23</v>
      </c>
      <c r="G892" s="2">
        <v>92473</v>
      </c>
      <c r="H892" s="2">
        <v>935</v>
      </c>
      <c r="I892" s="2">
        <v>436791</v>
      </c>
      <c r="J892" s="2">
        <v>329</v>
      </c>
      <c r="K892" s="2">
        <v>0.97</v>
      </c>
      <c r="L892" s="2">
        <v>6.29</v>
      </c>
      <c r="M892" s="2">
        <v>1.2</v>
      </c>
      <c r="N892" s="4">
        <v>9</v>
      </c>
    </row>
    <row r="893" spans="1:14" x14ac:dyDescent="0.35">
      <c r="A893" s="3">
        <v>2018</v>
      </c>
      <c r="B893" s="2">
        <v>12</v>
      </c>
      <c r="C893" s="2" t="s">
        <v>36</v>
      </c>
      <c r="D893" s="2" t="s">
        <v>24</v>
      </c>
      <c r="E893" s="2" t="s">
        <v>20</v>
      </c>
      <c r="F893" s="2" t="s">
        <v>20</v>
      </c>
      <c r="G893" s="2">
        <v>107902</v>
      </c>
      <c r="H893" s="2">
        <v>719</v>
      </c>
      <c r="I893" s="2">
        <v>497728</v>
      </c>
      <c r="J893" s="2">
        <v>337</v>
      </c>
      <c r="K893" s="2">
        <v>0.97</v>
      </c>
      <c r="L893" s="2">
        <v>6.29</v>
      </c>
      <c r="M893" s="2">
        <v>1.2</v>
      </c>
      <c r="N893" s="4">
        <v>3</v>
      </c>
    </row>
    <row r="894" spans="1:14" x14ac:dyDescent="0.35">
      <c r="A894" s="3">
        <v>2015</v>
      </c>
      <c r="B894" s="2">
        <v>2</v>
      </c>
      <c r="C894" s="2" t="s">
        <v>25</v>
      </c>
      <c r="D894" s="2" t="s">
        <v>31</v>
      </c>
      <c r="E894" s="2" t="s">
        <v>19</v>
      </c>
      <c r="F894" s="2" t="s">
        <v>23</v>
      </c>
      <c r="G894" s="2">
        <v>50630</v>
      </c>
      <c r="H894" s="2">
        <v>780</v>
      </c>
      <c r="I894" s="2">
        <v>101024</v>
      </c>
      <c r="J894" s="2">
        <v>191</v>
      </c>
      <c r="K894" s="2">
        <v>0.97</v>
      </c>
      <c r="L894" s="2">
        <v>6.29</v>
      </c>
      <c r="M894" s="2">
        <v>1.2</v>
      </c>
      <c r="N894" s="4">
        <v>8</v>
      </c>
    </row>
    <row r="895" spans="1:14" x14ac:dyDescent="0.35">
      <c r="A895" s="3">
        <v>2019</v>
      </c>
      <c r="B895" s="2">
        <v>3</v>
      </c>
      <c r="C895" s="2" t="s">
        <v>32</v>
      </c>
      <c r="D895" s="2" t="s">
        <v>15</v>
      </c>
      <c r="E895" s="2" t="s">
        <v>20</v>
      </c>
      <c r="F895" s="2" t="s">
        <v>17</v>
      </c>
      <c r="G895" s="2">
        <v>55056</v>
      </c>
      <c r="H895" s="2">
        <v>913</v>
      </c>
      <c r="I895" s="2">
        <v>166712</v>
      </c>
      <c r="J895" s="2">
        <v>371</v>
      </c>
      <c r="K895" s="2">
        <v>0.97</v>
      </c>
      <c r="L895" s="2">
        <v>6.29</v>
      </c>
      <c r="M895" s="2">
        <v>1.2</v>
      </c>
      <c r="N895" s="4">
        <v>8</v>
      </c>
    </row>
    <row r="896" spans="1:14" x14ac:dyDescent="0.35">
      <c r="A896" s="3">
        <v>2023</v>
      </c>
      <c r="B896" s="2">
        <v>5</v>
      </c>
      <c r="C896" s="2" t="s">
        <v>14</v>
      </c>
      <c r="D896" s="2" t="s">
        <v>15</v>
      </c>
      <c r="E896" s="2" t="s">
        <v>20</v>
      </c>
      <c r="F896" s="2" t="s">
        <v>20</v>
      </c>
      <c r="G896" s="2">
        <v>42382</v>
      </c>
      <c r="H896" s="2">
        <v>465</v>
      </c>
      <c r="I896" s="2">
        <v>151121</v>
      </c>
      <c r="J896" s="2">
        <v>95</v>
      </c>
      <c r="K896" s="2">
        <v>0.97</v>
      </c>
      <c r="L896" s="2">
        <v>6.29</v>
      </c>
      <c r="M896" s="2">
        <v>1.2</v>
      </c>
      <c r="N896" s="4">
        <v>3</v>
      </c>
    </row>
    <row r="897" spans="1:14" x14ac:dyDescent="0.35">
      <c r="A897" s="3">
        <v>2015</v>
      </c>
      <c r="B897" s="2">
        <v>5</v>
      </c>
      <c r="C897" s="2" t="s">
        <v>36</v>
      </c>
      <c r="D897" s="2" t="s">
        <v>24</v>
      </c>
      <c r="E897" s="2" t="s">
        <v>19</v>
      </c>
      <c r="F897" s="2" t="s">
        <v>17</v>
      </c>
      <c r="G897" s="2">
        <v>90739</v>
      </c>
      <c r="H897" s="2">
        <v>527</v>
      </c>
      <c r="I897" s="2">
        <v>315976</v>
      </c>
      <c r="J897" s="2">
        <v>62</v>
      </c>
      <c r="K897" s="2">
        <v>0.97</v>
      </c>
      <c r="L897" s="2">
        <v>6.29</v>
      </c>
      <c r="M897" s="2">
        <v>1.2</v>
      </c>
      <c r="N897" s="4">
        <v>3</v>
      </c>
    </row>
    <row r="898" spans="1:14" x14ac:dyDescent="0.35">
      <c r="A898" s="3">
        <v>2023</v>
      </c>
      <c r="B898" s="2">
        <v>1</v>
      </c>
      <c r="C898" s="2" t="s">
        <v>37</v>
      </c>
      <c r="D898" s="2" t="s">
        <v>34</v>
      </c>
      <c r="E898" s="2" t="s">
        <v>20</v>
      </c>
      <c r="F898" s="2" t="s">
        <v>20</v>
      </c>
      <c r="G898" s="2">
        <v>116685</v>
      </c>
      <c r="H898" s="2">
        <v>900</v>
      </c>
      <c r="I898" s="2">
        <v>82332</v>
      </c>
      <c r="J898" s="2">
        <v>357</v>
      </c>
      <c r="K898" s="2">
        <v>0.97</v>
      </c>
      <c r="L898" s="2">
        <v>6.29</v>
      </c>
      <c r="M898" s="2">
        <v>1.2</v>
      </c>
      <c r="N898" s="4">
        <v>6</v>
      </c>
    </row>
    <row r="899" spans="1:14" x14ac:dyDescent="0.35">
      <c r="A899" s="3">
        <v>2022</v>
      </c>
      <c r="B899" s="2">
        <v>8</v>
      </c>
      <c r="C899" s="2" t="s">
        <v>30</v>
      </c>
      <c r="D899" s="2" t="s">
        <v>34</v>
      </c>
      <c r="E899" s="2" t="s">
        <v>19</v>
      </c>
      <c r="F899" s="2" t="s">
        <v>23</v>
      </c>
      <c r="G899" s="2">
        <v>83639</v>
      </c>
      <c r="H899" s="2">
        <v>823</v>
      </c>
      <c r="I899" s="2">
        <v>62467</v>
      </c>
      <c r="J899" s="2">
        <v>364</v>
      </c>
      <c r="K899" s="2">
        <v>0.97</v>
      </c>
      <c r="L899" s="2">
        <v>6.29</v>
      </c>
      <c r="M899" s="2">
        <v>1.2</v>
      </c>
      <c r="N899" s="4">
        <v>1</v>
      </c>
    </row>
    <row r="900" spans="1:14" x14ac:dyDescent="0.35">
      <c r="A900" s="3">
        <v>2020</v>
      </c>
      <c r="B900" s="2">
        <v>12</v>
      </c>
      <c r="C900" s="2" t="s">
        <v>35</v>
      </c>
      <c r="D900" s="2" t="s">
        <v>26</v>
      </c>
      <c r="E900" s="2" t="s">
        <v>16</v>
      </c>
      <c r="F900" s="2" t="s">
        <v>27</v>
      </c>
      <c r="G900" s="2">
        <v>94838</v>
      </c>
      <c r="H900" s="2">
        <v>560</v>
      </c>
      <c r="I900" s="2">
        <v>91025</v>
      </c>
      <c r="J900" s="2">
        <v>244</v>
      </c>
      <c r="K900" s="2">
        <v>0.97</v>
      </c>
      <c r="L900" s="2">
        <v>6.29</v>
      </c>
      <c r="M900" s="2">
        <v>1.2</v>
      </c>
      <c r="N900" s="4">
        <v>4</v>
      </c>
    </row>
    <row r="901" spans="1:14" x14ac:dyDescent="0.35">
      <c r="A901" s="3">
        <v>2021</v>
      </c>
      <c r="B901" s="2">
        <v>8</v>
      </c>
      <c r="C901" s="2" t="s">
        <v>32</v>
      </c>
      <c r="D901" s="2" t="s">
        <v>31</v>
      </c>
      <c r="E901" s="2" t="s">
        <v>19</v>
      </c>
      <c r="F901" s="2" t="s">
        <v>23</v>
      </c>
      <c r="G901" s="2">
        <v>81041</v>
      </c>
      <c r="H901" s="2">
        <v>636</v>
      </c>
      <c r="I901" s="2">
        <v>194179</v>
      </c>
      <c r="J901" s="2">
        <v>276</v>
      </c>
      <c r="K901" s="2">
        <v>0.97</v>
      </c>
      <c r="L901" s="2">
        <v>6.29</v>
      </c>
      <c r="M901" s="2">
        <v>1.2</v>
      </c>
      <c r="N901" s="4">
        <v>1</v>
      </c>
    </row>
    <row r="902" spans="1:14" x14ac:dyDescent="0.35">
      <c r="A902" s="3">
        <v>2017</v>
      </c>
      <c r="B902" s="2">
        <v>4</v>
      </c>
      <c r="C902" s="2" t="s">
        <v>14</v>
      </c>
      <c r="D902" s="2" t="s">
        <v>31</v>
      </c>
      <c r="E902" s="2" t="s">
        <v>20</v>
      </c>
      <c r="F902" s="2" t="s">
        <v>23</v>
      </c>
      <c r="G902" s="2">
        <v>35992</v>
      </c>
      <c r="H902" s="2">
        <v>907</v>
      </c>
      <c r="I902" s="2">
        <v>127994</v>
      </c>
      <c r="J902" s="2">
        <v>296</v>
      </c>
      <c r="K902" s="2">
        <v>0.97</v>
      </c>
      <c r="L902" s="2">
        <v>6.29</v>
      </c>
      <c r="M902" s="2">
        <v>1.2</v>
      </c>
      <c r="N902" s="4">
        <v>3</v>
      </c>
    </row>
    <row r="903" spans="1:14" x14ac:dyDescent="0.35">
      <c r="A903" s="3">
        <v>2015</v>
      </c>
      <c r="B903" s="2">
        <v>7</v>
      </c>
      <c r="C903" s="2" t="s">
        <v>35</v>
      </c>
      <c r="D903" s="2" t="s">
        <v>24</v>
      </c>
      <c r="E903" s="2" t="s">
        <v>19</v>
      </c>
      <c r="F903" s="2" t="s">
        <v>27</v>
      </c>
      <c r="G903" s="2">
        <v>107394</v>
      </c>
      <c r="H903" s="2">
        <v>224</v>
      </c>
      <c r="I903" s="2">
        <v>144202</v>
      </c>
      <c r="J903" s="2">
        <v>109</v>
      </c>
      <c r="K903" s="2">
        <v>0.97</v>
      </c>
      <c r="L903" s="2">
        <v>6.29</v>
      </c>
      <c r="M903" s="2">
        <v>1.2</v>
      </c>
      <c r="N903" s="4">
        <v>9</v>
      </c>
    </row>
    <row r="904" spans="1:14" x14ac:dyDescent="0.35">
      <c r="A904" s="3">
        <v>2019</v>
      </c>
      <c r="B904" s="2">
        <v>11</v>
      </c>
      <c r="C904" s="2" t="s">
        <v>21</v>
      </c>
      <c r="D904" s="2" t="s">
        <v>33</v>
      </c>
      <c r="E904" s="2" t="s">
        <v>20</v>
      </c>
      <c r="F904" s="2" t="s">
        <v>27</v>
      </c>
      <c r="G904" s="2">
        <v>102657</v>
      </c>
      <c r="H904" s="2">
        <v>186</v>
      </c>
      <c r="I904" s="2">
        <v>93481</v>
      </c>
      <c r="J904" s="2">
        <v>96</v>
      </c>
      <c r="K904" s="2">
        <v>0.97</v>
      </c>
      <c r="L904" s="2">
        <v>6.29</v>
      </c>
      <c r="M904" s="2">
        <v>1.2</v>
      </c>
      <c r="N904" s="4">
        <v>5</v>
      </c>
    </row>
    <row r="905" spans="1:14" x14ac:dyDescent="0.35">
      <c r="A905" s="3">
        <v>2016</v>
      </c>
      <c r="B905" s="2">
        <v>10</v>
      </c>
      <c r="C905" s="2" t="s">
        <v>32</v>
      </c>
      <c r="D905" s="2" t="s">
        <v>15</v>
      </c>
      <c r="E905" s="2" t="s">
        <v>16</v>
      </c>
      <c r="F905" s="2" t="s">
        <v>20</v>
      </c>
      <c r="G905" s="2">
        <v>62160</v>
      </c>
      <c r="H905" s="2">
        <v>406</v>
      </c>
      <c r="I905" s="2">
        <v>445797</v>
      </c>
      <c r="J905" s="2">
        <v>24</v>
      </c>
      <c r="K905" s="2">
        <v>0.97</v>
      </c>
      <c r="L905" s="2">
        <v>6.29</v>
      </c>
      <c r="M905" s="2">
        <v>1.2</v>
      </c>
      <c r="N905" s="4">
        <v>5</v>
      </c>
    </row>
    <row r="906" spans="1:14" x14ac:dyDescent="0.35">
      <c r="A906" s="3">
        <v>2019</v>
      </c>
      <c r="B906" s="2">
        <v>3</v>
      </c>
      <c r="C906" s="2" t="s">
        <v>30</v>
      </c>
      <c r="D906" s="2" t="s">
        <v>31</v>
      </c>
      <c r="E906" s="2" t="s">
        <v>19</v>
      </c>
      <c r="F906" s="2" t="s">
        <v>20</v>
      </c>
      <c r="G906" s="2">
        <v>80156</v>
      </c>
      <c r="H906" s="2">
        <v>455</v>
      </c>
      <c r="I906" s="2">
        <v>125118</v>
      </c>
      <c r="J906" s="2">
        <v>110</v>
      </c>
      <c r="K906" s="2">
        <v>0.97</v>
      </c>
      <c r="L906" s="2">
        <v>6.29</v>
      </c>
      <c r="M906" s="2">
        <v>1.2</v>
      </c>
      <c r="N906" s="4">
        <v>4</v>
      </c>
    </row>
    <row r="907" spans="1:14" x14ac:dyDescent="0.35">
      <c r="A907" s="3">
        <v>2022</v>
      </c>
      <c r="B907" s="2">
        <v>6</v>
      </c>
      <c r="C907" s="2" t="s">
        <v>28</v>
      </c>
      <c r="D907" s="2" t="s">
        <v>24</v>
      </c>
      <c r="E907" s="2" t="s">
        <v>16</v>
      </c>
      <c r="F907" s="2" t="s">
        <v>17</v>
      </c>
      <c r="G907" s="2">
        <v>86375</v>
      </c>
      <c r="H907" s="2">
        <v>711</v>
      </c>
      <c r="I907" s="2">
        <v>436154</v>
      </c>
      <c r="J907" s="2">
        <v>174</v>
      </c>
      <c r="K907" s="2">
        <v>0.97</v>
      </c>
      <c r="L907" s="2">
        <v>6.29</v>
      </c>
      <c r="M907" s="2">
        <v>1.2</v>
      </c>
      <c r="N907" s="4">
        <v>3</v>
      </c>
    </row>
    <row r="908" spans="1:14" x14ac:dyDescent="0.35">
      <c r="A908" s="3">
        <v>2023</v>
      </c>
      <c r="B908" s="2">
        <v>10</v>
      </c>
      <c r="C908" s="2" t="s">
        <v>36</v>
      </c>
      <c r="D908" s="2" t="s">
        <v>18</v>
      </c>
      <c r="E908" s="2" t="s">
        <v>20</v>
      </c>
      <c r="F908" s="2" t="s">
        <v>17</v>
      </c>
      <c r="G908" s="2">
        <v>54572</v>
      </c>
      <c r="H908" s="2">
        <v>253</v>
      </c>
      <c r="I908" s="2">
        <v>494854</v>
      </c>
      <c r="J908" s="2">
        <v>38</v>
      </c>
      <c r="K908" s="2">
        <v>0.97</v>
      </c>
      <c r="L908" s="2">
        <v>6.29</v>
      </c>
      <c r="M908" s="2">
        <v>1.2</v>
      </c>
      <c r="N908" s="4">
        <v>5</v>
      </c>
    </row>
    <row r="909" spans="1:14" x14ac:dyDescent="0.35">
      <c r="A909" s="3">
        <v>2016</v>
      </c>
      <c r="B909" s="2">
        <v>10</v>
      </c>
      <c r="C909" s="2" t="s">
        <v>25</v>
      </c>
      <c r="D909" s="2" t="s">
        <v>22</v>
      </c>
      <c r="E909" s="2" t="s">
        <v>20</v>
      </c>
      <c r="F909" s="2" t="s">
        <v>23</v>
      </c>
      <c r="G909" s="2">
        <v>39136</v>
      </c>
      <c r="H909" s="2">
        <v>387</v>
      </c>
      <c r="I909" s="2">
        <v>173714</v>
      </c>
      <c r="J909" s="2">
        <v>123</v>
      </c>
      <c r="K909" s="2">
        <v>0.97</v>
      </c>
      <c r="L909" s="2">
        <v>6.29</v>
      </c>
      <c r="M909" s="2">
        <v>1.2</v>
      </c>
      <c r="N909" s="4">
        <v>4</v>
      </c>
    </row>
    <row r="910" spans="1:14" x14ac:dyDescent="0.35">
      <c r="A910" s="3">
        <v>2017</v>
      </c>
      <c r="B910" s="2">
        <v>12</v>
      </c>
      <c r="C910" s="2" t="s">
        <v>30</v>
      </c>
      <c r="D910" s="2" t="s">
        <v>18</v>
      </c>
      <c r="E910" s="2" t="s">
        <v>16</v>
      </c>
      <c r="F910" s="2" t="s">
        <v>27</v>
      </c>
      <c r="G910" s="2">
        <v>96868</v>
      </c>
      <c r="H910" s="2">
        <v>455</v>
      </c>
      <c r="I910" s="2">
        <v>451634</v>
      </c>
      <c r="J910" s="2">
        <v>116</v>
      </c>
      <c r="K910" s="2">
        <v>0.97</v>
      </c>
      <c r="L910" s="2">
        <v>6.29</v>
      </c>
      <c r="M910" s="2">
        <v>1.2</v>
      </c>
      <c r="N910" s="4">
        <v>8</v>
      </c>
    </row>
    <row r="911" spans="1:14" x14ac:dyDescent="0.35">
      <c r="A911" s="3">
        <v>2017</v>
      </c>
      <c r="B911" s="2">
        <v>9</v>
      </c>
      <c r="C911" s="2" t="s">
        <v>36</v>
      </c>
      <c r="D911" s="2" t="s">
        <v>29</v>
      </c>
      <c r="E911" s="2" t="s">
        <v>19</v>
      </c>
      <c r="F911" s="2" t="s">
        <v>17</v>
      </c>
      <c r="G911" s="2">
        <v>117263</v>
      </c>
      <c r="H911" s="2">
        <v>880</v>
      </c>
      <c r="I911" s="2">
        <v>274699</v>
      </c>
      <c r="J911" s="2">
        <v>373</v>
      </c>
      <c r="K911" s="2">
        <v>0.97</v>
      </c>
      <c r="L911" s="2">
        <v>6.29</v>
      </c>
      <c r="M911" s="2">
        <v>1.2</v>
      </c>
      <c r="N911" s="4">
        <v>4</v>
      </c>
    </row>
    <row r="912" spans="1:14" x14ac:dyDescent="0.35">
      <c r="A912" s="3">
        <v>2015</v>
      </c>
      <c r="B912" s="2">
        <v>1</v>
      </c>
      <c r="C912" s="2" t="s">
        <v>35</v>
      </c>
      <c r="D912" s="2" t="s">
        <v>26</v>
      </c>
      <c r="E912" s="2" t="s">
        <v>19</v>
      </c>
      <c r="F912" s="2" t="s">
        <v>23</v>
      </c>
      <c r="G912" s="2">
        <v>67167</v>
      </c>
      <c r="H912" s="2">
        <v>380</v>
      </c>
      <c r="I912" s="2">
        <v>210185</v>
      </c>
      <c r="J912" s="2">
        <v>139</v>
      </c>
      <c r="K912" s="2">
        <v>0.97</v>
      </c>
      <c r="L912" s="2">
        <v>6.29</v>
      </c>
      <c r="M912" s="2">
        <v>1.2</v>
      </c>
      <c r="N912" s="4">
        <v>8</v>
      </c>
    </row>
    <row r="913" spans="1:14" x14ac:dyDescent="0.35">
      <c r="A913" s="3">
        <v>2022</v>
      </c>
      <c r="B913" s="2">
        <v>5</v>
      </c>
      <c r="C913" s="2" t="s">
        <v>25</v>
      </c>
      <c r="D913" s="2" t="s">
        <v>31</v>
      </c>
      <c r="E913" s="2" t="s">
        <v>20</v>
      </c>
      <c r="F913" s="2" t="s">
        <v>27</v>
      </c>
      <c r="G913" s="2">
        <v>50479</v>
      </c>
      <c r="H913" s="2">
        <v>372</v>
      </c>
      <c r="I913" s="2">
        <v>134363</v>
      </c>
      <c r="J913" s="2">
        <v>93</v>
      </c>
      <c r="K913" s="2">
        <v>0.97</v>
      </c>
      <c r="L913" s="2">
        <v>6.29</v>
      </c>
      <c r="M913" s="2">
        <v>1.2</v>
      </c>
      <c r="N913" s="4">
        <v>6</v>
      </c>
    </row>
    <row r="914" spans="1:14" x14ac:dyDescent="0.35">
      <c r="A914" s="3">
        <v>2020</v>
      </c>
      <c r="B914" s="2">
        <v>4</v>
      </c>
      <c r="C914" s="2" t="s">
        <v>38</v>
      </c>
      <c r="D914" s="2" t="s">
        <v>29</v>
      </c>
      <c r="E914" s="2" t="s">
        <v>16</v>
      </c>
      <c r="F914" s="2" t="s">
        <v>20</v>
      </c>
      <c r="G914" s="2">
        <v>66376</v>
      </c>
      <c r="H914" s="2">
        <v>610</v>
      </c>
      <c r="I914" s="2">
        <v>435751</v>
      </c>
      <c r="J914" s="2">
        <v>280</v>
      </c>
      <c r="K914" s="2">
        <v>0.97</v>
      </c>
      <c r="L914" s="2">
        <v>6.29</v>
      </c>
      <c r="M914" s="2">
        <v>1.2</v>
      </c>
      <c r="N914" s="4">
        <v>5</v>
      </c>
    </row>
    <row r="915" spans="1:14" x14ac:dyDescent="0.35">
      <c r="A915" s="3">
        <v>2022</v>
      </c>
      <c r="B915" s="2">
        <v>8</v>
      </c>
      <c r="C915" s="2" t="s">
        <v>37</v>
      </c>
      <c r="D915" s="2" t="s">
        <v>39</v>
      </c>
      <c r="E915" s="2" t="s">
        <v>16</v>
      </c>
      <c r="F915" s="2" t="s">
        <v>23</v>
      </c>
      <c r="G915" s="2">
        <v>39823</v>
      </c>
      <c r="H915" s="2">
        <v>794</v>
      </c>
      <c r="I915" s="2">
        <v>375188</v>
      </c>
      <c r="J915" s="2">
        <v>253</v>
      </c>
      <c r="K915" s="2">
        <v>0.97</v>
      </c>
      <c r="L915" s="2">
        <v>6.29</v>
      </c>
      <c r="M915" s="2">
        <v>1.2</v>
      </c>
      <c r="N915" s="4">
        <v>4</v>
      </c>
    </row>
    <row r="916" spans="1:14" x14ac:dyDescent="0.35">
      <c r="A916" s="3">
        <v>2023</v>
      </c>
      <c r="B916" s="2">
        <v>11</v>
      </c>
      <c r="C916" s="2" t="s">
        <v>21</v>
      </c>
      <c r="D916" s="2" t="s">
        <v>29</v>
      </c>
      <c r="E916" s="2" t="s">
        <v>19</v>
      </c>
      <c r="F916" s="2" t="s">
        <v>20</v>
      </c>
      <c r="G916" s="2">
        <v>105456</v>
      </c>
      <c r="H916" s="2">
        <v>1130</v>
      </c>
      <c r="I916" s="2">
        <v>261027</v>
      </c>
      <c r="J916" s="2">
        <v>397</v>
      </c>
      <c r="K916" s="2">
        <v>0.97</v>
      </c>
      <c r="L916" s="2">
        <v>6.29</v>
      </c>
      <c r="M916" s="2">
        <v>1.2</v>
      </c>
      <c r="N916" s="4">
        <v>4</v>
      </c>
    </row>
    <row r="917" spans="1:14" x14ac:dyDescent="0.35">
      <c r="A917" s="3">
        <v>2019</v>
      </c>
      <c r="B917" s="2">
        <v>12</v>
      </c>
      <c r="C917" s="2" t="s">
        <v>32</v>
      </c>
      <c r="D917" s="2" t="s">
        <v>24</v>
      </c>
      <c r="E917" s="2" t="s">
        <v>19</v>
      </c>
      <c r="F917" s="2" t="s">
        <v>17</v>
      </c>
      <c r="G917" s="2">
        <v>54585</v>
      </c>
      <c r="H917" s="2">
        <v>861</v>
      </c>
      <c r="I917" s="2">
        <v>323958</v>
      </c>
      <c r="J917" s="2">
        <v>223</v>
      </c>
      <c r="K917" s="2">
        <v>0.97</v>
      </c>
      <c r="L917" s="2">
        <v>6.29</v>
      </c>
      <c r="M917" s="2">
        <v>1.2</v>
      </c>
      <c r="N917" s="4">
        <v>4</v>
      </c>
    </row>
    <row r="918" spans="1:14" x14ac:dyDescent="0.35">
      <c r="A918" s="3">
        <v>2017</v>
      </c>
      <c r="B918" s="2">
        <v>1</v>
      </c>
      <c r="C918" s="2" t="s">
        <v>30</v>
      </c>
      <c r="D918" s="2" t="s">
        <v>31</v>
      </c>
      <c r="E918" s="2" t="s">
        <v>19</v>
      </c>
      <c r="F918" s="2" t="s">
        <v>17</v>
      </c>
      <c r="G918" s="2">
        <v>52272</v>
      </c>
      <c r="H918" s="2">
        <v>1036</v>
      </c>
      <c r="I918" s="2">
        <v>411484</v>
      </c>
      <c r="J918" s="2">
        <v>315</v>
      </c>
      <c r="K918" s="2">
        <v>0.97</v>
      </c>
      <c r="L918" s="2">
        <v>6.29</v>
      </c>
      <c r="M918" s="2">
        <v>1.2</v>
      </c>
      <c r="N918" s="4">
        <v>9</v>
      </c>
    </row>
    <row r="919" spans="1:14" x14ac:dyDescent="0.35">
      <c r="A919" s="3">
        <v>2019</v>
      </c>
      <c r="B919" s="2">
        <v>9</v>
      </c>
      <c r="C919" s="2" t="s">
        <v>21</v>
      </c>
      <c r="D919" s="2" t="s">
        <v>22</v>
      </c>
      <c r="E919" s="2" t="s">
        <v>16</v>
      </c>
      <c r="F919" s="2" t="s">
        <v>27</v>
      </c>
      <c r="G919" s="2">
        <v>61619</v>
      </c>
      <c r="H919" s="2">
        <v>606</v>
      </c>
      <c r="I919" s="2">
        <v>322168</v>
      </c>
      <c r="J919" s="2">
        <v>175</v>
      </c>
      <c r="K919" s="2">
        <v>0.97</v>
      </c>
      <c r="L919" s="2">
        <v>6.29</v>
      </c>
      <c r="M919" s="2">
        <v>1.2</v>
      </c>
      <c r="N919" s="4">
        <v>4</v>
      </c>
    </row>
    <row r="920" spans="1:14" x14ac:dyDescent="0.35">
      <c r="A920" s="3">
        <v>2019</v>
      </c>
      <c r="B920" s="2">
        <v>6</v>
      </c>
      <c r="C920" s="2" t="s">
        <v>28</v>
      </c>
      <c r="D920" s="2" t="s">
        <v>24</v>
      </c>
      <c r="E920" s="2" t="s">
        <v>19</v>
      </c>
      <c r="F920" s="2" t="s">
        <v>23</v>
      </c>
      <c r="G920" s="2">
        <v>110069</v>
      </c>
      <c r="H920" s="2">
        <v>791</v>
      </c>
      <c r="I920" s="2">
        <v>244360</v>
      </c>
      <c r="J920" s="2">
        <v>288</v>
      </c>
      <c r="K920" s="2">
        <v>0.97</v>
      </c>
      <c r="L920" s="2">
        <v>6.29</v>
      </c>
      <c r="M920" s="2">
        <v>1.2</v>
      </c>
      <c r="N920" s="4">
        <v>9</v>
      </c>
    </row>
    <row r="921" spans="1:14" x14ac:dyDescent="0.35">
      <c r="A921" s="3">
        <v>2019</v>
      </c>
      <c r="B921" s="2">
        <v>4</v>
      </c>
      <c r="C921" s="2" t="s">
        <v>36</v>
      </c>
      <c r="D921" s="2" t="s">
        <v>24</v>
      </c>
      <c r="E921" s="2" t="s">
        <v>19</v>
      </c>
      <c r="F921" s="2" t="s">
        <v>20</v>
      </c>
      <c r="G921" s="2">
        <v>74895</v>
      </c>
      <c r="H921" s="2">
        <v>547</v>
      </c>
      <c r="I921" s="2">
        <v>421380</v>
      </c>
      <c r="J921" s="2">
        <v>68</v>
      </c>
      <c r="K921" s="2">
        <v>0.97</v>
      </c>
      <c r="L921" s="2">
        <v>6.29</v>
      </c>
      <c r="M921" s="2">
        <v>1.2</v>
      </c>
      <c r="N921" s="4">
        <v>10</v>
      </c>
    </row>
    <row r="922" spans="1:14" x14ac:dyDescent="0.35">
      <c r="A922" s="3">
        <v>2017</v>
      </c>
      <c r="B922" s="2">
        <v>12</v>
      </c>
      <c r="C922" s="2" t="s">
        <v>36</v>
      </c>
      <c r="D922" s="2" t="s">
        <v>26</v>
      </c>
      <c r="E922" s="2" t="s">
        <v>20</v>
      </c>
      <c r="F922" s="2" t="s">
        <v>27</v>
      </c>
      <c r="G922" s="2">
        <v>38720</v>
      </c>
      <c r="H922" s="2">
        <v>349</v>
      </c>
      <c r="I922" s="2">
        <v>107836</v>
      </c>
      <c r="J922" s="2">
        <v>99</v>
      </c>
      <c r="K922" s="2">
        <v>0.97</v>
      </c>
      <c r="L922" s="2">
        <v>6.29</v>
      </c>
      <c r="M922" s="2">
        <v>1.2</v>
      </c>
      <c r="N922" s="4">
        <v>6</v>
      </c>
    </row>
    <row r="923" spans="1:14" x14ac:dyDescent="0.35">
      <c r="A923" s="3">
        <v>2024</v>
      </c>
      <c r="B923" s="2">
        <v>9</v>
      </c>
      <c r="C923" s="2" t="s">
        <v>30</v>
      </c>
      <c r="D923" s="2" t="s">
        <v>26</v>
      </c>
      <c r="E923" s="2" t="s">
        <v>19</v>
      </c>
      <c r="F923" s="2" t="s">
        <v>17</v>
      </c>
      <c r="G923" s="2">
        <v>54267</v>
      </c>
      <c r="H923" s="2">
        <v>1149</v>
      </c>
      <c r="I923" s="2">
        <v>319579</v>
      </c>
      <c r="J923" s="2">
        <v>380</v>
      </c>
      <c r="K923" s="2">
        <v>0.97</v>
      </c>
      <c r="L923" s="2">
        <v>6.29</v>
      </c>
      <c r="M923" s="2">
        <v>1.2</v>
      </c>
      <c r="N923" s="4">
        <v>10</v>
      </c>
    </row>
    <row r="924" spans="1:14" x14ac:dyDescent="0.35">
      <c r="A924" s="3">
        <v>2018</v>
      </c>
      <c r="B924" s="2">
        <v>11</v>
      </c>
      <c r="C924" s="2" t="s">
        <v>14</v>
      </c>
      <c r="D924" s="2" t="s">
        <v>15</v>
      </c>
      <c r="E924" s="2" t="s">
        <v>19</v>
      </c>
      <c r="F924" s="2" t="s">
        <v>17</v>
      </c>
      <c r="G924" s="2">
        <v>50696</v>
      </c>
      <c r="H924" s="2">
        <v>898</v>
      </c>
      <c r="I924" s="2">
        <v>305095</v>
      </c>
      <c r="J924" s="2">
        <v>340</v>
      </c>
      <c r="K924" s="2">
        <v>0.97</v>
      </c>
      <c r="L924" s="2">
        <v>6.29</v>
      </c>
      <c r="M924" s="2">
        <v>1.2</v>
      </c>
      <c r="N924" s="4">
        <v>7</v>
      </c>
    </row>
    <row r="925" spans="1:14" x14ac:dyDescent="0.35">
      <c r="A925" s="3">
        <v>2023</v>
      </c>
      <c r="B925" s="2">
        <v>5</v>
      </c>
      <c r="C925" s="2" t="s">
        <v>14</v>
      </c>
      <c r="D925" s="2" t="s">
        <v>15</v>
      </c>
      <c r="E925" s="2" t="s">
        <v>16</v>
      </c>
      <c r="F925" s="2" t="s">
        <v>23</v>
      </c>
      <c r="G925" s="2">
        <v>64968</v>
      </c>
      <c r="H925" s="2">
        <v>522</v>
      </c>
      <c r="I925" s="2">
        <v>382745</v>
      </c>
      <c r="J925" s="2">
        <v>203</v>
      </c>
      <c r="K925" s="2">
        <v>0.97</v>
      </c>
      <c r="L925" s="2">
        <v>6.29</v>
      </c>
      <c r="M925" s="2">
        <v>1.2</v>
      </c>
      <c r="N925" s="4">
        <v>10</v>
      </c>
    </row>
    <row r="926" spans="1:14" x14ac:dyDescent="0.35">
      <c r="A926" s="3">
        <v>2024</v>
      </c>
      <c r="B926" s="2">
        <v>5</v>
      </c>
      <c r="C926" s="2" t="s">
        <v>38</v>
      </c>
      <c r="D926" s="2" t="s">
        <v>34</v>
      </c>
      <c r="E926" s="2" t="s">
        <v>16</v>
      </c>
      <c r="F926" s="2" t="s">
        <v>20</v>
      </c>
      <c r="G926" s="2">
        <v>88364</v>
      </c>
      <c r="H926" s="2">
        <v>411</v>
      </c>
      <c r="I926" s="2">
        <v>311176</v>
      </c>
      <c r="J926" s="2">
        <v>132</v>
      </c>
      <c r="K926" s="2">
        <v>0.97</v>
      </c>
      <c r="L926" s="2">
        <v>6.29</v>
      </c>
      <c r="M926" s="2">
        <v>1.2</v>
      </c>
      <c r="N926" s="4">
        <v>3</v>
      </c>
    </row>
    <row r="927" spans="1:14" x14ac:dyDescent="0.35">
      <c r="A927" s="3">
        <v>2023</v>
      </c>
      <c r="B927" s="2">
        <v>12</v>
      </c>
      <c r="C927" s="2" t="s">
        <v>37</v>
      </c>
      <c r="D927" s="2" t="s">
        <v>33</v>
      </c>
      <c r="E927" s="2" t="s">
        <v>20</v>
      </c>
      <c r="F927" s="2" t="s">
        <v>23</v>
      </c>
      <c r="G927" s="2">
        <v>58345</v>
      </c>
      <c r="H927" s="2">
        <v>334</v>
      </c>
      <c r="I927" s="2">
        <v>433015</v>
      </c>
      <c r="J927" s="2">
        <v>145</v>
      </c>
      <c r="K927" s="2">
        <v>0.97</v>
      </c>
      <c r="L927" s="2">
        <v>6.29</v>
      </c>
      <c r="M927" s="2">
        <v>1.2</v>
      </c>
      <c r="N927" s="4">
        <v>8</v>
      </c>
    </row>
    <row r="928" spans="1:14" x14ac:dyDescent="0.35">
      <c r="A928" s="3">
        <v>2016</v>
      </c>
      <c r="B928" s="2">
        <v>5</v>
      </c>
      <c r="C928" s="2" t="s">
        <v>25</v>
      </c>
      <c r="D928" s="2" t="s">
        <v>31</v>
      </c>
      <c r="E928" s="2" t="s">
        <v>19</v>
      </c>
      <c r="F928" s="2" t="s">
        <v>20</v>
      </c>
      <c r="G928" s="2">
        <v>86567</v>
      </c>
      <c r="H928" s="2">
        <v>463</v>
      </c>
      <c r="I928" s="2">
        <v>299717</v>
      </c>
      <c r="J928" s="2">
        <v>148</v>
      </c>
      <c r="K928" s="2">
        <v>0.97</v>
      </c>
      <c r="L928" s="2">
        <v>6.29</v>
      </c>
      <c r="M928" s="2">
        <v>1.2</v>
      </c>
      <c r="N928" s="4">
        <v>3</v>
      </c>
    </row>
    <row r="929" spans="1:14" x14ac:dyDescent="0.35">
      <c r="A929" s="3">
        <v>2022</v>
      </c>
      <c r="B929" s="2">
        <v>1</v>
      </c>
      <c r="C929" s="2" t="s">
        <v>28</v>
      </c>
      <c r="D929" s="2" t="s">
        <v>31</v>
      </c>
      <c r="E929" s="2" t="s">
        <v>20</v>
      </c>
      <c r="F929" s="2" t="s">
        <v>20</v>
      </c>
      <c r="G929" s="2">
        <v>96607</v>
      </c>
      <c r="H929" s="2">
        <v>579</v>
      </c>
      <c r="I929" s="2">
        <v>184479</v>
      </c>
      <c r="J929" s="2">
        <v>238</v>
      </c>
      <c r="K929" s="2">
        <v>0.97</v>
      </c>
      <c r="L929" s="2">
        <v>6.29</v>
      </c>
      <c r="M929" s="2">
        <v>1.2</v>
      </c>
      <c r="N929" s="4">
        <v>1</v>
      </c>
    </row>
    <row r="930" spans="1:14" x14ac:dyDescent="0.35">
      <c r="A930" s="3">
        <v>2022</v>
      </c>
      <c r="B930" s="2">
        <v>1</v>
      </c>
      <c r="C930" s="2" t="s">
        <v>21</v>
      </c>
      <c r="D930" s="2" t="s">
        <v>29</v>
      </c>
      <c r="E930" s="2" t="s">
        <v>16</v>
      </c>
      <c r="F930" s="2" t="s">
        <v>23</v>
      </c>
      <c r="G930" s="2">
        <v>54385</v>
      </c>
      <c r="H930" s="2">
        <v>881</v>
      </c>
      <c r="I930" s="2">
        <v>411087</v>
      </c>
      <c r="J930" s="2">
        <v>283</v>
      </c>
      <c r="K930" s="2">
        <v>0.97</v>
      </c>
      <c r="L930" s="2">
        <v>6.29</v>
      </c>
      <c r="M930" s="2">
        <v>1.2</v>
      </c>
      <c r="N930" s="4">
        <v>10</v>
      </c>
    </row>
    <row r="931" spans="1:14" x14ac:dyDescent="0.35">
      <c r="A931" s="3">
        <v>2021</v>
      </c>
      <c r="B931" s="2">
        <v>8</v>
      </c>
      <c r="C931" s="2" t="s">
        <v>14</v>
      </c>
      <c r="D931" s="2" t="s">
        <v>31</v>
      </c>
      <c r="E931" s="2" t="s">
        <v>20</v>
      </c>
      <c r="F931" s="2" t="s">
        <v>27</v>
      </c>
      <c r="G931" s="2">
        <v>118658</v>
      </c>
      <c r="H931" s="2">
        <v>496</v>
      </c>
      <c r="I931" s="2">
        <v>82940</v>
      </c>
      <c r="J931" s="2">
        <v>59</v>
      </c>
      <c r="K931" s="2">
        <v>0.97</v>
      </c>
      <c r="L931" s="2">
        <v>6.29</v>
      </c>
      <c r="M931" s="2">
        <v>1.2</v>
      </c>
      <c r="N931" s="4">
        <v>5</v>
      </c>
    </row>
    <row r="932" spans="1:14" x14ac:dyDescent="0.35">
      <c r="A932" s="3">
        <v>2022</v>
      </c>
      <c r="B932" s="2">
        <v>12</v>
      </c>
      <c r="C932" s="2" t="s">
        <v>38</v>
      </c>
      <c r="D932" s="2" t="s">
        <v>31</v>
      </c>
      <c r="E932" s="2" t="s">
        <v>16</v>
      </c>
      <c r="F932" s="2" t="s">
        <v>23</v>
      </c>
      <c r="G932" s="2">
        <v>101900</v>
      </c>
      <c r="H932" s="2">
        <v>450</v>
      </c>
      <c r="I932" s="2">
        <v>55666</v>
      </c>
      <c r="J932" s="2">
        <v>127</v>
      </c>
      <c r="K932" s="2">
        <v>0.97</v>
      </c>
      <c r="L932" s="2">
        <v>6.29</v>
      </c>
      <c r="M932" s="2">
        <v>1.2</v>
      </c>
      <c r="N932" s="4">
        <v>2</v>
      </c>
    </row>
    <row r="933" spans="1:14" x14ac:dyDescent="0.35">
      <c r="A933" s="3">
        <v>2017</v>
      </c>
      <c r="B933" s="2">
        <v>8</v>
      </c>
      <c r="C933" s="2" t="s">
        <v>38</v>
      </c>
      <c r="D933" s="2" t="s">
        <v>33</v>
      </c>
      <c r="E933" s="2" t="s">
        <v>20</v>
      </c>
      <c r="F933" s="2" t="s">
        <v>23</v>
      </c>
      <c r="G933" s="2">
        <v>103244</v>
      </c>
      <c r="H933" s="2">
        <v>821</v>
      </c>
      <c r="I933" s="2">
        <v>349266</v>
      </c>
      <c r="J933" s="2">
        <v>211</v>
      </c>
      <c r="K933" s="2">
        <v>0.97</v>
      </c>
      <c r="L933" s="2">
        <v>6.29</v>
      </c>
      <c r="M933" s="2">
        <v>1.2</v>
      </c>
      <c r="N933" s="4">
        <v>10</v>
      </c>
    </row>
    <row r="934" spans="1:14" x14ac:dyDescent="0.35">
      <c r="A934" s="3">
        <v>2020</v>
      </c>
      <c r="B934" s="2">
        <v>12</v>
      </c>
      <c r="C934" s="2" t="s">
        <v>30</v>
      </c>
      <c r="D934" s="2" t="s">
        <v>39</v>
      </c>
      <c r="E934" s="2" t="s">
        <v>20</v>
      </c>
      <c r="F934" s="2" t="s">
        <v>17</v>
      </c>
      <c r="G934" s="2">
        <v>100425</v>
      </c>
      <c r="H934" s="2">
        <v>827</v>
      </c>
      <c r="I934" s="2">
        <v>430791</v>
      </c>
      <c r="J934" s="2">
        <v>200</v>
      </c>
      <c r="K934" s="2">
        <v>0.97</v>
      </c>
      <c r="L934" s="2">
        <v>6.29</v>
      </c>
      <c r="M934" s="2">
        <v>1.2</v>
      </c>
      <c r="N934" s="4">
        <v>6</v>
      </c>
    </row>
    <row r="935" spans="1:14" x14ac:dyDescent="0.35">
      <c r="A935" s="3">
        <v>2015</v>
      </c>
      <c r="B935" s="2">
        <v>6</v>
      </c>
      <c r="C935" s="2" t="s">
        <v>28</v>
      </c>
      <c r="D935" s="2" t="s">
        <v>15</v>
      </c>
      <c r="E935" s="2" t="s">
        <v>19</v>
      </c>
      <c r="F935" s="2" t="s">
        <v>17</v>
      </c>
      <c r="G935" s="2">
        <v>113518</v>
      </c>
      <c r="H935" s="2">
        <v>1156</v>
      </c>
      <c r="I935" s="2">
        <v>206164</v>
      </c>
      <c r="J935" s="2">
        <v>373</v>
      </c>
      <c r="K935" s="2">
        <v>0.97</v>
      </c>
      <c r="L935" s="2">
        <v>6.29</v>
      </c>
      <c r="M935" s="2">
        <v>1.2</v>
      </c>
      <c r="N935" s="4">
        <v>10</v>
      </c>
    </row>
    <row r="936" spans="1:14" x14ac:dyDescent="0.35">
      <c r="A936" s="3">
        <v>2021</v>
      </c>
      <c r="B936" s="2">
        <v>12</v>
      </c>
      <c r="C936" s="2" t="s">
        <v>35</v>
      </c>
      <c r="D936" s="2" t="s">
        <v>15</v>
      </c>
      <c r="E936" s="2" t="s">
        <v>20</v>
      </c>
      <c r="F936" s="2" t="s">
        <v>23</v>
      </c>
      <c r="G936" s="2">
        <v>117844</v>
      </c>
      <c r="H936" s="2">
        <v>738</v>
      </c>
      <c r="I936" s="2">
        <v>441897</v>
      </c>
      <c r="J936" s="2">
        <v>332</v>
      </c>
      <c r="K936" s="2">
        <v>0.97</v>
      </c>
      <c r="L936" s="2">
        <v>6.29</v>
      </c>
      <c r="M936" s="2">
        <v>1.2</v>
      </c>
      <c r="N936" s="4">
        <v>9</v>
      </c>
    </row>
    <row r="937" spans="1:14" x14ac:dyDescent="0.35">
      <c r="A937" s="3">
        <v>2015</v>
      </c>
      <c r="B937" s="2">
        <v>11</v>
      </c>
      <c r="C937" s="2" t="s">
        <v>25</v>
      </c>
      <c r="D937" s="2" t="s">
        <v>22</v>
      </c>
      <c r="E937" s="2" t="s">
        <v>19</v>
      </c>
      <c r="F937" s="2" t="s">
        <v>23</v>
      </c>
      <c r="G937" s="2">
        <v>67919</v>
      </c>
      <c r="H937" s="2">
        <v>600</v>
      </c>
      <c r="I937" s="2">
        <v>435546</v>
      </c>
      <c r="J937" s="2">
        <v>190</v>
      </c>
      <c r="K937" s="2">
        <v>0.97</v>
      </c>
      <c r="L937" s="2">
        <v>6.29</v>
      </c>
      <c r="M937" s="2">
        <v>1.2</v>
      </c>
      <c r="N937" s="4">
        <v>1</v>
      </c>
    </row>
    <row r="938" spans="1:14" x14ac:dyDescent="0.35">
      <c r="A938" s="3">
        <v>2023</v>
      </c>
      <c r="B938" s="2">
        <v>4</v>
      </c>
      <c r="C938" s="2" t="s">
        <v>37</v>
      </c>
      <c r="D938" s="2" t="s">
        <v>31</v>
      </c>
      <c r="E938" s="2" t="s">
        <v>19</v>
      </c>
      <c r="F938" s="2" t="s">
        <v>17</v>
      </c>
      <c r="G938" s="2">
        <v>92196</v>
      </c>
      <c r="H938" s="2">
        <v>566</v>
      </c>
      <c r="I938" s="2">
        <v>256717</v>
      </c>
      <c r="J938" s="2">
        <v>87</v>
      </c>
      <c r="K938" s="2">
        <v>0.97</v>
      </c>
      <c r="L938" s="2">
        <v>6.29</v>
      </c>
      <c r="M938" s="2">
        <v>1.2</v>
      </c>
      <c r="N938" s="4">
        <v>4</v>
      </c>
    </row>
    <row r="939" spans="1:14" x14ac:dyDescent="0.35">
      <c r="A939" s="3">
        <v>2015</v>
      </c>
      <c r="B939" s="2">
        <v>2</v>
      </c>
      <c r="C939" s="2" t="s">
        <v>32</v>
      </c>
      <c r="D939" s="2" t="s">
        <v>33</v>
      </c>
      <c r="E939" s="2" t="s">
        <v>19</v>
      </c>
      <c r="F939" s="2" t="s">
        <v>20</v>
      </c>
      <c r="G939" s="2">
        <v>114401</v>
      </c>
      <c r="H939" s="2">
        <v>268</v>
      </c>
      <c r="I939" s="2">
        <v>413334</v>
      </c>
      <c r="J939" s="2">
        <v>84</v>
      </c>
      <c r="K939" s="2">
        <v>0.97</v>
      </c>
      <c r="L939" s="2">
        <v>6.29</v>
      </c>
      <c r="M939" s="2">
        <v>1.2</v>
      </c>
      <c r="N939" s="4">
        <v>1</v>
      </c>
    </row>
    <row r="940" spans="1:14" x14ac:dyDescent="0.35">
      <c r="A940" s="3">
        <v>2015</v>
      </c>
      <c r="B940" s="2">
        <v>2</v>
      </c>
      <c r="C940" s="2" t="s">
        <v>30</v>
      </c>
      <c r="D940" s="2" t="s">
        <v>15</v>
      </c>
      <c r="E940" s="2" t="s">
        <v>19</v>
      </c>
      <c r="F940" s="2" t="s">
        <v>23</v>
      </c>
      <c r="G940" s="2">
        <v>35495</v>
      </c>
      <c r="H940" s="2">
        <v>973</v>
      </c>
      <c r="I940" s="2">
        <v>412612</v>
      </c>
      <c r="J940" s="2">
        <v>304</v>
      </c>
      <c r="K940" s="2">
        <v>0.97</v>
      </c>
      <c r="L940" s="2">
        <v>6.29</v>
      </c>
      <c r="M940" s="2">
        <v>1.2</v>
      </c>
      <c r="N940" s="4">
        <v>1</v>
      </c>
    </row>
    <row r="941" spans="1:14" x14ac:dyDescent="0.35">
      <c r="A941" s="3">
        <v>2021</v>
      </c>
      <c r="B941" s="2">
        <v>9</v>
      </c>
      <c r="C941" s="2" t="s">
        <v>25</v>
      </c>
      <c r="D941" s="2" t="s">
        <v>33</v>
      </c>
      <c r="E941" s="2" t="s">
        <v>20</v>
      </c>
      <c r="F941" s="2" t="s">
        <v>27</v>
      </c>
      <c r="G941" s="2">
        <v>79755</v>
      </c>
      <c r="H941" s="2">
        <v>602</v>
      </c>
      <c r="I941" s="2">
        <v>441351</v>
      </c>
      <c r="J941" s="2">
        <v>290</v>
      </c>
      <c r="K941" s="2">
        <v>0.97</v>
      </c>
      <c r="L941" s="2">
        <v>6.29</v>
      </c>
      <c r="M941" s="2">
        <v>1.2</v>
      </c>
      <c r="N941" s="4">
        <v>8</v>
      </c>
    </row>
    <row r="942" spans="1:14" x14ac:dyDescent="0.35">
      <c r="A942" s="3">
        <v>2016</v>
      </c>
      <c r="B942" s="2">
        <v>5</v>
      </c>
      <c r="C942" s="2" t="s">
        <v>32</v>
      </c>
      <c r="D942" s="2" t="s">
        <v>18</v>
      </c>
      <c r="E942" s="2" t="s">
        <v>16</v>
      </c>
      <c r="F942" s="2" t="s">
        <v>27</v>
      </c>
      <c r="G942" s="2">
        <v>102684</v>
      </c>
      <c r="H942" s="2">
        <v>336</v>
      </c>
      <c r="I942" s="2">
        <v>76505</v>
      </c>
      <c r="J942" s="2">
        <v>30</v>
      </c>
      <c r="K942" s="2">
        <v>0.97</v>
      </c>
      <c r="L942" s="2">
        <v>6.29</v>
      </c>
      <c r="M942" s="2">
        <v>1.2</v>
      </c>
      <c r="N942" s="4">
        <v>2</v>
      </c>
    </row>
    <row r="943" spans="1:14" x14ac:dyDescent="0.35">
      <c r="A943" s="3">
        <v>2019</v>
      </c>
      <c r="B943" s="2">
        <v>4</v>
      </c>
      <c r="C943" s="2" t="s">
        <v>32</v>
      </c>
      <c r="D943" s="2" t="s">
        <v>39</v>
      </c>
      <c r="E943" s="2" t="s">
        <v>16</v>
      </c>
      <c r="F943" s="2" t="s">
        <v>27</v>
      </c>
      <c r="G943" s="2">
        <v>68324</v>
      </c>
      <c r="H943" s="2">
        <v>636</v>
      </c>
      <c r="I943" s="2">
        <v>86713</v>
      </c>
      <c r="J943" s="2">
        <v>180</v>
      </c>
      <c r="K943" s="2">
        <v>0.97</v>
      </c>
      <c r="L943" s="2">
        <v>6.29</v>
      </c>
      <c r="M943" s="2">
        <v>1.2</v>
      </c>
      <c r="N943" s="4">
        <v>1</v>
      </c>
    </row>
    <row r="944" spans="1:14" x14ac:dyDescent="0.35">
      <c r="A944" s="3">
        <v>2022</v>
      </c>
      <c r="B944" s="2">
        <v>10</v>
      </c>
      <c r="C944" s="2" t="s">
        <v>28</v>
      </c>
      <c r="D944" s="2" t="s">
        <v>31</v>
      </c>
      <c r="E944" s="2" t="s">
        <v>16</v>
      </c>
      <c r="F944" s="2" t="s">
        <v>23</v>
      </c>
      <c r="G944" s="2">
        <v>113929</v>
      </c>
      <c r="H944" s="2">
        <v>324</v>
      </c>
      <c r="I944" s="2">
        <v>497603</v>
      </c>
      <c r="J944" s="2">
        <v>24</v>
      </c>
      <c r="K944" s="2">
        <v>0.97</v>
      </c>
      <c r="L944" s="2">
        <v>6.29</v>
      </c>
      <c r="M944" s="2">
        <v>1.2</v>
      </c>
      <c r="N944" s="4">
        <v>8</v>
      </c>
    </row>
    <row r="945" spans="1:14" x14ac:dyDescent="0.35">
      <c r="A945" s="3">
        <v>2022</v>
      </c>
      <c r="B945" s="2">
        <v>1</v>
      </c>
      <c r="C945" s="2" t="s">
        <v>28</v>
      </c>
      <c r="D945" s="2" t="s">
        <v>22</v>
      </c>
      <c r="E945" s="2" t="s">
        <v>20</v>
      </c>
      <c r="F945" s="2" t="s">
        <v>20</v>
      </c>
      <c r="G945" s="2">
        <v>36552</v>
      </c>
      <c r="H945" s="2">
        <v>724</v>
      </c>
      <c r="I945" s="2">
        <v>355313</v>
      </c>
      <c r="J945" s="2">
        <v>220</v>
      </c>
      <c r="K945" s="2">
        <v>0.97</v>
      </c>
      <c r="L945" s="2">
        <v>6.29</v>
      </c>
      <c r="M945" s="2">
        <v>1.2</v>
      </c>
      <c r="N945" s="4">
        <v>4</v>
      </c>
    </row>
    <row r="946" spans="1:14" x14ac:dyDescent="0.35">
      <c r="A946" s="3">
        <v>2017</v>
      </c>
      <c r="B946" s="2">
        <v>7</v>
      </c>
      <c r="C946" s="2" t="s">
        <v>21</v>
      </c>
      <c r="D946" s="2" t="s">
        <v>29</v>
      </c>
      <c r="E946" s="2" t="s">
        <v>19</v>
      </c>
      <c r="F946" s="2" t="s">
        <v>20</v>
      </c>
      <c r="G946" s="2">
        <v>86272</v>
      </c>
      <c r="H946" s="2">
        <v>150</v>
      </c>
      <c r="I946" s="2">
        <v>254354</v>
      </c>
      <c r="J946" s="2">
        <v>57</v>
      </c>
      <c r="K946" s="2">
        <v>0.97</v>
      </c>
      <c r="L946" s="2">
        <v>6.29</v>
      </c>
      <c r="M946" s="2">
        <v>1.2</v>
      </c>
      <c r="N946" s="4">
        <v>3</v>
      </c>
    </row>
    <row r="947" spans="1:14" x14ac:dyDescent="0.35">
      <c r="A947" s="3">
        <v>2021</v>
      </c>
      <c r="B947" s="2">
        <v>3</v>
      </c>
      <c r="C947" s="2" t="s">
        <v>38</v>
      </c>
      <c r="D947" s="2" t="s">
        <v>15</v>
      </c>
      <c r="E947" s="2" t="s">
        <v>16</v>
      </c>
      <c r="F947" s="2" t="s">
        <v>17</v>
      </c>
      <c r="G947" s="2">
        <v>70853</v>
      </c>
      <c r="H947" s="2">
        <v>429</v>
      </c>
      <c r="I947" s="2">
        <v>127511</v>
      </c>
      <c r="J947" s="2">
        <v>95</v>
      </c>
      <c r="K947" s="2">
        <v>0.97</v>
      </c>
      <c r="L947" s="2">
        <v>6.29</v>
      </c>
      <c r="M947" s="2">
        <v>1.2</v>
      </c>
      <c r="N947" s="4">
        <v>4</v>
      </c>
    </row>
    <row r="948" spans="1:14" x14ac:dyDescent="0.35">
      <c r="A948" s="3">
        <v>2017</v>
      </c>
      <c r="B948" s="2">
        <v>6</v>
      </c>
      <c r="C948" s="2" t="s">
        <v>25</v>
      </c>
      <c r="D948" s="2" t="s">
        <v>18</v>
      </c>
      <c r="E948" s="2" t="s">
        <v>20</v>
      </c>
      <c r="F948" s="2" t="s">
        <v>23</v>
      </c>
      <c r="G948" s="2">
        <v>67924</v>
      </c>
      <c r="H948" s="2">
        <v>576</v>
      </c>
      <c r="I948" s="2">
        <v>494958</v>
      </c>
      <c r="J948" s="2">
        <v>158</v>
      </c>
      <c r="K948" s="2">
        <v>0.97</v>
      </c>
      <c r="L948" s="2">
        <v>6.29</v>
      </c>
      <c r="M948" s="2">
        <v>1.2</v>
      </c>
      <c r="N948" s="4">
        <v>5</v>
      </c>
    </row>
    <row r="949" spans="1:14" x14ac:dyDescent="0.35">
      <c r="A949" s="3">
        <v>2020</v>
      </c>
      <c r="B949" s="2">
        <v>5</v>
      </c>
      <c r="C949" s="2" t="s">
        <v>30</v>
      </c>
      <c r="D949" s="2" t="s">
        <v>33</v>
      </c>
      <c r="E949" s="2" t="s">
        <v>19</v>
      </c>
      <c r="F949" s="2" t="s">
        <v>20</v>
      </c>
      <c r="G949" s="2">
        <v>109462</v>
      </c>
      <c r="H949" s="2">
        <v>744</v>
      </c>
      <c r="I949" s="2">
        <v>352666</v>
      </c>
      <c r="J949" s="2">
        <v>197</v>
      </c>
      <c r="K949" s="2">
        <v>0.97</v>
      </c>
      <c r="L949" s="2">
        <v>6.29</v>
      </c>
      <c r="M949" s="2">
        <v>1.2</v>
      </c>
      <c r="N949" s="4">
        <v>1</v>
      </c>
    </row>
    <row r="950" spans="1:14" x14ac:dyDescent="0.35">
      <c r="A950" s="3">
        <v>2020</v>
      </c>
      <c r="B950" s="2">
        <v>5</v>
      </c>
      <c r="C950" s="2" t="s">
        <v>36</v>
      </c>
      <c r="D950" s="2" t="s">
        <v>26</v>
      </c>
      <c r="E950" s="2" t="s">
        <v>16</v>
      </c>
      <c r="F950" s="2" t="s">
        <v>23</v>
      </c>
      <c r="G950" s="2">
        <v>58889</v>
      </c>
      <c r="H950" s="2">
        <v>819</v>
      </c>
      <c r="I950" s="2">
        <v>262204</v>
      </c>
      <c r="J950" s="2">
        <v>381</v>
      </c>
      <c r="K950" s="2">
        <v>0.97</v>
      </c>
      <c r="L950" s="2">
        <v>6.29</v>
      </c>
      <c r="M950" s="2">
        <v>1.2</v>
      </c>
      <c r="N950" s="4">
        <v>1</v>
      </c>
    </row>
    <row r="951" spans="1:14" x14ac:dyDescent="0.35">
      <c r="A951" s="3">
        <v>2017</v>
      </c>
      <c r="B951" s="2">
        <v>11</v>
      </c>
      <c r="C951" s="2" t="s">
        <v>30</v>
      </c>
      <c r="D951" s="2" t="s">
        <v>24</v>
      </c>
      <c r="E951" s="2" t="s">
        <v>19</v>
      </c>
      <c r="F951" s="2" t="s">
        <v>17</v>
      </c>
      <c r="G951" s="2">
        <v>89675</v>
      </c>
      <c r="H951" s="2">
        <v>1029</v>
      </c>
      <c r="I951" s="2">
        <v>300694</v>
      </c>
      <c r="J951" s="2">
        <v>315</v>
      </c>
      <c r="K951" s="2">
        <v>0.97</v>
      </c>
      <c r="L951" s="2">
        <v>6.29</v>
      </c>
      <c r="M951" s="2">
        <v>1.2</v>
      </c>
      <c r="N951" s="4">
        <v>3</v>
      </c>
    </row>
    <row r="952" spans="1:14" x14ac:dyDescent="0.35">
      <c r="A952" s="3">
        <v>2021</v>
      </c>
      <c r="B952" s="2">
        <v>5</v>
      </c>
      <c r="C952" s="2" t="s">
        <v>21</v>
      </c>
      <c r="D952" s="2" t="s">
        <v>31</v>
      </c>
      <c r="E952" s="2" t="s">
        <v>16</v>
      </c>
      <c r="F952" s="2" t="s">
        <v>17</v>
      </c>
      <c r="G952" s="2">
        <v>108591</v>
      </c>
      <c r="H952" s="2">
        <v>403</v>
      </c>
      <c r="I952" s="2">
        <v>299836</v>
      </c>
      <c r="J952" s="2">
        <v>160</v>
      </c>
      <c r="K952" s="2">
        <v>0.97</v>
      </c>
      <c r="L952" s="2">
        <v>6.29</v>
      </c>
      <c r="M952" s="2">
        <v>1.2</v>
      </c>
      <c r="N952" s="4">
        <v>6</v>
      </c>
    </row>
    <row r="953" spans="1:14" x14ac:dyDescent="0.35">
      <c r="A953" s="3">
        <v>2017</v>
      </c>
      <c r="B953" s="2">
        <v>1</v>
      </c>
      <c r="C953" s="2" t="s">
        <v>37</v>
      </c>
      <c r="D953" s="2" t="s">
        <v>31</v>
      </c>
      <c r="E953" s="2" t="s">
        <v>16</v>
      </c>
      <c r="F953" s="2" t="s">
        <v>17</v>
      </c>
      <c r="G953" s="2">
        <v>105190</v>
      </c>
      <c r="H953" s="2">
        <v>515</v>
      </c>
      <c r="I953" s="2">
        <v>284561</v>
      </c>
      <c r="J953" s="2">
        <v>150</v>
      </c>
      <c r="K953" s="2">
        <v>0.97</v>
      </c>
      <c r="L953" s="2">
        <v>6.29</v>
      </c>
      <c r="M953" s="2">
        <v>1.2</v>
      </c>
      <c r="N953" s="4">
        <v>1</v>
      </c>
    </row>
    <row r="954" spans="1:14" x14ac:dyDescent="0.35">
      <c r="A954" s="3">
        <v>2022</v>
      </c>
      <c r="B954" s="2">
        <v>1</v>
      </c>
      <c r="C954" s="2" t="s">
        <v>38</v>
      </c>
      <c r="D954" s="2" t="s">
        <v>18</v>
      </c>
      <c r="E954" s="2" t="s">
        <v>16</v>
      </c>
      <c r="F954" s="2" t="s">
        <v>27</v>
      </c>
      <c r="G954" s="2">
        <v>57634</v>
      </c>
      <c r="H954" s="2">
        <v>557</v>
      </c>
      <c r="I954" s="2">
        <v>411541</v>
      </c>
      <c r="J954" s="2">
        <v>78</v>
      </c>
      <c r="K954" s="2">
        <v>0.97</v>
      </c>
      <c r="L954" s="2">
        <v>6.29</v>
      </c>
      <c r="M954" s="2">
        <v>1.2</v>
      </c>
      <c r="N954" s="4">
        <v>2</v>
      </c>
    </row>
    <row r="955" spans="1:14" x14ac:dyDescent="0.35">
      <c r="A955" s="3">
        <v>2024</v>
      </c>
      <c r="B955" s="2">
        <v>3</v>
      </c>
      <c r="C955" s="2" t="s">
        <v>36</v>
      </c>
      <c r="D955" s="2" t="s">
        <v>33</v>
      </c>
      <c r="E955" s="2" t="s">
        <v>19</v>
      </c>
      <c r="F955" s="2" t="s">
        <v>23</v>
      </c>
      <c r="G955" s="2">
        <v>67363</v>
      </c>
      <c r="H955" s="2">
        <v>607</v>
      </c>
      <c r="I955" s="2">
        <v>53880</v>
      </c>
      <c r="J955" s="2">
        <v>269</v>
      </c>
      <c r="K955" s="2">
        <v>0.97</v>
      </c>
      <c r="L955" s="2">
        <v>6.29</v>
      </c>
      <c r="M955" s="2">
        <v>1.2</v>
      </c>
      <c r="N955" s="4">
        <v>7</v>
      </c>
    </row>
    <row r="956" spans="1:14" x14ac:dyDescent="0.35">
      <c r="A956" s="3">
        <v>2018</v>
      </c>
      <c r="B956" s="2">
        <v>12</v>
      </c>
      <c r="C956" s="2" t="s">
        <v>14</v>
      </c>
      <c r="D956" s="2" t="s">
        <v>34</v>
      </c>
      <c r="E956" s="2" t="s">
        <v>20</v>
      </c>
      <c r="F956" s="2" t="s">
        <v>17</v>
      </c>
      <c r="G956" s="2">
        <v>98752</v>
      </c>
      <c r="H956" s="2">
        <v>1116</v>
      </c>
      <c r="I956" s="2">
        <v>486670</v>
      </c>
      <c r="J956" s="2">
        <v>343</v>
      </c>
      <c r="K956" s="2">
        <v>0.97</v>
      </c>
      <c r="L956" s="2">
        <v>6.29</v>
      </c>
      <c r="M956" s="2">
        <v>1.2</v>
      </c>
      <c r="N956" s="4">
        <v>1</v>
      </c>
    </row>
    <row r="957" spans="1:14" x14ac:dyDescent="0.35">
      <c r="A957" s="3">
        <v>2015</v>
      </c>
      <c r="B957" s="2">
        <v>10</v>
      </c>
      <c r="C957" s="2" t="s">
        <v>37</v>
      </c>
      <c r="D957" s="2" t="s">
        <v>31</v>
      </c>
      <c r="E957" s="2" t="s">
        <v>19</v>
      </c>
      <c r="F957" s="2" t="s">
        <v>23</v>
      </c>
      <c r="G957" s="2">
        <v>112004</v>
      </c>
      <c r="H957" s="2">
        <v>130</v>
      </c>
      <c r="I957" s="2">
        <v>498927</v>
      </c>
      <c r="J957" s="2">
        <v>18</v>
      </c>
      <c r="K957" s="2">
        <v>0.97</v>
      </c>
      <c r="L957" s="2">
        <v>6.29</v>
      </c>
      <c r="M957" s="2">
        <v>1.2</v>
      </c>
      <c r="N957" s="4">
        <v>7</v>
      </c>
    </row>
    <row r="958" spans="1:14" x14ac:dyDescent="0.35">
      <c r="A958" s="3">
        <v>2018</v>
      </c>
      <c r="B958" s="2">
        <v>4</v>
      </c>
      <c r="C958" s="2" t="s">
        <v>28</v>
      </c>
      <c r="D958" s="2" t="s">
        <v>34</v>
      </c>
      <c r="E958" s="2" t="s">
        <v>16</v>
      </c>
      <c r="F958" s="2" t="s">
        <v>27</v>
      </c>
      <c r="G958" s="2">
        <v>91398</v>
      </c>
      <c r="H958" s="2">
        <v>559</v>
      </c>
      <c r="I958" s="2">
        <v>93539</v>
      </c>
      <c r="J958" s="2">
        <v>130</v>
      </c>
      <c r="K958" s="2">
        <v>0.97</v>
      </c>
      <c r="L958" s="2">
        <v>6.29</v>
      </c>
      <c r="M958" s="2">
        <v>1.2</v>
      </c>
      <c r="N958" s="4">
        <v>4</v>
      </c>
    </row>
    <row r="959" spans="1:14" x14ac:dyDescent="0.35">
      <c r="A959" s="3">
        <v>2021</v>
      </c>
      <c r="B959" s="2">
        <v>5</v>
      </c>
      <c r="C959" s="2" t="s">
        <v>32</v>
      </c>
      <c r="D959" s="2" t="s">
        <v>26</v>
      </c>
      <c r="E959" s="2" t="s">
        <v>19</v>
      </c>
      <c r="F959" s="2" t="s">
        <v>27</v>
      </c>
      <c r="G959" s="2">
        <v>75718</v>
      </c>
      <c r="H959" s="2">
        <v>1088</v>
      </c>
      <c r="I959" s="2">
        <v>290056</v>
      </c>
      <c r="J959" s="2">
        <v>380</v>
      </c>
      <c r="K959" s="2">
        <v>0.97</v>
      </c>
      <c r="L959" s="2">
        <v>6.29</v>
      </c>
      <c r="M959" s="2">
        <v>1.2</v>
      </c>
      <c r="N959" s="4">
        <v>10</v>
      </c>
    </row>
    <row r="960" spans="1:14" x14ac:dyDescent="0.35">
      <c r="A960" s="3">
        <v>2018</v>
      </c>
      <c r="B960" s="2">
        <v>2</v>
      </c>
      <c r="C960" s="2" t="s">
        <v>14</v>
      </c>
      <c r="D960" s="2" t="s">
        <v>18</v>
      </c>
      <c r="E960" s="2" t="s">
        <v>20</v>
      </c>
      <c r="F960" s="2" t="s">
        <v>17</v>
      </c>
      <c r="G960" s="2">
        <v>117916</v>
      </c>
      <c r="H960" s="2">
        <v>360</v>
      </c>
      <c r="I960" s="2">
        <v>269057</v>
      </c>
      <c r="J960" s="2">
        <v>110</v>
      </c>
      <c r="K960" s="2">
        <v>0.97</v>
      </c>
      <c r="L960" s="2">
        <v>6.29</v>
      </c>
      <c r="M960" s="2">
        <v>1.2</v>
      </c>
      <c r="N960" s="4">
        <v>6</v>
      </c>
    </row>
    <row r="961" spans="1:14" x14ac:dyDescent="0.35">
      <c r="A961" s="3">
        <v>2020</v>
      </c>
      <c r="B961" s="2">
        <v>8</v>
      </c>
      <c r="C961" s="2" t="s">
        <v>30</v>
      </c>
      <c r="D961" s="2" t="s">
        <v>33</v>
      </c>
      <c r="E961" s="2" t="s">
        <v>19</v>
      </c>
      <c r="F961" s="2" t="s">
        <v>17</v>
      </c>
      <c r="G961" s="2">
        <v>61870</v>
      </c>
      <c r="H961" s="2">
        <v>740</v>
      </c>
      <c r="I961" s="2">
        <v>64799</v>
      </c>
      <c r="J961" s="2">
        <v>158</v>
      </c>
      <c r="K961" s="2">
        <v>0.97</v>
      </c>
      <c r="L961" s="2">
        <v>6.29</v>
      </c>
      <c r="M961" s="2">
        <v>1.2</v>
      </c>
      <c r="N961" s="4">
        <v>8</v>
      </c>
    </row>
    <row r="962" spans="1:14" x14ac:dyDescent="0.35">
      <c r="A962" s="3">
        <v>2023</v>
      </c>
      <c r="B962" s="2">
        <v>11</v>
      </c>
      <c r="C962" s="2" t="s">
        <v>30</v>
      </c>
      <c r="D962" s="2" t="s">
        <v>33</v>
      </c>
      <c r="E962" s="2" t="s">
        <v>20</v>
      </c>
      <c r="F962" s="2" t="s">
        <v>20</v>
      </c>
      <c r="G962" s="2">
        <v>72394</v>
      </c>
      <c r="H962" s="2">
        <v>521</v>
      </c>
      <c r="I962" s="2">
        <v>154843</v>
      </c>
      <c r="J962" s="2">
        <v>155</v>
      </c>
      <c r="K962" s="2">
        <v>0.97</v>
      </c>
      <c r="L962" s="2">
        <v>6.29</v>
      </c>
      <c r="M962" s="2">
        <v>1.2</v>
      </c>
      <c r="N962" s="4">
        <v>9</v>
      </c>
    </row>
    <row r="963" spans="1:14" x14ac:dyDescent="0.35">
      <c r="A963" s="3">
        <v>2015</v>
      </c>
      <c r="B963" s="2">
        <v>11</v>
      </c>
      <c r="C963" s="2" t="s">
        <v>28</v>
      </c>
      <c r="D963" s="2" t="s">
        <v>39</v>
      </c>
      <c r="E963" s="2" t="s">
        <v>20</v>
      </c>
      <c r="F963" s="2" t="s">
        <v>23</v>
      </c>
      <c r="G963" s="2">
        <v>87057</v>
      </c>
      <c r="H963" s="2">
        <v>1196</v>
      </c>
      <c r="I963" s="2">
        <v>493942</v>
      </c>
      <c r="J963" s="2">
        <v>362</v>
      </c>
      <c r="K963" s="2">
        <v>0.97</v>
      </c>
      <c r="L963" s="2">
        <v>6.29</v>
      </c>
      <c r="M963" s="2">
        <v>1.2</v>
      </c>
      <c r="N963" s="4">
        <v>6</v>
      </c>
    </row>
    <row r="964" spans="1:14" x14ac:dyDescent="0.35">
      <c r="A964" s="3">
        <v>2019</v>
      </c>
      <c r="B964" s="2">
        <v>2</v>
      </c>
      <c r="C964" s="2" t="s">
        <v>21</v>
      </c>
      <c r="D964" s="2" t="s">
        <v>24</v>
      </c>
      <c r="E964" s="2" t="s">
        <v>19</v>
      </c>
      <c r="F964" s="2" t="s">
        <v>17</v>
      </c>
      <c r="G964" s="2">
        <v>114795</v>
      </c>
      <c r="H964" s="2">
        <v>724</v>
      </c>
      <c r="I964" s="2">
        <v>98784</v>
      </c>
      <c r="J964" s="2">
        <v>252</v>
      </c>
      <c r="K964" s="2">
        <v>0.97</v>
      </c>
      <c r="L964" s="2">
        <v>6.29</v>
      </c>
      <c r="M964" s="2">
        <v>1.2</v>
      </c>
      <c r="N964" s="4">
        <v>9</v>
      </c>
    </row>
    <row r="965" spans="1:14" x14ac:dyDescent="0.35">
      <c r="A965" s="3">
        <v>2021</v>
      </c>
      <c r="B965" s="2">
        <v>9</v>
      </c>
      <c r="C965" s="2" t="s">
        <v>25</v>
      </c>
      <c r="D965" s="2" t="s">
        <v>15</v>
      </c>
      <c r="E965" s="2" t="s">
        <v>16</v>
      </c>
      <c r="F965" s="2" t="s">
        <v>20</v>
      </c>
      <c r="G965" s="2">
        <v>115409</v>
      </c>
      <c r="H965" s="2">
        <v>710</v>
      </c>
      <c r="I965" s="2">
        <v>163034</v>
      </c>
      <c r="J965" s="2">
        <v>250</v>
      </c>
      <c r="K965" s="2">
        <v>0.97</v>
      </c>
      <c r="L965" s="2">
        <v>6.29</v>
      </c>
      <c r="M965" s="2">
        <v>1.2</v>
      </c>
      <c r="N965" s="4">
        <v>4</v>
      </c>
    </row>
    <row r="966" spans="1:14" x14ac:dyDescent="0.35">
      <c r="A966" s="3">
        <v>2015</v>
      </c>
      <c r="B966" s="2">
        <v>2</v>
      </c>
      <c r="C966" s="2" t="s">
        <v>14</v>
      </c>
      <c r="D966" s="2" t="s">
        <v>15</v>
      </c>
      <c r="E966" s="2" t="s">
        <v>20</v>
      </c>
      <c r="F966" s="2" t="s">
        <v>23</v>
      </c>
      <c r="G966" s="2">
        <v>48016</v>
      </c>
      <c r="H966" s="2">
        <v>1156</v>
      </c>
      <c r="I966" s="2">
        <v>486549</v>
      </c>
      <c r="J966" s="2">
        <v>346</v>
      </c>
      <c r="K966" s="2">
        <v>0.97</v>
      </c>
      <c r="L966" s="2">
        <v>6.29</v>
      </c>
      <c r="M966" s="2">
        <v>1.2</v>
      </c>
      <c r="N966" s="4">
        <v>6</v>
      </c>
    </row>
    <row r="967" spans="1:14" x14ac:dyDescent="0.35">
      <c r="A967" s="3">
        <v>2018</v>
      </c>
      <c r="B967" s="2">
        <v>9</v>
      </c>
      <c r="C967" s="2" t="s">
        <v>14</v>
      </c>
      <c r="D967" s="2" t="s">
        <v>29</v>
      </c>
      <c r="E967" s="2" t="s">
        <v>19</v>
      </c>
      <c r="F967" s="2" t="s">
        <v>17</v>
      </c>
      <c r="G967" s="2">
        <v>77137</v>
      </c>
      <c r="H967" s="2">
        <v>243</v>
      </c>
      <c r="I967" s="2">
        <v>484044</v>
      </c>
      <c r="J967" s="2">
        <v>52</v>
      </c>
      <c r="K967" s="2">
        <v>0.97</v>
      </c>
      <c r="L967" s="2">
        <v>6.29</v>
      </c>
      <c r="M967" s="2">
        <v>1.2</v>
      </c>
      <c r="N967" s="4">
        <v>8</v>
      </c>
    </row>
    <row r="968" spans="1:14" x14ac:dyDescent="0.35">
      <c r="A968" s="3">
        <v>2020</v>
      </c>
      <c r="B968" s="2">
        <v>7</v>
      </c>
      <c r="C968" s="2" t="s">
        <v>35</v>
      </c>
      <c r="D968" s="2" t="s">
        <v>22</v>
      </c>
      <c r="E968" s="2" t="s">
        <v>20</v>
      </c>
      <c r="F968" s="2" t="s">
        <v>20</v>
      </c>
      <c r="G968" s="2">
        <v>35153</v>
      </c>
      <c r="H968" s="2">
        <v>630</v>
      </c>
      <c r="I968" s="2">
        <v>250598</v>
      </c>
      <c r="J968" s="2">
        <v>104</v>
      </c>
      <c r="K968" s="2">
        <v>0.97</v>
      </c>
      <c r="L968" s="2">
        <v>6.29</v>
      </c>
      <c r="M968" s="2">
        <v>1.2</v>
      </c>
      <c r="N968" s="4">
        <v>9</v>
      </c>
    </row>
    <row r="969" spans="1:14" x14ac:dyDescent="0.35">
      <c r="A969" s="3">
        <v>2016</v>
      </c>
      <c r="B969" s="2">
        <v>8</v>
      </c>
      <c r="C969" s="2" t="s">
        <v>37</v>
      </c>
      <c r="D969" s="2" t="s">
        <v>18</v>
      </c>
      <c r="E969" s="2" t="s">
        <v>16</v>
      </c>
      <c r="F969" s="2" t="s">
        <v>20</v>
      </c>
      <c r="G969" s="2">
        <v>42853</v>
      </c>
      <c r="H969" s="2">
        <v>666</v>
      </c>
      <c r="I969" s="2">
        <v>104362</v>
      </c>
      <c r="J969" s="2">
        <v>235</v>
      </c>
      <c r="K969" s="2">
        <v>0.97</v>
      </c>
      <c r="L969" s="2">
        <v>6.29</v>
      </c>
      <c r="M969" s="2">
        <v>1.2</v>
      </c>
      <c r="N969" s="4">
        <v>3</v>
      </c>
    </row>
    <row r="970" spans="1:14" x14ac:dyDescent="0.35">
      <c r="A970" s="3">
        <v>2024</v>
      </c>
      <c r="B970" s="2">
        <v>11</v>
      </c>
      <c r="C970" s="2" t="s">
        <v>38</v>
      </c>
      <c r="D970" s="2" t="s">
        <v>26</v>
      </c>
      <c r="E970" s="2" t="s">
        <v>19</v>
      </c>
      <c r="F970" s="2" t="s">
        <v>23</v>
      </c>
      <c r="G970" s="2">
        <v>47379</v>
      </c>
      <c r="H970" s="2">
        <v>59</v>
      </c>
      <c r="I970" s="2">
        <v>103997</v>
      </c>
      <c r="J970" s="2">
        <v>15</v>
      </c>
      <c r="K970" s="2">
        <v>0.97</v>
      </c>
      <c r="L970" s="2">
        <v>6.29</v>
      </c>
      <c r="M970" s="2">
        <v>1.2</v>
      </c>
      <c r="N970" s="4">
        <v>2</v>
      </c>
    </row>
    <row r="971" spans="1:14" x14ac:dyDescent="0.35">
      <c r="A971" s="3">
        <v>2019</v>
      </c>
      <c r="B971" s="2">
        <v>2</v>
      </c>
      <c r="C971" s="2" t="s">
        <v>37</v>
      </c>
      <c r="D971" s="2" t="s">
        <v>33</v>
      </c>
      <c r="E971" s="2" t="s">
        <v>19</v>
      </c>
      <c r="F971" s="2" t="s">
        <v>20</v>
      </c>
      <c r="G971" s="2">
        <v>50792</v>
      </c>
      <c r="H971" s="2">
        <v>804</v>
      </c>
      <c r="I971" s="2">
        <v>231413</v>
      </c>
      <c r="J971" s="2">
        <v>223</v>
      </c>
      <c r="K971" s="2">
        <v>0.97</v>
      </c>
      <c r="L971" s="2">
        <v>6.29</v>
      </c>
      <c r="M971" s="2">
        <v>1.2</v>
      </c>
      <c r="N971" s="4">
        <v>6</v>
      </c>
    </row>
    <row r="972" spans="1:14" x14ac:dyDescent="0.35">
      <c r="A972" s="3">
        <v>2024</v>
      </c>
      <c r="B972" s="2">
        <v>7</v>
      </c>
      <c r="C972" s="2" t="s">
        <v>25</v>
      </c>
      <c r="D972" s="2" t="s">
        <v>24</v>
      </c>
      <c r="E972" s="2" t="s">
        <v>19</v>
      </c>
      <c r="F972" s="2" t="s">
        <v>23</v>
      </c>
      <c r="G972" s="2">
        <v>73367</v>
      </c>
      <c r="H972" s="2">
        <v>596</v>
      </c>
      <c r="I972" s="2">
        <v>462289</v>
      </c>
      <c r="J972" s="2">
        <v>215</v>
      </c>
      <c r="K972" s="2">
        <v>0.97</v>
      </c>
      <c r="L972" s="2">
        <v>6.29</v>
      </c>
      <c r="M972" s="2">
        <v>1.2</v>
      </c>
      <c r="N972" s="4">
        <v>4</v>
      </c>
    </row>
    <row r="973" spans="1:14" x14ac:dyDescent="0.35">
      <c r="A973" s="3">
        <v>2015</v>
      </c>
      <c r="B973" s="2">
        <v>12</v>
      </c>
      <c r="C973" s="2" t="s">
        <v>30</v>
      </c>
      <c r="D973" s="2" t="s">
        <v>34</v>
      </c>
      <c r="E973" s="2" t="s">
        <v>16</v>
      </c>
      <c r="F973" s="2" t="s">
        <v>23</v>
      </c>
      <c r="G973" s="2">
        <v>53100</v>
      </c>
      <c r="H973" s="2">
        <v>320</v>
      </c>
      <c r="I973" s="2">
        <v>414543</v>
      </c>
      <c r="J973" s="2">
        <v>76</v>
      </c>
      <c r="K973" s="2">
        <v>0.97</v>
      </c>
      <c r="L973" s="2">
        <v>6.29</v>
      </c>
      <c r="M973" s="2">
        <v>1.2</v>
      </c>
      <c r="N973" s="4">
        <v>1</v>
      </c>
    </row>
    <row r="974" spans="1:14" x14ac:dyDescent="0.35">
      <c r="A974" s="3">
        <v>2020</v>
      </c>
      <c r="B974" s="2">
        <v>6</v>
      </c>
      <c r="C974" s="2" t="s">
        <v>30</v>
      </c>
      <c r="D974" s="2" t="s">
        <v>18</v>
      </c>
      <c r="E974" s="2" t="s">
        <v>20</v>
      </c>
      <c r="F974" s="2" t="s">
        <v>23</v>
      </c>
      <c r="G974" s="2">
        <v>98456</v>
      </c>
      <c r="H974" s="2">
        <v>565</v>
      </c>
      <c r="I974" s="2">
        <v>326693</v>
      </c>
      <c r="J974" s="2">
        <v>109</v>
      </c>
      <c r="K974" s="2">
        <v>0.97</v>
      </c>
      <c r="L974" s="2">
        <v>6.29</v>
      </c>
      <c r="M974" s="2">
        <v>1.2</v>
      </c>
      <c r="N974" s="4">
        <v>8</v>
      </c>
    </row>
    <row r="975" spans="1:14" x14ac:dyDescent="0.35">
      <c r="A975" s="3">
        <v>2020</v>
      </c>
      <c r="B975" s="2">
        <v>4</v>
      </c>
      <c r="C975" s="2" t="s">
        <v>30</v>
      </c>
      <c r="D975" s="2" t="s">
        <v>29</v>
      </c>
      <c r="E975" s="2" t="s">
        <v>19</v>
      </c>
      <c r="F975" s="2" t="s">
        <v>27</v>
      </c>
      <c r="G975" s="2">
        <v>46049</v>
      </c>
      <c r="H975" s="2">
        <v>96</v>
      </c>
      <c r="I975" s="2">
        <v>369064</v>
      </c>
      <c r="J975" s="2">
        <v>21</v>
      </c>
      <c r="K975" s="2">
        <v>0.97</v>
      </c>
      <c r="L975" s="2">
        <v>6.29</v>
      </c>
      <c r="M975" s="2">
        <v>1.2</v>
      </c>
      <c r="N975" s="4">
        <v>9</v>
      </c>
    </row>
    <row r="976" spans="1:14" x14ac:dyDescent="0.35">
      <c r="A976" s="3">
        <v>2018</v>
      </c>
      <c r="B976" s="2">
        <v>7</v>
      </c>
      <c r="C976" s="2" t="s">
        <v>35</v>
      </c>
      <c r="D976" s="2" t="s">
        <v>18</v>
      </c>
      <c r="E976" s="2" t="s">
        <v>20</v>
      </c>
      <c r="F976" s="2" t="s">
        <v>20</v>
      </c>
      <c r="G976" s="2">
        <v>35786</v>
      </c>
      <c r="H976" s="2">
        <v>575</v>
      </c>
      <c r="I976" s="2">
        <v>266398</v>
      </c>
      <c r="J976" s="2">
        <v>246</v>
      </c>
      <c r="K976" s="2">
        <v>0.97</v>
      </c>
      <c r="L976" s="2">
        <v>6.29</v>
      </c>
      <c r="M976" s="2">
        <v>1.2</v>
      </c>
      <c r="N976" s="4">
        <v>9</v>
      </c>
    </row>
    <row r="977" spans="1:14" x14ac:dyDescent="0.35">
      <c r="A977" s="3">
        <v>2022</v>
      </c>
      <c r="B977" s="2">
        <v>4</v>
      </c>
      <c r="C977" s="2" t="s">
        <v>30</v>
      </c>
      <c r="D977" s="2" t="s">
        <v>29</v>
      </c>
      <c r="E977" s="2" t="s">
        <v>20</v>
      </c>
      <c r="F977" s="2" t="s">
        <v>23</v>
      </c>
      <c r="G977" s="2">
        <v>104904</v>
      </c>
      <c r="H977" s="2">
        <v>968</v>
      </c>
      <c r="I977" s="2">
        <v>310464</v>
      </c>
      <c r="J977" s="2">
        <v>331</v>
      </c>
      <c r="K977" s="2">
        <v>0.97</v>
      </c>
      <c r="L977" s="2">
        <v>6.29</v>
      </c>
      <c r="M977" s="2">
        <v>1.2</v>
      </c>
      <c r="N977" s="4">
        <v>2</v>
      </c>
    </row>
    <row r="978" spans="1:14" x14ac:dyDescent="0.35">
      <c r="A978" s="3">
        <v>2018</v>
      </c>
      <c r="B978" s="2">
        <v>2</v>
      </c>
      <c r="C978" s="2" t="s">
        <v>25</v>
      </c>
      <c r="D978" s="2" t="s">
        <v>33</v>
      </c>
      <c r="E978" s="2" t="s">
        <v>16</v>
      </c>
      <c r="F978" s="2" t="s">
        <v>17</v>
      </c>
      <c r="G978" s="2">
        <v>65699</v>
      </c>
      <c r="H978" s="2">
        <v>582</v>
      </c>
      <c r="I978" s="2">
        <v>463532</v>
      </c>
      <c r="J978" s="2">
        <v>267</v>
      </c>
      <c r="K978" s="2">
        <v>0.97</v>
      </c>
      <c r="L978" s="2">
        <v>6.29</v>
      </c>
      <c r="M978" s="2">
        <v>1.2</v>
      </c>
      <c r="N978" s="4">
        <v>9</v>
      </c>
    </row>
    <row r="979" spans="1:14" x14ac:dyDescent="0.35">
      <c r="A979" s="3">
        <v>2022</v>
      </c>
      <c r="B979" s="2">
        <v>10</v>
      </c>
      <c r="C979" s="2" t="s">
        <v>28</v>
      </c>
      <c r="D979" s="2" t="s">
        <v>22</v>
      </c>
      <c r="E979" s="2" t="s">
        <v>19</v>
      </c>
      <c r="F979" s="2" t="s">
        <v>27</v>
      </c>
      <c r="G979" s="2">
        <v>82691</v>
      </c>
      <c r="H979" s="2">
        <v>1124</v>
      </c>
      <c r="I979" s="2">
        <v>207255</v>
      </c>
      <c r="J979" s="2">
        <v>346</v>
      </c>
      <c r="K979" s="2">
        <v>0.97</v>
      </c>
      <c r="L979" s="2">
        <v>6.29</v>
      </c>
      <c r="M979" s="2">
        <v>1.2</v>
      </c>
      <c r="N979" s="4">
        <v>7</v>
      </c>
    </row>
    <row r="980" spans="1:14" x14ac:dyDescent="0.35">
      <c r="A980" s="3">
        <v>2022</v>
      </c>
      <c r="B980" s="2">
        <v>12</v>
      </c>
      <c r="C980" s="2" t="s">
        <v>38</v>
      </c>
      <c r="D980" s="2" t="s">
        <v>29</v>
      </c>
      <c r="E980" s="2" t="s">
        <v>20</v>
      </c>
      <c r="F980" s="2" t="s">
        <v>27</v>
      </c>
      <c r="G980" s="2">
        <v>72040</v>
      </c>
      <c r="H980" s="2">
        <v>697</v>
      </c>
      <c r="I980" s="2">
        <v>406004</v>
      </c>
      <c r="J980" s="2">
        <v>144</v>
      </c>
      <c r="K980" s="2">
        <v>0.97</v>
      </c>
      <c r="L980" s="2">
        <v>6.29</v>
      </c>
      <c r="M980" s="2">
        <v>1.2</v>
      </c>
      <c r="N980" s="4">
        <v>5</v>
      </c>
    </row>
    <row r="981" spans="1:14" x14ac:dyDescent="0.35">
      <c r="A981" s="3">
        <v>2019</v>
      </c>
      <c r="B981" s="2">
        <v>7</v>
      </c>
      <c r="C981" s="2" t="s">
        <v>25</v>
      </c>
      <c r="D981" s="2" t="s">
        <v>33</v>
      </c>
      <c r="E981" s="2" t="s">
        <v>19</v>
      </c>
      <c r="F981" s="2" t="s">
        <v>20</v>
      </c>
      <c r="G981" s="2">
        <v>92986</v>
      </c>
      <c r="H981" s="2">
        <v>704</v>
      </c>
      <c r="I981" s="2">
        <v>74624</v>
      </c>
      <c r="J981" s="2">
        <v>231</v>
      </c>
      <c r="K981" s="2">
        <v>0.97</v>
      </c>
      <c r="L981" s="2">
        <v>6.29</v>
      </c>
      <c r="M981" s="2">
        <v>1.2</v>
      </c>
      <c r="N981" s="4">
        <v>7</v>
      </c>
    </row>
    <row r="982" spans="1:14" x14ac:dyDescent="0.35">
      <c r="A982" s="3">
        <v>2018</v>
      </c>
      <c r="B982" s="2">
        <v>8</v>
      </c>
      <c r="C982" s="2" t="s">
        <v>38</v>
      </c>
      <c r="D982" s="2" t="s">
        <v>33</v>
      </c>
      <c r="E982" s="2" t="s">
        <v>19</v>
      </c>
      <c r="F982" s="2" t="s">
        <v>23</v>
      </c>
      <c r="G982" s="2">
        <v>73762</v>
      </c>
      <c r="H982" s="2">
        <v>332</v>
      </c>
      <c r="I982" s="2">
        <v>243587</v>
      </c>
      <c r="J982" s="2">
        <v>165</v>
      </c>
      <c r="K982" s="2">
        <v>0.97</v>
      </c>
      <c r="L982" s="2">
        <v>6.29</v>
      </c>
      <c r="M982" s="2">
        <v>1.2</v>
      </c>
      <c r="N982" s="4">
        <v>9</v>
      </c>
    </row>
    <row r="983" spans="1:14" x14ac:dyDescent="0.35">
      <c r="A983" s="3">
        <v>2016</v>
      </c>
      <c r="B983" s="2">
        <v>2</v>
      </c>
      <c r="C983" s="2" t="s">
        <v>25</v>
      </c>
      <c r="D983" s="2" t="s">
        <v>22</v>
      </c>
      <c r="E983" s="2" t="s">
        <v>16</v>
      </c>
      <c r="F983" s="2" t="s">
        <v>20</v>
      </c>
      <c r="G983" s="2">
        <v>58600</v>
      </c>
      <c r="H983" s="2">
        <v>654</v>
      </c>
      <c r="I983" s="2">
        <v>284784</v>
      </c>
      <c r="J983" s="2">
        <v>151</v>
      </c>
      <c r="K983" s="2">
        <v>0.97</v>
      </c>
      <c r="L983" s="2">
        <v>6.29</v>
      </c>
      <c r="M983" s="2">
        <v>1.2</v>
      </c>
      <c r="N983" s="4">
        <v>8</v>
      </c>
    </row>
    <row r="984" spans="1:14" x14ac:dyDescent="0.35">
      <c r="A984" s="3">
        <v>2017</v>
      </c>
      <c r="B984" s="2">
        <v>5</v>
      </c>
      <c r="C984" s="2" t="s">
        <v>30</v>
      </c>
      <c r="D984" s="2" t="s">
        <v>15</v>
      </c>
      <c r="E984" s="2" t="s">
        <v>19</v>
      </c>
      <c r="F984" s="2" t="s">
        <v>27</v>
      </c>
      <c r="G984" s="2">
        <v>54810</v>
      </c>
      <c r="H984" s="2">
        <v>663</v>
      </c>
      <c r="I984" s="2">
        <v>96705</v>
      </c>
      <c r="J984" s="2">
        <v>167</v>
      </c>
      <c r="K984" s="2">
        <v>0.97</v>
      </c>
      <c r="L984" s="2">
        <v>6.29</v>
      </c>
      <c r="M984" s="2">
        <v>1.2</v>
      </c>
      <c r="N984" s="4">
        <v>6</v>
      </c>
    </row>
    <row r="985" spans="1:14" x14ac:dyDescent="0.35">
      <c r="A985" s="3">
        <v>2017</v>
      </c>
      <c r="B985" s="2">
        <v>1</v>
      </c>
      <c r="C985" s="2" t="s">
        <v>28</v>
      </c>
      <c r="D985" s="2" t="s">
        <v>18</v>
      </c>
      <c r="E985" s="2" t="s">
        <v>19</v>
      </c>
      <c r="F985" s="2" t="s">
        <v>23</v>
      </c>
      <c r="G985" s="2">
        <v>92204</v>
      </c>
      <c r="H985" s="2">
        <v>698</v>
      </c>
      <c r="I985" s="2">
        <v>139326</v>
      </c>
      <c r="J985" s="2">
        <v>335</v>
      </c>
      <c r="K985" s="2">
        <v>0.97</v>
      </c>
      <c r="L985" s="2">
        <v>6.29</v>
      </c>
      <c r="M985" s="2">
        <v>1.2</v>
      </c>
      <c r="N985" s="4">
        <v>4</v>
      </c>
    </row>
    <row r="986" spans="1:14" x14ac:dyDescent="0.35">
      <c r="A986" s="3">
        <v>2018</v>
      </c>
      <c r="B986" s="2">
        <v>7</v>
      </c>
      <c r="C986" s="2" t="s">
        <v>14</v>
      </c>
      <c r="D986" s="2" t="s">
        <v>31</v>
      </c>
      <c r="E986" s="2" t="s">
        <v>20</v>
      </c>
      <c r="F986" s="2" t="s">
        <v>17</v>
      </c>
      <c r="G986" s="2">
        <v>55085</v>
      </c>
      <c r="H986" s="2">
        <v>880</v>
      </c>
      <c r="I986" s="2">
        <v>469972</v>
      </c>
      <c r="J986" s="2">
        <v>380</v>
      </c>
      <c r="K986" s="2">
        <v>0.97</v>
      </c>
      <c r="L986" s="2">
        <v>6.29</v>
      </c>
      <c r="M986" s="2">
        <v>1.2</v>
      </c>
      <c r="N986" s="4">
        <v>1</v>
      </c>
    </row>
    <row r="987" spans="1:14" x14ac:dyDescent="0.35">
      <c r="A987" s="3">
        <v>2018</v>
      </c>
      <c r="B987" s="2">
        <v>8</v>
      </c>
      <c r="C987" s="2" t="s">
        <v>37</v>
      </c>
      <c r="D987" s="2" t="s">
        <v>31</v>
      </c>
      <c r="E987" s="2" t="s">
        <v>16</v>
      </c>
      <c r="F987" s="2" t="s">
        <v>23</v>
      </c>
      <c r="G987" s="2">
        <v>81854</v>
      </c>
      <c r="H987" s="2">
        <v>887</v>
      </c>
      <c r="I987" s="2">
        <v>372534</v>
      </c>
      <c r="J987" s="2">
        <v>353</v>
      </c>
      <c r="K987" s="2">
        <v>0.97</v>
      </c>
      <c r="L987" s="2">
        <v>6.29</v>
      </c>
      <c r="M987" s="2">
        <v>1.2</v>
      </c>
      <c r="N987" s="4">
        <v>6</v>
      </c>
    </row>
    <row r="988" spans="1:14" x14ac:dyDescent="0.35">
      <c r="A988" s="3">
        <v>2024</v>
      </c>
      <c r="B988" s="2">
        <v>6</v>
      </c>
      <c r="C988" s="2" t="s">
        <v>32</v>
      </c>
      <c r="D988" s="2" t="s">
        <v>34</v>
      </c>
      <c r="E988" s="2" t="s">
        <v>19</v>
      </c>
      <c r="F988" s="2" t="s">
        <v>27</v>
      </c>
      <c r="G988" s="2">
        <v>109797</v>
      </c>
      <c r="H988" s="2">
        <v>720</v>
      </c>
      <c r="I988" s="2">
        <v>118369</v>
      </c>
      <c r="J988" s="2">
        <v>271</v>
      </c>
      <c r="K988" s="2">
        <v>0.97</v>
      </c>
      <c r="L988" s="2">
        <v>6.29</v>
      </c>
      <c r="M988" s="2">
        <v>1.2</v>
      </c>
      <c r="N988" s="4">
        <v>3</v>
      </c>
    </row>
    <row r="989" spans="1:14" x14ac:dyDescent="0.35">
      <c r="A989" s="3">
        <v>2019</v>
      </c>
      <c r="B989" s="2">
        <v>5</v>
      </c>
      <c r="C989" s="2" t="s">
        <v>28</v>
      </c>
      <c r="D989" s="2" t="s">
        <v>34</v>
      </c>
      <c r="E989" s="2" t="s">
        <v>20</v>
      </c>
      <c r="F989" s="2" t="s">
        <v>17</v>
      </c>
      <c r="G989" s="2">
        <v>119269</v>
      </c>
      <c r="H989" s="2">
        <v>910</v>
      </c>
      <c r="I989" s="2">
        <v>251893</v>
      </c>
      <c r="J989" s="2">
        <v>292</v>
      </c>
      <c r="K989" s="2">
        <v>0.97</v>
      </c>
      <c r="L989" s="2">
        <v>6.29</v>
      </c>
      <c r="M989" s="2">
        <v>1.2</v>
      </c>
      <c r="N989" s="4">
        <v>6</v>
      </c>
    </row>
    <row r="990" spans="1:14" x14ac:dyDescent="0.35">
      <c r="A990" s="3">
        <v>2018</v>
      </c>
      <c r="B990" s="2">
        <v>6</v>
      </c>
      <c r="C990" s="2" t="s">
        <v>14</v>
      </c>
      <c r="D990" s="2" t="s">
        <v>31</v>
      </c>
      <c r="E990" s="2" t="s">
        <v>16</v>
      </c>
      <c r="F990" s="2" t="s">
        <v>23</v>
      </c>
      <c r="G990" s="2">
        <v>74779</v>
      </c>
      <c r="H990" s="2">
        <v>726</v>
      </c>
      <c r="I990" s="2">
        <v>321733</v>
      </c>
      <c r="J990" s="2">
        <v>347</v>
      </c>
      <c r="K990" s="2">
        <v>0.97</v>
      </c>
      <c r="L990" s="2">
        <v>6.29</v>
      </c>
      <c r="M990" s="2">
        <v>1.2</v>
      </c>
      <c r="N990" s="4">
        <v>6</v>
      </c>
    </row>
    <row r="991" spans="1:14" x14ac:dyDescent="0.35">
      <c r="A991" s="3">
        <v>2024</v>
      </c>
      <c r="B991" s="2">
        <v>2</v>
      </c>
      <c r="C991" s="2" t="s">
        <v>21</v>
      </c>
      <c r="D991" s="2" t="s">
        <v>26</v>
      </c>
      <c r="E991" s="2" t="s">
        <v>16</v>
      </c>
      <c r="F991" s="2" t="s">
        <v>17</v>
      </c>
      <c r="G991" s="2">
        <v>91207</v>
      </c>
      <c r="H991" s="2">
        <v>821</v>
      </c>
      <c r="I991" s="2">
        <v>163012</v>
      </c>
      <c r="J991" s="2">
        <v>353</v>
      </c>
      <c r="K991" s="2">
        <v>0.97</v>
      </c>
      <c r="L991" s="2">
        <v>6.29</v>
      </c>
      <c r="M991" s="2">
        <v>1.2</v>
      </c>
      <c r="N991" s="4">
        <v>4</v>
      </c>
    </row>
    <row r="992" spans="1:14" x14ac:dyDescent="0.35">
      <c r="A992" s="3">
        <v>2022</v>
      </c>
      <c r="B992" s="2">
        <v>1</v>
      </c>
      <c r="C992" s="2" t="s">
        <v>25</v>
      </c>
      <c r="D992" s="2" t="s">
        <v>31</v>
      </c>
      <c r="E992" s="2" t="s">
        <v>20</v>
      </c>
      <c r="F992" s="2" t="s">
        <v>17</v>
      </c>
      <c r="G992" s="2">
        <v>68980</v>
      </c>
      <c r="H992" s="2">
        <v>710</v>
      </c>
      <c r="I992" s="2">
        <v>457332</v>
      </c>
      <c r="J992" s="2">
        <v>238</v>
      </c>
      <c r="K992" s="2">
        <v>0.97</v>
      </c>
      <c r="L992" s="2">
        <v>6.29</v>
      </c>
      <c r="M992" s="2">
        <v>1.2</v>
      </c>
      <c r="N992" s="4">
        <v>2</v>
      </c>
    </row>
    <row r="993" spans="1:14" x14ac:dyDescent="0.35">
      <c r="A993" s="3">
        <v>2020</v>
      </c>
      <c r="B993" s="2">
        <v>7</v>
      </c>
      <c r="C993" s="2" t="s">
        <v>21</v>
      </c>
      <c r="D993" s="2" t="s">
        <v>34</v>
      </c>
      <c r="E993" s="2" t="s">
        <v>20</v>
      </c>
      <c r="F993" s="2" t="s">
        <v>27</v>
      </c>
      <c r="G993" s="2">
        <v>91117</v>
      </c>
      <c r="H993" s="2">
        <v>1036</v>
      </c>
      <c r="I993" s="2">
        <v>385325</v>
      </c>
      <c r="J993" s="2">
        <v>385</v>
      </c>
      <c r="K993" s="2">
        <v>0.97</v>
      </c>
      <c r="L993" s="2">
        <v>6.29</v>
      </c>
      <c r="M993" s="2">
        <v>1.2</v>
      </c>
      <c r="N993" s="4">
        <v>9</v>
      </c>
    </row>
    <row r="994" spans="1:14" x14ac:dyDescent="0.35">
      <c r="A994" s="3">
        <v>2020</v>
      </c>
      <c r="B994" s="2">
        <v>7</v>
      </c>
      <c r="C994" s="2" t="s">
        <v>14</v>
      </c>
      <c r="D994" s="2" t="s">
        <v>24</v>
      </c>
      <c r="E994" s="2" t="s">
        <v>20</v>
      </c>
      <c r="F994" s="2" t="s">
        <v>17</v>
      </c>
      <c r="G994" s="2">
        <v>49141</v>
      </c>
      <c r="H994" s="2">
        <v>648</v>
      </c>
      <c r="I994" s="2">
        <v>225858</v>
      </c>
      <c r="J994" s="2">
        <v>289</v>
      </c>
      <c r="K994" s="2">
        <v>0.97</v>
      </c>
      <c r="L994" s="2">
        <v>6.29</v>
      </c>
      <c r="M994" s="2">
        <v>1.2</v>
      </c>
      <c r="N994" s="4">
        <v>2</v>
      </c>
    </row>
    <row r="995" spans="1:14" x14ac:dyDescent="0.35">
      <c r="A995" s="3">
        <v>2022</v>
      </c>
      <c r="B995" s="2">
        <v>10</v>
      </c>
      <c r="C995" s="2" t="s">
        <v>28</v>
      </c>
      <c r="D995" s="2" t="s">
        <v>34</v>
      </c>
      <c r="E995" s="2" t="s">
        <v>20</v>
      </c>
      <c r="F995" s="2" t="s">
        <v>20</v>
      </c>
      <c r="G995" s="2">
        <v>44344</v>
      </c>
      <c r="H995" s="2">
        <v>783</v>
      </c>
      <c r="I995" s="2">
        <v>275758</v>
      </c>
      <c r="J995" s="2">
        <v>367</v>
      </c>
      <c r="K995" s="2">
        <v>0.97</v>
      </c>
      <c r="L995" s="2">
        <v>6.29</v>
      </c>
      <c r="M995" s="2">
        <v>1.2</v>
      </c>
      <c r="N995" s="4">
        <v>3</v>
      </c>
    </row>
    <row r="996" spans="1:14" x14ac:dyDescent="0.35">
      <c r="A996" s="3">
        <v>2021</v>
      </c>
      <c r="B996" s="2">
        <v>11</v>
      </c>
      <c r="C996" s="2" t="s">
        <v>25</v>
      </c>
      <c r="D996" s="2" t="s">
        <v>26</v>
      </c>
      <c r="E996" s="2" t="s">
        <v>20</v>
      </c>
      <c r="F996" s="2" t="s">
        <v>27</v>
      </c>
      <c r="G996" s="2">
        <v>50896</v>
      </c>
      <c r="H996" s="2">
        <v>668</v>
      </c>
      <c r="I996" s="2">
        <v>173711</v>
      </c>
      <c r="J996" s="2">
        <v>299</v>
      </c>
      <c r="K996" s="2">
        <v>0.97</v>
      </c>
      <c r="L996" s="2">
        <v>6.29</v>
      </c>
      <c r="M996" s="2">
        <v>1.2</v>
      </c>
      <c r="N996" s="4">
        <v>10</v>
      </c>
    </row>
    <row r="997" spans="1:14" x14ac:dyDescent="0.35">
      <c r="A997" s="3">
        <v>2024</v>
      </c>
      <c r="B997" s="2">
        <v>10</v>
      </c>
      <c r="C997" s="2" t="s">
        <v>32</v>
      </c>
      <c r="D997" s="2" t="s">
        <v>18</v>
      </c>
      <c r="E997" s="2" t="s">
        <v>19</v>
      </c>
      <c r="F997" s="2" t="s">
        <v>20</v>
      </c>
      <c r="G997" s="2">
        <v>64813</v>
      </c>
      <c r="H997" s="2">
        <v>570</v>
      </c>
      <c r="I997" s="2">
        <v>126425</v>
      </c>
      <c r="J997" s="2">
        <v>177</v>
      </c>
      <c r="K997" s="2">
        <v>0.97</v>
      </c>
      <c r="L997" s="2">
        <v>6.29</v>
      </c>
      <c r="M997" s="2">
        <v>1.2</v>
      </c>
      <c r="N997" s="4">
        <v>1</v>
      </c>
    </row>
    <row r="998" spans="1:14" x14ac:dyDescent="0.35">
      <c r="A998" s="3">
        <v>2024</v>
      </c>
      <c r="B998" s="2">
        <v>2</v>
      </c>
      <c r="C998" s="2" t="s">
        <v>30</v>
      </c>
      <c r="D998" s="2" t="s">
        <v>31</v>
      </c>
      <c r="E998" s="2" t="s">
        <v>19</v>
      </c>
      <c r="F998" s="2" t="s">
        <v>17</v>
      </c>
      <c r="G998" s="2">
        <v>119431</v>
      </c>
      <c r="H998" s="2">
        <v>433</v>
      </c>
      <c r="I998" s="2">
        <v>473502</v>
      </c>
      <c r="J998" s="2">
        <v>56</v>
      </c>
      <c r="K998" s="2">
        <v>0.97</v>
      </c>
      <c r="L998" s="2">
        <v>6.29</v>
      </c>
      <c r="M998" s="2">
        <v>1.2</v>
      </c>
      <c r="N998" s="4">
        <v>7</v>
      </c>
    </row>
    <row r="999" spans="1:14" x14ac:dyDescent="0.35">
      <c r="A999" s="3">
        <v>2022</v>
      </c>
      <c r="B999" s="2">
        <v>2</v>
      </c>
      <c r="C999" s="2" t="s">
        <v>25</v>
      </c>
      <c r="D999" s="2" t="s">
        <v>22</v>
      </c>
      <c r="E999" s="2" t="s">
        <v>16</v>
      </c>
      <c r="F999" s="2" t="s">
        <v>20</v>
      </c>
      <c r="G999" s="2">
        <v>100679</v>
      </c>
      <c r="H999" s="2">
        <v>614</v>
      </c>
      <c r="I999" s="2">
        <v>65994</v>
      </c>
      <c r="J999" s="2">
        <v>212</v>
      </c>
      <c r="K999" s="2">
        <v>0.97</v>
      </c>
      <c r="L999" s="2">
        <v>6.29</v>
      </c>
      <c r="M999" s="2">
        <v>1.2</v>
      </c>
      <c r="N999" s="4">
        <v>1</v>
      </c>
    </row>
    <row r="1000" spans="1:14" x14ac:dyDescent="0.35">
      <c r="A1000" s="3">
        <v>2016</v>
      </c>
      <c r="B1000" s="2">
        <v>1</v>
      </c>
      <c r="C1000" s="2" t="s">
        <v>25</v>
      </c>
      <c r="D1000" s="2" t="s">
        <v>24</v>
      </c>
      <c r="E1000" s="2" t="s">
        <v>19</v>
      </c>
      <c r="F1000" s="2" t="s">
        <v>23</v>
      </c>
      <c r="G1000" s="2">
        <v>45681</v>
      </c>
      <c r="H1000" s="2">
        <v>511</v>
      </c>
      <c r="I1000" s="2">
        <v>161915</v>
      </c>
      <c r="J1000" s="2">
        <v>223</v>
      </c>
      <c r="K1000" s="2">
        <v>0.97</v>
      </c>
      <c r="L1000" s="2">
        <v>6.29</v>
      </c>
      <c r="M1000" s="2">
        <v>1.2</v>
      </c>
      <c r="N1000" s="4">
        <v>9</v>
      </c>
    </row>
    <row r="1001" spans="1:14" x14ac:dyDescent="0.35">
      <c r="A1001" s="8">
        <v>2023</v>
      </c>
      <c r="B1001" s="9">
        <v>10</v>
      </c>
      <c r="C1001" s="9" t="s">
        <v>28</v>
      </c>
      <c r="D1001" s="9" t="s">
        <v>33</v>
      </c>
      <c r="E1001" s="9" t="s">
        <v>19</v>
      </c>
      <c r="F1001" s="9" t="s">
        <v>17</v>
      </c>
      <c r="G1001" s="9">
        <v>107903</v>
      </c>
      <c r="H1001" s="9">
        <v>891</v>
      </c>
      <c r="I1001" s="9">
        <v>435105</v>
      </c>
      <c r="J1001" s="9">
        <v>255</v>
      </c>
      <c r="K1001" s="9">
        <v>0.97</v>
      </c>
      <c r="L1001" s="9">
        <v>6.29</v>
      </c>
      <c r="M1001" s="9">
        <v>1.2</v>
      </c>
      <c r="N1001" s="10">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FADEE1C-C05C-4235-8DE8-BD9390FF73D8}">
  <ds:schemaRefs/>
</ds:datastoreItem>
</file>

<file path=customXml/itemProps2.xml><?xml version="1.0" encoding="utf-8"?>
<ds:datastoreItem xmlns:ds="http://schemas.openxmlformats.org/officeDocument/2006/customXml" ds:itemID="{931851D8-CD49-4DC9-8271-8184295A1699}">
  <ds:schemaRefs/>
</ds:datastoreItem>
</file>

<file path=customXml/itemProps3.xml><?xml version="1.0" encoding="utf-8"?>
<ds:datastoreItem xmlns:ds="http://schemas.openxmlformats.org/officeDocument/2006/customXml" ds:itemID="{0C811854-9DA5-49F7-94E6-632193823C6B}">
  <ds:schemaRefs/>
</ds:datastoreItem>
</file>

<file path=customXml/itemProps4.xml><?xml version="1.0" encoding="utf-8"?>
<ds:datastoreItem xmlns:ds="http://schemas.openxmlformats.org/officeDocument/2006/customXml" ds:itemID="{68F380DD-3707-48DE-B4C5-67A729BE27AF}">
  <ds:schemaRefs/>
</ds:datastoreItem>
</file>

<file path=customXml/itemProps5.xml><?xml version="1.0" encoding="utf-8"?>
<ds:datastoreItem xmlns:ds="http://schemas.openxmlformats.org/officeDocument/2006/customXml" ds:itemID="{364E36AC-170D-482B-A139-4C5AE642696A}">
  <ds:schemaRefs/>
</ds:datastoreItem>
</file>

<file path=customXml/itemProps6.xml><?xml version="1.0" encoding="utf-8"?>
<ds:datastoreItem xmlns:ds="http://schemas.openxmlformats.org/officeDocument/2006/customXml" ds:itemID="{6CEA0C81-4750-4AC4-95CF-A578FB233FAC}">
  <ds:schemaRefs/>
</ds:datastoreItem>
</file>

<file path=customXml/itemProps7.xml><?xml version="1.0" encoding="utf-8"?>
<ds:datastoreItem xmlns:ds="http://schemas.openxmlformats.org/officeDocument/2006/customXml" ds:itemID="{831681C7-6CEA-439C-9875-DDD5D6FF9F35}">
  <ds:schemaRefs/>
</ds:datastoreItem>
</file>

<file path=customXml/itemProps8.xml><?xml version="1.0" encoding="utf-8"?>
<ds:datastoreItem xmlns:ds="http://schemas.openxmlformats.org/officeDocument/2006/customXml" ds:itemID="{30E5C9C4-EEF6-4F8C-ACA4-5F4ABB63E714}">
  <ds:schemaRefs/>
</ds:datastoreItem>
</file>

<file path=customXml/itemProps9.xml><?xml version="1.0" encoding="utf-8"?>
<ds:datastoreItem xmlns:ds="http://schemas.openxmlformats.org/officeDocument/2006/customXml" ds:itemID="{53C1A35D-5E67-4FDA-A0DF-894008BB51A0}">
  <ds:schemaRefs/>
</ds:datastoreItem>
</file>

<file path=customXml/itemProps10.xml><?xml version="1.0" encoding="utf-8"?>
<ds:datastoreItem xmlns:ds="http://schemas.openxmlformats.org/officeDocument/2006/customXml" ds:itemID="{CFFA016E-DB84-4030-804C-F5701B9A6D28}">
  <ds:schemaRefs/>
</ds:datastoreItem>
</file>

<file path=customXml/itemProps11.xml><?xml version="1.0" encoding="utf-8"?>
<ds:datastoreItem xmlns:ds="http://schemas.openxmlformats.org/officeDocument/2006/customXml" ds:itemID="{49B5CBCD-FBEB-4272-BD98-E0339276D99D}">
  <ds:schemaRefs/>
</ds:datastoreItem>
</file>

<file path=customXml/itemProps12.xml><?xml version="1.0" encoding="utf-8"?>
<ds:datastoreItem xmlns:ds="http://schemas.openxmlformats.org/officeDocument/2006/customXml" ds:itemID="{88F69437-E14C-4B25-A4DB-D80C5AD2F047}">
  <ds:schemaRefs/>
</ds:datastoreItem>
</file>

<file path=customXml/itemProps13.xml><?xml version="1.0" encoding="utf-8"?>
<ds:datastoreItem xmlns:ds="http://schemas.openxmlformats.org/officeDocument/2006/customXml" ds:itemID="{4A077C75-1DD4-4A6E-AA90-36AFE36E297D}">
  <ds:schemaRefs/>
</ds:datastoreItem>
</file>

<file path=customXml/itemProps14.xml><?xml version="1.0" encoding="utf-8"?>
<ds:datastoreItem xmlns:ds="http://schemas.openxmlformats.org/officeDocument/2006/customXml" ds:itemID="{01D620AE-DC01-4D47-A535-6882B4F4D111}">
  <ds:schemaRefs/>
</ds:datastoreItem>
</file>

<file path=customXml/itemProps15.xml><?xml version="1.0" encoding="utf-8"?>
<ds:datastoreItem xmlns:ds="http://schemas.openxmlformats.org/officeDocument/2006/customXml" ds:itemID="{FAF1CFCA-C975-48AA-8568-66BC45ACF67E}">
  <ds:schemaRefs/>
</ds:datastoreItem>
</file>

<file path=customXml/itemProps16.xml><?xml version="1.0" encoding="utf-8"?>
<ds:datastoreItem xmlns:ds="http://schemas.openxmlformats.org/officeDocument/2006/customXml" ds:itemID="{A463B925-9F58-4247-AB7B-EEF0C8596640}">
  <ds:schemaRefs>
    <ds:schemaRef ds:uri="http://schemas.microsoft.com/DataMashup"/>
  </ds:schemaRefs>
</ds:datastoreItem>
</file>

<file path=customXml/itemProps17.xml><?xml version="1.0" encoding="utf-8"?>
<ds:datastoreItem xmlns:ds="http://schemas.openxmlformats.org/officeDocument/2006/customXml" ds:itemID="{3A87C926-2463-4F1C-9B2B-DC48C1DCA8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Pivots</vt:lpstr>
      <vt:lpstr>Insights</vt:lpstr>
      <vt:lpstr>BMW</vt:lpstr>
      <vt:lpstr>Sheet2</vt:lpstr>
      <vt:lpstr>BMW_Sales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B2B</dc:creator>
  <cp:lastModifiedBy>marina nagy</cp:lastModifiedBy>
  <dcterms:created xsi:type="dcterms:W3CDTF">2026-04-23T09:30:07Z</dcterms:created>
  <dcterms:modified xsi:type="dcterms:W3CDTF">2026-05-14T17:34:40Z</dcterms:modified>
</cp:coreProperties>
</file>