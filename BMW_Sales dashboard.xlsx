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D:\fcai\data analysis - depi\tec\project\Excel BMW\"/>
    </mc:Choice>
  </mc:AlternateContent>
  <xr:revisionPtr revIDLastSave="0" documentId="13_ncr:1_{1C7E9EFA-6948-4CCA-B19B-4C2F6E0B45FB}" xr6:coauthVersionLast="47" xr6:coauthVersionMax="47" xr10:uidLastSave="{00000000-0000-0000-0000-000000000000}"/>
  <bookViews>
    <workbookView xWindow="-110" yWindow="-110" windowWidth="19420" windowHeight="10420" firstSheet="1" activeTab="1" xr2:uid="{15070F4E-536C-4AB4-989A-1E5670D8AD39}"/>
  </bookViews>
  <sheets>
    <sheet name="dashboard (2)" sheetId="4" state="hidden" r:id="rId1"/>
    <sheet name="Pivot" sheetId="1" r:id="rId2"/>
    <sheet name="dashboard" sheetId="2" r:id="rId3"/>
  </sheets>
  <definedNames>
    <definedName name="_xlnm.Print_Area" localSheetId="2">dashboard!$A$1:$AI$79</definedName>
    <definedName name="Slicer_country">#N/A</definedName>
    <definedName name="Slicer_country1">#N/A</definedName>
    <definedName name="Slicer_Model">#N/A</definedName>
    <definedName name="Slicer_Model1">#N/A</definedName>
    <definedName name="Slicer_month">#N/A</definedName>
    <definedName name="Slicer_month1">#N/A</definedName>
    <definedName name="Slicer_year">#N/A</definedName>
    <definedName name="Slicer_year1">#N/A</definedName>
  </definedNames>
  <calcPr calcId="181029"/>
  <pivotCaches>
    <pivotCache cacheId="419" r:id="rId4"/>
    <pivotCache cacheId="422" r:id="rId5"/>
    <pivotCache cacheId="425" r:id="rId6"/>
    <pivotCache cacheId="428" r:id="rId7"/>
    <pivotCache cacheId="431" r:id="rId8"/>
    <pivotCache cacheId="434" r:id="rId9"/>
    <pivotCache cacheId="437" r:id="rId10"/>
    <pivotCache cacheId="440" r:id="rId11"/>
    <pivotCache cacheId="443" r:id="rId12"/>
    <pivotCache cacheId="446" r:id="rId13"/>
    <pivotCache cacheId="449" r:id="rId14"/>
  </pivotCaches>
  <extLst>
    <ext xmlns:x14="http://schemas.microsoft.com/office/spreadsheetml/2009/9/main" uri="{876F7934-8845-4945-9796-88D515C7AA90}">
      <x14:pivotCaches>
        <pivotCache cacheId="219" r:id="rId15"/>
        <pivotCache cacheId="251" r:id="rId16"/>
      </x14:pivotCaches>
    </ex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1_ed55751d-a564-41be-81a2-5522994882d1" name="fact1" connection="Query - fact1"/>
          <x15:modelTable id="Car_description2_0bfe18eb-fe2f-444a-bde1-fe0c3a1f7382" name="Car_description2" connection="Query - Car_description2"/>
          <x15:modelTable id="Country_299ee32d-4dd8-42b6-acb7-e80857b9c86d" name="Country" connection="Query - Country"/>
          <x15:modelTable id="Date_ade55d73-f5c6-409c-b00a-89f6f64b94ac" name="Date" connection="Query - Date"/>
        </x15:modelTables>
        <x15:modelRelationships>
          <x15:modelRelationship fromTable="fact1" fromColumn="country Id" toTable="Country" toColumn="country Id"/>
          <x15:modelRelationship fromTable="fact1" fromColumn="Descrip_Id" toTable="Car_description2" toColumn="Descrip_Id"/>
          <x15:modelRelationship fromTable="fact1" fromColumn="date_id" toTable="Date" toColumn="dat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A8DAB0C-B008-4988-AE35-1DBA9F8F77BA}" name="Query - Car_description2" description="Connection to the 'Car_description2' query in the workbook." type="100" refreshedVersion="8" minRefreshableVersion="5">
    <extLst>
      <ext xmlns:x15="http://schemas.microsoft.com/office/spreadsheetml/2010/11/main" uri="{DE250136-89BD-433C-8126-D09CA5730AF9}">
        <x15:connection id="2c34b766-df6b-4034-b628-532b56d5e083"/>
      </ext>
    </extLst>
  </connection>
  <connection id="2" xr16:uid="{C9B1A225-7791-448E-BC95-00DDB7A3DBEE}" name="Query - Country" description="Connection to the 'Country' query in the workbook." type="100" refreshedVersion="8" minRefreshableVersion="5">
    <extLst>
      <ext xmlns:x15="http://schemas.microsoft.com/office/spreadsheetml/2010/11/main" uri="{DE250136-89BD-433C-8126-D09CA5730AF9}">
        <x15:connection id="7943d12e-b60a-48dc-b1ef-a6d0d085f324"/>
      </ext>
    </extLst>
  </connection>
  <connection id="3" xr16:uid="{50A06B05-6652-4C22-AC5E-82A4A2260F4C}" name="Query - Date" description="Connection to the 'Date' query in the workbook." type="100" refreshedVersion="8" minRefreshableVersion="5">
    <extLst>
      <ext xmlns:x15="http://schemas.microsoft.com/office/spreadsheetml/2010/11/main" uri="{DE250136-89BD-433C-8126-D09CA5730AF9}">
        <x15:connection id="5439e86e-3003-4fcd-a2aa-243d7d7212da"/>
      </ext>
    </extLst>
  </connection>
  <connection id="4" xr16:uid="{164865A7-5611-4406-8090-7F98D1EF5793}" name="Query - fact1" description="Connection to the 'fact1' query in the workbook." type="100" refreshedVersion="8" minRefreshableVersion="5">
    <extLst>
      <ext xmlns:x15="http://schemas.microsoft.com/office/spreadsheetml/2010/11/main" uri="{DE250136-89BD-433C-8126-D09CA5730AF9}">
        <x15:connection id="8bea54af-4a2d-4cc4-82e4-e284e50bd238"/>
      </ext>
    </extLst>
  </connection>
  <connection id="5" xr16:uid="{3BCC2CC4-CDFD-4F45-9E06-9BF35C43AD0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<sst xmlns="http://schemas.openxmlformats.org/spreadsheetml/2006/main" count="84" uniqueCount="47">
  <si>
    <t>Total Unit Sold</t>
  </si>
  <si>
    <t>Total Revenue</t>
  </si>
  <si>
    <t>Total Marketing Spend</t>
  </si>
  <si>
    <t>Australia</t>
  </si>
  <si>
    <t>Brazil</t>
  </si>
  <si>
    <t>Canada</t>
  </si>
  <si>
    <t>China</t>
  </si>
  <si>
    <t>France</t>
  </si>
  <si>
    <t>Germany</t>
  </si>
  <si>
    <t>India</t>
  </si>
  <si>
    <t>Japan</t>
  </si>
  <si>
    <t>UK</t>
  </si>
  <si>
    <t>USA</t>
  </si>
  <si>
    <t>Grand Total</t>
  </si>
  <si>
    <t>Sum of revenue</t>
  </si>
  <si>
    <t>year</t>
  </si>
  <si>
    <t>country</t>
  </si>
  <si>
    <t>month</t>
  </si>
  <si>
    <t>Sum of marketing_spend_usd</t>
  </si>
  <si>
    <t xml:space="preserve">Relation between Marking spend and revenue by year </t>
  </si>
  <si>
    <t>Total revenue by country</t>
  </si>
  <si>
    <t>Relation between Marking spend and revenue by months</t>
  </si>
  <si>
    <t>3 Series</t>
  </si>
  <si>
    <t>5 Series</t>
  </si>
  <si>
    <t>7 Series</t>
  </si>
  <si>
    <t>i4</t>
  </si>
  <si>
    <t>i7</t>
  </si>
  <si>
    <t>iX</t>
  </si>
  <si>
    <t>X1</t>
  </si>
  <si>
    <t>X3</t>
  </si>
  <si>
    <t>X5</t>
  </si>
  <si>
    <t>X7</t>
  </si>
  <si>
    <t>Electric</t>
  </si>
  <si>
    <t>Sedan</t>
  </si>
  <si>
    <t>SUV</t>
  </si>
  <si>
    <t>Diesel</t>
  </si>
  <si>
    <t>Hybrid</t>
  </si>
  <si>
    <t>Petrol</t>
  </si>
  <si>
    <t>Engine Type</t>
  </si>
  <si>
    <t>Segment</t>
  </si>
  <si>
    <t>Sales Per Segment</t>
  </si>
  <si>
    <t xml:space="preserve">Sales per Engine Type </t>
  </si>
  <si>
    <t>Model</t>
  </si>
  <si>
    <t>Sum of units_sold</t>
  </si>
  <si>
    <t>Models’ revenue</t>
  </si>
  <si>
    <t>Models Marking spend</t>
  </si>
  <si>
    <t>Models’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</si>
</sst>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0_);_(* \(#,##0\);_(* &quot;-&quot;??_);_(@_)"/>
  </numFmts>
  <fonts count="4" x14ac:knownFonts="1">
    <font>
      <sz val="11"/>
      <color theme="1"/>
      <name val="Calibri"/>
      <family val="2"/>
      <scheme val="minor"/>
    </font>
    <font>
      <sz val="12"/>
      <color theme="1"/>
      <name val="Calibri"/>
      <family val="2"/>
      <scheme val="minor"/>
    </font>
    <font>
      <sz val="8"/>
      <color theme="1"/>
      <name val="Calibri"/>
      <family val="2"/>
      <scheme val="minor"/>
    </font>
    <font>
      <b/>
      <sz val="14"/>
      <color rgb="FF40404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164" fontId="0" fillId="0" borderId="0" xfId="0" applyNumberFormat="1"/>
    <xf numFmtId="0" fontId="1" fillId="0" borderId="0" xfId="0" applyFont="1"/>
    <xf numFmtId="10" fontId="0" fillId="0" borderId="0" xfId="0" applyNumberFormat="1"/>
    <xf numFmtId="0" fontId="0" fillId="2" borderId="0" xfId="0" applyFill="1"/>
    <xf numFmtId="0" fontId="0" fillId="0" borderId="0" xfId="0" applyNumberFormat="1"/>
    <xf numFmtId="0" fontId="2" fillId="3" borderId="0" xfId="0" applyFont="1" applyFill="1"/>
    <xf numFmtId="0" fontId="2" fillId="0" borderId="0" xfId="0" applyFont="1"/>
    <xf numFmtId="0" fontId="3" fillId="0" borderId="0" xfId="0" applyFont="1" applyAlignment="1">
      <alignment horizontal="left" vertical="center" readingOrder="1"/>
    </xf>
  </cellXfs>
  <cellStyles count="1">
    <cellStyle name="Normal" xfId="0" builtinId="0"/>
  </cellStyles>
  <dxfs count="66">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font>
        <b/>
        <color theme="1"/>
      </font>
      <border>
        <bottom style="thin">
          <color theme="7"/>
        </bottom>
        <vertical/>
        <horizontal/>
      </border>
    </dxf>
    <dxf>
      <font>
        <color theme="1"/>
      </font>
      <fill>
        <patternFill>
          <bgColor theme="1" tint="0.34998626667073579"/>
        </patternFill>
      </fill>
      <border>
        <left style="thin">
          <color theme="7"/>
        </left>
        <right style="thin">
          <color theme="7"/>
        </right>
        <top style="thin">
          <color theme="7"/>
        </top>
        <bottom style="thin">
          <color theme="7"/>
        </bottom>
        <vertical/>
        <horizontal/>
      </border>
    </dxf>
    <dxf>
      <fill>
        <patternFill>
          <bgColor theme="1"/>
        </patternFill>
      </fill>
    </dxf>
  </dxfs>
  <tableStyles count="2" defaultTableStyle="TableStyleMedium2" defaultPivotStyle="PivotStyleLight16">
    <tableStyle name="Slicer Style 1" pivot="0" table="0" count="1" xr9:uid="{7CC6E305-BC0A-451F-9DFC-59BC13614B15}">
      <tableStyleElement type="wholeTable" dxfId="65"/>
    </tableStyle>
    <tableStyle name="SlicerStyleLight4 2" pivot="0" table="0" count="10" xr9:uid="{8B57365B-B6F2-47AB-86B5-DF9702A79FE6}">
      <tableStyleElement type="wholeTable" dxfId="64"/>
      <tableStyleElement type="headerRow" dxfId="63"/>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4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microsoft.com/office/2007/relationships/slicerCache" Target="slicerCaches/slicerCache5.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55" Type="http://schemas.openxmlformats.org/officeDocument/2006/relationships/customXml" Target="../customXml/item26.xml"/><Relationship Id="rId63" Type="http://schemas.openxmlformats.org/officeDocument/2006/relationships/customXml" Target="../customXml/item34.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9" Type="http://schemas.openxmlformats.org/officeDocument/2006/relationships/powerPivotData" Target="model/item.data"/><Relationship Id="rId11" Type="http://schemas.openxmlformats.org/officeDocument/2006/relationships/pivotCacheDefinition" Target="pivotCache/pivotCacheDefinition8.xml"/><Relationship Id="rId24" Type="http://schemas.microsoft.com/office/2007/relationships/slicerCache" Target="slicerCaches/slicerCache8.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5" Type="http://schemas.openxmlformats.org/officeDocument/2006/relationships/pivotCacheDefinition" Target="pivotCache/pivotCacheDefinition2.xml"/><Relationship Id="rId61" Type="http://schemas.openxmlformats.org/officeDocument/2006/relationships/customXml" Target="../customXml/item32.xml"/><Relationship Id="rId19" Type="http://schemas.microsoft.com/office/2007/relationships/slicerCache" Target="slicerCaches/slicerCache3.xml"/><Relationship Id="rId14" Type="http://schemas.openxmlformats.org/officeDocument/2006/relationships/pivotCacheDefinition" Target="pivotCache/pivotCacheDefinition11.xml"/><Relationship Id="rId22" Type="http://schemas.microsoft.com/office/2007/relationships/slicerCache" Target="slicerCaches/slicerCache6.xml"/><Relationship Id="rId27" Type="http://schemas.openxmlformats.org/officeDocument/2006/relationships/styles" Target="style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64" Type="http://schemas.openxmlformats.org/officeDocument/2006/relationships/customXml" Target="../customXml/item35.xml"/><Relationship Id="rId8" Type="http://schemas.openxmlformats.org/officeDocument/2006/relationships/pivotCacheDefinition" Target="pivotCache/pivotCacheDefinition5.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microsoft.com/office/2007/relationships/slicerCache" Target="slicerCaches/slicerCache1.xml"/><Relationship Id="rId25" Type="http://schemas.openxmlformats.org/officeDocument/2006/relationships/theme" Target="theme/theme1.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20" Type="http://schemas.microsoft.com/office/2007/relationships/slicerCache" Target="slicerCaches/slicerCache4.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2.xml"/><Relationship Id="rId23" Type="http://schemas.microsoft.com/office/2007/relationships/slicerCache" Target="slicerCaches/slicerCache7.xml"/><Relationship Id="rId28" Type="http://schemas.openxmlformats.org/officeDocument/2006/relationships/sharedStrings" Target="sharedStrings.xml"/><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pivotCacheDefinition" Target="pivotCache/pivotCacheDefinition7.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65" Type="http://schemas.openxmlformats.org/officeDocument/2006/relationships/customXml" Target="../customXml/item3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3" Type="http://schemas.openxmlformats.org/officeDocument/2006/relationships/pivotCacheDefinition" Target="pivotCache/pivotCacheDefinition10.xml"/><Relationship Id="rId18" Type="http://schemas.microsoft.com/office/2007/relationships/slicerCache" Target="slicerCaches/slicerCache2.xml"/><Relationship Id="rId39" Type="http://schemas.openxmlformats.org/officeDocument/2006/relationships/customXml" Target="../customXml/item1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Total revenue by country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Pivot!$D$8</c:f>
              <c:strCache>
                <c:ptCount val="1"/>
                <c:pt idx="0">
                  <c:v>Total</c:v>
                </c:pt>
              </c:strCache>
            </c:strRef>
          </c:tx>
          <c:spPr>
            <a:solidFill>
              <a:schemeClr val="accent2"/>
            </a:solidFill>
            <a:ln>
              <a:noFill/>
            </a:ln>
            <a:effectLst/>
          </c:spPr>
          <c:invertIfNegative val="0"/>
          <c:cat>
            <c:strRef>
              <c:f>Pivot!$C$9:$C$19</c:f>
              <c:strCache>
                <c:ptCount val="10"/>
                <c:pt idx="0">
                  <c:v>China</c:v>
                </c:pt>
                <c:pt idx="1">
                  <c:v>UK</c:v>
                </c:pt>
                <c:pt idx="2">
                  <c:v>France</c:v>
                </c:pt>
                <c:pt idx="3">
                  <c:v>India</c:v>
                </c:pt>
                <c:pt idx="4">
                  <c:v>Brazil</c:v>
                </c:pt>
                <c:pt idx="5">
                  <c:v>Australia</c:v>
                </c:pt>
                <c:pt idx="6">
                  <c:v>Germany</c:v>
                </c:pt>
                <c:pt idx="7">
                  <c:v>USA</c:v>
                </c:pt>
                <c:pt idx="8">
                  <c:v>Japan</c:v>
                </c:pt>
                <c:pt idx="9">
                  <c:v>Canada</c:v>
                </c:pt>
              </c:strCache>
            </c:strRef>
          </c:cat>
          <c:val>
            <c:numRef>
              <c:f>Pivot!$D$9:$D$19</c:f>
              <c:numCache>
                <c:formatCode>_(* #,##0_);_(* \(#,##0\);_(* "-"??_);_(@_)</c:formatCode>
                <c:ptCount val="10"/>
                <c:pt idx="0">
                  <c:v>6072297993</c:v>
                </c:pt>
                <c:pt idx="1">
                  <c:v>5487964042</c:v>
                </c:pt>
                <c:pt idx="2">
                  <c:v>5029553241</c:v>
                </c:pt>
                <c:pt idx="3">
                  <c:v>4972431297</c:v>
                </c:pt>
                <c:pt idx="4">
                  <c:v>4959349000</c:v>
                </c:pt>
                <c:pt idx="5">
                  <c:v>4549509804</c:v>
                </c:pt>
                <c:pt idx="6">
                  <c:v>4493222982</c:v>
                </c:pt>
                <c:pt idx="7">
                  <c:v>4160873752</c:v>
                </c:pt>
                <c:pt idx="8">
                  <c:v>4143581597</c:v>
                </c:pt>
                <c:pt idx="9">
                  <c:v>4100380992</c:v>
                </c:pt>
              </c:numCache>
            </c:numRef>
          </c:val>
          <c:extLst>
            <c:ext xmlns:c16="http://schemas.microsoft.com/office/drawing/2014/chart" uri="{C3380CC4-5D6E-409C-BE32-E72D297353CC}">
              <c16:uniqueId val="{00000000-82CC-4FA5-A10B-9F7344070D34}"/>
            </c:ext>
          </c:extLst>
        </c:ser>
        <c:dLbls>
          <c:showLegendKey val="0"/>
          <c:showVal val="0"/>
          <c:showCatName val="0"/>
          <c:showSerName val="0"/>
          <c:showPercent val="0"/>
          <c:showBubbleSize val="0"/>
        </c:dLbls>
        <c:gapWidth val="219"/>
        <c:overlap val="-27"/>
        <c:axId val="21757312"/>
        <c:axId val="21758272"/>
      </c:barChart>
      <c:catAx>
        <c:axId val="2175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758272"/>
        <c:crosses val="autoZero"/>
        <c:auto val="1"/>
        <c:lblAlgn val="ctr"/>
        <c:lblOffset val="100"/>
        <c:noMultiLvlLbl val="0"/>
      </c:catAx>
      <c:valAx>
        <c:axId val="21758272"/>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757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2.xlsx]Pivot!PivotTable14</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Relation between Marking spend and revenue by year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Pivot!$H$8</c:f>
              <c:strCache>
                <c:ptCount val="1"/>
                <c:pt idx="0">
                  <c:v>Sum of revenue</c:v>
                </c:pt>
              </c:strCache>
            </c:strRef>
          </c:tx>
          <c:spPr>
            <a:solidFill>
              <a:schemeClr val="accent1"/>
            </a:solidFill>
            <a:ln>
              <a:noFill/>
            </a:ln>
            <a:effectLst/>
          </c:spPr>
          <c:invertIfNegative val="0"/>
          <c:cat>
            <c:strRef>
              <c:f>Pivot!$G$9:$G$19</c:f>
              <c:strCache>
                <c:ptCount val="10"/>
                <c:pt idx="0">
                  <c:v>2023</c:v>
                </c:pt>
                <c:pt idx="1">
                  <c:v>2015</c:v>
                </c:pt>
                <c:pt idx="2">
                  <c:v>2016</c:v>
                </c:pt>
                <c:pt idx="3">
                  <c:v>2017</c:v>
                </c:pt>
                <c:pt idx="4">
                  <c:v>2018</c:v>
                </c:pt>
                <c:pt idx="5">
                  <c:v>2019</c:v>
                </c:pt>
                <c:pt idx="6">
                  <c:v>2020</c:v>
                </c:pt>
                <c:pt idx="7">
                  <c:v>2021</c:v>
                </c:pt>
                <c:pt idx="8">
                  <c:v>2022</c:v>
                </c:pt>
                <c:pt idx="9">
                  <c:v>2024</c:v>
                </c:pt>
              </c:strCache>
            </c:strRef>
          </c:cat>
          <c:val>
            <c:numRef>
              <c:f>Pivot!$H$9:$H$19</c:f>
              <c:numCache>
                <c:formatCode>_(* #,##0_);_(* \(#,##0\);_(* "-"??_);_(@_)</c:formatCode>
                <c:ptCount val="10"/>
                <c:pt idx="0">
                  <c:v>4413090832</c:v>
                </c:pt>
                <c:pt idx="1">
                  <c:v>5786624353</c:v>
                </c:pt>
                <c:pt idx="2">
                  <c:v>3983041996</c:v>
                </c:pt>
                <c:pt idx="3">
                  <c:v>5421022991</c:v>
                </c:pt>
                <c:pt idx="4">
                  <c:v>4340167456</c:v>
                </c:pt>
                <c:pt idx="5">
                  <c:v>5087502384</c:v>
                </c:pt>
                <c:pt idx="6">
                  <c:v>4643344835</c:v>
                </c:pt>
                <c:pt idx="7">
                  <c:v>4556304930</c:v>
                </c:pt>
                <c:pt idx="8">
                  <c:v>4581617494</c:v>
                </c:pt>
                <c:pt idx="9">
                  <c:v>5156447429</c:v>
                </c:pt>
              </c:numCache>
            </c:numRef>
          </c:val>
          <c:extLst>
            <c:ext xmlns:c16="http://schemas.microsoft.com/office/drawing/2014/chart" uri="{C3380CC4-5D6E-409C-BE32-E72D297353CC}">
              <c16:uniqueId val="{00000000-AD57-45ED-8072-A3CE0175271D}"/>
            </c:ext>
          </c:extLst>
        </c:ser>
        <c:dLbls>
          <c:showLegendKey val="0"/>
          <c:showVal val="0"/>
          <c:showCatName val="0"/>
          <c:showSerName val="0"/>
          <c:showPercent val="0"/>
          <c:showBubbleSize val="0"/>
        </c:dLbls>
        <c:gapWidth val="219"/>
        <c:axId val="1563031039"/>
        <c:axId val="1563032959"/>
      </c:barChart>
      <c:lineChart>
        <c:grouping val="standard"/>
        <c:varyColors val="0"/>
        <c:ser>
          <c:idx val="1"/>
          <c:order val="1"/>
          <c:tx>
            <c:strRef>
              <c:f>Pivot!$I$8</c:f>
              <c:strCache>
                <c:ptCount val="1"/>
                <c:pt idx="0">
                  <c:v>Sum of marketing_spend_usd</c:v>
                </c:pt>
              </c:strCache>
            </c:strRef>
          </c:tx>
          <c:spPr>
            <a:ln w="28575" cap="rnd">
              <a:solidFill>
                <a:schemeClr val="accent2"/>
              </a:solidFill>
              <a:round/>
            </a:ln>
            <a:effectLst/>
          </c:spPr>
          <c:marker>
            <c:symbol val="none"/>
          </c:marker>
          <c:cat>
            <c:strRef>
              <c:f>Pivot!$G$9:$G$19</c:f>
              <c:strCache>
                <c:ptCount val="10"/>
                <c:pt idx="0">
                  <c:v>2023</c:v>
                </c:pt>
                <c:pt idx="1">
                  <c:v>2015</c:v>
                </c:pt>
                <c:pt idx="2">
                  <c:v>2016</c:v>
                </c:pt>
                <c:pt idx="3">
                  <c:v>2017</c:v>
                </c:pt>
                <c:pt idx="4">
                  <c:v>2018</c:v>
                </c:pt>
                <c:pt idx="5">
                  <c:v>2019</c:v>
                </c:pt>
                <c:pt idx="6">
                  <c:v>2020</c:v>
                </c:pt>
                <c:pt idx="7">
                  <c:v>2021</c:v>
                </c:pt>
                <c:pt idx="8">
                  <c:v>2022</c:v>
                </c:pt>
                <c:pt idx="9">
                  <c:v>2024</c:v>
                </c:pt>
              </c:strCache>
            </c:strRef>
          </c:cat>
          <c:val>
            <c:numRef>
              <c:f>Pivot!$I$9:$I$19</c:f>
              <c:numCache>
                <c:formatCode>_(* #,##0_);_(* \(#,##0\);_(* "-"??_);_(@_)</c:formatCode>
                <c:ptCount val="10"/>
                <c:pt idx="0">
                  <c:v>26784146</c:v>
                </c:pt>
                <c:pt idx="1">
                  <c:v>33687210</c:v>
                </c:pt>
                <c:pt idx="2">
                  <c:v>21380293</c:v>
                </c:pt>
                <c:pt idx="3">
                  <c:v>29982491</c:v>
                </c:pt>
                <c:pt idx="4">
                  <c:v>28848190</c:v>
                </c:pt>
                <c:pt idx="5">
                  <c:v>28009015</c:v>
                </c:pt>
                <c:pt idx="6">
                  <c:v>26846112</c:v>
                </c:pt>
                <c:pt idx="7">
                  <c:v>24563472</c:v>
                </c:pt>
                <c:pt idx="8">
                  <c:v>28138507</c:v>
                </c:pt>
                <c:pt idx="9">
                  <c:v>31252794</c:v>
                </c:pt>
              </c:numCache>
            </c:numRef>
          </c:val>
          <c:smooth val="0"/>
          <c:extLst>
            <c:ext xmlns:c16="http://schemas.microsoft.com/office/drawing/2014/chart" uri="{C3380CC4-5D6E-409C-BE32-E72D297353CC}">
              <c16:uniqueId val="{00000001-AD57-45ED-8072-A3CE0175271D}"/>
            </c:ext>
          </c:extLst>
        </c:ser>
        <c:dLbls>
          <c:showLegendKey val="0"/>
          <c:showVal val="0"/>
          <c:showCatName val="0"/>
          <c:showSerName val="0"/>
          <c:showPercent val="0"/>
          <c:showBubbleSize val="0"/>
        </c:dLbls>
        <c:marker val="1"/>
        <c:smooth val="0"/>
        <c:axId val="1684582559"/>
        <c:axId val="1684585919"/>
      </c:lineChart>
      <c:valAx>
        <c:axId val="1563032959"/>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031039"/>
        <c:crosses val="max"/>
        <c:crossBetween val="between"/>
      </c:valAx>
      <c:catAx>
        <c:axId val="15630310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032959"/>
        <c:crosses val="autoZero"/>
        <c:auto val="1"/>
        <c:lblAlgn val="ctr"/>
        <c:lblOffset val="100"/>
        <c:noMultiLvlLbl val="0"/>
      </c:catAx>
      <c:valAx>
        <c:axId val="1684585919"/>
        <c:scaling>
          <c:orientation val="minMax"/>
        </c:scaling>
        <c:delete val="0"/>
        <c:axPos val="l"/>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4582559"/>
        <c:crosses val="autoZero"/>
        <c:crossBetween val="between"/>
      </c:valAx>
      <c:catAx>
        <c:axId val="1684582559"/>
        <c:scaling>
          <c:orientation val="minMax"/>
        </c:scaling>
        <c:delete val="1"/>
        <c:axPos val="b"/>
        <c:numFmt formatCode="General" sourceLinked="1"/>
        <c:majorTickMark val="out"/>
        <c:minorTickMark val="none"/>
        <c:tickLblPos val="nextTo"/>
        <c:crossAx val="168458591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5 models Marking spend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Pivot!$V$8</c:f>
              <c:strCache>
                <c:ptCount val="1"/>
                <c:pt idx="0">
                  <c:v>Total</c:v>
                </c:pt>
              </c:strCache>
            </c:strRef>
          </c:tx>
          <c:spPr>
            <a:solidFill>
              <a:schemeClr val="accent1"/>
            </a:solidFill>
            <a:ln>
              <a:noFill/>
            </a:ln>
            <a:effectLst/>
          </c:spPr>
          <c:invertIfNegative val="0"/>
          <c:cat>
            <c:strRef>
              <c:f>Pivot!$U$9:$U$19</c:f>
              <c:strCache>
                <c:ptCount val="10"/>
                <c:pt idx="0">
                  <c:v>3 Series</c:v>
                </c:pt>
                <c:pt idx="1">
                  <c:v>7 Series</c:v>
                </c:pt>
                <c:pt idx="2">
                  <c:v>i4</c:v>
                </c:pt>
                <c:pt idx="3">
                  <c:v>X5</c:v>
                </c:pt>
                <c:pt idx="4">
                  <c:v>X3</c:v>
                </c:pt>
                <c:pt idx="5">
                  <c:v>X1</c:v>
                </c:pt>
                <c:pt idx="6">
                  <c:v>i7</c:v>
                </c:pt>
                <c:pt idx="7">
                  <c:v>X7</c:v>
                </c:pt>
                <c:pt idx="8">
                  <c:v>5 Series</c:v>
                </c:pt>
                <c:pt idx="9">
                  <c:v>iX</c:v>
                </c:pt>
              </c:strCache>
            </c:strRef>
          </c:cat>
          <c:val>
            <c:numRef>
              <c:f>Pivot!$V$9:$V$19</c:f>
              <c:numCache>
                <c:formatCode>_(* #,##0_);_(* \(#,##0\);_(* "-"??_);_(@_)</c:formatCode>
                <c:ptCount val="10"/>
                <c:pt idx="0">
                  <c:v>34360655</c:v>
                </c:pt>
                <c:pt idx="1">
                  <c:v>30408487</c:v>
                </c:pt>
                <c:pt idx="2">
                  <c:v>30402994</c:v>
                </c:pt>
                <c:pt idx="3">
                  <c:v>30145846</c:v>
                </c:pt>
                <c:pt idx="4">
                  <c:v>29004984</c:v>
                </c:pt>
                <c:pt idx="5">
                  <c:v>27423094</c:v>
                </c:pt>
                <c:pt idx="6">
                  <c:v>27287325</c:v>
                </c:pt>
                <c:pt idx="7">
                  <c:v>25803665</c:v>
                </c:pt>
                <c:pt idx="8">
                  <c:v>23986122</c:v>
                </c:pt>
                <c:pt idx="9">
                  <c:v>20669058</c:v>
                </c:pt>
              </c:numCache>
            </c:numRef>
          </c:val>
          <c:extLst>
            <c:ext xmlns:c16="http://schemas.microsoft.com/office/drawing/2014/chart" uri="{C3380CC4-5D6E-409C-BE32-E72D297353CC}">
              <c16:uniqueId val="{00000000-82D6-484B-B153-363690FC1DAF}"/>
            </c:ext>
          </c:extLst>
        </c:ser>
        <c:dLbls>
          <c:showLegendKey val="0"/>
          <c:showVal val="0"/>
          <c:showCatName val="0"/>
          <c:showSerName val="0"/>
          <c:showPercent val="0"/>
          <c:showBubbleSize val="0"/>
        </c:dLbls>
        <c:gapWidth val="182"/>
        <c:axId val="1965703519"/>
        <c:axId val="1965706879"/>
      </c:barChart>
      <c:catAx>
        <c:axId val="1965703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706879"/>
        <c:crosses val="autoZero"/>
        <c:auto val="1"/>
        <c:lblAlgn val="ctr"/>
        <c:lblOffset val="100"/>
        <c:noMultiLvlLbl val="0"/>
      </c:catAx>
      <c:valAx>
        <c:axId val="1965706879"/>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70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 Engine Type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Pivot!$Z$8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95-4F8B-860B-DED2A03AAA6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95-4F8B-860B-DED2A03AAA6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95-4F8B-860B-DED2A03AAA6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95-4F8B-860B-DED2A03AAA61}"/>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Pivot!$Y$9:$Y$13</c:f>
              <c:strCache>
                <c:ptCount val="4"/>
                <c:pt idx="0">
                  <c:v>Diesel</c:v>
                </c:pt>
                <c:pt idx="1">
                  <c:v>Electric</c:v>
                </c:pt>
                <c:pt idx="2">
                  <c:v>Hybrid</c:v>
                </c:pt>
                <c:pt idx="3">
                  <c:v>Petrol</c:v>
                </c:pt>
              </c:strCache>
            </c:strRef>
          </c:cat>
          <c:val>
            <c:numRef>
              <c:f>Pivot!$Z$9:$Z$13</c:f>
              <c:numCache>
                <c:formatCode>0.00%</c:formatCode>
                <c:ptCount val="4"/>
                <c:pt idx="0">
                  <c:v>0.25730902170577091</c:v>
                </c:pt>
                <c:pt idx="1">
                  <c:v>0.25350786126988784</c:v>
                </c:pt>
                <c:pt idx="2">
                  <c:v>0.24440683293782683</c:v>
                </c:pt>
                <c:pt idx="3">
                  <c:v>0.24477628408651445</c:v>
                </c:pt>
              </c:numCache>
            </c:numRef>
          </c:val>
          <c:extLst>
            <c:ext xmlns:c16="http://schemas.microsoft.com/office/drawing/2014/chart" uri="{C3380CC4-5D6E-409C-BE32-E72D297353CC}">
              <c16:uniqueId val="{00000008-F695-4F8B-860B-DED2A03AAA6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5 models’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Pivot!$R$9:$R$19</c:f>
              <c:strCache>
                <c:ptCount val="10"/>
                <c:pt idx="0">
                  <c:v>X3</c:v>
                </c:pt>
                <c:pt idx="1">
                  <c:v>i4</c:v>
                </c:pt>
                <c:pt idx="2">
                  <c:v>3 Series</c:v>
                </c:pt>
                <c:pt idx="3">
                  <c:v>X5</c:v>
                </c:pt>
                <c:pt idx="4">
                  <c:v>7 Series</c:v>
                </c:pt>
                <c:pt idx="5">
                  <c:v>i7</c:v>
                </c:pt>
                <c:pt idx="6">
                  <c:v>X1</c:v>
                </c:pt>
                <c:pt idx="7">
                  <c:v>5 Series</c:v>
                </c:pt>
                <c:pt idx="8">
                  <c:v>X7</c:v>
                </c:pt>
                <c:pt idx="9">
                  <c:v>iX</c:v>
                </c:pt>
              </c:strCache>
            </c:strRef>
          </c:cat>
          <c:val>
            <c:numRef>
              <c:f>Pivot!$S$9:$S$19</c:f>
              <c:numCache>
                <c:formatCode>_(* #,##0_);_(* \(#,##0\);_(* "-"??_);_(@_)</c:formatCode>
                <c:ptCount val="10"/>
                <c:pt idx="0">
                  <c:v>5623524340</c:v>
                </c:pt>
                <c:pt idx="1">
                  <c:v>5342875307</c:v>
                </c:pt>
                <c:pt idx="2">
                  <c:v>5281929125</c:v>
                </c:pt>
                <c:pt idx="3">
                  <c:v>5027126143</c:v>
                </c:pt>
                <c:pt idx="4">
                  <c:v>4870343575</c:v>
                </c:pt>
                <c:pt idx="5">
                  <c:v>4784153567</c:v>
                </c:pt>
                <c:pt idx="6">
                  <c:v>4681234375</c:v>
                </c:pt>
                <c:pt idx="7">
                  <c:v>4276025156</c:v>
                </c:pt>
                <c:pt idx="8">
                  <c:v>4233204181</c:v>
                </c:pt>
                <c:pt idx="9">
                  <c:v>3848748931</c:v>
                </c:pt>
              </c:numCache>
            </c:numRef>
          </c:val>
          <c:smooth val="0"/>
          <c:extLst>
            <c:ext xmlns:c16="http://schemas.microsoft.com/office/drawing/2014/chart" uri="{C3380CC4-5D6E-409C-BE32-E72D297353CC}">
              <c16:uniqueId val="{00000000-A67E-4793-B17E-25197B193150}"/>
            </c:ext>
          </c:extLst>
        </c:ser>
        <c:dLbls>
          <c:showLegendKey val="0"/>
          <c:showVal val="0"/>
          <c:showCatName val="0"/>
          <c:showSerName val="0"/>
          <c:showPercent val="0"/>
          <c:showBubbleSize val="0"/>
        </c:dLbls>
        <c:marker val="1"/>
        <c:smooth val="0"/>
        <c:axId val="1563030559"/>
        <c:axId val="1563031519"/>
      </c:lineChart>
      <c:catAx>
        <c:axId val="1563030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031519"/>
        <c:crosses val="autoZero"/>
        <c:auto val="1"/>
        <c:lblAlgn val="ctr"/>
        <c:lblOffset val="100"/>
        <c:noMultiLvlLbl val="0"/>
      </c:catAx>
      <c:valAx>
        <c:axId val="156303151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030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2.xlsx]Pivot!PivotTable23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5 models’ Units sold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Pivot!$AI$8</c:f>
              <c:strCache>
                <c:ptCount val="1"/>
                <c:pt idx="0">
                  <c:v>Total</c:v>
                </c:pt>
              </c:strCache>
            </c:strRef>
          </c:tx>
          <c:spPr>
            <a:solidFill>
              <a:schemeClr val="accent1"/>
            </a:solidFill>
            <a:ln>
              <a:noFill/>
            </a:ln>
            <a:effectLst/>
          </c:spPr>
          <c:invertIfNegative val="0"/>
          <c:cat>
            <c:strRef>
              <c:f>Pivot!$AH$9:$AH$19</c:f>
              <c:strCache>
                <c:ptCount val="10"/>
                <c:pt idx="0">
                  <c:v>X3</c:v>
                </c:pt>
                <c:pt idx="1">
                  <c:v>3 Series</c:v>
                </c:pt>
                <c:pt idx="2">
                  <c:v>i4</c:v>
                </c:pt>
                <c:pt idx="3">
                  <c:v>X5</c:v>
                </c:pt>
                <c:pt idx="4">
                  <c:v>7 Series</c:v>
                </c:pt>
                <c:pt idx="5">
                  <c:v>i7</c:v>
                </c:pt>
                <c:pt idx="6">
                  <c:v>X1</c:v>
                </c:pt>
                <c:pt idx="7">
                  <c:v>5 Series</c:v>
                </c:pt>
                <c:pt idx="8">
                  <c:v>X7</c:v>
                </c:pt>
                <c:pt idx="9">
                  <c:v>iX</c:v>
                </c:pt>
              </c:strCache>
            </c:strRef>
          </c:cat>
          <c:val>
            <c:numRef>
              <c:f>Pivot!$AI$9:$AI$19</c:f>
              <c:numCache>
                <c:formatCode>_(* #,##0_);_(* \(#,##0\);_(* "-"??_);_(@_)</c:formatCode>
                <c:ptCount val="10"/>
                <c:pt idx="0">
                  <c:v>73358</c:v>
                </c:pt>
                <c:pt idx="1">
                  <c:v>70886</c:v>
                </c:pt>
                <c:pt idx="2">
                  <c:v>69528</c:v>
                </c:pt>
                <c:pt idx="3">
                  <c:v>65505</c:v>
                </c:pt>
                <c:pt idx="4">
                  <c:v>65071</c:v>
                </c:pt>
                <c:pt idx="5">
                  <c:v>63974</c:v>
                </c:pt>
                <c:pt idx="6">
                  <c:v>61341</c:v>
                </c:pt>
                <c:pt idx="7">
                  <c:v>59144</c:v>
                </c:pt>
                <c:pt idx="8">
                  <c:v>53318</c:v>
                </c:pt>
                <c:pt idx="9">
                  <c:v>51067</c:v>
                </c:pt>
              </c:numCache>
            </c:numRef>
          </c:val>
          <c:extLst>
            <c:ext xmlns:c16="http://schemas.microsoft.com/office/drawing/2014/chart" uri="{C3380CC4-5D6E-409C-BE32-E72D297353CC}">
              <c16:uniqueId val="{00000000-429B-4E4C-B120-E85F85E98704}"/>
            </c:ext>
          </c:extLst>
        </c:ser>
        <c:dLbls>
          <c:showLegendKey val="0"/>
          <c:showVal val="0"/>
          <c:showCatName val="0"/>
          <c:showSerName val="0"/>
          <c:showPercent val="0"/>
          <c:showBubbleSize val="0"/>
        </c:dLbls>
        <c:gapWidth val="182"/>
        <c:axId val="1681024351"/>
        <c:axId val="1681020031"/>
      </c:barChart>
      <c:catAx>
        <c:axId val="1681024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020031"/>
        <c:crosses val="autoZero"/>
        <c:auto val="1"/>
        <c:lblAlgn val="ctr"/>
        <c:lblOffset val="100"/>
        <c:noMultiLvlLbl val="0"/>
      </c:catAx>
      <c:valAx>
        <c:axId val="1681020031"/>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02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doughnutChart>
        <c:varyColors val="1"/>
        <c:ser>
          <c:idx val="0"/>
          <c:order val="0"/>
          <c:tx>
            <c:strRef>
              <c:f>Pivot!$AD$8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D65-4F50-BF4F-B7E2AE3B4B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D65-4F50-BF4F-B7E2AE3B4B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D65-4F50-BF4F-B7E2AE3B4B1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Pivot!$AC$9:$AC$12</c:f>
              <c:strCache>
                <c:ptCount val="3"/>
                <c:pt idx="0">
                  <c:v>Electric</c:v>
                </c:pt>
                <c:pt idx="1">
                  <c:v>Sedan</c:v>
                </c:pt>
                <c:pt idx="2">
                  <c:v>SUV</c:v>
                </c:pt>
              </c:strCache>
            </c:strRef>
          </c:cat>
          <c:val>
            <c:numRef>
              <c:f>Pivot!$AD$9:$AD$12</c:f>
              <c:numCache>
                <c:formatCode>0.00%</c:formatCode>
                <c:ptCount val="3"/>
                <c:pt idx="0">
                  <c:v>0.34618283432398395</c:v>
                </c:pt>
                <c:pt idx="1">
                  <c:v>0.32877835742259653</c:v>
                </c:pt>
                <c:pt idx="2">
                  <c:v>0.32503880825341952</c:v>
                </c:pt>
              </c:numCache>
            </c:numRef>
          </c:val>
          <c:extLst>
            <c:ext xmlns:c16="http://schemas.microsoft.com/office/drawing/2014/chart" uri="{C3380CC4-5D6E-409C-BE32-E72D297353CC}">
              <c16:uniqueId val="{00000006-5D65-4F50-BF4F-B7E2AE3B4B1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2.xlsx]Pivot!PivotTable13</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6820684135794504"/>
          <c:y val="9.2793051957584541E-2"/>
          <c:w val="0.7861833722740238"/>
          <c:h val="0.7704689743970683"/>
        </c:manualLayout>
      </c:layout>
      <c:barChart>
        <c:barDir val="col"/>
        <c:grouping val="clustered"/>
        <c:varyColors val="1"/>
        <c:ser>
          <c:idx val="0"/>
          <c:order val="0"/>
          <c:tx>
            <c:strRef>
              <c:f>Pivot!$D$8</c:f>
              <c:strCache>
                <c:ptCount val="1"/>
                <c:pt idx="0">
                  <c:v>Total</c:v>
                </c:pt>
              </c:strCache>
            </c:strRef>
          </c:tx>
          <c:invertIfNegative val="0"/>
          <c:dPt>
            <c:idx val="0"/>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24D-4E76-9754-C85E4D42078A}"/>
              </c:ext>
            </c:extLst>
          </c:dPt>
          <c:dPt>
            <c:idx val="1"/>
            <c:invertIfNegative val="0"/>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24D-4E76-9754-C85E4D42078A}"/>
              </c:ext>
            </c:extLst>
          </c:dPt>
          <c:dPt>
            <c:idx val="2"/>
            <c:invertIfNegative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24D-4E76-9754-C85E4D42078A}"/>
              </c:ext>
            </c:extLst>
          </c:dPt>
          <c:dPt>
            <c:idx val="3"/>
            <c:invertIfNegative val="0"/>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24D-4E76-9754-C85E4D42078A}"/>
              </c:ext>
            </c:extLst>
          </c:dPt>
          <c:dPt>
            <c:idx val="4"/>
            <c:invertIfNegative val="0"/>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24D-4E76-9754-C85E4D42078A}"/>
              </c:ext>
            </c:extLst>
          </c:dPt>
          <c:dPt>
            <c:idx val="5"/>
            <c:invertIfNegative val="0"/>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24D-4E76-9754-C85E4D42078A}"/>
              </c:ext>
            </c:extLst>
          </c:dPt>
          <c:dPt>
            <c:idx val="6"/>
            <c:invertIfNegative val="0"/>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724D-4E76-9754-C85E4D42078A}"/>
              </c:ext>
            </c:extLst>
          </c:dPt>
          <c:dPt>
            <c:idx val="7"/>
            <c:invertIfNegative val="0"/>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724D-4E76-9754-C85E4D42078A}"/>
              </c:ext>
            </c:extLst>
          </c:dPt>
          <c:dPt>
            <c:idx val="8"/>
            <c:invertIfNegative val="0"/>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724D-4E76-9754-C85E4D42078A}"/>
              </c:ext>
            </c:extLst>
          </c:dPt>
          <c:dPt>
            <c:idx val="9"/>
            <c:invertIfNegative val="0"/>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724D-4E76-9754-C85E4D42078A}"/>
              </c:ext>
            </c:extLst>
          </c:dPt>
          <c:cat>
            <c:strRef>
              <c:f>Pivot!$C$9:$C$19</c:f>
              <c:strCache>
                <c:ptCount val="10"/>
                <c:pt idx="0">
                  <c:v>China</c:v>
                </c:pt>
                <c:pt idx="1">
                  <c:v>UK</c:v>
                </c:pt>
                <c:pt idx="2">
                  <c:v>France</c:v>
                </c:pt>
                <c:pt idx="3">
                  <c:v>India</c:v>
                </c:pt>
                <c:pt idx="4">
                  <c:v>Brazil</c:v>
                </c:pt>
                <c:pt idx="5">
                  <c:v>Australia</c:v>
                </c:pt>
                <c:pt idx="6">
                  <c:v>Germany</c:v>
                </c:pt>
                <c:pt idx="7">
                  <c:v>USA</c:v>
                </c:pt>
                <c:pt idx="8">
                  <c:v>Japan</c:v>
                </c:pt>
                <c:pt idx="9">
                  <c:v>Canada</c:v>
                </c:pt>
              </c:strCache>
            </c:strRef>
          </c:cat>
          <c:val>
            <c:numRef>
              <c:f>Pivot!$D$9:$D$19</c:f>
              <c:numCache>
                <c:formatCode>_(* #,##0_);_(* \(#,##0\);_(* "-"??_);_(@_)</c:formatCode>
                <c:ptCount val="10"/>
                <c:pt idx="0">
                  <c:v>6072297993</c:v>
                </c:pt>
                <c:pt idx="1">
                  <c:v>5487964042</c:v>
                </c:pt>
                <c:pt idx="2">
                  <c:v>5029553241</c:v>
                </c:pt>
                <c:pt idx="3">
                  <c:v>4972431297</c:v>
                </c:pt>
                <c:pt idx="4">
                  <c:v>4959349000</c:v>
                </c:pt>
                <c:pt idx="5">
                  <c:v>4549509804</c:v>
                </c:pt>
                <c:pt idx="6">
                  <c:v>4493222982</c:v>
                </c:pt>
                <c:pt idx="7">
                  <c:v>4160873752</c:v>
                </c:pt>
                <c:pt idx="8">
                  <c:v>4143581597</c:v>
                </c:pt>
                <c:pt idx="9">
                  <c:v>4100380992</c:v>
                </c:pt>
              </c:numCache>
            </c:numRef>
          </c:val>
          <c:extLst>
            <c:ext xmlns:c16="http://schemas.microsoft.com/office/drawing/2014/chart" uri="{C3380CC4-5D6E-409C-BE32-E72D297353CC}">
              <c16:uniqueId val="{00000000-ABF2-4388-89A2-B2B1F3F15A90}"/>
            </c:ext>
          </c:extLst>
        </c:ser>
        <c:dLbls>
          <c:showLegendKey val="0"/>
          <c:showVal val="0"/>
          <c:showCatName val="0"/>
          <c:showSerName val="0"/>
          <c:showPercent val="0"/>
          <c:showBubbleSize val="0"/>
        </c:dLbls>
        <c:gapWidth val="100"/>
        <c:overlap val="-24"/>
        <c:axId val="21757312"/>
        <c:axId val="21758272"/>
      </c:barChart>
      <c:catAx>
        <c:axId val="217573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21758272"/>
        <c:crosses val="autoZero"/>
        <c:auto val="1"/>
        <c:lblAlgn val="ctr"/>
        <c:lblOffset val="100"/>
        <c:noMultiLvlLbl val="0"/>
      </c:catAx>
      <c:valAx>
        <c:axId val="21758272"/>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0" spcFirstLastPara="1" vertOverflow="ellipsis" wrap="square" anchor="ctr" anchorCtr="1"/>
          <a:lstStyle/>
          <a:p>
            <a:pPr>
              <a:defRPr sz="1400" b="0" i="0" u="none" strike="noStrike" kern="1200" baseline="0">
                <a:ln>
                  <a:noFill/>
                </a:ln>
                <a:solidFill>
                  <a:schemeClr val="lt1">
                    <a:lumMod val="85000"/>
                  </a:schemeClr>
                </a:solidFill>
                <a:latin typeface="+mn-lt"/>
                <a:ea typeface="+mn-ea"/>
                <a:cs typeface="+mn-cs"/>
              </a:defRPr>
            </a:pPr>
            <a:endParaRPr lang="en-US"/>
          </a:p>
        </c:txPr>
        <c:crossAx val="21757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2.xlsx]Pivot!PivotTable14</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53975" cap="rnd">
            <a:solidFill>
              <a:schemeClr val="bg1"/>
            </a:solidFill>
            <a:round/>
          </a:ln>
          <a:effectLst>
            <a:outerShdw blurRad="57150" dist="19050" dir="5400000" algn="ctr" rotWithShape="0">
              <a:srgbClr val="000000">
                <a:alpha val="63000"/>
              </a:srgbClr>
            </a:outerShdw>
          </a:effectLst>
        </c:spPr>
        <c:marker>
          <c:symbol val="circle"/>
          <c:size val="11"/>
          <c:spPr>
            <a:solidFill>
              <a:schemeClr val="bg1"/>
            </a:solidFill>
            <a:ln w="31750">
              <a:solidFill>
                <a:schemeClr val="bg1">
                  <a:alpha val="91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53975" cap="rnd">
            <a:solidFill>
              <a:schemeClr val="bg1"/>
            </a:solidFill>
            <a:round/>
          </a:ln>
          <a:effectLst>
            <a:outerShdw blurRad="57150" dist="19050" dir="5400000" algn="ctr" rotWithShape="0">
              <a:srgbClr val="000000">
                <a:alpha val="63000"/>
              </a:srgbClr>
            </a:outerShdw>
          </a:effectLst>
        </c:spPr>
        <c:marker>
          <c:symbol val="circle"/>
          <c:size val="11"/>
          <c:spPr>
            <a:solidFill>
              <a:schemeClr val="bg1"/>
            </a:solidFill>
            <a:ln w="31750">
              <a:solidFill>
                <a:schemeClr val="bg1">
                  <a:alpha val="91000"/>
                </a:schemeClr>
              </a:solidFill>
              <a:round/>
            </a:ln>
            <a:effectLst>
              <a:outerShdw blurRad="57150" dist="19050" dir="5400000" algn="ctr" rotWithShape="0">
                <a:srgbClr val="000000">
                  <a:alpha val="63000"/>
                </a:srgbClr>
              </a:outerShdw>
            </a:effectLst>
          </c:spPr>
        </c:marker>
      </c:pivotFmt>
    </c:pivotFmts>
    <c:plotArea>
      <c:layout/>
      <c:barChart>
        <c:barDir val="col"/>
        <c:grouping val="clustered"/>
        <c:varyColors val="0"/>
        <c:ser>
          <c:idx val="0"/>
          <c:order val="0"/>
          <c:tx>
            <c:strRef>
              <c:f>Pivot!$H$8</c:f>
              <c:strCache>
                <c:ptCount val="1"/>
                <c:pt idx="0">
                  <c:v>Sum of revenue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Pivot!$G$9:$G$19</c:f>
              <c:strCache>
                <c:ptCount val="10"/>
                <c:pt idx="0">
                  <c:v>2023</c:v>
                </c:pt>
                <c:pt idx="1">
                  <c:v>2015</c:v>
                </c:pt>
                <c:pt idx="2">
                  <c:v>2016</c:v>
                </c:pt>
                <c:pt idx="3">
                  <c:v>2017</c:v>
                </c:pt>
                <c:pt idx="4">
                  <c:v>2018</c:v>
                </c:pt>
                <c:pt idx="5">
                  <c:v>2019</c:v>
                </c:pt>
                <c:pt idx="6">
                  <c:v>2020</c:v>
                </c:pt>
                <c:pt idx="7">
                  <c:v>2021</c:v>
                </c:pt>
                <c:pt idx="8">
                  <c:v>2022</c:v>
                </c:pt>
                <c:pt idx="9">
                  <c:v>2024</c:v>
                </c:pt>
              </c:strCache>
            </c:strRef>
          </c:cat>
          <c:val>
            <c:numRef>
              <c:f>Pivot!$H$9:$H$19</c:f>
              <c:numCache>
                <c:formatCode>_(* #,##0_);_(* \(#,##0\);_(* "-"??_);_(@_)</c:formatCode>
                <c:ptCount val="10"/>
                <c:pt idx="0">
                  <c:v>4413090832</c:v>
                </c:pt>
                <c:pt idx="1">
                  <c:v>5786624353</c:v>
                </c:pt>
                <c:pt idx="2">
                  <c:v>3983041996</c:v>
                </c:pt>
                <c:pt idx="3">
                  <c:v>5421022991</c:v>
                </c:pt>
                <c:pt idx="4">
                  <c:v>4340167456</c:v>
                </c:pt>
                <c:pt idx="5">
                  <c:v>5087502384</c:v>
                </c:pt>
                <c:pt idx="6">
                  <c:v>4643344835</c:v>
                </c:pt>
                <c:pt idx="7">
                  <c:v>4556304930</c:v>
                </c:pt>
                <c:pt idx="8">
                  <c:v>4581617494</c:v>
                </c:pt>
                <c:pt idx="9">
                  <c:v>5156447429</c:v>
                </c:pt>
              </c:numCache>
            </c:numRef>
          </c:val>
          <c:extLst>
            <c:ext xmlns:c16="http://schemas.microsoft.com/office/drawing/2014/chart" uri="{C3380CC4-5D6E-409C-BE32-E72D297353CC}">
              <c16:uniqueId val="{00000000-D8A4-4685-84DC-B18ED4FCE53D}"/>
            </c:ext>
          </c:extLst>
        </c:ser>
        <c:dLbls>
          <c:showLegendKey val="0"/>
          <c:showVal val="0"/>
          <c:showCatName val="0"/>
          <c:showSerName val="0"/>
          <c:showPercent val="0"/>
          <c:showBubbleSize val="0"/>
        </c:dLbls>
        <c:gapWidth val="219"/>
        <c:axId val="1563031039"/>
        <c:axId val="1563032959"/>
      </c:barChart>
      <c:lineChart>
        <c:grouping val="standard"/>
        <c:varyColors val="0"/>
        <c:ser>
          <c:idx val="1"/>
          <c:order val="1"/>
          <c:tx>
            <c:strRef>
              <c:f>Pivot!$I$8</c:f>
              <c:strCache>
                <c:ptCount val="1"/>
                <c:pt idx="0">
                  <c:v>Sum of marketing_spend_usd</c:v>
                </c:pt>
              </c:strCache>
            </c:strRef>
          </c:tx>
          <c:spPr>
            <a:ln w="53975" cap="rnd">
              <a:solidFill>
                <a:schemeClr val="bg1"/>
              </a:solidFill>
              <a:round/>
            </a:ln>
            <a:effectLst>
              <a:outerShdw blurRad="57150" dist="19050" dir="5400000" algn="ctr" rotWithShape="0">
                <a:srgbClr val="000000">
                  <a:alpha val="63000"/>
                </a:srgbClr>
              </a:outerShdw>
            </a:effectLst>
          </c:spPr>
          <c:marker>
            <c:symbol val="circle"/>
            <c:size val="11"/>
            <c:spPr>
              <a:solidFill>
                <a:schemeClr val="bg1"/>
              </a:solidFill>
              <a:ln w="31750">
                <a:solidFill>
                  <a:schemeClr val="bg1">
                    <a:alpha val="91000"/>
                  </a:schemeClr>
                </a:solidFill>
                <a:round/>
              </a:ln>
              <a:effectLst>
                <a:outerShdw blurRad="57150" dist="19050" dir="5400000" algn="ctr" rotWithShape="0">
                  <a:srgbClr val="000000">
                    <a:alpha val="63000"/>
                  </a:srgbClr>
                </a:outerShdw>
              </a:effectLst>
            </c:spPr>
          </c:marker>
          <c:cat>
            <c:strRef>
              <c:f>Pivot!$G$9:$G$19</c:f>
              <c:strCache>
                <c:ptCount val="10"/>
                <c:pt idx="0">
                  <c:v>2023</c:v>
                </c:pt>
                <c:pt idx="1">
                  <c:v>2015</c:v>
                </c:pt>
                <c:pt idx="2">
                  <c:v>2016</c:v>
                </c:pt>
                <c:pt idx="3">
                  <c:v>2017</c:v>
                </c:pt>
                <c:pt idx="4">
                  <c:v>2018</c:v>
                </c:pt>
                <c:pt idx="5">
                  <c:v>2019</c:v>
                </c:pt>
                <c:pt idx="6">
                  <c:v>2020</c:v>
                </c:pt>
                <c:pt idx="7">
                  <c:v>2021</c:v>
                </c:pt>
                <c:pt idx="8">
                  <c:v>2022</c:v>
                </c:pt>
                <c:pt idx="9">
                  <c:v>2024</c:v>
                </c:pt>
              </c:strCache>
            </c:strRef>
          </c:cat>
          <c:val>
            <c:numRef>
              <c:f>Pivot!$I$9:$I$19</c:f>
              <c:numCache>
                <c:formatCode>_(* #,##0_);_(* \(#,##0\);_(* "-"??_);_(@_)</c:formatCode>
                <c:ptCount val="10"/>
                <c:pt idx="0">
                  <c:v>26784146</c:v>
                </c:pt>
                <c:pt idx="1">
                  <c:v>33687210</c:v>
                </c:pt>
                <c:pt idx="2">
                  <c:v>21380293</c:v>
                </c:pt>
                <c:pt idx="3">
                  <c:v>29982491</c:v>
                </c:pt>
                <c:pt idx="4">
                  <c:v>28848190</c:v>
                </c:pt>
                <c:pt idx="5">
                  <c:v>28009015</c:v>
                </c:pt>
                <c:pt idx="6">
                  <c:v>26846112</c:v>
                </c:pt>
                <c:pt idx="7">
                  <c:v>24563472</c:v>
                </c:pt>
                <c:pt idx="8">
                  <c:v>28138507</c:v>
                </c:pt>
                <c:pt idx="9">
                  <c:v>31252794</c:v>
                </c:pt>
              </c:numCache>
            </c:numRef>
          </c:val>
          <c:smooth val="0"/>
          <c:extLst>
            <c:ext xmlns:c16="http://schemas.microsoft.com/office/drawing/2014/chart" uri="{C3380CC4-5D6E-409C-BE32-E72D297353CC}">
              <c16:uniqueId val="{00000001-D8A4-4685-84DC-B18ED4FCE53D}"/>
            </c:ext>
          </c:extLst>
        </c:ser>
        <c:dLbls>
          <c:showLegendKey val="0"/>
          <c:showVal val="0"/>
          <c:showCatName val="0"/>
          <c:showSerName val="0"/>
          <c:showPercent val="0"/>
          <c:showBubbleSize val="0"/>
        </c:dLbls>
        <c:marker val="1"/>
        <c:smooth val="0"/>
        <c:axId val="1684582559"/>
        <c:axId val="1684585919"/>
      </c:lineChart>
      <c:valAx>
        <c:axId val="1563032959"/>
        <c:scaling>
          <c:orientation val="minMax"/>
        </c:scaling>
        <c:delete val="0"/>
        <c:axPos val="r"/>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563031039"/>
        <c:crosses val="max"/>
        <c:crossBetween val="between"/>
      </c:valAx>
      <c:catAx>
        <c:axId val="15630310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563032959"/>
        <c:crosses val="autoZero"/>
        <c:auto val="1"/>
        <c:lblAlgn val="ctr"/>
        <c:lblOffset val="100"/>
        <c:noMultiLvlLbl val="0"/>
      </c:catAx>
      <c:valAx>
        <c:axId val="1684585919"/>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684582559"/>
        <c:crosses val="autoZero"/>
        <c:crossBetween val="between"/>
      </c:valAx>
      <c:catAx>
        <c:axId val="1684582559"/>
        <c:scaling>
          <c:orientation val="minMax"/>
        </c:scaling>
        <c:delete val="1"/>
        <c:axPos val="b"/>
        <c:numFmt formatCode="General" sourceLinked="1"/>
        <c:majorTickMark val="none"/>
        <c:minorTickMark val="none"/>
        <c:tickLblPos val="nextTo"/>
        <c:crossAx val="1684585919"/>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2.xlsx]Pivot!PivotTable19</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5452837225732899"/>
          <c:y val="8.8275823719435806E-2"/>
          <c:w val="0.74573335931672435"/>
          <c:h val="0.76012912945788569"/>
        </c:manualLayout>
      </c:layout>
      <c:barChart>
        <c:barDir val="bar"/>
        <c:grouping val="clustered"/>
        <c:varyColors val="1"/>
        <c:ser>
          <c:idx val="0"/>
          <c:order val="0"/>
          <c:tx>
            <c:strRef>
              <c:f>Pivot!$V$8</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ED6-4780-A6E6-F15392CE1950}"/>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ED6-4780-A6E6-F15392CE1950}"/>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ED6-4780-A6E6-F15392CE1950}"/>
              </c:ext>
            </c:extLst>
          </c:dPt>
          <c:dPt>
            <c:idx val="3"/>
            <c:invertIfNegative val="0"/>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ED6-4780-A6E6-F15392CE1950}"/>
              </c:ext>
            </c:extLst>
          </c:dPt>
          <c:dPt>
            <c:idx val="4"/>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ED6-4780-A6E6-F15392CE1950}"/>
              </c:ext>
            </c:extLst>
          </c:dPt>
          <c:dPt>
            <c:idx val="5"/>
            <c:invertIfNegative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ED6-4780-A6E6-F15392CE1950}"/>
              </c:ext>
            </c:extLst>
          </c:dPt>
          <c:dPt>
            <c:idx val="6"/>
            <c:invertIfNegative val="0"/>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7ED6-4780-A6E6-F15392CE1950}"/>
              </c:ext>
            </c:extLst>
          </c:dPt>
          <c:dPt>
            <c:idx val="7"/>
            <c:invertIfNegative val="0"/>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7ED6-4780-A6E6-F15392CE1950}"/>
              </c:ext>
            </c:extLst>
          </c:dPt>
          <c:dPt>
            <c:idx val="8"/>
            <c:invertIfNegative val="0"/>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7ED6-4780-A6E6-F15392CE1950}"/>
              </c:ext>
            </c:extLst>
          </c:dPt>
          <c:dPt>
            <c:idx val="9"/>
            <c:invertIfNegative val="0"/>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7ED6-4780-A6E6-F15392CE1950}"/>
              </c:ext>
            </c:extLst>
          </c:dPt>
          <c:cat>
            <c:strRef>
              <c:f>Pivot!$U$9:$U$19</c:f>
              <c:strCache>
                <c:ptCount val="10"/>
                <c:pt idx="0">
                  <c:v>3 Series</c:v>
                </c:pt>
                <c:pt idx="1">
                  <c:v>7 Series</c:v>
                </c:pt>
                <c:pt idx="2">
                  <c:v>i4</c:v>
                </c:pt>
                <c:pt idx="3">
                  <c:v>X5</c:v>
                </c:pt>
                <c:pt idx="4">
                  <c:v>X3</c:v>
                </c:pt>
                <c:pt idx="5">
                  <c:v>X1</c:v>
                </c:pt>
                <c:pt idx="6">
                  <c:v>i7</c:v>
                </c:pt>
                <c:pt idx="7">
                  <c:v>X7</c:v>
                </c:pt>
                <c:pt idx="8">
                  <c:v>5 Series</c:v>
                </c:pt>
                <c:pt idx="9">
                  <c:v>iX</c:v>
                </c:pt>
              </c:strCache>
            </c:strRef>
          </c:cat>
          <c:val>
            <c:numRef>
              <c:f>Pivot!$V$9:$V$19</c:f>
              <c:numCache>
                <c:formatCode>_(* #,##0_);_(* \(#,##0\);_(* "-"??_);_(@_)</c:formatCode>
                <c:ptCount val="10"/>
                <c:pt idx="0">
                  <c:v>34360655</c:v>
                </c:pt>
                <c:pt idx="1">
                  <c:v>30408487</c:v>
                </c:pt>
                <c:pt idx="2">
                  <c:v>30402994</c:v>
                </c:pt>
                <c:pt idx="3">
                  <c:v>30145846</c:v>
                </c:pt>
                <c:pt idx="4">
                  <c:v>29004984</c:v>
                </c:pt>
                <c:pt idx="5">
                  <c:v>27423094</c:v>
                </c:pt>
                <c:pt idx="6">
                  <c:v>27287325</c:v>
                </c:pt>
                <c:pt idx="7">
                  <c:v>25803665</c:v>
                </c:pt>
                <c:pt idx="8">
                  <c:v>23986122</c:v>
                </c:pt>
                <c:pt idx="9">
                  <c:v>20669058</c:v>
                </c:pt>
              </c:numCache>
            </c:numRef>
          </c:val>
          <c:extLst>
            <c:ext xmlns:c16="http://schemas.microsoft.com/office/drawing/2014/chart" uri="{C3380CC4-5D6E-409C-BE32-E72D297353CC}">
              <c16:uniqueId val="{00000000-72EB-4E0A-BF42-E49A4293B3A9}"/>
            </c:ext>
          </c:extLst>
        </c:ser>
        <c:dLbls>
          <c:showLegendKey val="0"/>
          <c:showVal val="0"/>
          <c:showCatName val="0"/>
          <c:showSerName val="0"/>
          <c:showPercent val="0"/>
          <c:showBubbleSize val="0"/>
        </c:dLbls>
        <c:gapWidth val="115"/>
        <c:overlap val="-20"/>
        <c:axId val="1965703519"/>
        <c:axId val="1965706879"/>
      </c:barChart>
      <c:catAx>
        <c:axId val="1965703519"/>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1965706879"/>
        <c:crosses val="autoZero"/>
        <c:auto val="1"/>
        <c:lblAlgn val="ctr"/>
        <c:lblOffset val="100"/>
        <c:noMultiLvlLbl val="0"/>
      </c:catAx>
      <c:valAx>
        <c:axId val="1965706879"/>
        <c:scaling>
          <c:orientation val="minMax"/>
        </c:scaling>
        <c:delete val="0"/>
        <c:axPos val="b"/>
        <c:majorGridlines>
          <c:spPr>
            <a:ln w="9525" cap="flat" cmpd="sng" algn="ctr">
              <a:solidFill>
                <a:schemeClr val="lt1">
                  <a:lumMod val="95000"/>
                  <a:alpha val="10000"/>
                </a:schemeClr>
              </a:solidFill>
              <a:round/>
            </a:ln>
            <a:effectLst/>
          </c:spPr>
        </c:majorGridlines>
        <c:numFmt formatCode="_(* #,##0_);_(* \(#,##0\);_(* &quot;-&quot;??_);_(@_)" sourceLinked="1"/>
        <c:majorTickMark val="out"/>
        <c:minorTickMark val="none"/>
        <c:tickLblPos val="nextTo"/>
        <c:spPr>
          <a:noFill/>
          <a:ln>
            <a:noFill/>
          </a:ln>
          <a:effectLst/>
        </c:spPr>
        <c:txPr>
          <a:bodyPr rot="0" spcFirstLastPara="1" vertOverflow="ellipsis" wrap="square" anchor="ctr" anchorCtr="1"/>
          <a:lstStyle/>
          <a:p>
            <a:pPr>
              <a:defRPr sz="1600" b="0" i="0" u="none" strike="noStrike" kern="1200" baseline="0">
                <a:solidFill>
                  <a:schemeClr val="lt1">
                    <a:lumMod val="85000"/>
                  </a:schemeClr>
                </a:solidFill>
                <a:latin typeface="+mn-lt"/>
                <a:ea typeface="+mn-ea"/>
                <a:cs typeface="+mn-cs"/>
              </a:defRPr>
            </a:pPr>
            <a:endParaRPr lang="en-US"/>
          </a:p>
        </c:txPr>
        <c:crossAx val="196570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2.xlsx]Pivot!PivotTable17</c:name>
    <c:fmtId val="7"/>
  </c:pivotSource>
  <c:chart>
    <c:autoTitleDeleted val="1"/>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Text" lastClr="000000"/>
            </a:solidFill>
            <a:ln>
              <a:no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solidFill>
            <a:schemeClr val="accent4">
              <a:lumMod val="60000"/>
              <a:lumOff val="40000"/>
            </a:schemeClr>
          </a:solidFill>
          <a:ln>
            <a:noFill/>
          </a:ln>
          <a:effectLst>
            <a:outerShdw blurRad="57150" dist="19050" dir="5400000" algn="ctr" rotWithShape="0">
              <a:srgbClr val="000000">
                <a:alpha val="63000"/>
              </a:srgbClr>
            </a:outerShdw>
          </a:effectLst>
        </c:spPr>
      </c:pivotFmt>
      <c:pivotFmt>
        <c:idx val="9"/>
        <c:spPr>
          <a:solidFill>
            <a:schemeClr val="bg1">
              <a:lumMod val="95000"/>
            </a:schemeClr>
          </a:soli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Pivot!$Z$8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881-4BBC-A1A0-99E232301CC5}"/>
              </c:ext>
            </c:extLst>
          </c:dPt>
          <c:dPt>
            <c:idx val="1"/>
            <c:bubble3D val="0"/>
            <c:spPr>
              <a:solidFill>
                <a:schemeClr val="accent4">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881-4BBC-A1A0-99E232301CC5}"/>
              </c:ext>
            </c:extLst>
          </c:dPt>
          <c:dPt>
            <c:idx val="2"/>
            <c:bubble3D val="0"/>
            <c:spPr>
              <a:solidFill>
                <a:schemeClr val="bg1">
                  <a:lumMod val="9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881-4BBC-A1A0-99E232301CC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F881-4BBC-A1A0-99E232301CC5}"/>
              </c:ext>
            </c:extLst>
          </c:dPt>
          <c:dLbls>
            <c:spPr>
              <a:solidFill>
                <a:sysClr val="windowText" lastClr="000000"/>
              </a:solidFill>
              <a:ln>
                <a:no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Pivot!$Y$9:$Y$13</c:f>
              <c:strCache>
                <c:ptCount val="4"/>
                <c:pt idx="0">
                  <c:v>Diesel</c:v>
                </c:pt>
                <c:pt idx="1">
                  <c:v>Electric</c:v>
                </c:pt>
                <c:pt idx="2">
                  <c:v>Hybrid</c:v>
                </c:pt>
                <c:pt idx="3">
                  <c:v>Petrol</c:v>
                </c:pt>
              </c:strCache>
            </c:strRef>
          </c:cat>
          <c:val>
            <c:numRef>
              <c:f>Pivot!$Z$9:$Z$13</c:f>
              <c:numCache>
                <c:formatCode>0.00%</c:formatCode>
                <c:ptCount val="4"/>
                <c:pt idx="0">
                  <c:v>0.25730902170577091</c:v>
                </c:pt>
                <c:pt idx="1">
                  <c:v>0.25350786126988784</c:v>
                </c:pt>
                <c:pt idx="2">
                  <c:v>0.24440683293782683</c:v>
                </c:pt>
                <c:pt idx="3">
                  <c:v>0.24477628408651445</c:v>
                </c:pt>
              </c:numCache>
            </c:numRef>
          </c:val>
          <c:extLst>
            <c:ext xmlns:c16="http://schemas.microsoft.com/office/drawing/2014/chart" uri="{C3380CC4-5D6E-409C-BE32-E72D297353CC}">
              <c16:uniqueId val="{00000008-F881-4BBC-A1A0-99E232301CC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2.xlsx]Pivot!PivotTable23</c:name>
    <c:fmtId val="1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bar"/>
        <c:grouping val="clustered"/>
        <c:varyColors val="1"/>
        <c:ser>
          <c:idx val="0"/>
          <c:order val="0"/>
          <c:tx>
            <c:strRef>
              <c:f>Pivot!$AI$8</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DFB-4E69-831D-888292CEBF63}"/>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DFB-4E69-831D-888292CEBF63}"/>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DFB-4E69-831D-888292CEBF63}"/>
              </c:ext>
            </c:extLst>
          </c:dPt>
          <c:dPt>
            <c:idx val="3"/>
            <c:invertIfNegative val="0"/>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DFB-4E69-831D-888292CEBF63}"/>
              </c:ext>
            </c:extLst>
          </c:dPt>
          <c:dPt>
            <c:idx val="4"/>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DFB-4E69-831D-888292CEBF63}"/>
              </c:ext>
            </c:extLst>
          </c:dPt>
          <c:dPt>
            <c:idx val="5"/>
            <c:invertIfNegative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DFB-4E69-831D-888292CEBF63}"/>
              </c:ext>
            </c:extLst>
          </c:dPt>
          <c:dPt>
            <c:idx val="6"/>
            <c:invertIfNegative val="0"/>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DFB-4E69-831D-888292CEBF63}"/>
              </c:ext>
            </c:extLst>
          </c:dPt>
          <c:dPt>
            <c:idx val="7"/>
            <c:invertIfNegative val="0"/>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DFB-4E69-831D-888292CEBF63}"/>
              </c:ext>
            </c:extLst>
          </c:dPt>
          <c:dPt>
            <c:idx val="8"/>
            <c:invertIfNegative val="0"/>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DFB-4E69-831D-888292CEBF63}"/>
              </c:ext>
            </c:extLst>
          </c:dPt>
          <c:dPt>
            <c:idx val="9"/>
            <c:invertIfNegative val="0"/>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CDFB-4E69-831D-888292CEBF63}"/>
              </c:ext>
            </c:extLst>
          </c:dPt>
          <c:cat>
            <c:strRef>
              <c:f>Pivot!$AH$9:$AH$19</c:f>
              <c:strCache>
                <c:ptCount val="10"/>
                <c:pt idx="0">
                  <c:v>X3</c:v>
                </c:pt>
                <c:pt idx="1">
                  <c:v>3 Series</c:v>
                </c:pt>
                <c:pt idx="2">
                  <c:v>i4</c:v>
                </c:pt>
                <c:pt idx="3">
                  <c:v>X5</c:v>
                </c:pt>
                <c:pt idx="4">
                  <c:v>7 Series</c:v>
                </c:pt>
                <c:pt idx="5">
                  <c:v>i7</c:v>
                </c:pt>
                <c:pt idx="6">
                  <c:v>X1</c:v>
                </c:pt>
                <c:pt idx="7">
                  <c:v>5 Series</c:v>
                </c:pt>
                <c:pt idx="8">
                  <c:v>X7</c:v>
                </c:pt>
                <c:pt idx="9">
                  <c:v>iX</c:v>
                </c:pt>
              </c:strCache>
            </c:strRef>
          </c:cat>
          <c:val>
            <c:numRef>
              <c:f>Pivot!$AI$9:$AI$19</c:f>
              <c:numCache>
                <c:formatCode>_(* #,##0_);_(* \(#,##0\);_(* "-"??_);_(@_)</c:formatCode>
                <c:ptCount val="10"/>
                <c:pt idx="0">
                  <c:v>73358</c:v>
                </c:pt>
                <c:pt idx="1">
                  <c:v>70886</c:v>
                </c:pt>
                <c:pt idx="2">
                  <c:v>69528</c:v>
                </c:pt>
                <c:pt idx="3">
                  <c:v>65505</c:v>
                </c:pt>
                <c:pt idx="4">
                  <c:v>65071</c:v>
                </c:pt>
                <c:pt idx="5">
                  <c:v>63974</c:v>
                </c:pt>
                <c:pt idx="6">
                  <c:v>61341</c:v>
                </c:pt>
                <c:pt idx="7">
                  <c:v>59144</c:v>
                </c:pt>
                <c:pt idx="8">
                  <c:v>53318</c:v>
                </c:pt>
                <c:pt idx="9">
                  <c:v>51067</c:v>
                </c:pt>
              </c:numCache>
            </c:numRef>
          </c:val>
          <c:extLst>
            <c:ext xmlns:c16="http://schemas.microsoft.com/office/drawing/2014/chart" uri="{C3380CC4-5D6E-409C-BE32-E72D297353CC}">
              <c16:uniqueId val="{00000000-E1C8-4AF8-A46F-31FD7D287A86}"/>
            </c:ext>
          </c:extLst>
        </c:ser>
        <c:dLbls>
          <c:showLegendKey val="0"/>
          <c:showVal val="0"/>
          <c:showCatName val="0"/>
          <c:showSerName val="0"/>
          <c:showPercent val="0"/>
          <c:showBubbleSize val="0"/>
        </c:dLbls>
        <c:gapWidth val="115"/>
        <c:overlap val="-20"/>
        <c:axId val="1681024351"/>
        <c:axId val="1681020031"/>
      </c:barChart>
      <c:catAx>
        <c:axId val="168102435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681020031"/>
        <c:crosses val="autoZero"/>
        <c:auto val="1"/>
        <c:lblAlgn val="ctr"/>
        <c:lblOffset val="100"/>
        <c:noMultiLvlLbl val="0"/>
      </c:catAx>
      <c:valAx>
        <c:axId val="1681020031"/>
        <c:scaling>
          <c:orientation val="minMax"/>
        </c:scaling>
        <c:delete val="0"/>
        <c:axPos val="b"/>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68102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2.xlsx]Pivot!PivotTable18</c:name>
    <c:fmtId val="4"/>
  </c:pivotSource>
  <c:chart>
    <c:autoTitleDeleted val="1"/>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solidFill>
            <a:schemeClr val="tx1">
              <a:lumMod val="50000"/>
              <a:lumOff val="50000"/>
            </a:schemeClr>
          </a:solidFill>
          <a:ln>
            <a:noFill/>
          </a:ln>
          <a:effectLst>
            <a:outerShdw blurRad="57150" dist="19050" dir="5400000" algn="ctr" rotWithShape="0">
              <a:srgbClr val="000000">
                <a:alpha val="63000"/>
              </a:srgbClr>
            </a:outerShdw>
          </a:effectLst>
        </c:spPr>
      </c:pivotFmt>
      <c:pivotFmt>
        <c:idx val="8"/>
        <c:spPr>
          <a:solidFill>
            <a:schemeClr val="bg1">
              <a:lumMod val="95000"/>
            </a:schemeClr>
          </a:soli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8.0189301028438752E-4"/>
          <c:y val="0.26086237724994615"/>
          <c:w val="0.61060913258820504"/>
          <c:h val="0.62139456082498712"/>
        </c:manualLayout>
      </c:layout>
      <c:doughnutChart>
        <c:varyColors val="1"/>
        <c:ser>
          <c:idx val="0"/>
          <c:order val="0"/>
          <c:tx>
            <c:strRef>
              <c:f>Pivot!$AD$8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152-462B-BD7D-84E42A640E1B}"/>
              </c:ext>
            </c:extLst>
          </c:dPt>
          <c:dPt>
            <c:idx val="1"/>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152-462B-BD7D-84E42A640E1B}"/>
              </c:ext>
            </c:extLst>
          </c:dPt>
          <c:dPt>
            <c:idx val="2"/>
            <c:bubble3D val="0"/>
            <c:spPr>
              <a:solidFill>
                <a:schemeClr val="bg1">
                  <a:lumMod val="9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152-462B-BD7D-84E42A640E1B}"/>
              </c:ext>
            </c:extLst>
          </c:dPt>
          <c:dLbls>
            <c:spPr>
              <a:solidFill>
                <a:schemeClr val="tx1"/>
              </a:solid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Pivot!$AC$9:$AC$12</c:f>
              <c:strCache>
                <c:ptCount val="3"/>
                <c:pt idx="0">
                  <c:v>Electric</c:v>
                </c:pt>
                <c:pt idx="1">
                  <c:v>Sedan</c:v>
                </c:pt>
                <c:pt idx="2">
                  <c:v>SUV</c:v>
                </c:pt>
              </c:strCache>
            </c:strRef>
          </c:cat>
          <c:val>
            <c:numRef>
              <c:f>Pivot!$AD$9:$AD$12</c:f>
              <c:numCache>
                <c:formatCode>0.00%</c:formatCode>
                <c:ptCount val="3"/>
                <c:pt idx="0">
                  <c:v>0.34618283432398395</c:v>
                </c:pt>
                <c:pt idx="1">
                  <c:v>0.32877835742259653</c:v>
                </c:pt>
                <c:pt idx="2">
                  <c:v>0.32503880825341952</c:v>
                </c:pt>
              </c:numCache>
            </c:numRef>
          </c:val>
          <c:extLst>
            <c:ext xmlns:c16="http://schemas.microsoft.com/office/drawing/2014/chart" uri="{C3380CC4-5D6E-409C-BE32-E72D297353CC}">
              <c16:uniqueId val="{00000006-6152-462B-BD7D-84E42A640E1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60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[BMW_Sales dashboard 2.xlsx]Pivot!PivotTable16</c:name>
    <c:fmtId val="1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66675" cap="rnd">
            <a:solidFill>
              <a:schemeClr val="accent1"/>
            </a:solidFill>
            <a:round/>
          </a:ln>
          <a:effectLst>
            <a:outerShdw blurRad="57150" dist="19050" dir="5400000" algn="ctr" rotWithShape="0">
              <a:srgbClr val="000000">
                <a:alpha val="63000"/>
              </a:srgbClr>
            </a:outerShdw>
          </a:effectLst>
        </c:spPr>
        <c:marker>
          <c:symbol val="circle"/>
          <c:size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908755543488099"/>
          <c:y val="6.9915025937497682E-2"/>
          <c:w val="0.78252163996741786"/>
          <c:h val="0.76206757849896478"/>
        </c:manualLayout>
      </c:layout>
      <c:lineChart>
        <c:grouping val="standard"/>
        <c:varyColors val="0"/>
        <c:ser>
          <c:idx val="0"/>
          <c:order val="0"/>
          <c:tx>
            <c:strRef>
              <c:f>Pivot!$S$8</c:f>
              <c:strCache>
                <c:ptCount val="1"/>
                <c:pt idx="0">
                  <c:v>Total</c:v>
                </c:pt>
              </c:strCache>
            </c:strRef>
          </c:tx>
          <c:spPr>
            <a:ln w="66675" cap="rnd">
              <a:solidFill>
                <a:schemeClr val="accent1"/>
              </a:solidFill>
              <a:round/>
            </a:ln>
            <a:effectLst>
              <a:outerShdw blurRad="57150" dist="19050" dir="5400000" algn="ctr" rotWithShape="0">
                <a:srgbClr val="000000">
                  <a:alpha val="63000"/>
                </a:srgbClr>
              </a:outerShdw>
            </a:effectLst>
          </c:spPr>
          <c:marker>
            <c:symbol val="circle"/>
            <c:size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Pivot!$R$9:$R$19</c:f>
              <c:strCache>
                <c:ptCount val="10"/>
                <c:pt idx="0">
                  <c:v>X3</c:v>
                </c:pt>
                <c:pt idx="1">
                  <c:v>i4</c:v>
                </c:pt>
                <c:pt idx="2">
                  <c:v>3 Series</c:v>
                </c:pt>
                <c:pt idx="3">
                  <c:v>X5</c:v>
                </c:pt>
                <c:pt idx="4">
                  <c:v>7 Series</c:v>
                </c:pt>
                <c:pt idx="5">
                  <c:v>i7</c:v>
                </c:pt>
                <c:pt idx="6">
                  <c:v>X1</c:v>
                </c:pt>
                <c:pt idx="7">
                  <c:v>5 Series</c:v>
                </c:pt>
                <c:pt idx="8">
                  <c:v>X7</c:v>
                </c:pt>
                <c:pt idx="9">
                  <c:v>iX</c:v>
                </c:pt>
              </c:strCache>
            </c:strRef>
          </c:cat>
          <c:val>
            <c:numRef>
              <c:f>Pivot!$S$9:$S$19</c:f>
              <c:numCache>
                <c:formatCode>_(* #,##0_);_(* \(#,##0\);_(* "-"??_);_(@_)</c:formatCode>
                <c:ptCount val="10"/>
                <c:pt idx="0">
                  <c:v>5623524340</c:v>
                </c:pt>
                <c:pt idx="1">
                  <c:v>5342875307</c:v>
                </c:pt>
                <c:pt idx="2">
                  <c:v>5281929125</c:v>
                </c:pt>
                <c:pt idx="3">
                  <c:v>5027126143</c:v>
                </c:pt>
                <c:pt idx="4">
                  <c:v>4870343575</c:v>
                </c:pt>
                <c:pt idx="5">
                  <c:v>4784153567</c:v>
                </c:pt>
                <c:pt idx="6">
                  <c:v>4681234375</c:v>
                </c:pt>
                <c:pt idx="7">
                  <c:v>4276025156</c:v>
                </c:pt>
                <c:pt idx="8">
                  <c:v>4233204181</c:v>
                </c:pt>
                <c:pt idx="9">
                  <c:v>3848748931</c:v>
                </c:pt>
              </c:numCache>
            </c:numRef>
          </c:val>
          <c:smooth val="0"/>
          <c:extLst>
            <c:ext xmlns:c16="http://schemas.microsoft.com/office/drawing/2014/chart" uri="{C3380CC4-5D6E-409C-BE32-E72D297353CC}">
              <c16:uniqueId val="{00000000-3CF6-47F4-AA10-3CD5BBD052DA}"/>
            </c:ext>
          </c:extLst>
        </c:ser>
        <c:dLbls>
          <c:showLegendKey val="0"/>
          <c:showVal val="0"/>
          <c:showCatName val="0"/>
          <c:showSerName val="0"/>
          <c:showPercent val="0"/>
          <c:showBubbleSize val="0"/>
        </c:dLbls>
        <c:marker val="1"/>
        <c:smooth val="0"/>
        <c:axId val="1563030559"/>
        <c:axId val="1563031519"/>
      </c:lineChart>
      <c:catAx>
        <c:axId val="15630305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563031519"/>
        <c:crosses val="autoZero"/>
        <c:auto val="1"/>
        <c:lblAlgn val="ctr"/>
        <c:lblOffset val="100"/>
        <c:noMultiLvlLbl val="0"/>
      </c:catAx>
      <c:valAx>
        <c:axId val="1563031519"/>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crossAx val="1563030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image" Target="../media/image1.png"/><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17</xdr:row>
      <xdr:rowOff>0</xdr:rowOff>
    </xdr:from>
    <xdr:to>
      <xdr:col>2</xdr:col>
      <xdr:colOff>524565</xdr:colOff>
      <xdr:row>31</xdr:row>
      <xdr:rowOff>169466</xdr:rowOff>
    </xdr:to>
    <mc:AlternateContent xmlns:mc="http://schemas.openxmlformats.org/markup-compatibility/2006" xmlns:a14="http://schemas.microsoft.com/office/drawing/2010/main">
      <mc:Choice Requires="a14">
        <xdr:graphicFrame macro="">
          <xdr:nvGraphicFramePr>
            <xdr:cNvPr id="2" name="country 2">
              <a:extLst>
                <a:ext uri="{FF2B5EF4-FFF2-40B4-BE49-F238E27FC236}">
                  <a16:creationId xmlns:a16="http://schemas.microsoft.com/office/drawing/2014/main" id="{C4652258-C332-491A-9967-289CF0497271}"/>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0" y="3058583"/>
              <a:ext cx="1826315" cy="2688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32</xdr:row>
      <xdr:rowOff>30831</xdr:rowOff>
    </xdr:from>
    <xdr:to>
      <xdr:col>1</xdr:col>
      <xdr:colOff>651842</xdr:colOff>
      <xdr:row>46</xdr:row>
      <xdr:rowOff>156448</xdr:rowOff>
    </xdr:to>
    <mc:AlternateContent xmlns:mc="http://schemas.openxmlformats.org/markup-compatibility/2006" xmlns:a14="http://schemas.microsoft.com/office/drawing/2010/main">
      <mc:Choice Requires="a14">
        <xdr:graphicFrame macro="">
          <xdr:nvGraphicFramePr>
            <xdr:cNvPr id="3" name="Model 2">
              <a:extLst>
                <a:ext uri="{FF2B5EF4-FFF2-40B4-BE49-F238E27FC236}">
                  <a16:creationId xmlns:a16="http://schemas.microsoft.com/office/drawing/2014/main" id="{F3B68AB6-84AE-473A-9B86-87E2E389E26D}"/>
                </a:ext>
              </a:extLst>
            </xdr:cNvPr>
            <xdr:cNvGraphicFramePr/>
          </xdr:nvGraphicFramePr>
          <xdr:xfrm>
            <a:off x="0" y="0"/>
            <a:ext cx="0" cy="0"/>
          </xdr:xfrm>
          <a:graphic>
            <a:graphicData uri="http://schemas.microsoft.com/office/drawing/2010/slicer">
              <sle:slicer xmlns:sle="http://schemas.microsoft.com/office/drawing/2010/slicer" name="Model 2"/>
            </a:graphicData>
          </a:graphic>
        </xdr:graphicFrame>
      </mc:Choice>
      <mc:Fallback xmlns="">
        <xdr:sp macro="" textlink="">
          <xdr:nvSpPr>
            <xdr:cNvPr id="0" name=""/>
            <xdr:cNvSpPr>
              <a:spLocks noTextEdit="1"/>
            </xdr:cNvSpPr>
          </xdr:nvSpPr>
          <xdr:spPr>
            <a:xfrm>
              <a:off x="0" y="5788164"/>
              <a:ext cx="1265675" cy="26444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580427</xdr:colOff>
      <xdr:row>17</xdr:row>
      <xdr:rowOff>0</xdr:rowOff>
    </xdr:from>
    <xdr:to>
      <xdr:col>3</xdr:col>
      <xdr:colOff>915278</xdr:colOff>
      <xdr:row>32</xdr:row>
      <xdr:rowOff>11460</xdr:rowOff>
    </xdr:to>
    <mc:AlternateContent xmlns:mc="http://schemas.openxmlformats.org/markup-compatibility/2006" xmlns:a14="http://schemas.microsoft.com/office/drawing/2010/main">
      <mc:Choice Requires="a14">
        <xdr:graphicFrame macro="">
          <xdr:nvGraphicFramePr>
            <xdr:cNvPr id="4" name="year 2">
              <a:extLst>
                <a:ext uri="{FF2B5EF4-FFF2-40B4-BE49-F238E27FC236}">
                  <a16:creationId xmlns:a16="http://schemas.microsoft.com/office/drawing/2014/main" id="{65A8EDD4-9F2D-4A86-8CB8-84AF8F318E17}"/>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882177" y="3058583"/>
              <a:ext cx="948684" cy="27102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16841</xdr:colOff>
      <xdr:row>32</xdr:row>
      <xdr:rowOff>33683</xdr:rowOff>
    </xdr:from>
    <xdr:to>
      <xdr:col>3</xdr:col>
      <xdr:colOff>933683</xdr:colOff>
      <xdr:row>46</xdr:row>
      <xdr:rowOff>156448</xdr:rowOff>
    </xdr:to>
    <mc:AlternateContent xmlns:mc="http://schemas.openxmlformats.org/markup-compatibility/2006" xmlns:a14="http://schemas.microsoft.com/office/drawing/2010/main">
      <mc:Choice Requires="a14">
        <xdr:graphicFrame macro="">
          <xdr:nvGraphicFramePr>
            <xdr:cNvPr id="5" name="month 2">
              <a:extLst>
                <a:ext uri="{FF2B5EF4-FFF2-40B4-BE49-F238E27FC236}">
                  <a16:creationId xmlns:a16="http://schemas.microsoft.com/office/drawing/2014/main" id="{EC97E11E-8FE2-4A23-A4BF-3DC181BF1A5A}"/>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318591" y="5791016"/>
              <a:ext cx="1530675" cy="26415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360386</xdr:colOff>
      <xdr:row>17</xdr:row>
      <xdr:rowOff>0</xdr:rowOff>
    </xdr:from>
    <xdr:to>
      <xdr:col>12</xdr:col>
      <xdr:colOff>229521</xdr:colOff>
      <xdr:row>31</xdr:row>
      <xdr:rowOff>125067</xdr:rowOff>
    </xdr:to>
    <xdr:graphicFrame macro="">
      <xdr:nvGraphicFramePr>
        <xdr:cNvPr id="6" name="Chart 5">
          <a:extLst>
            <a:ext uri="{FF2B5EF4-FFF2-40B4-BE49-F238E27FC236}">
              <a16:creationId xmlns:a16="http://schemas.microsoft.com/office/drawing/2014/main" id="{FA236D4A-75B1-43FA-B59C-69BDCCDA06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273325</xdr:colOff>
      <xdr:row>17</xdr:row>
      <xdr:rowOff>0</xdr:rowOff>
    </xdr:from>
    <xdr:to>
      <xdr:col>21</xdr:col>
      <xdr:colOff>441738</xdr:colOff>
      <xdr:row>31</xdr:row>
      <xdr:rowOff>113656</xdr:rowOff>
    </xdr:to>
    <xdr:graphicFrame macro="">
      <xdr:nvGraphicFramePr>
        <xdr:cNvPr id="7" name="Chart 6">
          <a:extLst>
            <a:ext uri="{FF2B5EF4-FFF2-40B4-BE49-F238E27FC236}">
              <a16:creationId xmlns:a16="http://schemas.microsoft.com/office/drawing/2014/main" id="{4BE7B770-15FB-4641-8770-4050B3AE8D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32</xdr:row>
      <xdr:rowOff>0</xdr:rowOff>
    </xdr:from>
    <xdr:to>
      <xdr:col>9</xdr:col>
      <xdr:colOff>414131</xdr:colOff>
      <xdr:row>46</xdr:row>
      <xdr:rowOff>166388</xdr:rowOff>
    </xdr:to>
    <xdr:graphicFrame macro="">
      <xdr:nvGraphicFramePr>
        <xdr:cNvPr id="8" name="Chart 7">
          <a:extLst>
            <a:ext uri="{FF2B5EF4-FFF2-40B4-BE49-F238E27FC236}">
              <a16:creationId xmlns:a16="http://schemas.microsoft.com/office/drawing/2014/main" id="{0256E8A3-E0B6-457C-8FCB-AA1B78289F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552175</xdr:colOff>
      <xdr:row>17</xdr:row>
      <xdr:rowOff>0</xdr:rowOff>
    </xdr:from>
    <xdr:to>
      <xdr:col>26</xdr:col>
      <xdr:colOff>193260</xdr:colOff>
      <xdr:row>31</xdr:row>
      <xdr:rowOff>138043</xdr:rowOff>
    </xdr:to>
    <xdr:graphicFrame macro="">
      <xdr:nvGraphicFramePr>
        <xdr:cNvPr id="9" name="Chart 8">
          <a:extLst>
            <a:ext uri="{FF2B5EF4-FFF2-40B4-BE49-F238E27FC236}">
              <a16:creationId xmlns:a16="http://schemas.microsoft.com/office/drawing/2014/main" id="{610674BA-80BD-4DC2-B9C3-DC8AEC6ECE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533769</xdr:colOff>
      <xdr:row>32</xdr:row>
      <xdr:rowOff>9203</xdr:rowOff>
    </xdr:from>
    <xdr:to>
      <xdr:col>17</xdr:col>
      <xdr:colOff>531927</xdr:colOff>
      <xdr:row>46</xdr:row>
      <xdr:rowOff>175591</xdr:rowOff>
    </xdr:to>
    <xdr:graphicFrame macro="">
      <xdr:nvGraphicFramePr>
        <xdr:cNvPr id="10" name="Chart 9">
          <a:extLst>
            <a:ext uri="{FF2B5EF4-FFF2-40B4-BE49-F238E27FC236}">
              <a16:creationId xmlns:a16="http://schemas.microsoft.com/office/drawing/2014/main" id="{C0238DB1-B7C4-4068-81F6-7A6BF24BC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110435</xdr:colOff>
      <xdr:row>32</xdr:row>
      <xdr:rowOff>18405</xdr:rowOff>
    </xdr:from>
    <xdr:to>
      <xdr:col>26</xdr:col>
      <xdr:colOff>209825</xdr:colOff>
      <xdr:row>47</xdr:row>
      <xdr:rowOff>735</xdr:rowOff>
    </xdr:to>
    <xdr:graphicFrame macro="">
      <xdr:nvGraphicFramePr>
        <xdr:cNvPr id="11" name="Chart 10">
          <a:extLst>
            <a:ext uri="{FF2B5EF4-FFF2-40B4-BE49-F238E27FC236}">
              <a16:creationId xmlns:a16="http://schemas.microsoft.com/office/drawing/2014/main" id="{2E72168B-A791-4A67-A6CE-CAACE56E20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0</xdr:colOff>
      <xdr:row>17</xdr:row>
      <xdr:rowOff>0</xdr:rowOff>
    </xdr:from>
    <xdr:to>
      <xdr:col>6</xdr:col>
      <xdr:colOff>312898</xdr:colOff>
      <xdr:row>31</xdr:row>
      <xdr:rowOff>147247</xdr:rowOff>
    </xdr:to>
    <xdr:graphicFrame macro="">
      <xdr:nvGraphicFramePr>
        <xdr:cNvPr id="12" name="Chart 11">
          <a:extLst>
            <a:ext uri="{FF2B5EF4-FFF2-40B4-BE49-F238E27FC236}">
              <a16:creationId xmlns:a16="http://schemas.microsoft.com/office/drawing/2014/main" id="{70EC18E8-CE11-4232-BC19-48E11BB853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285750</xdr:colOff>
      <xdr:row>1</xdr:row>
      <xdr:rowOff>58616</xdr:rowOff>
    </xdr:from>
    <xdr:to>
      <xdr:col>3</xdr:col>
      <xdr:colOff>371232</xdr:colOff>
      <xdr:row>11</xdr:row>
      <xdr:rowOff>108838</xdr:rowOff>
    </xdr:to>
    <xdr:pic>
      <xdr:nvPicPr>
        <xdr:cNvPr id="14" name="Picture 13">
          <a:extLst>
            <a:ext uri="{FF2B5EF4-FFF2-40B4-BE49-F238E27FC236}">
              <a16:creationId xmlns:a16="http://schemas.microsoft.com/office/drawing/2014/main" id="{826D8DC5-628A-ECCA-1C15-F4417DCCE43B}"/>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85750" y="244231"/>
          <a:ext cx="1990482" cy="1906376"/>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4</xdr:col>
      <xdr:colOff>107461</xdr:colOff>
      <xdr:row>0</xdr:row>
      <xdr:rowOff>117230</xdr:rowOff>
    </xdr:from>
    <xdr:to>
      <xdr:col>24</xdr:col>
      <xdr:colOff>455084</xdr:colOff>
      <xdr:row>8</xdr:row>
      <xdr:rowOff>68384</xdr:rowOff>
    </xdr:to>
    <xdr:sp macro="" textlink="">
      <xdr:nvSpPr>
        <xdr:cNvPr id="15" name="Rectangle: Rounded Corners 14">
          <a:extLst>
            <a:ext uri="{FF2B5EF4-FFF2-40B4-BE49-F238E27FC236}">
              <a16:creationId xmlns:a16="http://schemas.microsoft.com/office/drawing/2014/main" id="{3ECAAA30-4C28-103E-56D9-F88BF4BCCBCB}"/>
            </a:ext>
          </a:extLst>
        </xdr:cNvPr>
        <xdr:cNvSpPr/>
      </xdr:nvSpPr>
      <xdr:spPr>
        <a:xfrm>
          <a:off x="2996711" y="117230"/>
          <a:ext cx="15471206" cy="1390487"/>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4800" b="1">
              <a:solidFill>
                <a:schemeClr val="bg1"/>
              </a:solidFill>
            </a:rPr>
            <a:t>BMW</a:t>
          </a:r>
          <a:r>
            <a:rPr lang="en-US" sz="4800" b="1" baseline="0">
              <a:solidFill>
                <a:schemeClr val="bg1"/>
              </a:solidFill>
            </a:rPr>
            <a:t> Sales </a:t>
          </a:r>
        </a:p>
        <a:p>
          <a:pPr algn="l"/>
          <a:r>
            <a:rPr lang="en-US" sz="2400" b="1" baseline="0">
              <a:solidFill>
                <a:schemeClr val="bg1"/>
              </a:solidFill>
            </a:rPr>
            <a:t>from 2015 to 2024</a:t>
          </a:r>
          <a:endParaRPr lang="en-US" sz="2400" b="1">
            <a:solidFill>
              <a:schemeClr val="bg1"/>
            </a:solidFill>
          </a:endParaRPr>
        </a:p>
      </xdr:txBody>
    </xdr:sp>
    <xdr:clientData/>
  </xdr:twoCellAnchor>
  <xdr:twoCellAnchor>
    <xdr:from>
      <xdr:col>4</xdr:col>
      <xdr:colOff>78154</xdr:colOff>
      <xdr:row>8</xdr:row>
      <xdr:rowOff>107463</xdr:rowOff>
    </xdr:from>
    <xdr:to>
      <xdr:col>7</xdr:col>
      <xdr:colOff>390769</xdr:colOff>
      <xdr:row>16</xdr:row>
      <xdr:rowOff>68386</xdr:rowOff>
    </xdr:to>
    <xdr:sp macro="" textlink="">
      <xdr:nvSpPr>
        <xdr:cNvPr id="16" name="Rectangle: Rounded Corners 15">
          <a:extLst>
            <a:ext uri="{FF2B5EF4-FFF2-40B4-BE49-F238E27FC236}">
              <a16:creationId xmlns:a16="http://schemas.microsoft.com/office/drawing/2014/main" id="{AED9C5D7-C8AF-48FD-B65B-5D3FB658CEEF}"/>
            </a:ext>
          </a:extLst>
        </xdr:cNvPr>
        <xdr:cNvSpPr/>
      </xdr:nvSpPr>
      <xdr:spPr>
        <a:xfrm>
          <a:off x="2950308" y="1592386"/>
          <a:ext cx="5001846" cy="1445846"/>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Total Revenue</a:t>
          </a:r>
        </a:p>
      </xdr:txBody>
    </xdr:sp>
    <xdr:clientData/>
  </xdr:twoCellAnchor>
  <xdr:twoCellAnchor>
    <xdr:from>
      <xdr:col>7</xdr:col>
      <xdr:colOff>497417</xdr:colOff>
      <xdr:row>8</xdr:row>
      <xdr:rowOff>105835</xdr:rowOff>
    </xdr:from>
    <xdr:to>
      <xdr:col>15</xdr:col>
      <xdr:colOff>587783</xdr:colOff>
      <xdr:row>16</xdr:row>
      <xdr:rowOff>66758</xdr:rowOff>
    </xdr:to>
    <xdr:sp macro="" textlink="">
      <xdr:nvSpPr>
        <xdr:cNvPr id="17" name="Rectangle: Rounded Corners 16">
          <a:extLst>
            <a:ext uri="{FF2B5EF4-FFF2-40B4-BE49-F238E27FC236}">
              <a16:creationId xmlns:a16="http://schemas.microsoft.com/office/drawing/2014/main" id="{888CC369-877E-4B30-81A1-78EBA0783FDF}"/>
            </a:ext>
          </a:extLst>
        </xdr:cNvPr>
        <xdr:cNvSpPr/>
      </xdr:nvSpPr>
      <xdr:spPr>
        <a:xfrm>
          <a:off x="8075084" y="1545168"/>
          <a:ext cx="5001032" cy="1400257"/>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a:solidFill>
              <a:schemeClr val="bg1"/>
            </a:solidFill>
          </a:endParaRPr>
        </a:p>
      </xdr:txBody>
    </xdr:sp>
    <xdr:clientData/>
  </xdr:twoCellAnchor>
  <xdr:twoCellAnchor>
    <xdr:from>
      <xdr:col>16</xdr:col>
      <xdr:colOff>317500</xdr:colOff>
      <xdr:row>8</xdr:row>
      <xdr:rowOff>105834</xdr:rowOff>
    </xdr:from>
    <xdr:to>
      <xdr:col>24</xdr:col>
      <xdr:colOff>407866</xdr:colOff>
      <xdr:row>16</xdr:row>
      <xdr:rowOff>66757</xdr:rowOff>
    </xdr:to>
    <xdr:sp macro="" textlink="">
      <xdr:nvSpPr>
        <xdr:cNvPr id="18" name="Rectangle: Rounded Corners 17">
          <a:extLst>
            <a:ext uri="{FF2B5EF4-FFF2-40B4-BE49-F238E27FC236}">
              <a16:creationId xmlns:a16="http://schemas.microsoft.com/office/drawing/2014/main" id="{75918C16-6D0E-4219-BEC2-32988ED50E71}"/>
            </a:ext>
          </a:extLst>
        </xdr:cNvPr>
        <xdr:cNvSpPr/>
      </xdr:nvSpPr>
      <xdr:spPr>
        <a:xfrm>
          <a:off x="13419667" y="1545167"/>
          <a:ext cx="5001032" cy="1400257"/>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b="1">
            <a:solidFill>
              <a:schemeClr val="bg1"/>
            </a:solidFill>
          </a:endParaRPr>
        </a:p>
      </xdr:txBody>
    </xdr:sp>
    <xdr:clientData/>
  </xdr:twoCellAnchor>
  <xdr:twoCellAnchor>
    <xdr:from>
      <xdr:col>4</xdr:col>
      <xdr:colOff>391583</xdr:colOff>
      <xdr:row>11</xdr:row>
      <xdr:rowOff>134198</xdr:rowOff>
    </xdr:from>
    <xdr:to>
      <xdr:col>5</xdr:col>
      <xdr:colOff>1238250</xdr:colOff>
      <xdr:row>16</xdr:row>
      <xdr:rowOff>31750</xdr:rowOff>
    </xdr:to>
    <xdr:sp macro="" textlink="Pivot!$A$2">
      <xdr:nvSpPr>
        <xdr:cNvPr id="20" name="TextBox 19">
          <a:extLst>
            <a:ext uri="{FF2B5EF4-FFF2-40B4-BE49-F238E27FC236}">
              <a16:creationId xmlns:a16="http://schemas.microsoft.com/office/drawing/2014/main" id="{21AB51D6-BC85-7191-255E-881295D6266A}"/>
            </a:ext>
          </a:extLst>
        </xdr:cNvPr>
        <xdr:cNvSpPr txBox="1"/>
      </xdr:nvSpPr>
      <xdr:spPr>
        <a:xfrm>
          <a:off x="3280833" y="2113281"/>
          <a:ext cx="2201334" cy="79713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D446523-FB05-437C-897F-321BEB4865FF}" type="TxLink">
            <a:rPr lang="en-US" sz="3600" b="0" i="0" u="none" strike="noStrike">
              <a:solidFill>
                <a:schemeClr val="bg1"/>
              </a:solidFill>
              <a:latin typeface="Calibri"/>
              <a:cs typeface="Calibri"/>
            </a:rPr>
            <a:pPr/>
            <a:t> 633,192 </a:t>
          </a:fld>
          <a:endParaRPr lang="en-US" sz="3600">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6</xdr:row>
      <xdr:rowOff>53687</xdr:rowOff>
    </xdr:from>
    <xdr:to>
      <xdr:col>1</xdr:col>
      <xdr:colOff>897699</xdr:colOff>
      <xdr:row>19</xdr:row>
      <xdr:rowOff>138835</xdr:rowOff>
    </xdr:to>
    <mc:AlternateContent xmlns:mc="http://schemas.openxmlformats.org/markup-compatibility/2006" xmlns:a14="http://schemas.microsoft.com/office/drawing/2010/main">
      <mc:Choice Requires="a14">
        <xdr:graphicFrame macro="">
          <xdr:nvGraphicFramePr>
            <xdr:cNvPr id="8" name="country">
              <a:extLst>
                <a:ext uri="{FF2B5EF4-FFF2-40B4-BE49-F238E27FC236}">
                  <a16:creationId xmlns:a16="http://schemas.microsoft.com/office/drawing/2014/main" id="{50949374-8039-4530-1ABF-A8E0B40EEDE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1162051"/>
              <a:ext cx="1821335" cy="25327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19</xdr:row>
      <xdr:rowOff>98714</xdr:rowOff>
    </xdr:from>
    <xdr:to>
      <xdr:col>1</xdr:col>
      <xdr:colOff>897699</xdr:colOff>
      <xdr:row>33</xdr:row>
      <xdr:rowOff>44161</xdr:rowOff>
    </xdr:to>
    <mc:AlternateContent xmlns:mc="http://schemas.openxmlformats.org/markup-compatibility/2006" xmlns:a14="http://schemas.microsoft.com/office/drawing/2010/main">
      <mc:Choice Requires="a14">
        <xdr:graphicFrame macro="">
          <xdr:nvGraphicFramePr>
            <xdr:cNvPr id="9" name="Model">
              <a:extLst>
                <a:ext uri="{FF2B5EF4-FFF2-40B4-BE49-F238E27FC236}">
                  <a16:creationId xmlns:a16="http://schemas.microsoft.com/office/drawing/2014/main" id="{A7236A7F-03DF-7FF2-1231-7CDFF51D3F7D}"/>
                </a:ext>
              </a:extLst>
            </xdr:cNvPr>
            <xdr:cNvGraphicFramePr/>
          </xdr:nvGraphicFramePr>
          <xdr:xfrm>
            <a:off x="0" y="0"/>
            <a:ext cx="0" cy="0"/>
          </xdr:xfrm>
          <a:graphic>
            <a:graphicData uri="http://schemas.microsoft.com/office/drawing/2010/slicer">
              <sle:slicer xmlns:sle="http://schemas.microsoft.com/office/drawing/2010/slicer" name="Model"/>
            </a:graphicData>
          </a:graphic>
        </xdr:graphicFrame>
      </mc:Choice>
      <mc:Fallback xmlns="">
        <xdr:sp macro="" textlink="">
          <xdr:nvSpPr>
            <xdr:cNvPr id="0" name=""/>
            <xdr:cNvSpPr>
              <a:spLocks noTextEdit="1"/>
            </xdr:cNvSpPr>
          </xdr:nvSpPr>
          <xdr:spPr>
            <a:xfrm>
              <a:off x="0" y="3723987"/>
              <a:ext cx="1821335" cy="2531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967489</xdr:colOff>
      <xdr:row>21</xdr:row>
      <xdr:rowOff>61450</xdr:rowOff>
    </xdr:from>
    <xdr:to>
      <xdr:col>3</xdr:col>
      <xdr:colOff>938823</xdr:colOff>
      <xdr:row>35</xdr:row>
      <xdr:rowOff>2081</xdr:rowOff>
    </xdr:to>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AF04BE31-6EAD-98B7-DB1D-19AC32F07BD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891125" y="4056177"/>
              <a:ext cx="1818607" cy="25268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79583</xdr:rowOff>
    </xdr:from>
    <xdr:to>
      <xdr:col>1</xdr:col>
      <xdr:colOff>898277</xdr:colOff>
      <xdr:row>47</xdr:row>
      <xdr:rowOff>25608</xdr:rowOff>
    </xdr:to>
    <mc:AlternateContent xmlns:mc="http://schemas.openxmlformats.org/markup-compatibility/2006" xmlns:a14="http://schemas.microsoft.com/office/drawing/2010/main">
      <mc:Choice Requires="a14">
        <xdr:graphicFrame macro="">
          <xdr:nvGraphicFramePr>
            <xdr:cNvPr id="11" name="month">
              <a:extLst>
                <a:ext uri="{FF2B5EF4-FFF2-40B4-BE49-F238E27FC236}">
                  <a16:creationId xmlns:a16="http://schemas.microsoft.com/office/drawing/2014/main" id="{B493A819-636A-8C23-6985-4A220E0CE5C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6291038"/>
              <a:ext cx="1821913" cy="25322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431800</xdr:colOff>
      <xdr:row>0</xdr:row>
      <xdr:rowOff>101600</xdr:rowOff>
    </xdr:from>
    <xdr:to>
      <xdr:col>6</xdr:col>
      <xdr:colOff>0</xdr:colOff>
      <xdr:row>74</xdr:row>
      <xdr:rowOff>6350</xdr:rowOff>
    </xdr:to>
    <xdr:grpSp>
      <xdr:nvGrpSpPr>
        <xdr:cNvPr id="40" name="Group 39">
          <a:extLst>
            <a:ext uri="{FF2B5EF4-FFF2-40B4-BE49-F238E27FC236}">
              <a16:creationId xmlns:a16="http://schemas.microsoft.com/office/drawing/2014/main" id="{C05ECD1E-611E-839C-9719-5FAC615C64E8}"/>
            </a:ext>
          </a:extLst>
        </xdr:cNvPr>
        <xdr:cNvGrpSpPr/>
      </xdr:nvGrpSpPr>
      <xdr:grpSpPr>
        <a:xfrm>
          <a:off x="431800" y="101600"/>
          <a:ext cx="3346450" cy="10731500"/>
          <a:chOff x="23192532" y="-25400"/>
          <a:chExt cx="3606800" cy="11709400"/>
        </a:xfrm>
      </xdr:grpSpPr>
      <xdr:sp macro="" textlink="">
        <xdr:nvSpPr>
          <xdr:cNvPr id="39" name="Rectangle: Rounded Corners 38">
            <a:extLst>
              <a:ext uri="{FF2B5EF4-FFF2-40B4-BE49-F238E27FC236}">
                <a16:creationId xmlns:a16="http://schemas.microsoft.com/office/drawing/2014/main" id="{8D5C00B6-38E3-45A8-872B-87C5EE98C6FB}"/>
              </a:ext>
            </a:extLst>
          </xdr:cNvPr>
          <xdr:cNvSpPr/>
        </xdr:nvSpPr>
        <xdr:spPr>
          <a:xfrm>
            <a:off x="23192532" y="-25400"/>
            <a:ext cx="3606800" cy="11709400"/>
          </a:xfrm>
          <a:prstGeom prst="roundRect">
            <a:avLst>
              <a:gd name="adj" fmla="val 15556"/>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3200" b="1">
              <a:solidFill>
                <a:schemeClr val="bg1"/>
              </a:solidFill>
            </a:endParaRPr>
          </a:p>
        </xdr:txBody>
      </xdr:sp>
      <xdr:pic>
        <xdr:nvPicPr>
          <xdr:cNvPr id="19" name="Picture 18">
            <a:extLst>
              <a:ext uri="{FF2B5EF4-FFF2-40B4-BE49-F238E27FC236}">
                <a16:creationId xmlns:a16="http://schemas.microsoft.com/office/drawing/2014/main" id="{E63C4E77-4B1D-470D-A46E-64C11BCFC21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865949" y="144789"/>
            <a:ext cx="2197650" cy="2359987"/>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xdr:spPr>
      </xdr:pic>
    </xdr:grpSp>
    <xdr:clientData/>
  </xdr:twoCellAnchor>
  <xdr:twoCellAnchor>
    <xdr:from>
      <xdr:col>23</xdr:col>
      <xdr:colOff>174625</xdr:colOff>
      <xdr:row>43</xdr:row>
      <xdr:rowOff>206375</xdr:rowOff>
    </xdr:from>
    <xdr:to>
      <xdr:col>33</xdr:col>
      <xdr:colOff>571500</xdr:colOff>
      <xdr:row>75</xdr:row>
      <xdr:rowOff>0</xdr:rowOff>
    </xdr:to>
    <xdr:sp macro="" textlink="">
      <xdr:nvSpPr>
        <xdr:cNvPr id="33" name="Rectangle: Rounded Corners 32">
          <a:extLst>
            <a:ext uri="{FF2B5EF4-FFF2-40B4-BE49-F238E27FC236}">
              <a16:creationId xmlns:a16="http://schemas.microsoft.com/office/drawing/2014/main" id="{B8197D3A-F0C8-42E6-BEB4-B397BB618DAC}"/>
            </a:ext>
          </a:extLst>
        </xdr:cNvPr>
        <xdr:cNvSpPr/>
      </xdr:nvSpPr>
      <xdr:spPr>
        <a:xfrm>
          <a:off x="17033875" y="8239125"/>
          <a:ext cx="6429375" cy="4302125"/>
        </a:xfrm>
        <a:prstGeom prst="roundRect">
          <a:avLst>
            <a:gd name="adj" fmla="val 15556"/>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Models’ Units sold </a:t>
          </a:r>
        </a:p>
      </xdr:txBody>
    </xdr:sp>
    <xdr:clientData/>
  </xdr:twoCellAnchor>
  <xdr:twoCellAnchor>
    <xdr:from>
      <xdr:col>6</xdr:col>
      <xdr:colOff>41275</xdr:colOff>
      <xdr:row>43</xdr:row>
      <xdr:rowOff>269875</xdr:rowOff>
    </xdr:from>
    <xdr:to>
      <xdr:col>11</xdr:col>
      <xdr:colOff>349250</xdr:colOff>
      <xdr:row>75</xdr:row>
      <xdr:rowOff>3176</xdr:rowOff>
    </xdr:to>
    <xdr:sp macro="" textlink="">
      <xdr:nvSpPr>
        <xdr:cNvPr id="24" name="Rectangle: Rounded Corners 23">
          <a:extLst>
            <a:ext uri="{FF2B5EF4-FFF2-40B4-BE49-F238E27FC236}">
              <a16:creationId xmlns:a16="http://schemas.microsoft.com/office/drawing/2014/main" id="{3CFB5C1E-2C5F-4C47-98AB-6F802DB22194}"/>
            </a:ext>
          </a:extLst>
        </xdr:cNvPr>
        <xdr:cNvSpPr/>
      </xdr:nvSpPr>
      <xdr:spPr>
        <a:xfrm>
          <a:off x="3819525" y="6334125"/>
          <a:ext cx="6213475" cy="2844801"/>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Models Marking spend</a:t>
          </a:r>
        </a:p>
      </xdr:txBody>
    </xdr:sp>
    <xdr:clientData/>
  </xdr:twoCellAnchor>
  <xdr:twoCellAnchor>
    <xdr:from>
      <xdr:col>9</xdr:col>
      <xdr:colOff>809625</xdr:colOff>
      <xdr:row>18</xdr:row>
      <xdr:rowOff>63501</xdr:rowOff>
    </xdr:from>
    <xdr:to>
      <xdr:col>19</xdr:col>
      <xdr:colOff>587375</xdr:colOff>
      <xdr:row>43</xdr:row>
      <xdr:rowOff>158751</xdr:rowOff>
    </xdr:to>
    <xdr:sp macro="" textlink="">
      <xdr:nvSpPr>
        <xdr:cNvPr id="41" name="Rectangle: Rounded Corners 40">
          <a:extLst>
            <a:ext uri="{FF2B5EF4-FFF2-40B4-BE49-F238E27FC236}">
              <a16:creationId xmlns:a16="http://schemas.microsoft.com/office/drawing/2014/main" id="{0168E9DB-7693-4D42-B4D0-85FC46851421}"/>
            </a:ext>
          </a:extLst>
        </xdr:cNvPr>
        <xdr:cNvSpPr/>
      </xdr:nvSpPr>
      <xdr:spPr>
        <a:xfrm>
          <a:off x="7889875" y="2921001"/>
          <a:ext cx="7207250" cy="3302000"/>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Total revenue by country </a:t>
          </a:r>
        </a:p>
      </xdr:txBody>
    </xdr:sp>
    <xdr:clientData/>
  </xdr:twoCellAnchor>
  <xdr:twoCellAnchor editAs="oneCell">
    <xdr:from>
      <xdr:col>0</xdr:col>
      <xdr:colOff>582083</xdr:colOff>
      <xdr:row>15</xdr:row>
      <xdr:rowOff>91569</xdr:rowOff>
    </xdr:from>
    <xdr:to>
      <xdr:col>3</xdr:col>
      <xdr:colOff>492815</xdr:colOff>
      <xdr:row>38</xdr:row>
      <xdr:rowOff>189291</xdr:rowOff>
    </xdr:to>
    <mc:AlternateContent xmlns:mc="http://schemas.openxmlformats.org/markup-compatibility/2006" xmlns:a14="http://schemas.microsoft.com/office/drawing/2010/main">
      <mc:Choice Requires="a14">
        <xdr:graphicFrame macro="">
          <xdr:nvGraphicFramePr>
            <xdr:cNvPr id="4" name="country 1">
              <a:extLst>
                <a:ext uri="{FF2B5EF4-FFF2-40B4-BE49-F238E27FC236}">
                  <a16:creationId xmlns:a16="http://schemas.microsoft.com/office/drawing/2014/main" id="{EC778604-27E4-465B-9EED-353F24E1FF12}"/>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582083" y="3393569"/>
              <a:ext cx="1836899" cy="32346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96211</xdr:colOff>
      <xdr:row>41</xdr:row>
      <xdr:rowOff>212286</xdr:rowOff>
    </xdr:from>
    <xdr:to>
      <xdr:col>3</xdr:col>
      <xdr:colOff>53402</xdr:colOff>
      <xdr:row>63</xdr:row>
      <xdr:rowOff>33592</xdr:rowOff>
    </xdr:to>
    <mc:AlternateContent xmlns:mc="http://schemas.openxmlformats.org/markup-compatibility/2006">
      <mc:Choice xmlns:a14="http://schemas.microsoft.com/office/drawing/2010/main" Requires="a14">
        <xdr:graphicFrame macro="">
          <xdr:nvGraphicFramePr>
            <xdr:cNvPr id="5" name="Model 1">
              <a:extLst>
                <a:ext uri="{FF2B5EF4-FFF2-40B4-BE49-F238E27FC236}">
                  <a16:creationId xmlns:a16="http://schemas.microsoft.com/office/drawing/2014/main" id="{8DCCEB31-F8F0-48E5-A905-43E22FF6E024}"/>
                </a:ext>
              </a:extLst>
            </xdr:cNvPr>
            <xdr:cNvGraphicFramePr/>
          </xdr:nvGraphicFramePr>
          <xdr:xfrm>
            <a:off x="0" y="0"/>
            <a:ext cx="0" cy="0"/>
          </xdr:xfrm>
          <a:graphic>
            <a:graphicData uri="http://schemas.microsoft.com/office/drawing/2010/slicer">
              <sle:slicer xmlns:sle="http://schemas.microsoft.com/office/drawing/2010/slicer" name="Model 1"/>
            </a:graphicData>
          </a:graphic>
        </xdr:graphicFrame>
      </mc:Choice>
      <mc:Fallback>
        <xdr:sp macro="" textlink="">
          <xdr:nvSpPr>
            <xdr:cNvPr id="0" name=""/>
            <xdr:cNvSpPr>
              <a:spLocks noTextEdit="1"/>
            </xdr:cNvSpPr>
          </xdr:nvSpPr>
          <xdr:spPr>
            <a:xfrm>
              <a:off x="699461" y="6419411"/>
              <a:ext cx="1258941" cy="30439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601593</xdr:colOff>
      <xdr:row>15</xdr:row>
      <xdr:rowOff>94329</xdr:rowOff>
    </xdr:from>
    <xdr:to>
      <xdr:col>5</xdr:col>
      <xdr:colOff>579966</xdr:colOff>
      <xdr:row>38</xdr:row>
      <xdr:rowOff>205012</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D436EECC-17D5-47A2-ADDE-7324D125F037}"/>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2527760" y="3396329"/>
              <a:ext cx="1206039" cy="32348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190500</xdr:colOff>
      <xdr:row>41</xdr:row>
      <xdr:rowOff>165871</xdr:rowOff>
    </xdr:from>
    <xdr:to>
      <xdr:col>5</xdr:col>
      <xdr:colOff>598924</xdr:colOff>
      <xdr:row>63</xdr:row>
      <xdr:rowOff>84335</xdr:rowOff>
    </xdr:to>
    <mc:AlternateContent xmlns:mc="http://schemas.openxmlformats.org/markup-compatibility/2006">
      <mc:Choice xmlns:a14="http://schemas.microsoft.com/office/drawing/2010/main" Requires="a14">
        <xdr:graphicFrame macro="">
          <xdr:nvGraphicFramePr>
            <xdr:cNvPr id="7" name="month 1">
              <a:extLst>
                <a:ext uri="{FF2B5EF4-FFF2-40B4-BE49-F238E27FC236}">
                  <a16:creationId xmlns:a16="http://schemas.microsoft.com/office/drawing/2014/main" id="{990A2FF5-DA38-4CB0-9A71-9152495AD910}"/>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2095500" y="6372996"/>
              <a:ext cx="1614924" cy="31410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968375</xdr:colOff>
      <xdr:row>28</xdr:row>
      <xdr:rowOff>15875</xdr:rowOff>
    </xdr:from>
    <xdr:to>
      <xdr:col>17</xdr:col>
      <xdr:colOff>158750</xdr:colOff>
      <xdr:row>43</xdr:row>
      <xdr:rowOff>31750</xdr:rowOff>
    </xdr:to>
    <xdr:graphicFrame macro="">
      <xdr:nvGraphicFramePr>
        <xdr:cNvPr id="12" name="Chart 11">
          <a:extLst>
            <a:ext uri="{FF2B5EF4-FFF2-40B4-BE49-F238E27FC236}">
              <a16:creationId xmlns:a16="http://schemas.microsoft.com/office/drawing/2014/main" id="{385F57A4-9E11-49AC-A294-0A5214A739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111125</xdr:colOff>
      <xdr:row>18</xdr:row>
      <xdr:rowOff>47624</xdr:rowOff>
    </xdr:from>
    <xdr:to>
      <xdr:col>34</xdr:col>
      <xdr:colOff>25400</xdr:colOff>
      <xdr:row>43</xdr:row>
      <xdr:rowOff>158749</xdr:rowOff>
    </xdr:to>
    <xdr:grpSp>
      <xdr:nvGrpSpPr>
        <xdr:cNvPr id="3" name="Group 2">
          <a:extLst>
            <a:ext uri="{FF2B5EF4-FFF2-40B4-BE49-F238E27FC236}">
              <a16:creationId xmlns:a16="http://schemas.microsoft.com/office/drawing/2014/main" id="{4329A938-AAF3-3AA2-E5F7-6DE9C792BA3E}"/>
            </a:ext>
          </a:extLst>
        </xdr:cNvPr>
        <xdr:cNvGrpSpPr/>
      </xdr:nvGrpSpPr>
      <xdr:grpSpPr>
        <a:xfrm>
          <a:off x="15224125" y="2905124"/>
          <a:ext cx="8359775" cy="3952875"/>
          <a:chOff x="15361050" y="3705224"/>
          <a:chExt cx="12266762" cy="4229556"/>
        </a:xfrm>
      </xdr:grpSpPr>
      <xdr:sp macro="" textlink="">
        <xdr:nvSpPr>
          <xdr:cNvPr id="2" name="Rectangle: Rounded Corners 1">
            <a:extLst>
              <a:ext uri="{FF2B5EF4-FFF2-40B4-BE49-F238E27FC236}">
                <a16:creationId xmlns:a16="http://schemas.microsoft.com/office/drawing/2014/main" id="{9C8BEFD2-CF75-48B3-AD27-2FC3E45257DA}"/>
              </a:ext>
            </a:extLst>
          </xdr:cNvPr>
          <xdr:cNvSpPr/>
        </xdr:nvSpPr>
        <xdr:spPr>
          <a:xfrm>
            <a:off x="15361050" y="3705224"/>
            <a:ext cx="12266762" cy="4229556"/>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Relation between Marking spend and revenue by year </a:t>
            </a:r>
          </a:p>
        </xdr:txBody>
      </xdr:sp>
      <xdr:graphicFrame macro="">
        <xdr:nvGraphicFramePr>
          <xdr:cNvPr id="13" name="Chart 12">
            <a:extLst>
              <a:ext uri="{FF2B5EF4-FFF2-40B4-BE49-F238E27FC236}">
                <a16:creationId xmlns:a16="http://schemas.microsoft.com/office/drawing/2014/main" id="{DEA7EB2C-F35A-4A46-8D22-9476ED8A59FE}"/>
              </a:ext>
            </a:extLst>
          </xdr:cNvPr>
          <xdr:cNvGraphicFramePr>
            <a:graphicFrameLocks/>
          </xdr:cNvGraphicFramePr>
        </xdr:nvGraphicFramePr>
        <xdr:xfrm>
          <a:off x="16150308" y="4693838"/>
          <a:ext cx="9718320" cy="3022599"/>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6</xdr:col>
      <xdr:colOff>266325</xdr:colOff>
      <xdr:row>46</xdr:row>
      <xdr:rowOff>95250</xdr:rowOff>
    </xdr:from>
    <xdr:to>
      <xdr:col>11</xdr:col>
      <xdr:colOff>428624</xdr:colOff>
      <xdr:row>73</xdr:row>
      <xdr:rowOff>101600</xdr:rowOff>
    </xdr:to>
    <xdr:graphicFrame macro="">
      <xdr:nvGraphicFramePr>
        <xdr:cNvPr id="14" name="Chart 13">
          <a:extLst>
            <a:ext uri="{FF2B5EF4-FFF2-40B4-BE49-F238E27FC236}">
              <a16:creationId xmlns:a16="http://schemas.microsoft.com/office/drawing/2014/main" id="{AFF0BB79-5A23-4C31-9E12-25794B5AA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266705</xdr:colOff>
      <xdr:row>0</xdr:row>
      <xdr:rowOff>79375</xdr:rowOff>
    </xdr:from>
    <xdr:to>
      <xdr:col>33</xdr:col>
      <xdr:colOff>571500</xdr:colOff>
      <xdr:row>17</xdr:row>
      <xdr:rowOff>158750</xdr:rowOff>
    </xdr:to>
    <xdr:grpSp>
      <xdr:nvGrpSpPr>
        <xdr:cNvPr id="35" name="Group 34">
          <a:extLst>
            <a:ext uri="{FF2B5EF4-FFF2-40B4-BE49-F238E27FC236}">
              <a16:creationId xmlns:a16="http://schemas.microsoft.com/office/drawing/2014/main" id="{3EF0A58F-725A-550D-F30F-DAC100D3CA18}"/>
            </a:ext>
          </a:extLst>
        </xdr:cNvPr>
        <xdr:cNvGrpSpPr/>
      </xdr:nvGrpSpPr>
      <xdr:grpSpPr>
        <a:xfrm>
          <a:off x="19602455" y="79375"/>
          <a:ext cx="3924295" cy="2784475"/>
          <a:chOff x="23523580" y="0"/>
          <a:chExt cx="3912756" cy="3924300"/>
        </a:xfrm>
      </xdr:grpSpPr>
      <xdr:sp macro="" textlink="">
        <xdr:nvSpPr>
          <xdr:cNvPr id="9" name="Rectangle: Rounded Corners 8">
            <a:extLst>
              <a:ext uri="{FF2B5EF4-FFF2-40B4-BE49-F238E27FC236}">
                <a16:creationId xmlns:a16="http://schemas.microsoft.com/office/drawing/2014/main" id="{70F4CBE6-94CB-F872-CAED-D9C98A30A9AD}"/>
              </a:ext>
            </a:extLst>
          </xdr:cNvPr>
          <xdr:cNvSpPr/>
        </xdr:nvSpPr>
        <xdr:spPr>
          <a:xfrm>
            <a:off x="23523580" y="0"/>
            <a:ext cx="3912756" cy="3924300"/>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3200" b="1">
                <a:solidFill>
                  <a:schemeClr val="bg1"/>
                </a:solidFill>
              </a:rPr>
              <a:t>Sales per Engine Type </a:t>
            </a:r>
          </a:p>
        </xdr:txBody>
      </xdr:sp>
      <xdr:graphicFrame macro="">
        <xdr:nvGraphicFramePr>
          <xdr:cNvPr id="15" name="Chart 14">
            <a:extLst>
              <a:ext uri="{FF2B5EF4-FFF2-40B4-BE49-F238E27FC236}">
                <a16:creationId xmlns:a16="http://schemas.microsoft.com/office/drawing/2014/main" id="{3BD4CF03-4CED-40EF-9588-D7F179487C90}"/>
              </a:ext>
            </a:extLst>
          </xdr:cNvPr>
          <xdr:cNvGraphicFramePr>
            <a:graphicFrameLocks/>
          </xdr:cNvGraphicFramePr>
        </xdr:nvGraphicFramePr>
        <xdr:xfrm>
          <a:off x="23606079" y="964309"/>
          <a:ext cx="3794125" cy="282876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23</xdr:col>
      <xdr:colOff>475560</xdr:colOff>
      <xdr:row>48</xdr:row>
      <xdr:rowOff>113655</xdr:rowOff>
    </xdr:from>
    <xdr:to>
      <xdr:col>33</xdr:col>
      <xdr:colOff>412750</xdr:colOff>
      <xdr:row>74</xdr:row>
      <xdr:rowOff>79375</xdr:rowOff>
    </xdr:to>
    <xdr:graphicFrame macro="">
      <xdr:nvGraphicFramePr>
        <xdr:cNvPr id="17" name="Chart 16">
          <a:extLst>
            <a:ext uri="{FF2B5EF4-FFF2-40B4-BE49-F238E27FC236}">
              <a16:creationId xmlns:a16="http://schemas.microsoft.com/office/drawing/2014/main" id="{F503E5FD-ECAE-4189-BBF3-59B49C6D9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106795</xdr:colOff>
      <xdr:row>18</xdr:row>
      <xdr:rowOff>80819</xdr:rowOff>
    </xdr:from>
    <xdr:to>
      <xdr:col>9</xdr:col>
      <xdr:colOff>762000</xdr:colOff>
      <xdr:row>43</xdr:row>
      <xdr:rowOff>158750</xdr:rowOff>
    </xdr:to>
    <xdr:grpSp>
      <xdr:nvGrpSpPr>
        <xdr:cNvPr id="34" name="Group 33">
          <a:extLst>
            <a:ext uri="{FF2B5EF4-FFF2-40B4-BE49-F238E27FC236}">
              <a16:creationId xmlns:a16="http://schemas.microsoft.com/office/drawing/2014/main" id="{12FAEBBD-7172-32E9-3A1F-DE60E2814865}"/>
            </a:ext>
          </a:extLst>
        </xdr:cNvPr>
        <xdr:cNvGrpSpPr/>
      </xdr:nvGrpSpPr>
      <xdr:grpSpPr>
        <a:xfrm>
          <a:off x="3885045" y="2938319"/>
          <a:ext cx="3957205" cy="3919681"/>
          <a:chOff x="19915363" y="3353471"/>
          <a:chExt cx="4032250" cy="3143250"/>
        </a:xfrm>
      </xdr:grpSpPr>
      <xdr:sp macro="" textlink="">
        <xdr:nvSpPr>
          <xdr:cNvPr id="32" name="Rectangle: Rounded Corners 31">
            <a:extLst>
              <a:ext uri="{FF2B5EF4-FFF2-40B4-BE49-F238E27FC236}">
                <a16:creationId xmlns:a16="http://schemas.microsoft.com/office/drawing/2014/main" id="{9D55BAEB-48FE-4F95-B62B-9AEE4B2BCB5D}"/>
              </a:ext>
            </a:extLst>
          </xdr:cNvPr>
          <xdr:cNvSpPr/>
        </xdr:nvSpPr>
        <xdr:spPr>
          <a:xfrm>
            <a:off x="19915363" y="3353471"/>
            <a:ext cx="4032250" cy="3143250"/>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Sales Per Segment</a:t>
            </a:r>
          </a:p>
        </xdr:txBody>
      </xdr:sp>
      <xdr:graphicFrame macro="">
        <xdr:nvGraphicFramePr>
          <xdr:cNvPr id="18" name="Chart 17">
            <a:extLst>
              <a:ext uri="{FF2B5EF4-FFF2-40B4-BE49-F238E27FC236}">
                <a16:creationId xmlns:a16="http://schemas.microsoft.com/office/drawing/2014/main" id="{BEC6955F-8169-4B0E-A29F-B809FB944DC4}"/>
              </a:ext>
            </a:extLst>
          </xdr:cNvPr>
          <xdr:cNvGraphicFramePr>
            <a:graphicFrameLocks/>
          </xdr:cNvGraphicFramePr>
        </xdr:nvGraphicFramePr>
        <xdr:xfrm>
          <a:off x="20174248" y="3353974"/>
          <a:ext cx="3708660" cy="3003000"/>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6</xdr:col>
      <xdr:colOff>107462</xdr:colOff>
      <xdr:row>0</xdr:row>
      <xdr:rowOff>117229</xdr:rowOff>
    </xdr:from>
    <xdr:to>
      <xdr:col>27</xdr:col>
      <xdr:colOff>158750</xdr:colOff>
      <xdr:row>10</xdr:row>
      <xdr:rowOff>63499</xdr:rowOff>
    </xdr:to>
    <xdr:sp macro="" textlink="">
      <xdr:nvSpPr>
        <xdr:cNvPr id="20" name="Rectangle: Rounded Corners 19">
          <a:extLst>
            <a:ext uri="{FF2B5EF4-FFF2-40B4-BE49-F238E27FC236}">
              <a16:creationId xmlns:a16="http://schemas.microsoft.com/office/drawing/2014/main" id="{DD9FD7B0-32D8-4202-B666-E4934309AC58}"/>
            </a:ext>
          </a:extLst>
        </xdr:cNvPr>
        <xdr:cNvSpPr/>
      </xdr:nvSpPr>
      <xdr:spPr>
        <a:xfrm>
          <a:off x="3885712" y="117229"/>
          <a:ext cx="15608788" cy="154964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4800" b="1">
              <a:solidFill>
                <a:schemeClr val="bg1"/>
              </a:solidFill>
            </a:rPr>
            <a:t>BMW</a:t>
          </a:r>
          <a:r>
            <a:rPr lang="en-US" sz="4800" b="1" baseline="0">
              <a:solidFill>
                <a:schemeClr val="bg1"/>
              </a:solidFill>
            </a:rPr>
            <a:t> Sales </a:t>
          </a:r>
        </a:p>
        <a:p>
          <a:pPr algn="l"/>
          <a:r>
            <a:rPr lang="en-US" sz="2000" b="1" baseline="0">
              <a:solidFill>
                <a:schemeClr val="bg1"/>
              </a:solidFill>
            </a:rPr>
            <a:t>from 2015 to 2024</a:t>
          </a:r>
          <a:endParaRPr lang="en-US" sz="2000" b="1">
            <a:solidFill>
              <a:schemeClr val="bg1"/>
            </a:solidFill>
          </a:endParaRPr>
        </a:p>
      </xdr:txBody>
    </xdr:sp>
    <xdr:clientData/>
  </xdr:twoCellAnchor>
  <xdr:twoCellAnchor>
    <xdr:from>
      <xdr:col>6</xdr:col>
      <xdr:colOff>94030</xdr:colOff>
      <xdr:row>10</xdr:row>
      <xdr:rowOff>107464</xdr:rowOff>
    </xdr:from>
    <xdr:to>
      <xdr:col>9</xdr:col>
      <xdr:colOff>1666876</xdr:colOff>
      <xdr:row>17</xdr:row>
      <xdr:rowOff>158750</xdr:rowOff>
    </xdr:to>
    <xdr:sp macro="" textlink="">
      <xdr:nvSpPr>
        <xdr:cNvPr id="21" name="Rectangle: Rounded Corners 20">
          <a:extLst>
            <a:ext uri="{FF2B5EF4-FFF2-40B4-BE49-F238E27FC236}">
              <a16:creationId xmlns:a16="http://schemas.microsoft.com/office/drawing/2014/main" id="{FF5CC948-4425-406E-AB1F-9EBED27E9B40}"/>
            </a:ext>
          </a:extLst>
        </xdr:cNvPr>
        <xdr:cNvSpPr/>
      </xdr:nvSpPr>
      <xdr:spPr>
        <a:xfrm>
          <a:off x="3205530" y="2282339"/>
          <a:ext cx="4874846" cy="1559411"/>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Number of Units sold</a:t>
          </a:r>
        </a:p>
      </xdr:txBody>
    </xdr:sp>
    <xdr:clientData/>
  </xdr:twoCellAnchor>
  <xdr:twoCellAnchor>
    <xdr:from>
      <xdr:col>6</xdr:col>
      <xdr:colOff>221029</xdr:colOff>
      <xdr:row>12</xdr:row>
      <xdr:rowOff>139214</xdr:rowOff>
    </xdr:from>
    <xdr:to>
      <xdr:col>8</xdr:col>
      <xdr:colOff>453863</xdr:colOff>
      <xdr:row>16</xdr:row>
      <xdr:rowOff>174350</xdr:rowOff>
    </xdr:to>
    <xdr:sp macro="" textlink="Pivot!$A$2">
      <xdr:nvSpPr>
        <xdr:cNvPr id="25" name="TextBox 24">
          <a:extLst>
            <a:ext uri="{FF2B5EF4-FFF2-40B4-BE49-F238E27FC236}">
              <a16:creationId xmlns:a16="http://schemas.microsoft.com/office/drawing/2014/main" id="{5D7430A2-2554-450B-99B6-4FAF2D755025}"/>
            </a:ext>
          </a:extLst>
        </xdr:cNvPr>
        <xdr:cNvSpPr txBox="1"/>
      </xdr:nvSpPr>
      <xdr:spPr>
        <a:xfrm>
          <a:off x="2729279" y="2425214"/>
          <a:ext cx="2201334" cy="79713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D446523-FB05-437C-897F-321BEB4865FF}" type="TxLink">
            <a:rPr lang="en-US" sz="2400" b="0" i="0" u="none" strike="noStrike">
              <a:solidFill>
                <a:schemeClr val="bg1"/>
              </a:solidFill>
              <a:latin typeface="Calibri"/>
              <a:cs typeface="Calibri"/>
            </a:rPr>
            <a:pPr/>
            <a:t> 633,192 </a:t>
          </a:fld>
          <a:endParaRPr lang="en-US" sz="2400">
            <a:solidFill>
              <a:schemeClr val="bg1"/>
            </a:solidFill>
          </a:endParaRPr>
        </a:p>
      </xdr:txBody>
    </xdr:sp>
    <xdr:clientData/>
  </xdr:twoCellAnchor>
  <xdr:twoCellAnchor>
    <xdr:from>
      <xdr:col>9</xdr:col>
      <xdr:colOff>1746250</xdr:colOff>
      <xdr:row>10</xdr:row>
      <xdr:rowOff>111125</xdr:rowOff>
    </xdr:from>
    <xdr:to>
      <xdr:col>18</xdr:col>
      <xdr:colOff>286972</xdr:colOff>
      <xdr:row>17</xdr:row>
      <xdr:rowOff>178287</xdr:rowOff>
    </xdr:to>
    <xdr:sp macro="" textlink="">
      <xdr:nvSpPr>
        <xdr:cNvPr id="26" name="Rectangle: Rounded Corners 25">
          <a:extLst>
            <a:ext uri="{FF2B5EF4-FFF2-40B4-BE49-F238E27FC236}">
              <a16:creationId xmlns:a16="http://schemas.microsoft.com/office/drawing/2014/main" id="{374410B7-36B8-4A7C-BD60-1AFB0FBACBA5}"/>
            </a:ext>
          </a:extLst>
        </xdr:cNvPr>
        <xdr:cNvSpPr/>
      </xdr:nvSpPr>
      <xdr:spPr>
        <a:xfrm>
          <a:off x="8159750" y="2286000"/>
          <a:ext cx="5366972" cy="1575287"/>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Total</a:t>
          </a:r>
          <a:r>
            <a:rPr lang="en-US" sz="2400" b="1" baseline="0">
              <a:solidFill>
                <a:schemeClr val="bg1"/>
              </a:solidFill>
            </a:rPr>
            <a:t> Revenue</a:t>
          </a:r>
          <a:endParaRPr lang="en-US" sz="2400" b="1">
            <a:solidFill>
              <a:schemeClr val="bg1"/>
            </a:solidFill>
          </a:endParaRPr>
        </a:p>
      </xdr:txBody>
    </xdr:sp>
    <xdr:clientData/>
  </xdr:twoCellAnchor>
  <xdr:twoCellAnchor>
    <xdr:from>
      <xdr:col>9</xdr:col>
      <xdr:colOff>1762124</xdr:colOff>
      <xdr:row>13</xdr:row>
      <xdr:rowOff>34925</xdr:rowOff>
    </xdr:from>
    <xdr:to>
      <xdr:col>16</xdr:col>
      <xdr:colOff>476250</xdr:colOff>
      <xdr:row>18</xdr:row>
      <xdr:rowOff>34925</xdr:rowOff>
    </xdr:to>
    <xdr:sp macro="" textlink="Pivot!$B$2">
      <xdr:nvSpPr>
        <xdr:cNvPr id="27" name="TextBox 26">
          <a:extLst>
            <a:ext uri="{FF2B5EF4-FFF2-40B4-BE49-F238E27FC236}">
              <a16:creationId xmlns:a16="http://schemas.microsoft.com/office/drawing/2014/main" id="{4AA0C5B6-E647-4CEA-A4DA-D38061790E9D}"/>
            </a:ext>
          </a:extLst>
        </xdr:cNvPr>
        <xdr:cNvSpPr txBox="1"/>
      </xdr:nvSpPr>
      <xdr:spPr>
        <a:xfrm>
          <a:off x="8842374" y="2257425"/>
          <a:ext cx="4333876" cy="63500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717237A-0180-45AC-82E7-4189159F88BA}" type="TxLink">
            <a:rPr lang="en-US" sz="2400" b="0" i="0" u="none" strike="noStrike">
              <a:solidFill>
                <a:schemeClr val="bg1"/>
              </a:solidFill>
              <a:latin typeface="Calibri"/>
              <a:cs typeface="Calibri"/>
            </a:rPr>
            <a:pPr/>
            <a:t> 47,969,164,700 </a:t>
          </a:fld>
          <a:endParaRPr lang="en-US" sz="8000">
            <a:solidFill>
              <a:schemeClr val="bg1"/>
            </a:solidFill>
          </a:endParaRPr>
        </a:p>
      </xdr:txBody>
    </xdr:sp>
    <xdr:clientData/>
  </xdr:twoCellAnchor>
  <xdr:twoCellAnchor>
    <xdr:from>
      <xdr:col>18</xdr:col>
      <xdr:colOff>365125</xdr:colOff>
      <xdr:row>10</xdr:row>
      <xdr:rowOff>111125</xdr:rowOff>
    </xdr:from>
    <xdr:to>
      <xdr:col>27</xdr:col>
      <xdr:colOff>152400</xdr:colOff>
      <xdr:row>18</xdr:row>
      <xdr:rowOff>487</xdr:rowOff>
    </xdr:to>
    <xdr:sp macro="" textlink="">
      <xdr:nvSpPr>
        <xdr:cNvPr id="28" name="Rectangle: Rounded Corners 27">
          <a:extLst>
            <a:ext uri="{FF2B5EF4-FFF2-40B4-BE49-F238E27FC236}">
              <a16:creationId xmlns:a16="http://schemas.microsoft.com/office/drawing/2014/main" id="{2F8F98C0-AE7B-42D4-B578-2815832B6472}"/>
            </a:ext>
          </a:extLst>
        </xdr:cNvPr>
        <xdr:cNvSpPr/>
      </xdr:nvSpPr>
      <xdr:spPr>
        <a:xfrm>
          <a:off x="14271625" y="1714500"/>
          <a:ext cx="5216525" cy="1143487"/>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Total Marking</a:t>
          </a:r>
          <a:r>
            <a:rPr lang="en-US" sz="2400" b="1" baseline="0">
              <a:solidFill>
                <a:schemeClr val="bg1"/>
              </a:solidFill>
            </a:rPr>
            <a:t> Spend</a:t>
          </a:r>
          <a:endParaRPr lang="en-US" sz="2400" b="1">
            <a:solidFill>
              <a:schemeClr val="bg1"/>
            </a:solidFill>
          </a:endParaRPr>
        </a:p>
      </xdr:txBody>
    </xdr:sp>
    <xdr:clientData/>
  </xdr:twoCellAnchor>
  <xdr:twoCellAnchor>
    <xdr:from>
      <xdr:col>18</xdr:col>
      <xdr:colOff>380999</xdr:colOff>
      <xdr:row>13</xdr:row>
      <xdr:rowOff>34925</xdr:rowOff>
    </xdr:from>
    <xdr:to>
      <xdr:col>26</xdr:col>
      <xdr:colOff>333374</xdr:colOff>
      <xdr:row>20</xdr:row>
      <xdr:rowOff>111125</xdr:rowOff>
    </xdr:to>
    <xdr:sp macro="" textlink="Pivot!$C$2">
      <xdr:nvSpPr>
        <xdr:cNvPr id="29" name="TextBox 28">
          <a:extLst>
            <a:ext uri="{FF2B5EF4-FFF2-40B4-BE49-F238E27FC236}">
              <a16:creationId xmlns:a16="http://schemas.microsoft.com/office/drawing/2014/main" id="{B5918346-D582-4CC5-B2B8-B2E133E3396F}"/>
            </a:ext>
          </a:extLst>
        </xdr:cNvPr>
        <xdr:cNvSpPr txBox="1"/>
      </xdr:nvSpPr>
      <xdr:spPr>
        <a:xfrm>
          <a:off x="14287499" y="2257425"/>
          <a:ext cx="4778375" cy="96520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0B07EE-B30C-40AA-B02B-E2ABDBDC0989}" type="TxLink">
            <a:rPr lang="en-US" sz="2400" b="0" i="0" u="none" strike="noStrike">
              <a:solidFill>
                <a:schemeClr val="bg1"/>
              </a:solidFill>
              <a:latin typeface="Calibri"/>
              <a:cs typeface="Calibri"/>
            </a:rPr>
            <a:pPr/>
            <a:t> 279,492,230 </a:t>
          </a:fld>
          <a:endParaRPr lang="en-US" sz="2400">
            <a:solidFill>
              <a:schemeClr val="bg1"/>
            </a:solidFill>
          </a:endParaRPr>
        </a:p>
      </xdr:txBody>
    </xdr:sp>
    <xdr:clientData/>
  </xdr:twoCellAnchor>
  <xdr:twoCellAnchor>
    <xdr:from>
      <xdr:col>11</xdr:col>
      <xdr:colOff>486833</xdr:colOff>
      <xdr:row>43</xdr:row>
      <xdr:rowOff>259291</xdr:rowOff>
    </xdr:from>
    <xdr:to>
      <xdr:col>23</xdr:col>
      <xdr:colOff>26458</xdr:colOff>
      <xdr:row>75</xdr:row>
      <xdr:rowOff>21166</xdr:rowOff>
    </xdr:to>
    <xdr:sp macro="" textlink="">
      <xdr:nvSpPr>
        <xdr:cNvPr id="30" name="Rectangle: Rounded Corners 29">
          <a:extLst>
            <a:ext uri="{FF2B5EF4-FFF2-40B4-BE49-F238E27FC236}">
              <a16:creationId xmlns:a16="http://schemas.microsoft.com/office/drawing/2014/main" id="{71518B13-36FF-4855-80C3-C2B859E88068}"/>
            </a:ext>
          </a:extLst>
        </xdr:cNvPr>
        <xdr:cNvSpPr/>
      </xdr:nvSpPr>
      <xdr:spPr>
        <a:xfrm>
          <a:off x="10223500" y="6947958"/>
          <a:ext cx="6905625" cy="4016375"/>
        </a:xfrm>
        <a:prstGeom prst="roundRect">
          <a:avLst>
            <a:gd name="adj" fmla="val 15556"/>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b="1">
              <a:solidFill>
                <a:schemeClr val="bg1"/>
              </a:solidFill>
            </a:rPr>
            <a:t>Models’ revenue</a:t>
          </a:r>
        </a:p>
      </xdr:txBody>
    </xdr:sp>
    <xdr:clientData/>
  </xdr:twoCellAnchor>
  <xdr:twoCellAnchor>
    <xdr:from>
      <xdr:col>11</xdr:col>
      <xdr:colOff>571500</xdr:colOff>
      <xdr:row>47</xdr:row>
      <xdr:rowOff>63500</xdr:rowOff>
    </xdr:from>
    <xdr:to>
      <xdr:col>23</xdr:col>
      <xdr:colOff>111125</xdr:colOff>
      <xdr:row>74</xdr:row>
      <xdr:rowOff>3175</xdr:rowOff>
    </xdr:to>
    <xdr:graphicFrame macro="">
      <xdr:nvGraphicFramePr>
        <xdr:cNvPr id="31" name="Chart 30">
          <a:extLst>
            <a:ext uri="{FF2B5EF4-FFF2-40B4-BE49-F238E27FC236}">
              <a16:creationId xmlns:a16="http://schemas.microsoft.com/office/drawing/2014/main" id="{11AEB6B2-C945-4A48-B95D-F67C67D922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5393521" createdVersion="5" refreshedVersion="8" minRefreshableVersion="3" recordCount="0" supportSubquery="1" supportAdvancedDrill="1" xr:uid="{4D15C832-EF58-4A33-8F33-AEA4CC51B6D2}">
  <cacheSource type="external" connectionId="5"/>
  <cacheFields count="2">
    <cacheField name="[Measures].[Total Unit Sold]" caption="Total Unit Sold" numFmtId="0" hierarchy="24"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1"/>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oneField="1">
      <fieldsUsage count="1">
        <fieldUsage x="0"/>
      </fieldsUsage>
    </cacheHierarchy>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5856483" createdVersion="5" refreshedVersion="8" minRefreshableVersion="3" recordCount="0" supportSubquery="1" supportAdvancedDrill="1" xr:uid="{F86403E0-D149-4B65-9AF3-67D20E0EEE51}">
  <cacheSource type="external" connectionId="5"/>
  <cacheFields count="2">
    <cacheField name="[Measures].[Total Revenue]" caption="Total Revenue" numFmtId="0" hierarchy="23"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1"/>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oneField="1">
      <fieldsUsage count="1">
        <fieldUsage x="0"/>
      </fieldsUsage>
    </cacheHierarchy>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6319445" createdVersion="5" refreshedVersion="8" minRefreshableVersion="3" recordCount="0" supportSubquery="1" supportAdvancedDrill="1" xr:uid="{1013F60E-D496-430E-AF50-D050A4ED188B}">
  <cacheSource type="external" connectionId="5"/>
  <cacheFields count="2">
    <cacheField name="[Measures].[Total Marketing Spend]" caption="Total Marketing Spend" numFmtId="0" hierarchy="22"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1"/>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oneField="1">
      <fieldsUsage count="1">
        <fieldUsage x="0"/>
      </fieldsUsage>
    </cacheHierarchy>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6898145" createdVersion="5" refreshedVersion="8" minRefreshableVersion="3" recordCount="0" supportSubquery="1" supportAdvancedDrill="1" xr:uid="{219EAD3D-DACA-4D82-A18C-C412B76C693B}">
  <cacheSource type="external" connectionId="5"/>
  <cacheFields count="2">
    <cacheField name="[Country].[country].[country]" caption="country" numFmtId="0" hierarchy="4" level="1">
      <sharedItems count="10">
        <s v="Australia"/>
        <s v="Brazil"/>
        <s v="Canada"/>
        <s v="China"/>
        <s v="France"/>
        <s v="Germany"/>
        <s v="India"/>
        <s v="Japan"/>
        <s v="UK"/>
        <s v="USA"/>
      </sharedItems>
    </cacheField>
    <cacheField name="[Measures].[Sum of revenue]" caption="Sum of revenue" numFmtId="0" hierarchy="19" level="32767"/>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0"/>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oneField="1">
      <fieldsUsage count="1">
        <fieldUsage x="1"/>
      </fieldsUsage>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7361115" createdVersion="5" refreshedVersion="8" minRefreshableVersion="3" recordCount="0" supportSubquery="1" supportAdvancedDrill="1" xr:uid="{31F85EFA-5AD5-4C5F-87B2-4299816F6BAC}">
  <cacheSource type="external" connectionId="5"/>
  <cacheFields count="4">
    <cacheField name="[Country].[country].[country]" caption="country" numFmtId="0" hierarchy="4" level="1">
      <sharedItems count="10">
        <s v="Australia"/>
        <s v="Brazil"/>
        <s v="Canada"/>
        <s v="China"/>
        <s v="France"/>
        <s v="Germany"/>
        <s v="India"/>
        <s v="Japan"/>
        <s v="UK"/>
        <s v="USA"/>
      </sharedItems>
    </cacheField>
    <cacheField name="[Measures].[Sum of revenue]" caption="Sum of revenue" numFmtId="0" hierarchy="19" level="32767"/>
    <cacheField name="[Date].[year].[year]" caption="year" numFmtId="0" hierarchy="6" level="1">
      <sharedItems containsSemiMixedTypes="0" containsString="0" containsNumber="1" containsInteger="1" minValue="2015" maxValue="2024" count="10">
        <n v="2015"/>
        <n v="2016"/>
        <n v="2017"/>
        <n v="2018"/>
        <n v="2019"/>
        <n v="2020"/>
        <n v="2021"/>
        <n v="2022"/>
        <n v="2023"/>
        <n v="2024"/>
      </sharedItems>
      <extLst>
        <ext xmlns:x15="http://schemas.microsoft.com/office/spreadsheetml/2010/11/main" uri="{4F2E5C28-24EA-4eb8-9CBF-B6C8F9C3D259}">
          <x15:cachedUniqueNames>
            <x15:cachedUniqueName index="0" name="[Date].[year].&amp;[2015]"/>
            <x15:cachedUniqueName index="1" name="[Date].[year].&amp;[2016]"/>
            <x15:cachedUniqueName index="2" name="[Date].[year].&amp;[2017]"/>
            <x15:cachedUniqueName index="3" name="[Date].[year].&amp;[2018]"/>
            <x15:cachedUniqueName index="4" name="[Date].[year].&amp;[2019]"/>
            <x15:cachedUniqueName index="5" name="[Date].[year].&amp;[2020]"/>
            <x15:cachedUniqueName index="6" name="[Date].[year].&amp;[2021]"/>
            <x15:cachedUniqueName index="7" name="[Date].[year].&amp;[2022]"/>
            <x15:cachedUniqueName index="8" name="[Date].[year].&amp;[2023]"/>
            <x15:cachedUniqueName index="9" name="[Date].[year].&amp;[2024]"/>
          </x15:cachedUniqueNames>
        </ext>
      </extLst>
    </cacheField>
    <cacheField name="[Measures].[Sum of marketing_spend_usd]" caption="Sum of marketing_spend_usd" numFmtId="0" hierarchy="20" level="32767"/>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0"/>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fieldsUsage count="2">
        <fieldUsage x="-1"/>
        <fieldUsage x="2"/>
      </fieldsUsage>
    </cacheHierarchy>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oneField="1">
      <fieldsUsage count="1">
        <fieldUsage x="1"/>
      </fieldsUsage>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oneField="1">
      <fieldsUsage count="1">
        <fieldUsage x="3"/>
      </fieldsUsage>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8055554" createdVersion="5" refreshedVersion="8" minRefreshableVersion="3" recordCount="0" supportSubquery="1" supportAdvancedDrill="1" xr:uid="{E4FA9A14-D979-4990-AFE6-83F070755C26}">
  <cacheSource type="external" connectionId="5"/>
  <cacheFields count="5">
    <cacheField name="[Country].[country].[country]" caption="country" numFmtId="0" hierarchy="4" level="1">
      <sharedItems count="10">
        <s v="Australia"/>
        <s v="Brazil"/>
        <s v="Canada"/>
        <s v="China"/>
        <s v="France"/>
        <s v="Germany"/>
        <s v="India"/>
        <s v="Japan"/>
        <s v="UK"/>
        <s v="USA"/>
      </sharedItems>
    </cacheField>
    <cacheField name="[Measures].[Sum of revenue]" caption="Sum of revenue" numFmtId="0" hierarchy="19" level="32767"/>
    <cacheField name="[Date].[year].[year]" caption="year" numFmtId="0" hierarchy="6" level="1">
      <sharedItems containsSemiMixedTypes="0" containsString="0" containsNumber="1" containsInteger="1" minValue="2015" maxValue="2024" count="10">
        <n v="2015"/>
        <n v="2016"/>
        <n v="2017"/>
        <n v="2018"/>
        <n v="2019"/>
        <n v="2020"/>
        <n v="2021"/>
        <n v="2022"/>
        <n v="2023"/>
        <n v="2024"/>
      </sharedItems>
      <extLst>
        <ext xmlns:x15="http://schemas.microsoft.com/office/spreadsheetml/2010/11/main" uri="{4F2E5C28-24EA-4eb8-9CBF-B6C8F9C3D259}">
          <x15:cachedUniqueNames>
            <x15:cachedUniqueName index="0" name="[Date].[year].&amp;[2015]"/>
            <x15:cachedUniqueName index="1" name="[Date].[year].&amp;[2016]"/>
            <x15:cachedUniqueName index="2" name="[Date].[year].&amp;[2017]"/>
            <x15:cachedUniqueName index="3" name="[Date].[year].&amp;[2018]"/>
            <x15:cachedUniqueName index="4" name="[Date].[year].&amp;[2019]"/>
            <x15:cachedUniqueName index="5" name="[Date].[year].&amp;[2020]"/>
            <x15:cachedUniqueName index="6" name="[Date].[year].&amp;[2021]"/>
            <x15:cachedUniqueName index="7" name="[Date].[year].&amp;[2022]"/>
            <x15:cachedUniqueName index="8" name="[Date].[year].&amp;[2023]"/>
            <x15:cachedUniqueName index="9" name="[Date].[year].&amp;[2024]"/>
          </x15:cachedUniqueNames>
        </ext>
      </extLst>
    </cacheField>
    <cacheField name="[Date].[month].[month]" caption="month" numFmtId="0" hierarchy="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ate].[month].&amp;[1]"/>
            <x15:cachedUniqueName index="1" name="[Date].[month].&amp;[2]"/>
            <x15:cachedUniqueName index="2" name="[Date].[month].&amp;[3]"/>
            <x15:cachedUniqueName index="3" name="[Date].[month].&amp;[4]"/>
            <x15:cachedUniqueName index="4" name="[Date].[month].&amp;[5]"/>
            <x15:cachedUniqueName index="5" name="[Date].[month].&amp;[6]"/>
            <x15:cachedUniqueName index="6" name="[Date].[month].&amp;[7]"/>
            <x15:cachedUniqueName index="7" name="[Date].[month].&amp;[8]"/>
            <x15:cachedUniqueName index="8" name="[Date].[month].&amp;[9]"/>
            <x15:cachedUniqueName index="9" name="[Date].[month].&amp;[10]"/>
            <x15:cachedUniqueName index="10" name="[Date].[month].&amp;[11]"/>
            <x15:cachedUniqueName index="11" name="[Date].[month].&amp;[12]"/>
          </x15:cachedUniqueNames>
        </ext>
      </extLst>
    </cacheField>
    <cacheField name="[Measures].[Sum of marketing_spend_usd]" caption="Sum of marketing_spend_usd" numFmtId="0" hierarchy="20" level="32767"/>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0"/>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fieldsUsage count="2">
        <fieldUsage x="-1"/>
        <fieldUsage x="2"/>
      </fieldsUsage>
    </cacheHierarchy>
    <cacheHierarchy uniqueName="[Date].[month]" caption="month" attribute="1" defaultMemberUniqueName="[Date].[month].[All]" allUniqueName="[Date].[month].[All]" dimensionUniqueName="[Date]" displayFolder="" count="2" memberValueDatatype="20" unbalanced="0">
      <fieldsUsage count="2">
        <fieldUsage x="-1"/>
        <fieldUsage x="3"/>
      </fieldsUsage>
    </cacheHierarchy>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oneField="1">
      <fieldsUsage count="1">
        <fieldUsage x="1"/>
      </fieldsUsage>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oneField="1">
      <fieldsUsage count="1">
        <fieldUsage x="4"/>
      </fieldsUsage>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8634262" createdVersion="5" refreshedVersion="8" minRefreshableVersion="3" recordCount="0" supportSubquery="1" supportAdvancedDrill="1" xr:uid="{4A985DA8-FE59-4E8B-B9F7-E60437425005}">
  <cacheSource type="external" connectionId="5"/>
  <cacheFields count="3">
    <cacheField name="[Car_description2].[Model].[Model]" caption="Model" numFmtId="0" hierarchy="1" level="1">
      <sharedItems count="10">
        <s v="3 Series"/>
        <s v="5 Series"/>
        <s v="7 Series"/>
        <s v="i4"/>
        <s v="i7"/>
        <s v="iX"/>
        <s v="X1"/>
        <s v="X3"/>
        <s v="X5"/>
        <s v="X7"/>
      </sharedItems>
    </cacheField>
    <cacheField name="[Measures].[Total Revenue]" caption="Total Revenue" numFmtId="0" hierarchy="23"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fieldsUsage count="2">
        <fieldUsage x="-1"/>
        <fieldUsage x="0"/>
      </fieldsUsage>
    </cacheHierarchy>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2"/>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oneField="1">
      <fieldsUsage count="1">
        <fieldUsage x="1"/>
      </fieldsUsage>
    </cacheHierarchy>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19444447" createdVersion="5" refreshedVersion="8" minRefreshableVersion="3" recordCount="0" supportSubquery="1" supportAdvancedDrill="1" xr:uid="{607E607C-6033-4915-A53B-B01E146162B4}">
  <cacheSource type="external" connectionId="5"/>
  <cacheFields count="3">
    <cacheField name="[Car_description2].[engine_type].[engine_type]" caption="engine_type" numFmtId="0" hierarchy="3" level="1">
      <sharedItems count="4">
        <s v="Diesel"/>
        <s v="Electric"/>
        <s v="Hybrid"/>
        <s v="Petrol"/>
      </sharedItems>
    </cacheField>
    <cacheField name="[Measures].[Sum of revenue]" caption="Sum of revenue" numFmtId="0" hierarchy="19"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2" memberValueDatatype="130" unbalanced="0">
      <fieldsUsage count="2">
        <fieldUsage x="-1"/>
        <fieldUsage x="0"/>
      </fieldsUsage>
    </cacheHierarchy>
    <cacheHierarchy uniqueName="[Country].[country]" caption="country" attribute="1" defaultMemberUniqueName="[Country].[country].[All]" allUniqueName="[Country].[country].[All]" dimensionUniqueName="[Country]" displayFolder="" count="2" memberValueDatatype="130" unbalanced="0">
      <fieldsUsage count="2">
        <fieldUsage x="-1"/>
        <fieldUsage x="2"/>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oneField="1">
      <fieldsUsage count="1">
        <fieldUsage x="1"/>
      </fieldsUsage>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20023147" createdVersion="5" refreshedVersion="8" minRefreshableVersion="3" recordCount="0" supportSubquery="1" supportAdvancedDrill="1" xr:uid="{C405A6F3-93B4-4E0E-B38B-CB4C05520EE8}">
  <cacheSource type="external" connectionId="5"/>
  <cacheFields count="3">
    <cacheField name="[Car_description2].[segment].[segment]" caption="segment" numFmtId="0" hierarchy="2" level="1">
      <sharedItems count="3">
        <s v="Electric"/>
        <s v="Sedan"/>
        <s v="SUV"/>
      </sharedItems>
    </cacheField>
    <cacheField name="[Measures].[Sum of revenue]" caption="Sum of revenue" numFmtId="0" hierarchy="19"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2" memberValueDatatype="130" unbalanced="0">
      <fieldsUsage count="2">
        <fieldUsage x="-1"/>
        <fieldUsage x="0"/>
      </fieldsUsage>
    </cacheHierarchy>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2"/>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oneField="1">
      <fieldsUsage count="1">
        <fieldUsage x="1"/>
      </fieldsUsage>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20601855" createdVersion="5" refreshedVersion="8" minRefreshableVersion="3" recordCount="0" supportSubquery="1" supportAdvancedDrill="1" xr:uid="{36532371-9B13-4C3E-9B34-133345FD742C}">
  <cacheSource type="external" connectionId="5"/>
  <cacheFields count="3">
    <cacheField name="[Car_description2].[Model].[Model]" caption="Model" numFmtId="0" hierarchy="1" level="1">
      <sharedItems count="10">
        <s v="3 Series"/>
        <s v="5 Series"/>
        <s v="7 Series"/>
        <s v="i4"/>
        <s v="i7"/>
        <s v="iX"/>
        <s v="X1"/>
        <s v="X3"/>
        <s v="X5"/>
        <s v="X7"/>
      </sharedItems>
    </cacheField>
    <cacheField name="[Measures].[Sum of marketing_spend_usd]" caption="Sum of marketing_spend_usd" numFmtId="0" hierarchy="20"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fieldsUsage count="2">
        <fieldUsage x="-1"/>
        <fieldUsage x="0"/>
      </fieldsUsage>
    </cacheHierarchy>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2"/>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oneField="1">
      <fieldsUsage count="1">
        <fieldUsage x="1"/>
      </fieldsUsage>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929621180556" createdVersion="5" refreshedVersion="8" minRefreshableVersion="3" recordCount="0" supportSubquery="1" supportAdvancedDrill="1" xr:uid="{AF54B399-B4E9-442B-A122-53D42A964F41}">
  <cacheSource type="external" connectionId="5"/>
  <cacheFields count="3">
    <cacheField name="[Car_description2].[Model].[Model]" caption="Model" numFmtId="0" hierarchy="1" level="1">
      <sharedItems count="10">
        <s v="3 Series"/>
        <s v="5 Series"/>
        <s v="7 Series"/>
        <s v="i4"/>
        <s v="i7"/>
        <s v="iX"/>
        <s v="X1"/>
        <s v="X3"/>
        <s v="X5"/>
        <s v="X7"/>
      </sharedItems>
    </cacheField>
    <cacheField name="[Measures].[Sum of units_sold]" caption="Sum of units_sold" numFmtId="0" hierarchy="21" level="32767"/>
    <cacheField name="[Country].[country].[country]" caption="country" numFmtId="0" hierarchy="4" level="1">
      <sharedItems containsSemiMixedTypes="0" containsNonDate="0" containsString="0"/>
    </cacheField>
  </cacheFields>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fieldsUsage count="2">
        <fieldUsage x="-1"/>
        <fieldUsage x="0"/>
      </fieldsUsage>
    </cacheHierarchy>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fieldsUsage count="2">
        <fieldUsage x="-1"/>
        <fieldUsage x="2"/>
      </fieldsUsage>
    </cacheHierarchy>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oneField="1">
      <fieldsUsage count="1">
        <fieldUsage x="1"/>
      </fieldsUsage>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dimensions count="5">
    <dimension name="Car_description2" uniqueName="[Car_description2]" caption="Car_description2"/>
    <dimension name="Country" uniqueName="[Country]" caption="Country"/>
    <dimension name="Date" uniqueName="[Date]" caption="Date"/>
    <dimension name="fact1" uniqueName="[fact1]" caption="fact1"/>
    <dimension measure="1" name="Measures" uniqueName="[Measures]" caption="Measures"/>
  </dimensions>
  <measureGroups count="4">
    <measureGroup name="Car_description2" caption="Car_description2"/>
    <measureGroup name="Country" caption="Country"/>
    <measureGroup name="Date" caption="Date"/>
    <measureGroup name="fact1" caption="fact1"/>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864280324073" createdVersion="3" refreshedVersion="8" minRefreshableVersion="3" recordCount="0" supportSubquery="1" supportAdvancedDrill="1" xr:uid="{D73A4CD0-28BA-45A5-B718-E4E0410F9939}">
  <cacheSource type="external" connectionId="5">
    <extLst>
      <ext xmlns:x14="http://schemas.microsoft.com/office/spreadsheetml/2009/9/main" uri="{F057638F-6D5F-4e77-A914-E7F072B9BCA8}">
        <x14:sourceConnection name="ThisWorkbookDataModel"/>
      </ext>
    </extLst>
  </cacheSource>
  <cacheFields count="0"/>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17570577"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58.864340509259" createdVersion="3" refreshedVersion="8" minRefreshableVersion="3" recordCount="0" supportSubquery="1" supportAdvancedDrill="1" xr:uid="{F481DCC4-07FC-4CE7-A775-104665BE1099}">
  <cacheSource type="external" connectionId="5">
    <extLst>
      <ext xmlns:x14="http://schemas.microsoft.com/office/spreadsheetml/2009/9/main" uri="{F057638F-6D5F-4e77-A914-E7F072B9BCA8}">
        <x14:sourceConnection name="ThisWorkbookDataModel"/>
      </ext>
    </extLst>
  </cacheSource>
  <cacheFields count="0"/>
  <cacheHierarchies count="30">
    <cacheHierarchy uniqueName="[Car_description2].[Descrip_Id]" caption="Descrip_Id" attribute="1" defaultMemberUniqueName="[Car_description2].[Descrip_Id].[All]" allUniqueName="[Car_description2].[Descrip_Id].[All]" dimensionUniqueName="[Car_description2]" displayFolder="" count="0" memberValueDatatype="130" unbalanced="0"/>
    <cacheHierarchy uniqueName="[Car_description2].[Model]" caption="Model" attribute="1" defaultMemberUniqueName="[Car_description2].[Model].[All]" allUniqueName="[Car_description2].[Model].[All]" dimensionUniqueName="[Car_description2]" displayFolder="" count="2" memberValueDatatype="130" unbalanced="0"/>
    <cacheHierarchy uniqueName="[Car_description2].[segment]" caption="segment" attribute="1" defaultMemberUniqueName="[Car_description2].[segment].[All]" allUniqueName="[Car_description2].[segment].[All]" dimensionUniqueName="[Car_description2]" displayFolder="" count="0" memberValueDatatype="130" unbalanced="0"/>
    <cacheHierarchy uniqueName="[Car_description2].[engine_type]" caption="engine_type" attribute="1" defaultMemberUniqueName="[Car_description2].[engine_type].[All]" allUniqueName="[Car_description2].[engine_type].[All]" dimensionUniqueName="[Car_description2]" displayFolder="" count="0" memberValueDatatype="130" unbalanced="0"/>
    <cacheHierarchy uniqueName="[Country].[country]" caption="country" attribute="1" defaultMemberUniqueName="[Country].[country].[All]" allUniqueName="[Country].[country].[All]" dimensionUniqueName="[Country]" displayFolder="" count="2" memberValueDatatype="130" unbalanced="0"/>
    <cacheHierarchy uniqueName="[Country].[country Id]" caption="country Id" attribute="1" defaultMemberUniqueName="[Country].[country Id].[All]" allUniqueName="[Country].[country Id].[All]" dimensionUniqueName="[Country]" displayFolder="" count="0" memberValueDatatype="130" unbalanced="0"/>
    <cacheHierarchy uniqueName="[Date].[year]" caption="year" attribute="1" defaultMemberUniqueName="[Date].[year].[All]" allUniqueName="[Date].[year].[All]" dimensionUniqueName="[Date]" displayFolder="" count="2" memberValueDatatype="20" unbalanced="0"/>
    <cacheHierarchy uniqueName="[Date].[month]" caption="month" attribute="1" defaultMemberUniqueName="[Date].[month].[All]" allUniqueName="[Date].[month].[All]" dimensionUniqueName="[Date]" displayFolder="" count="2" memberValueDatatype="20" unbalanced="0"/>
    <cacheHierarchy uniqueName="[Date].[date_id]" caption="date_id" attribute="1" defaultMemberUniqueName="[Date].[date_id].[All]" allUniqueName="[Date].[date_id].[All]" dimensionUniqueName="[Date]" displayFolder="" count="0" memberValueDatatype="20" unbalanced="0"/>
    <cacheHierarchy uniqueName="[fact1].[Sales_Id]" caption="Sales_Id" attribute="1" defaultMemberUniqueName="[fact1].[Sales_Id].[All]" allUniqueName="[fact1].[Sales_Id].[All]" dimensionUniqueName="[fact1]" displayFolder="" count="0" memberValueDatatype="20" unbalanced="0"/>
    <cacheHierarchy uniqueName="[fact1].[date_id]" caption="date_id" attribute="1" defaultMemberUniqueName="[fact1].[date_id].[All]" allUniqueName="[fact1].[date_id].[All]" dimensionUniqueName="[fact1]" displayFolder="" count="0" memberValueDatatype="20" unbalanced="0"/>
    <cacheHierarchy uniqueName="[fact1].[Descrip_Id]" caption="Descrip_Id" attribute="1" defaultMemberUniqueName="[fact1].[Descrip_Id].[All]" allUniqueName="[fact1].[Descrip_Id].[All]" dimensionUniqueName="[fact1]" displayFolder="" count="0" memberValueDatatype="130" unbalanced="0"/>
    <cacheHierarchy uniqueName="[fact1].[country Id]" caption="country Id" attribute="1" defaultMemberUniqueName="[fact1].[country Id].[All]" allUniqueName="[fact1].[country Id].[All]" dimensionUniqueName="[fact1]" displayFolder="" count="0" memberValueDatatype="130" unbalanced="0"/>
    <cacheHierarchy uniqueName="[fact1].[price_usd]" caption="price_usd" attribute="1" defaultMemberUniqueName="[fact1].[price_usd].[All]" allUniqueName="[fact1].[price_usd].[All]" dimensionUniqueName="[fact1]" displayFolder="" count="0" memberValueDatatype="20" unbalanced="0"/>
    <cacheHierarchy uniqueName="[fact1].[marketing_spend_usd]" caption="marketing_spend_usd" attribute="1" defaultMemberUniqueName="[fact1].[marketing_spend_usd].[All]" allUniqueName="[fact1].[marketing_spend_usd].[All]" dimensionUniqueName="[fact1]" displayFolder="" count="0" memberValueDatatype="20" unbalanced="0"/>
    <cacheHierarchy uniqueName="[fact1].[dealership_count]" caption="dealership_count" attribute="1" defaultMemberUniqueName="[fact1].[dealership_count].[All]" allUniqueName="[fact1].[dealership_count].[All]" dimensionUniqueName="[fact1]" displayFolder="" count="0" memberValueDatatype="20" unbalanced="0"/>
    <cacheHierarchy uniqueName="[fact1].[competition_index]" caption="competition_index" attribute="1" defaultMemberUniqueName="[fact1].[competition_index].[All]" allUniqueName="[fact1].[competition_index].[All]" dimensionUniqueName="[fact1]" displayFolder="" count="0" memberValueDatatype="20" unbalanced="0"/>
    <cacheHierarchy uniqueName="[fact1].[revenue]" caption="revenue" attribute="1" defaultMemberUniqueName="[fact1].[revenue].[All]" allUniqueName="[fact1].[revenue].[All]" dimensionUniqueName="[fact1]" displayFolder="" count="0" memberValueDatatype="20" unbalanced="0"/>
    <cacheHierarchy uniqueName="[fact1].[units_sold]" caption="units_sold" attribute="1" defaultMemberUniqueName="[fact1].[units_sold].[All]" allUniqueName="[fact1].[units_sold].[All]" dimensionUniqueName="[fact1]" displayFolder="" count="0" memberValueDatatype="20" unbalanced="0"/>
    <cacheHierarchy uniqueName="[Measures].[Sum of revenue]" caption="Sum of revenue" measure="1" displayFolder="" measureGroup="fact1" count="0">
      <extLst>
        <ext xmlns:x15="http://schemas.microsoft.com/office/spreadsheetml/2010/11/main" uri="{B97F6D7D-B522-45F9-BDA1-12C45D357490}">
          <x15:cacheHierarchy aggregatedColumn="17"/>
        </ext>
      </extLst>
    </cacheHierarchy>
    <cacheHierarchy uniqueName="[Measures].[Sum of marketing_spend_usd]" caption="Sum of marketing_spend_usd" measure="1" displayFolder="" measureGroup="fact1" count="0">
      <extLst>
        <ext xmlns:x15="http://schemas.microsoft.com/office/spreadsheetml/2010/11/main" uri="{B97F6D7D-B522-45F9-BDA1-12C45D357490}">
          <x15:cacheHierarchy aggregatedColumn="14"/>
        </ext>
      </extLst>
    </cacheHierarchy>
    <cacheHierarchy uniqueName="[Measures].[Sum of units_sold]" caption="Sum of units_sold" measure="1" displayFolder="" measureGroup="fact1" count="0">
      <extLst>
        <ext xmlns:x15="http://schemas.microsoft.com/office/spreadsheetml/2010/11/main" uri="{B97F6D7D-B522-45F9-BDA1-12C45D357490}">
          <x15:cacheHierarchy aggregatedColumn="18"/>
        </ext>
      </extLst>
    </cacheHierarchy>
    <cacheHierarchy uniqueName="[Measures].[Total Marketing Spend]" caption="Total Marketing Spend" measure="1" displayFolder="" measureGroup="fact1" count="0"/>
    <cacheHierarchy uniqueName="[Measures].[Total Revenue]" caption="Total Revenue" measure="1" displayFolder="" measureGroup="fact1" count="0"/>
    <cacheHierarchy uniqueName="[Measures].[Total Unit Sold]" caption="Total Unit Sold" measure="1" displayFolder="" measureGroup="fact1" count="0"/>
    <cacheHierarchy uniqueName="[Measures].[__XL_Count fact1]" caption="__XL_Count fact1" measure="1" displayFolder="" measureGroup="fact1" count="0" hidden="1"/>
    <cacheHierarchy uniqueName="[Measures].[__XL_Count Car_description2]" caption="__XL_Count Car_description2" measure="1" displayFolder="" measureGroup="Car_description2" count="0" hidden="1"/>
    <cacheHierarchy uniqueName="[Measures].[__XL_Count Country]" caption="__XL_Count Country" measure="1" displayFolder="" measureGroup="Country" count="0" hidden="1"/>
    <cacheHierarchy uniqueName="[Measures].[__XL_Count Date]" caption="__XL_Count Date" measure="1" displayFolder="" measureGroup="Da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1071363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465E7B-8796-4889-8CD9-5226E39A12EB}" name="PivotTable14" cacheId="431" applyNumberFormats="0" applyBorderFormats="0" applyFontFormats="0" applyPatternFormats="0" applyAlignmentFormats="0" applyWidthHeightFormats="1" dataCaption="Values" tag="55c695e9-253f-4c18-889b-d35b1f507601" updatedVersion="8" minRefreshableVersion="3" useAutoFormatting="1" subtotalHiddenItems="1" itemPrintTitles="1" createdVersion="5" indent="0" outline="1" outlineData="1" multipleFieldFilters="0" chartFormat="34" rowHeaderCaption="year">
  <location ref="G8:I19" firstHeaderRow="0"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defaultSubtotal="0" defaultAttributeDrillState="1">
      <items count="10">
        <item x="8"/>
        <item x="0"/>
        <item x="1"/>
        <item x="2"/>
        <item x="3"/>
        <item x="4"/>
        <item x="5"/>
        <item x="6"/>
        <item x="7"/>
        <item x="9"/>
      </items>
    </pivotField>
    <pivotField dataField="1" subtotalTop="0" showAll="0" defaultSubtotal="0"/>
  </pivotFields>
  <rowFields count="1">
    <field x="2"/>
  </rowFields>
  <rowItems count="11">
    <i>
      <x/>
    </i>
    <i>
      <x v="1"/>
    </i>
    <i>
      <x v="2"/>
    </i>
    <i>
      <x v="3"/>
    </i>
    <i>
      <x v="4"/>
    </i>
    <i>
      <x v="5"/>
    </i>
    <i>
      <x v="6"/>
    </i>
    <i>
      <x v="7"/>
    </i>
    <i>
      <x v="8"/>
    </i>
    <i>
      <x v="9"/>
    </i>
    <i t="grand">
      <x/>
    </i>
  </rowItems>
  <colFields count="1">
    <field x="-2"/>
  </colFields>
  <colItems count="2">
    <i>
      <x/>
    </i>
    <i i="1">
      <x v="1"/>
    </i>
  </colItems>
  <dataFields count="2">
    <dataField name="Sum of revenue" fld="1" baseField="0" baseItem="0"/>
    <dataField name="Sum of marketing_spend_usd" fld="3" baseField="0" baseItem="0"/>
  </dataFields>
  <formats count="1">
    <format dxfId="54">
      <pivotArea collapsedLevelsAreSubtotals="1" fieldPosition="0">
        <references count="1">
          <reference field="2" count="0"/>
        </references>
      </pivotArea>
    </format>
  </format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 chart="17" format="8"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1"/>
          </reference>
        </references>
      </pivotArea>
    </chartFormat>
    <chartFormat chart="6" format="6">
      <pivotArea type="data" outline="0" fieldPosition="0">
        <references count="2">
          <reference field="4294967294" count="1" selected="0">
            <x v="1"/>
          </reference>
          <reference field="2" count="1" selected="0">
            <x v="0"/>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
        <x15:activeTabTopLevelEntity name="[fact1]"/>
        <x15:activeTabTopLevelEntity name="[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AA90A6-3D75-4E77-A44C-65A7B53530DD}" name="PivotTable23" cacheId="449" applyNumberFormats="0" applyBorderFormats="0" applyFontFormats="0" applyPatternFormats="0" applyAlignmentFormats="0" applyWidthHeightFormats="1" dataCaption="Values" tag="47163e54-f054-46cc-89b5-671c2a3d892a" updatedVersion="8" minRefreshableVersion="3" useAutoFormatting="1" subtotalHiddenItems="1" itemPrintTitles="1" createdVersion="5" indent="0" outline="1" outlineData="1" multipleFieldFilters="0" chartFormat="19" rowHeaderCaption="Model">
  <location ref="AH8:AI19"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7"/>
    </i>
    <i>
      <x/>
    </i>
    <i>
      <x v="3"/>
    </i>
    <i>
      <x v="8"/>
    </i>
    <i>
      <x v="2"/>
    </i>
    <i>
      <x v="4"/>
    </i>
    <i>
      <x v="6"/>
    </i>
    <i>
      <x v="1"/>
    </i>
    <i>
      <x v="9"/>
    </i>
    <i>
      <x v="5"/>
    </i>
    <i t="grand">
      <x/>
    </i>
  </rowItems>
  <colItems count="1">
    <i/>
  </colItems>
  <dataFields count="1">
    <dataField name="Sum of units_sold" fld="1" baseField="0" baseItem="0"/>
  </dataFields>
  <formats count="1">
    <format dxfId="55">
      <pivotArea collapsedLevelsAreSubtotals="1" fieldPosition="0">
        <references count="1">
          <reference field="0" count="0"/>
        </references>
      </pivotArea>
    </format>
  </formats>
  <chartFormats count="13">
    <chartFormat chart="8"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0" count="1" selected="0">
            <x v="7"/>
          </reference>
        </references>
      </pivotArea>
    </chartFormat>
    <chartFormat chart="12" format="4">
      <pivotArea type="data" outline="0" fieldPosition="0">
        <references count="2">
          <reference field="4294967294" count="1" selected="0">
            <x v="0"/>
          </reference>
          <reference field="0" count="1" selected="0">
            <x v="0"/>
          </reference>
        </references>
      </pivotArea>
    </chartFormat>
    <chartFormat chart="12" format="5">
      <pivotArea type="data" outline="0" fieldPosition="0">
        <references count="2">
          <reference field="4294967294" count="1" selected="0">
            <x v="0"/>
          </reference>
          <reference field="0" count="1" selected="0">
            <x v="3"/>
          </reference>
        </references>
      </pivotArea>
    </chartFormat>
    <chartFormat chart="12" format="6">
      <pivotArea type="data" outline="0" fieldPosition="0">
        <references count="2">
          <reference field="4294967294" count="1" selected="0">
            <x v="0"/>
          </reference>
          <reference field="0" count="1" selected="0">
            <x v="8"/>
          </reference>
        </references>
      </pivotArea>
    </chartFormat>
    <chartFormat chart="12" format="7">
      <pivotArea type="data" outline="0" fieldPosition="0">
        <references count="2">
          <reference field="4294967294" count="1" selected="0">
            <x v="0"/>
          </reference>
          <reference field="0" count="1" selected="0">
            <x v="2"/>
          </reference>
        </references>
      </pivotArea>
    </chartFormat>
    <chartFormat chart="12" format="8">
      <pivotArea type="data" outline="0" fieldPosition="0">
        <references count="2">
          <reference field="4294967294" count="1" selected="0">
            <x v="0"/>
          </reference>
          <reference field="0" count="1" selected="0">
            <x v="4"/>
          </reference>
        </references>
      </pivotArea>
    </chartFormat>
    <chartFormat chart="12" format="9">
      <pivotArea type="data" outline="0" fieldPosition="0">
        <references count="2">
          <reference field="4294967294" count="1" selected="0">
            <x v="0"/>
          </reference>
          <reference field="0" count="1" selected="0">
            <x v="6"/>
          </reference>
        </references>
      </pivotArea>
    </chartFormat>
    <chartFormat chart="12" format="10">
      <pivotArea type="data" outline="0" fieldPosition="0">
        <references count="2">
          <reference field="4294967294" count="1" selected="0">
            <x v="0"/>
          </reference>
          <reference field="0" count="1" selected="0">
            <x v="1"/>
          </reference>
        </references>
      </pivotArea>
    </chartFormat>
    <chartFormat chart="12" format="11">
      <pivotArea type="data" outline="0" fieldPosition="0">
        <references count="2">
          <reference field="4294967294" count="1" selected="0">
            <x v="0"/>
          </reference>
          <reference field="0" count="1" selected="0">
            <x v="9"/>
          </reference>
        </references>
      </pivotArea>
    </chartFormat>
    <chartFormat chart="12" format="12">
      <pivotArea type="data" outline="0" fieldPosition="0">
        <references count="2">
          <reference field="4294967294" count="1" selected="0">
            <x v="0"/>
          </reference>
          <reference field="0" count="1" selected="0">
            <x v="5"/>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description2]"/>
        <x15:activeTabTopLevelEntity name="[fact1]"/>
        <x15:activeTabTopLevelEntity name="[Country]"/>
        <x15:activeTabTopLevelEntity name="[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8B32AE-6ADA-4018-8979-AE4D9CF70872}" name="PivotTable18" cacheId="443" applyNumberFormats="0" applyBorderFormats="0" applyFontFormats="0" applyPatternFormats="0" applyAlignmentFormats="0" applyWidthHeightFormats="1" dataCaption="Values" tag="d42a85b9-9d41-4aec-9e4d-fd13b097e6af" updatedVersion="8" minRefreshableVersion="3" useAutoFormatting="1" subtotalHiddenItems="1" itemPrintTitles="1" createdVersion="5" indent="0" outline="1" outlineData="1" multipleFieldFilters="0" chartFormat="37" rowHeaderCaption="Segment">
  <location ref="AC8:AD12"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revenue" fld="1" showDataAs="percentOfTotal" baseField="0" baseItem="0" numFmtId="10"/>
  </dataFields>
  <chartFormats count="16">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2"/>
          </reference>
        </references>
      </pivotArea>
    </chartFormat>
    <chartFormat chart="7" format="13" series="1">
      <pivotArea type="data" outline="0" fieldPosition="0">
        <references count="1">
          <reference field="4294967294" count="1" selected="0">
            <x v="0"/>
          </reference>
        </references>
      </pivotArea>
    </chartFormat>
    <chartFormat chart="7" format="14">
      <pivotArea type="data" outline="0" fieldPosition="0">
        <references count="2">
          <reference field="4294967294" count="1" selected="0">
            <x v="0"/>
          </reference>
          <reference field="0" count="1" selected="0">
            <x v="0"/>
          </reference>
        </references>
      </pivotArea>
    </chartFormat>
    <chartFormat chart="7" format="15">
      <pivotArea type="data" outline="0" fieldPosition="0">
        <references count="2">
          <reference field="4294967294" count="1" selected="0">
            <x v="0"/>
          </reference>
          <reference field="0" count="1" selected="0">
            <x v="1"/>
          </reference>
        </references>
      </pivotArea>
    </chartFormat>
    <chartFormat chart="7" format="16">
      <pivotArea type="data" outline="0" fieldPosition="0">
        <references count="2">
          <reference field="4294967294" count="1" selected="0">
            <x v="0"/>
          </reference>
          <reference field="0" count="1" selected="0">
            <x v="2"/>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0" count="1" selected="0">
            <x v="0"/>
          </reference>
        </references>
      </pivotArea>
    </chartFormat>
    <chartFormat chart="15" format="15">
      <pivotArea type="data" outline="0" fieldPosition="0">
        <references count="2">
          <reference field="4294967294" count="1" selected="0">
            <x v="0"/>
          </reference>
          <reference field="0" count="1" selected="0">
            <x v="1"/>
          </reference>
        </references>
      </pivotArea>
    </chartFormat>
    <chartFormat chart="15" format="16">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description2]"/>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B25782-2537-430C-87CA-8576896552BC}" name="PivotTable16" cacheId="437" applyNumberFormats="0" applyBorderFormats="0" applyFontFormats="0" applyPatternFormats="0" applyAlignmentFormats="0" applyWidthHeightFormats="1" dataCaption="Values" tag="2b25786b-f260-4494-9777-3224e13e6825" updatedVersion="8" minRefreshableVersion="3" useAutoFormatting="1" subtotalHiddenItems="1" itemPrintTitles="1" createdVersion="5" indent="0" outline="1" outlineData="1" multipleFieldFilters="0" chartFormat="23" rowHeaderCaption="Model">
  <location ref="R8:S19"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7"/>
    </i>
    <i>
      <x v="3"/>
    </i>
    <i>
      <x/>
    </i>
    <i>
      <x v="8"/>
    </i>
    <i>
      <x v="2"/>
    </i>
    <i>
      <x v="4"/>
    </i>
    <i>
      <x v="6"/>
    </i>
    <i>
      <x v="1"/>
    </i>
    <i>
      <x v="9"/>
    </i>
    <i>
      <x v="5"/>
    </i>
    <i t="grand">
      <x/>
    </i>
  </rowItems>
  <colItems count="1">
    <i/>
  </colItems>
  <dataFields count="1">
    <dataField fld="1" subtotal="count" baseField="0" baseItem="0"/>
  </dataFields>
  <formats count="1">
    <format dxfId="56">
      <pivotArea collapsedLevelsAreSubtotals="1" fieldPosition="0">
        <references count="1">
          <reference field="0" count="0"/>
        </references>
      </pivotArea>
    </format>
  </formats>
  <chartFormats count="3">
    <chartFormat chart="0"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description2]"/>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E59B21-B728-4C34-8C7C-DC6143ACB82A}" name="PivotTable17" cacheId="440" applyNumberFormats="0" applyBorderFormats="0" applyFontFormats="0" applyPatternFormats="0" applyAlignmentFormats="0" applyWidthHeightFormats="1" dataCaption="Values" tag="48c41937-4a72-4a3f-b268-f87127072b6e" updatedVersion="8" minRefreshableVersion="3" useAutoFormatting="1" subtotalHiddenItems="1" itemPrintTitles="1" createdVersion="5" indent="0" outline="1" outlineData="1" multipleFieldFilters="0" chartFormat="18" rowHeaderCaption="Engine Type">
  <location ref="Y8:Z13"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revenue" fld="1" showDataAs="percentOfTotal" baseField="0" baseItem="0" numFmtId="10"/>
  </dataFields>
  <chartFormats count="15">
    <chartFormat chart="0" format="0"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0" count="1" selected="0">
            <x v="0"/>
          </reference>
        </references>
      </pivotArea>
    </chartFormat>
    <chartFormat chart="7" format="8">
      <pivotArea type="data" outline="0" fieldPosition="0">
        <references count="2">
          <reference field="4294967294" count="1" selected="0">
            <x v="0"/>
          </reference>
          <reference field="0" count="1" selected="0">
            <x v="1"/>
          </reference>
        </references>
      </pivotArea>
    </chartFormat>
    <chartFormat chart="7" format="9">
      <pivotArea type="data" outline="0" fieldPosition="0">
        <references count="2">
          <reference field="4294967294" count="1" selected="0">
            <x v="0"/>
          </reference>
          <reference field="0" count="1" selected="0">
            <x v="2"/>
          </reference>
        </references>
      </pivotArea>
    </chartFormat>
    <chartFormat chart="7" format="10">
      <pivotArea type="data" outline="0" fieldPosition="0">
        <references count="2">
          <reference field="4294967294" count="1" selected="0">
            <x v="0"/>
          </reference>
          <reference field="0" count="1" selected="0">
            <x v="3"/>
          </reference>
        </references>
      </pivotArea>
    </chartFormat>
    <chartFormat chart="11" format="16" series="1">
      <pivotArea type="data" outline="0" fieldPosition="0">
        <references count="1">
          <reference field="4294967294" count="1" selected="0">
            <x v="0"/>
          </reference>
        </references>
      </pivotArea>
    </chartFormat>
    <chartFormat chart="11" format="17">
      <pivotArea type="data" outline="0" fieldPosition="0">
        <references count="2">
          <reference field="4294967294" count="1" selected="0">
            <x v="0"/>
          </reference>
          <reference field="0" count="1" selected="0">
            <x v="0"/>
          </reference>
        </references>
      </pivotArea>
    </chartFormat>
    <chartFormat chart="11" format="18">
      <pivotArea type="data" outline="0" fieldPosition="0">
        <references count="2">
          <reference field="4294967294" count="1" selected="0">
            <x v="0"/>
          </reference>
          <reference field="0" count="1" selected="0">
            <x v="1"/>
          </reference>
        </references>
      </pivotArea>
    </chartFormat>
    <chartFormat chart="11" format="19">
      <pivotArea type="data" outline="0" fieldPosition="0">
        <references count="2">
          <reference field="4294967294" count="1" selected="0">
            <x v="0"/>
          </reference>
          <reference field="0" count="1" selected="0">
            <x v="2"/>
          </reference>
        </references>
      </pivotArea>
    </chartFormat>
    <chartFormat chart="11" format="20">
      <pivotArea type="data" outline="0" fieldPosition="0">
        <references count="2">
          <reference field="4294967294" count="1" selected="0">
            <x v="0"/>
          </reference>
          <reference field="0" count="1" selected="0">
            <x v="3"/>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description2]"/>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897569-D1DA-4BA4-8EDD-5D5FFDC07626}" name="PivotTable13" cacheId="428" applyNumberFormats="0" applyBorderFormats="0" applyFontFormats="0" applyPatternFormats="0" applyAlignmentFormats="0" applyWidthHeightFormats="1" dataCaption="Values" tag="4f9fa404-0730-4427-a2ab-0cb65f01bbc0" updatedVersion="8" minRefreshableVersion="3" useAutoFormatting="1" subtotalHiddenItems="1" itemPrintTitles="1" createdVersion="5" indent="0" outline="1" outlineData="1" multipleFieldFilters="0" chartFormat="19" rowHeaderCaption="country">
  <location ref="C8:D19" firstHeaderRow="1" firstDataRow="1" firstDataCol="1"/>
  <pivotFields count="2">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3"/>
    </i>
    <i>
      <x v="8"/>
    </i>
    <i>
      <x v="4"/>
    </i>
    <i>
      <x v="6"/>
    </i>
    <i>
      <x v="1"/>
    </i>
    <i>
      <x/>
    </i>
    <i>
      <x v="5"/>
    </i>
    <i>
      <x v="9"/>
    </i>
    <i>
      <x v="7"/>
    </i>
    <i>
      <x v="2"/>
    </i>
    <i t="grand">
      <x/>
    </i>
  </rowItems>
  <colItems count="1">
    <i/>
  </colItems>
  <dataFields count="1">
    <dataField name="Sum of revenue" fld="1" baseField="0" baseItem="0"/>
  </dataFields>
  <formats count="1">
    <format dxfId="57">
      <pivotArea collapsedLevelsAreSubtotals="1" fieldPosition="0">
        <references count="1">
          <reference field="0" count="0"/>
        </references>
      </pivotArea>
    </format>
  </formats>
  <chartFormats count="1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0" count="1" selected="0">
            <x v="3"/>
          </reference>
        </references>
      </pivotArea>
    </chartFormat>
    <chartFormat chart="5" format="4">
      <pivotArea type="data" outline="0" fieldPosition="0">
        <references count="2">
          <reference field="4294967294" count="1" selected="0">
            <x v="0"/>
          </reference>
          <reference field="0" count="1" selected="0">
            <x v="8"/>
          </reference>
        </references>
      </pivotArea>
    </chartFormat>
    <chartFormat chart="5" format="5">
      <pivotArea type="data" outline="0" fieldPosition="0">
        <references count="2">
          <reference field="4294967294" count="1" selected="0">
            <x v="0"/>
          </reference>
          <reference field="0" count="1" selected="0">
            <x v="4"/>
          </reference>
        </references>
      </pivotArea>
    </chartFormat>
    <chartFormat chart="5" format="6">
      <pivotArea type="data" outline="0" fieldPosition="0">
        <references count="2">
          <reference field="4294967294" count="1" selected="0">
            <x v="0"/>
          </reference>
          <reference field="0" count="1" selected="0">
            <x v="6"/>
          </reference>
        </references>
      </pivotArea>
    </chartFormat>
    <chartFormat chart="5" format="7">
      <pivotArea type="data" outline="0" fieldPosition="0">
        <references count="2">
          <reference field="4294967294" count="1" selected="0">
            <x v="0"/>
          </reference>
          <reference field="0" count="1" selected="0">
            <x v="1"/>
          </reference>
        </references>
      </pivotArea>
    </chartFormat>
    <chartFormat chart="5" format="8">
      <pivotArea type="data" outline="0" fieldPosition="0">
        <references count="2">
          <reference field="4294967294" count="1" selected="0">
            <x v="0"/>
          </reference>
          <reference field="0" count="1" selected="0">
            <x v="0"/>
          </reference>
        </references>
      </pivotArea>
    </chartFormat>
    <chartFormat chart="5" format="9">
      <pivotArea type="data" outline="0" fieldPosition="0">
        <references count="2">
          <reference field="4294967294" count="1" selected="0">
            <x v="0"/>
          </reference>
          <reference field="0" count="1" selected="0">
            <x v="5"/>
          </reference>
        </references>
      </pivotArea>
    </chartFormat>
    <chartFormat chart="5" format="10">
      <pivotArea type="data" outline="0" fieldPosition="0">
        <references count="2">
          <reference field="4294967294" count="1" selected="0">
            <x v="0"/>
          </reference>
          <reference field="0" count="1" selected="0">
            <x v="9"/>
          </reference>
        </references>
      </pivotArea>
    </chartFormat>
    <chartFormat chart="5" format="11">
      <pivotArea type="data" outline="0" fieldPosition="0">
        <references count="2">
          <reference field="4294967294" count="1" selected="0">
            <x v="0"/>
          </reference>
          <reference field="0" count="1" selected="0">
            <x v="7"/>
          </reference>
        </references>
      </pivotArea>
    </chartFormat>
    <chartFormat chart="5" format="12">
      <pivotArea type="data" outline="0" fieldPosition="0">
        <references count="2">
          <reference field="4294967294" count="1" selected="0">
            <x v="0"/>
          </reference>
          <reference field="0" count="1" selected="0">
            <x v="2"/>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42BA52-9577-4C3A-BD34-8A56CB771D0D}" name="PivotTable19" cacheId="446" applyNumberFormats="0" applyBorderFormats="0" applyFontFormats="0" applyPatternFormats="0" applyAlignmentFormats="0" applyWidthHeightFormats="1" dataCaption="Values" tag="730b0dec-dcfb-4e8b-8b92-9f9059f580a4" updatedVersion="8" minRefreshableVersion="3" useAutoFormatting="1" subtotalHiddenItems="1" itemPrintTitles="1" createdVersion="5" indent="0" outline="1" outlineData="1" multipleFieldFilters="0" chartFormat="14" rowHeaderCaption="Model">
  <location ref="U8:V19"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i>
    <i>
      <x v="2"/>
    </i>
    <i>
      <x v="3"/>
    </i>
    <i>
      <x v="8"/>
    </i>
    <i>
      <x v="7"/>
    </i>
    <i>
      <x v="6"/>
    </i>
    <i>
      <x v="4"/>
    </i>
    <i>
      <x v="9"/>
    </i>
    <i>
      <x v="1"/>
    </i>
    <i>
      <x v="5"/>
    </i>
    <i t="grand">
      <x/>
    </i>
  </rowItems>
  <colItems count="1">
    <i/>
  </colItems>
  <dataFields count="1">
    <dataField name="Sum of marketing_spend_usd" fld="1" baseField="0" baseItem="0"/>
  </dataFields>
  <formats count="1">
    <format dxfId="58">
      <pivotArea collapsedLevelsAreSubtotals="1" fieldPosition="0">
        <references count="1">
          <reference field="0" count="0"/>
        </references>
      </pivotArea>
    </format>
  </formats>
  <chartFormats count="12">
    <chartFormat chart="4"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0"/>
          </reference>
        </references>
      </pivotArea>
    </chartFormat>
    <chartFormat chart="4" format="4">
      <pivotArea type="data" outline="0" fieldPosition="0">
        <references count="2">
          <reference field="4294967294" count="1" selected="0">
            <x v="0"/>
          </reference>
          <reference field="0" count="1" selected="0">
            <x v="2"/>
          </reference>
        </references>
      </pivotArea>
    </chartFormat>
    <chartFormat chart="4" format="5">
      <pivotArea type="data" outline="0" fieldPosition="0">
        <references count="2">
          <reference field="4294967294" count="1" selected="0">
            <x v="0"/>
          </reference>
          <reference field="0" count="1" selected="0">
            <x v="3"/>
          </reference>
        </references>
      </pivotArea>
    </chartFormat>
    <chartFormat chart="4" format="6">
      <pivotArea type="data" outline="0" fieldPosition="0">
        <references count="2">
          <reference field="4294967294" count="1" selected="0">
            <x v="0"/>
          </reference>
          <reference field="0" count="1" selected="0">
            <x v="8"/>
          </reference>
        </references>
      </pivotArea>
    </chartFormat>
    <chartFormat chart="4" format="7">
      <pivotArea type="data" outline="0" fieldPosition="0">
        <references count="2">
          <reference field="4294967294" count="1" selected="0">
            <x v="0"/>
          </reference>
          <reference field="0" count="1" selected="0">
            <x v="7"/>
          </reference>
        </references>
      </pivotArea>
    </chartFormat>
    <chartFormat chart="4" format="8">
      <pivotArea type="data" outline="0" fieldPosition="0">
        <references count="2">
          <reference field="4294967294" count="1" selected="0">
            <x v="0"/>
          </reference>
          <reference field="0" count="1" selected="0">
            <x v="6"/>
          </reference>
        </references>
      </pivotArea>
    </chartFormat>
    <chartFormat chart="4" format="9">
      <pivotArea type="data" outline="0" fieldPosition="0">
        <references count="2">
          <reference field="4294967294" count="1" selected="0">
            <x v="0"/>
          </reference>
          <reference field="0" count="1" selected="0">
            <x v="4"/>
          </reference>
        </references>
      </pivotArea>
    </chartFormat>
    <chartFormat chart="4" format="10">
      <pivotArea type="data" outline="0" fieldPosition="0">
        <references count="2">
          <reference field="4294967294" count="1" selected="0">
            <x v="0"/>
          </reference>
          <reference field="0" count="1" selected="0">
            <x v="9"/>
          </reference>
        </references>
      </pivotArea>
    </chartFormat>
    <chartFormat chart="4" format="11">
      <pivotArea type="data" outline="0" fieldPosition="0">
        <references count="2">
          <reference field="4294967294" count="1" selected="0">
            <x v="0"/>
          </reference>
          <reference field="0" count="1" selected="0">
            <x v="1"/>
          </reference>
        </references>
      </pivotArea>
    </chartFormat>
    <chartFormat chart="4" format="12">
      <pivotArea type="data" outline="0" fieldPosition="0">
        <references count="2">
          <reference field="4294967294" count="1" selected="0">
            <x v="0"/>
          </reference>
          <reference field="0" count="1" selected="0">
            <x v="5"/>
          </reference>
        </references>
      </pivotArea>
    </chartFormat>
  </chart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_description2]"/>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77ACBC4-CB1C-4DBE-81A5-F57B135F720F}" name="PivotTable10" cacheId="419" applyNumberFormats="0" applyBorderFormats="0" applyFontFormats="0" applyPatternFormats="0" applyAlignmentFormats="0" applyWidthHeightFormats="1" dataCaption="Values" tag="4af6da45-8140-471e-8b9d-45c6dba7e435" updatedVersion="8" minRefreshableVersion="3" useAutoFormatting="1" subtotalHiddenItems="1" itemPrintTitles="1" createdVersion="5"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4"/>
  </dataFields>
  <formats count="1">
    <format dxfId="59">
      <pivotArea outline="0" collapsedLevelsAreSubtotals="1" fieldPosition="0"/>
    </format>
  </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411146-0BB7-4635-A9AC-87966D4D5725}" name="PivotTable11" cacheId="422" applyNumberFormats="0" applyBorderFormats="0" applyFontFormats="0" applyPatternFormats="0" applyAlignmentFormats="0" applyWidthHeightFormats="1" dataCaption="Values" tag="e6c425ae-49ff-4b08-abe2-3101f534c9e9" updatedVersion="8" minRefreshableVersion="3" useAutoFormatting="1" subtotalHiddenItems="1" itemPrintTitles="1" createdVersion="5" indent="0" outline="1" outlineData="1" multipleFieldFilters="0">
  <location ref="B1:B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4"/>
  </dataFields>
  <formats count="1">
    <format dxfId="60">
      <pivotArea outline="0" collapsedLevelsAreSubtotals="1" fieldPosition="0"/>
    </format>
  </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32FA07-C5E3-45A1-9D61-ED9D5882AB63}" name="PivotTable15" cacheId="434" applyNumberFormats="0" applyBorderFormats="0" applyFontFormats="0" applyPatternFormats="0" applyAlignmentFormats="0" applyWidthHeightFormats="1" dataCaption="Values" tag="2adc4c53-863f-4f74-ad24-7ccbc83a9a0c" updatedVersion="8" minRefreshableVersion="3" useAutoFormatting="1" subtotalHiddenItems="1" itemPrintTitles="1" createdVersion="5" indent="0" outline="1" outlineData="1" multipleFieldFilters="0" rowHeaderCaption="month">
  <location ref="L8:N21" firstHeaderRow="0" firstDataRow="1" firstDataCol="1"/>
  <pivotFields count="5">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3"/>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1" baseField="0" baseItem="0"/>
    <dataField name="Sum of marketing_spend_usd" fld="4" baseField="0" baseItem="0"/>
  </dataFields>
  <formats count="1">
    <format dxfId="61">
      <pivotArea collapsedLevelsAreSubtotals="1" fieldPosition="0">
        <references count="1">
          <reference field="3" count="0"/>
        </references>
      </pivotArea>
    </format>
  </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
        <x15:activeTabTopLevelEntity name="[fact1]"/>
        <x15:activeTabTopLevelEntity name="[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B1E7FB4-8AF6-4BF0-8140-2DE8F73057AB}" name="PivotTable12" cacheId="425" applyNumberFormats="0" applyBorderFormats="0" applyFontFormats="0" applyPatternFormats="0" applyAlignmentFormats="0" applyWidthHeightFormats="1" dataCaption="Values" tag="0b2a518c-7dcd-4ec5-a6f9-3c4289dfe78f" updatedVersion="8" minRefreshableVersion="3" useAutoFormatting="1" subtotalHiddenItems="1" itemPrintTitles="1" createdVersion="5" indent="0" outline="1" outlineData="1" multipleFieldFilters="0">
  <location ref="C1:C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4"/>
  </dataFields>
  <formats count="1">
    <format dxfId="62">
      <pivotArea outline="0" collapsedLevelsAreSubtotals="1" fieldPosition="0"/>
    </format>
  </formats>
  <pivotHierarchies count="3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8F12158D-3344-4957-9E4C-F36B65850A5B}" sourceName="[Country].[country]">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3"/>
  </pivotTables>
  <data>
    <olap pivotCacheId="1817570577">
      <levels count="2">
        <level uniqueName="[Country].[country].[(All)]" sourceCaption="(All)" count="0"/>
        <level uniqueName="[Country].[country].[country]" sourceCaption="country" count="10">
          <ranges>
            <range startItem="0">
              <i n="[Country].[country].&amp;[Australia]" c="Australia"/>
              <i n="[Country].[country].&amp;[Brazil]" c="Brazil"/>
              <i n="[Country].[country].&amp;[Canada]" c="Canada"/>
              <i n="[Country].[country].&amp;[China]" c="China"/>
              <i n="[Country].[country].&amp;[France]" c="France"/>
              <i n="[Country].[country].&amp;[Germany]" c="Germany"/>
              <i n="[Country].[country].&amp;[India]" c="India"/>
              <i n="[Country].[country].&amp;[Japan]" c="Japan"/>
              <i n="[Country].[country].&amp;[UK]" c="UK"/>
              <i n="[Country].[country].&amp;[USA]" c="USA"/>
            </range>
          </ranges>
        </level>
      </levels>
      <selections count="1">
        <selection n="[Country].[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 xr10:uid="{D660892A-0838-40A9-9687-D4323A1B8D1F}" sourceName="[Car_description2].[Model]">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3"/>
  </pivotTables>
  <data>
    <olap pivotCacheId="1817570577">
      <levels count="2">
        <level uniqueName="[Car_description2].[Model].[(All)]" sourceCaption="(All)" count="0"/>
        <level uniqueName="[Car_description2].[Model].[Model]" sourceCaption="Model" count="10">
          <ranges>
            <range startItem="0">
              <i n="[Car_description2].[Model].&amp;[3 Series]" c="3 Series"/>
              <i n="[Car_description2].[Model].&amp;[5 Series]" c="5 Series"/>
              <i n="[Car_description2].[Model].&amp;[7 Series]" c="7 Series"/>
              <i n="[Car_description2].[Model].&amp;[i4]" c="i4"/>
              <i n="[Car_description2].[Model].&amp;[i7]" c="i7"/>
              <i n="[Car_description2].[Model].&amp;[iX]" c="iX"/>
              <i n="[Car_description2].[Model].&amp;[X1]" c="X1"/>
              <i n="[Car_description2].[Model].&amp;[X3]" c="X3"/>
              <i n="[Car_description2].[Model].&amp;[X5]" c="X5"/>
              <i n="[Car_description2].[Model].&amp;[X7]" c="X7"/>
            </range>
          </ranges>
        </level>
      </levels>
      <selections count="1">
        <selection n="[Car_description2].[Model].[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4F6C6E-B662-4A3A-9A06-196B86E16186}" sourceName="[Date].[year]">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3"/>
  </pivotTables>
  <data>
    <olap pivotCacheId="1817570577">
      <levels count="2">
        <level uniqueName="[Date].[year].[(All)]" sourceCaption="(All)" count="0"/>
        <level uniqueName="[Date].[year].[year]" sourceCaption="year" count="10">
          <ranges>
            <range startItem="0">
              <i n="[Date].[year].&amp;[2015]" c="2015"/>
              <i n="[Date].[year].&amp;[2016]" c="2016"/>
              <i n="[Date].[year].&amp;[2017]" c="2017"/>
              <i n="[Date].[year].&amp;[2018]" c="2018"/>
              <i n="[Date].[year].&amp;[2019]" c="2019"/>
              <i n="[Date].[year].&amp;[2020]" c="2020"/>
              <i n="[Date].[year].&amp;[2021]" c="2021"/>
              <i n="[Date].[year].&amp;[2022]" c="2022"/>
              <i n="[Date].[year].&amp;[2023]" c="2023"/>
              <i n="[Date].[year].&amp;[2024]" c="2024"/>
            </range>
          </ranges>
        </level>
      </levels>
      <selections count="1">
        <selection n="[Date].[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66BA77E-F90D-4026-AD45-A8E8728F7BED}" sourceName="[Date].[month]">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3"/>
  </pivotTables>
  <data>
    <olap pivotCacheId="1817570577">
      <levels count="2">
        <level uniqueName="[Date].[month].[(All)]" sourceCaption="(All)" count="0"/>
        <level uniqueName="[Date].[month].[month]" sourceCaption="month" count="12">
          <ranges>
            <range startItem="0">
              <i n="[Date].[month].&amp;[1]" c="1"/>
              <i n="[Date].[month].&amp;[2]" c="2"/>
              <i n="[Date].[month].&amp;[3]" c="3"/>
              <i n="[Date].[month].&amp;[4]" c="4"/>
              <i n="[Date].[month].&amp;[5]" c="5"/>
              <i n="[Date].[month].&amp;[6]" c="6"/>
              <i n="[Date].[month].&amp;[7]" c="7"/>
              <i n="[Date].[month].&amp;[8]" c="8"/>
              <i n="[Date].[month].&amp;[9]" c="9"/>
              <i n="[Date].[month].&amp;[10]" c="10"/>
              <i n="[Date].[month].&amp;[11]" c="11"/>
              <i n="[Date].[month].&amp;[12]" c="12"/>
            </range>
          </ranges>
        </level>
      </levels>
      <selections count="1">
        <selection n="[Date].[month].[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0CC788FD-6558-4485-BDF7-BCF61C4DAF27}" sourceName="[Country].[country]">
  <data>
    <olap pivotCacheId="2107136376">
      <levels count="2">
        <level uniqueName="[Country].[country].[(All)]" sourceCaption="(All)" count="0"/>
        <level uniqueName="[Country].[country].[country]" sourceCaption="country" count="10">
          <ranges>
            <range startItem="0">
              <i n="[Country].[country].&amp;[Australia]" c="Australia"/>
              <i n="[Country].[country].&amp;[Brazil]" c="Brazil"/>
              <i n="[Country].[country].&amp;[Canada]" c="Canada"/>
              <i n="[Country].[country].&amp;[China]" c="China"/>
              <i n="[Country].[country].&amp;[France]" c="France"/>
              <i n="[Country].[country].&amp;[Germany]" c="Germany"/>
              <i n="[Country].[country].&amp;[India]" c="India"/>
              <i n="[Country].[country].&amp;[Japan]" c="Japan"/>
              <i n="[Country].[country].&amp;[UK]" c="UK"/>
              <i n="[Country].[country].&amp;[USA]" c="USA"/>
            </range>
          </ranges>
        </level>
      </levels>
      <selections count="1">
        <selection n="[Country].[country].[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1" xr10:uid="{59E18157-FD0E-414F-BA66-89FD2F8FFA23}" sourceName="[Car_description2].[Model]">
  <data>
    <olap pivotCacheId="2107136376">
      <levels count="2">
        <level uniqueName="[Car_description2].[Model].[(All)]" sourceCaption="(All)" count="0"/>
        <level uniqueName="[Car_description2].[Model].[Model]" sourceCaption="Model" count="10">
          <ranges>
            <range startItem="0">
              <i n="[Car_description2].[Model].&amp;[3 Series]" c="3 Series"/>
              <i n="[Car_description2].[Model].&amp;[5 Series]" c="5 Series"/>
              <i n="[Car_description2].[Model].&amp;[7 Series]" c="7 Series"/>
              <i n="[Car_description2].[Model].&amp;[i4]" c="i4"/>
              <i n="[Car_description2].[Model].&amp;[i7]" c="i7"/>
              <i n="[Car_description2].[Model].&amp;[iX]" c="iX"/>
              <i n="[Car_description2].[Model].&amp;[X1]" c="X1"/>
              <i n="[Car_description2].[Model].&amp;[X3]" c="X3"/>
              <i n="[Car_description2].[Model].&amp;[X5]" c="X5"/>
              <i n="[Car_description2].[Model].&amp;[X7]" c="X7"/>
            </range>
          </ranges>
        </level>
      </levels>
      <selections count="1">
        <selection n="[Car_description2].[Model].[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4F871346-3EA3-4FA6-9A10-A8E7D71441F3}" sourceName="[Date].[year]">
  <data>
    <olap pivotCacheId="2107136376">
      <levels count="2">
        <level uniqueName="[Date].[year].[(All)]" sourceCaption="(All)" count="0"/>
        <level uniqueName="[Date].[year].[year]" sourceCaption="year" count="10">
          <ranges>
            <range startItem="0">
              <i n="[Date].[year].&amp;[2015]" c="2015"/>
              <i n="[Date].[year].&amp;[2016]" c="2016"/>
              <i n="[Date].[year].&amp;[2017]" c="2017"/>
              <i n="[Date].[year].&amp;[2018]" c="2018"/>
              <i n="[Date].[year].&amp;[2019]" c="2019"/>
              <i n="[Date].[year].&amp;[2020]" c="2020"/>
              <i n="[Date].[year].&amp;[2021]" c="2021"/>
              <i n="[Date].[year].&amp;[2022]" c="2022"/>
              <i n="[Date].[year].&amp;[2023]" c="2023"/>
              <i n="[Date].[year].&amp;[2024]" c="2024"/>
            </range>
          </ranges>
        </level>
      </levels>
      <selections count="1">
        <selection n="[Date].[year].[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2DB79CE3-F867-4DE6-992C-D840C5B22523}" sourceName="[Date].[month]">
  <data>
    <olap pivotCacheId="2107136376">
      <levels count="2">
        <level uniqueName="[Date].[month].[(All)]" sourceCaption="(All)" count="0"/>
        <level uniqueName="[Date].[month].[month]" sourceCaption="month" count="12">
          <ranges>
            <range startItem="0">
              <i n="[Date].[month].&amp;[1]" c="1"/>
              <i n="[Date].[month].&amp;[2]" c="2"/>
              <i n="[Date].[month].&amp;[3]" c="3"/>
              <i n="[Date].[month].&amp;[4]" c="4"/>
              <i n="[Date].[month].&amp;[5]" c="5"/>
              <i n="[Date].[month].&amp;[6]" c="6"/>
              <i n="[Date].[month].&amp;[7]" c="7"/>
              <i n="[Date].[month].&amp;[8]" c="8"/>
              <i n="[Date].[month].&amp;[9]" c="9"/>
              <i n="[Date].[month].&amp;[10]" c="10"/>
              <i n="[Date].[month].&amp;[11]" c="11"/>
              <i n="[Date].[month].&amp;[12]" c="12"/>
            </range>
          </ranges>
        </level>
      </levels>
      <selections count="1">
        <selection n="[Date].[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AE8848EC-3505-4BF5-95D4-0C796957B91A}" cache="Slicer_country1" caption="country" level="1" style="SlicerStyleLight4" rowHeight="241300"/>
  <slicer name="Model 2" xr10:uid="{A8115E1B-E483-46FE-8852-B0FF02321B26}" cache="Slicer_Model1" caption="Model" level="1" rowHeight="241300"/>
  <slicer name="year 2" xr10:uid="{CCCD6B28-63D9-4EBB-86F4-2F24A6B13A07}" cache="Slicer_year1" caption="year" level="1" style="SlicerStyleLight4" rowHeight="241300"/>
  <slicer name="month 2" xr10:uid="{CD29C640-5406-4C4F-BE2F-60B5AFE7AC74}" cache="Slicer_month1" caption="month"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7457A8C9-E279-4B61-B3D4-24DFE435637D}" cache="Slicer_country" caption="country" level="1" rowHeight="241300"/>
  <slicer name="Model" xr10:uid="{86F48D75-3E94-49E1-8A06-3DFA2364757F}" cache="Slicer_Model" caption="Model" level="1" rowHeight="241300"/>
  <slicer name="year" xr10:uid="{67E3EB12-18B8-49F2-9F18-C6367531DFEC}" cache="Slicer_year" caption="year" level="1" rowHeight="241300"/>
  <slicer name="month" xr10:uid="{551A5308-B08B-484A-9C56-785906EED21C}" cache="Slicer_month" caption="month"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C2A69776-9E9A-4C69-8CDC-7A552DC08B0B}" cache="Slicer_country" caption="country" level="1" style="SlicerStyleLight4 2" rowHeight="241300"/>
  <slicer name="Model 1" xr10:uid="{8ABC18BF-8F61-4FD3-8110-223FE05F322E}" cache="Slicer_Model" caption="Model" level="1" style="SlicerStyleLight4 2" rowHeight="241300"/>
  <slicer name="year 1" xr10:uid="{91D8CF78-48A6-47D9-9149-255F9E182A83}" cache="Slicer_year" caption="year" level="1" style="SlicerStyleLight4 2" rowHeight="241300"/>
  <slicer name="month 1" xr10:uid="{DCED8A10-3B6A-4DC8-A2B4-1A3CC340C228}" cache="Slicer_month" caption="month" startItem="1" level="1" style="SlicerStyleLight4 2" rowHeight="241300"/>
</slicers>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8845A-F0CB-4A31-A6D4-A7F9D7AF9E6D}">
  <dimension ref="A1:D1"/>
  <sheetViews>
    <sheetView showGridLines="0" zoomScale="60" zoomScaleNormal="60" workbookViewId="0">
      <selection activeCell="A10" sqref="A10:XFD17"/>
    </sheetView>
  </sheetViews>
  <sheetFormatPr defaultRowHeight="14.5" x14ac:dyDescent="0.35"/>
  <cols>
    <col min="1" max="1" width="8.7265625" style="6"/>
    <col min="2" max="2" width="9.90625" style="6" customWidth="1"/>
    <col min="3" max="3" width="8.7265625" style="6"/>
    <col min="4" max="4" width="13.90625" style="6" customWidth="1"/>
    <col min="5" max="5" width="19.453125" bestFit="1" customWidth="1"/>
    <col min="6" max="6" width="19" bestFit="1" customWidth="1"/>
    <col min="7" max="7" width="28.726562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47B20-8545-4D72-9710-A24757CD02A6}">
  <dimension ref="A1:AI21"/>
  <sheetViews>
    <sheetView tabSelected="1" zoomScale="55" zoomScaleNormal="55" workbookViewId="0"/>
  </sheetViews>
  <sheetFormatPr defaultRowHeight="14.5" x14ac:dyDescent="0.35"/>
  <cols>
    <col min="1" max="1" width="13.26953125" bestFit="1" customWidth="1"/>
    <col min="2" max="2" width="15" bestFit="1" customWidth="1"/>
    <col min="3" max="3" width="11.36328125" bestFit="1" customWidth="1"/>
    <col min="4" max="4" width="14.1796875" bestFit="1" customWidth="1"/>
    <col min="5" max="5" width="14.1796875" customWidth="1"/>
    <col min="7" max="7" width="10.7265625" bestFit="1" customWidth="1"/>
    <col min="8" max="8" width="14.1796875" bestFit="1" customWidth="1"/>
    <col min="9" max="9" width="26.08984375" bestFit="1" customWidth="1"/>
    <col min="10" max="10" width="14" customWidth="1"/>
    <col min="12" max="12" width="10.7265625" bestFit="1" customWidth="1"/>
    <col min="13" max="13" width="14.1796875" bestFit="1" customWidth="1"/>
    <col min="14" max="14" width="26.08984375" bestFit="1" customWidth="1"/>
    <col min="18" max="18" width="10.7265625" bestFit="1" customWidth="1"/>
    <col min="19" max="19" width="14" bestFit="1" customWidth="1"/>
    <col min="20" max="20" width="20.08984375" bestFit="1" customWidth="1"/>
    <col min="21" max="21" width="10.7265625" bestFit="1" customWidth="1"/>
    <col min="22" max="22" width="26.08984375" bestFit="1" customWidth="1"/>
    <col min="25" max="25" width="15.08984375" bestFit="1" customWidth="1"/>
    <col min="26" max="26" width="14.1796875" bestFit="1" customWidth="1"/>
    <col min="27" max="27" width="14.1796875" customWidth="1"/>
    <col min="29" max="29" width="12.453125" bestFit="1" customWidth="1"/>
    <col min="30" max="30" width="14.1796875" bestFit="1" customWidth="1"/>
    <col min="34" max="34" width="10.7265625" bestFit="1" customWidth="1"/>
    <col min="35" max="35" width="15.81640625" bestFit="1" customWidth="1"/>
  </cols>
  <sheetData>
    <row r="1" spans="1:35" x14ac:dyDescent="0.35">
      <c r="A1" t="s">
        <v>0</v>
      </c>
      <c r="B1" t="s">
        <v>1</v>
      </c>
      <c r="C1" t="s">
        <v>2</v>
      </c>
    </row>
    <row r="2" spans="1:35" x14ac:dyDescent="0.35">
      <c r="A2" s="3">
        <v>633192</v>
      </c>
      <c r="B2" s="3">
        <v>47969164700</v>
      </c>
      <c r="C2" s="3">
        <v>279492230</v>
      </c>
    </row>
    <row r="7" spans="1:35" ht="18.5" x14ac:dyDescent="0.35">
      <c r="C7" s="4" t="s">
        <v>20</v>
      </c>
      <c r="G7" s="4" t="s">
        <v>19</v>
      </c>
      <c r="L7" s="4" t="s">
        <v>21</v>
      </c>
      <c r="R7" s="4" t="s">
        <v>44</v>
      </c>
      <c r="U7" s="4" t="s">
        <v>45</v>
      </c>
      <c r="Y7" t="s">
        <v>41</v>
      </c>
      <c r="AC7" s="10" t="s">
        <v>40</v>
      </c>
      <c r="AH7" s="4" t="s">
        <v>46</v>
      </c>
    </row>
    <row r="8" spans="1:35" x14ac:dyDescent="0.35">
      <c r="C8" s="1" t="s">
        <v>16</v>
      </c>
      <c r="D8" t="s">
        <v>14</v>
      </c>
      <c r="G8" s="1" t="s">
        <v>15</v>
      </c>
      <c r="H8" t="s">
        <v>14</v>
      </c>
      <c r="I8" t="s">
        <v>18</v>
      </c>
      <c r="L8" s="1" t="s">
        <v>17</v>
      </c>
      <c r="M8" t="s">
        <v>14</v>
      </c>
      <c r="N8" t="s">
        <v>18</v>
      </c>
      <c r="R8" s="1" t="s">
        <v>42</v>
      </c>
      <c r="S8" t="s">
        <v>1</v>
      </c>
      <c r="U8" s="1" t="s">
        <v>42</v>
      </c>
      <c r="V8" t="s">
        <v>18</v>
      </c>
      <c r="Y8" s="1" t="s">
        <v>38</v>
      </c>
      <c r="Z8" t="s">
        <v>14</v>
      </c>
      <c r="AC8" s="1" t="s">
        <v>39</v>
      </c>
      <c r="AD8" t="s">
        <v>14</v>
      </c>
      <c r="AH8" s="1" t="s">
        <v>42</v>
      </c>
      <c r="AI8" t="s">
        <v>43</v>
      </c>
    </row>
    <row r="9" spans="1:35" x14ac:dyDescent="0.35">
      <c r="C9" s="2" t="s">
        <v>6</v>
      </c>
      <c r="D9" s="3">
        <v>6072297993</v>
      </c>
      <c r="E9" s="3"/>
      <c r="G9" s="2">
        <v>2023</v>
      </c>
      <c r="H9" s="3">
        <v>4413090832</v>
      </c>
      <c r="I9" s="3">
        <v>26784146</v>
      </c>
      <c r="L9" s="2">
        <v>1</v>
      </c>
      <c r="M9" s="3">
        <v>4065310026</v>
      </c>
      <c r="N9" s="3">
        <v>24905537</v>
      </c>
      <c r="R9" s="2" t="s">
        <v>29</v>
      </c>
      <c r="S9" s="3">
        <v>5623524340</v>
      </c>
      <c r="U9" s="2" t="s">
        <v>22</v>
      </c>
      <c r="V9" s="3">
        <v>34360655</v>
      </c>
      <c r="Y9" s="2" t="s">
        <v>35</v>
      </c>
      <c r="Z9" s="5">
        <v>0.25730902170577091</v>
      </c>
      <c r="AA9" s="5"/>
      <c r="AC9" s="2" t="s">
        <v>32</v>
      </c>
      <c r="AD9" s="5">
        <v>0.34618283432398395</v>
      </c>
      <c r="AH9" s="2" t="s">
        <v>29</v>
      </c>
      <c r="AI9" s="3">
        <v>73358</v>
      </c>
    </row>
    <row r="10" spans="1:35" x14ac:dyDescent="0.35">
      <c r="C10" s="2" t="s">
        <v>11</v>
      </c>
      <c r="D10" s="3">
        <v>5487964042</v>
      </c>
      <c r="E10" s="3"/>
      <c r="G10" s="2">
        <v>2015</v>
      </c>
      <c r="H10" s="3">
        <v>5786624353</v>
      </c>
      <c r="I10" s="3">
        <v>33687210</v>
      </c>
      <c r="L10" s="2">
        <v>2</v>
      </c>
      <c r="M10" s="3">
        <v>4684189861</v>
      </c>
      <c r="N10" s="3">
        <v>25368885</v>
      </c>
      <c r="R10" s="2" t="s">
        <v>25</v>
      </c>
      <c r="S10" s="3">
        <v>5342875307</v>
      </c>
      <c r="U10" s="2" t="s">
        <v>24</v>
      </c>
      <c r="V10" s="3">
        <v>30408487</v>
      </c>
      <c r="Y10" s="2" t="s">
        <v>32</v>
      </c>
      <c r="Z10" s="5">
        <v>0.25350786126988784</v>
      </c>
      <c r="AA10" s="5"/>
      <c r="AC10" s="2" t="s">
        <v>33</v>
      </c>
      <c r="AD10" s="5">
        <v>0.32877835742259653</v>
      </c>
      <c r="AH10" s="2" t="s">
        <v>22</v>
      </c>
      <c r="AI10" s="3">
        <v>70886</v>
      </c>
    </row>
    <row r="11" spans="1:35" x14ac:dyDescent="0.35">
      <c r="C11" s="2" t="s">
        <v>7</v>
      </c>
      <c r="D11" s="3">
        <v>5029553241</v>
      </c>
      <c r="E11" s="3"/>
      <c r="G11" s="2">
        <v>2016</v>
      </c>
      <c r="H11" s="3">
        <v>3983041996</v>
      </c>
      <c r="I11" s="3">
        <v>21380293</v>
      </c>
      <c r="L11" s="2">
        <v>3</v>
      </c>
      <c r="M11" s="3">
        <v>4006204301</v>
      </c>
      <c r="N11" s="3">
        <v>22181913</v>
      </c>
      <c r="R11" s="2" t="s">
        <v>22</v>
      </c>
      <c r="S11" s="3">
        <v>5281929125</v>
      </c>
      <c r="U11" s="2" t="s">
        <v>25</v>
      </c>
      <c r="V11" s="3">
        <v>30402994</v>
      </c>
      <c r="Y11" s="2" t="s">
        <v>36</v>
      </c>
      <c r="Z11" s="5">
        <v>0.24440683293782683</v>
      </c>
      <c r="AA11" s="5"/>
      <c r="AC11" s="2" t="s">
        <v>34</v>
      </c>
      <c r="AD11" s="5">
        <v>0.32503880825341952</v>
      </c>
      <c r="AH11" s="2" t="s">
        <v>25</v>
      </c>
      <c r="AI11" s="3">
        <v>69528</v>
      </c>
    </row>
    <row r="12" spans="1:35" x14ac:dyDescent="0.35">
      <c r="C12" s="2" t="s">
        <v>9</v>
      </c>
      <c r="D12" s="3">
        <v>4972431297</v>
      </c>
      <c r="E12" s="3"/>
      <c r="G12" s="2">
        <v>2017</v>
      </c>
      <c r="H12" s="3">
        <v>5421022991</v>
      </c>
      <c r="I12" s="3">
        <v>29982491</v>
      </c>
      <c r="L12" s="2">
        <v>4</v>
      </c>
      <c r="M12" s="3">
        <v>3232715845</v>
      </c>
      <c r="N12" s="3">
        <v>20813456</v>
      </c>
      <c r="R12" s="2" t="s">
        <v>30</v>
      </c>
      <c r="S12" s="3">
        <v>5027126143</v>
      </c>
      <c r="U12" s="2" t="s">
        <v>30</v>
      </c>
      <c r="V12" s="3">
        <v>30145846</v>
      </c>
      <c r="Y12" s="2" t="s">
        <v>37</v>
      </c>
      <c r="Z12" s="5">
        <v>0.24477628408651445</v>
      </c>
      <c r="AA12" s="5"/>
      <c r="AC12" s="2" t="s">
        <v>13</v>
      </c>
      <c r="AD12" s="5">
        <v>1</v>
      </c>
      <c r="AH12" s="2" t="s">
        <v>30</v>
      </c>
      <c r="AI12" s="3">
        <v>65505</v>
      </c>
    </row>
    <row r="13" spans="1:35" x14ac:dyDescent="0.35">
      <c r="C13" s="2" t="s">
        <v>4</v>
      </c>
      <c r="D13" s="3">
        <v>4959349000</v>
      </c>
      <c r="E13" s="3"/>
      <c r="G13" s="2">
        <v>2018</v>
      </c>
      <c r="H13" s="3">
        <v>4340167456</v>
      </c>
      <c r="I13" s="3">
        <v>28848190</v>
      </c>
      <c r="L13" s="2">
        <v>5</v>
      </c>
      <c r="M13" s="3">
        <v>3810963981</v>
      </c>
      <c r="N13" s="3">
        <v>20935986</v>
      </c>
      <c r="R13" s="2" t="s">
        <v>24</v>
      </c>
      <c r="S13" s="3">
        <v>4870343575</v>
      </c>
      <c r="U13" s="2" t="s">
        <v>29</v>
      </c>
      <c r="V13" s="3">
        <v>29004984</v>
      </c>
      <c r="Y13" s="2" t="s">
        <v>13</v>
      </c>
      <c r="Z13" s="5">
        <v>1</v>
      </c>
      <c r="AA13" s="5"/>
      <c r="AH13" s="2" t="s">
        <v>24</v>
      </c>
      <c r="AI13" s="3">
        <v>65071</v>
      </c>
    </row>
    <row r="14" spans="1:35" x14ac:dyDescent="0.35">
      <c r="C14" s="2" t="s">
        <v>3</v>
      </c>
      <c r="D14" s="3">
        <v>4549509804</v>
      </c>
      <c r="E14" s="3"/>
      <c r="G14" s="2">
        <v>2019</v>
      </c>
      <c r="H14" s="3">
        <v>5087502384</v>
      </c>
      <c r="I14" s="3">
        <v>28009015</v>
      </c>
      <c r="L14" s="2">
        <v>6</v>
      </c>
      <c r="M14" s="3">
        <v>3725937823</v>
      </c>
      <c r="N14" s="3">
        <v>22478356</v>
      </c>
      <c r="R14" s="2" t="s">
        <v>26</v>
      </c>
      <c r="S14" s="3">
        <v>4784153567</v>
      </c>
      <c r="U14" s="2" t="s">
        <v>28</v>
      </c>
      <c r="V14" s="3">
        <v>27423094</v>
      </c>
      <c r="AH14" s="2" t="s">
        <v>26</v>
      </c>
      <c r="AI14" s="3">
        <v>63974</v>
      </c>
    </row>
    <row r="15" spans="1:35" x14ac:dyDescent="0.35">
      <c r="C15" s="2" t="s">
        <v>8</v>
      </c>
      <c r="D15" s="3">
        <v>4493222982</v>
      </c>
      <c r="E15" s="3"/>
      <c r="G15" s="2">
        <v>2020</v>
      </c>
      <c r="H15" s="3">
        <v>4643344835</v>
      </c>
      <c r="I15" s="3">
        <v>26846112</v>
      </c>
      <c r="L15" s="2">
        <v>7</v>
      </c>
      <c r="M15" s="3">
        <v>3768232131</v>
      </c>
      <c r="N15" s="3">
        <v>22652249</v>
      </c>
      <c r="R15" s="2" t="s">
        <v>28</v>
      </c>
      <c r="S15" s="3">
        <v>4681234375</v>
      </c>
      <c r="U15" s="2" t="s">
        <v>26</v>
      </c>
      <c r="V15" s="3">
        <v>27287325</v>
      </c>
      <c r="AH15" s="2" t="s">
        <v>28</v>
      </c>
      <c r="AI15" s="3">
        <v>61341</v>
      </c>
    </row>
    <row r="16" spans="1:35" x14ac:dyDescent="0.35">
      <c r="C16" s="2" t="s">
        <v>12</v>
      </c>
      <c r="D16" s="3">
        <v>4160873752</v>
      </c>
      <c r="E16" s="3"/>
      <c r="G16" s="2">
        <v>2021</v>
      </c>
      <c r="H16" s="3">
        <v>4556304930</v>
      </c>
      <c r="I16" s="3">
        <v>24563472</v>
      </c>
      <c r="L16" s="2">
        <v>8</v>
      </c>
      <c r="M16" s="3">
        <v>3957569919</v>
      </c>
      <c r="N16" s="3">
        <v>22545351</v>
      </c>
      <c r="R16" s="2" t="s">
        <v>23</v>
      </c>
      <c r="S16" s="3">
        <v>4276025156</v>
      </c>
      <c r="U16" s="2" t="s">
        <v>31</v>
      </c>
      <c r="V16" s="3">
        <v>25803665</v>
      </c>
      <c r="AH16" s="2" t="s">
        <v>23</v>
      </c>
      <c r="AI16" s="3">
        <v>59144</v>
      </c>
    </row>
    <row r="17" spans="3:35" x14ac:dyDescent="0.35">
      <c r="C17" s="2" t="s">
        <v>10</v>
      </c>
      <c r="D17" s="3">
        <v>4143581597</v>
      </c>
      <c r="E17" s="3"/>
      <c r="G17" s="2">
        <v>2022</v>
      </c>
      <c r="H17" s="3">
        <v>4581617494</v>
      </c>
      <c r="I17" s="3">
        <v>28138507</v>
      </c>
      <c r="L17" s="2">
        <v>9</v>
      </c>
      <c r="M17" s="3">
        <v>3789035976</v>
      </c>
      <c r="N17" s="3">
        <v>24552155</v>
      </c>
      <c r="R17" s="2" t="s">
        <v>31</v>
      </c>
      <c r="S17" s="3">
        <v>4233204181</v>
      </c>
      <c r="U17" s="2" t="s">
        <v>23</v>
      </c>
      <c r="V17" s="3">
        <v>23986122</v>
      </c>
      <c r="AH17" s="2" t="s">
        <v>31</v>
      </c>
      <c r="AI17" s="3">
        <v>53318</v>
      </c>
    </row>
    <row r="18" spans="3:35" x14ac:dyDescent="0.35">
      <c r="C18" s="2" t="s">
        <v>5</v>
      </c>
      <c r="D18" s="3">
        <v>4100380992</v>
      </c>
      <c r="E18" s="3"/>
      <c r="G18" s="2">
        <v>2024</v>
      </c>
      <c r="H18" s="3">
        <v>5156447429</v>
      </c>
      <c r="I18" s="3">
        <v>31252794</v>
      </c>
      <c r="L18" s="2">
        <v>10</v>
      </c>
      <c r="M18" s="3">
        <v>3790909015</v>
      </c>
      <c r="N18" s="3">
        <v>24880670</v>
      </c>
      <c r="R18" s="2" t="s">
        <v>27</v>
      </c>
      <c r="S18" s="3">
        <v>3848748931</v>
      </c>
      <c r="U18" s="2" t="s">
        <v>27</v>
      </c>
      <c r="V18" s="3">
        <v>20669058</v>
      </c>
      <c r="AH18" s="2" t="s">
        <v>27</v>
      </c>
      <c r="AI18" s="3">
        <v>51067</v>
      </c>
    </row>
    <row r="19" spans="3:35" x14ac:dyDescent="0.35">
      <c r="C19" s="2" t="s">
        <v>13</v>
      </c>
      <c r="D19" s="7">
        <v>47969164700</v>
      </c>
      <c r="E19" s="7"/>
      <c r="G19" s="2" t="s">
        <v>13</v>
      </c>
      <c r="H19" s="7">
        <v>47969164700</v>
      </c>
      <c r="I19" s="7">
        <v>279492230</v>
      </c>
      <c r="L19" s="2">
        <v>11</v>
      </c>
      <c r="M19" s="3">
        <v>4322497379</v>
      </c>
      <c r="N19" s="3">
        <v>23117935</v>
      </c>
      <c r="R19" s="2" t="s">
        <v>13</v>
      </c>
      <c r="S19" s="7">
        <v>47969164700</v>
      </c>
      <c r="U19" s="2" t="s">
        <v>13</v>
      </c>
      <c r="V19" s="7">
        <v>279492230</v>
      </c>
      <c r="AH19" s="2" t="s">
        <v>13</v>
      </c>
      <c r="AI19" s="7">
        <v>633192</v>
      </c>
    </row>
    <row r="20" spans="3:35" x14ac:dyDescent="0.35">
      <c r="L20" s="2">
        <v>12</v>
      </c>
      <c r="M20" s="3">
        <v>4815598443</v>
      </c>
      <c r="N20" s="3">
        <v>25059737</v>
      </c>
    </row>
    <row r="21" spans="3:35" x14ac:dyDescent="0.35">
      <c r="L21" s="2" t="s">
        <v>13</v>
      </c>
      <c r="M21" s="7">
        <v>47969164700</v>
      </c>
      <c r="N21" s="7">
        <v>279492230</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104E2-0007-4C74-A01E-DC5CBF99DE05}">
  <dimension ref="A2:AI44"/>
  <sheetViews>
    <sheetView view="pageBreakPreview" zoomScale="40" zoomScaleNormal="25" zoomScaleSheetLayoutView="40" workbookViewId="0">
      <selection activeCell="AJ41" sqref="AJ41"/>
    </sheetView>
  </sheetViews>
  <sheetFormatPr defaultRowHeight="10.5" x14ac:dyDescent="0.25"/>
  <cols>
    <col min="1" max="2" width="8.7265625" style="8"/>
    <col min="3" max="3" width="9.90625" style="8" customWidth="1"/>
    <col min="4" max="5" width="8.7265625" style="8"/>
    <col min="6" max="6" width="9.453125" style="8" customWidth="1"/>
    <col min="7" max="7" width="8.7265625" style="8" customWidth="1"/>
    <col min="8" max="8" width="19.453125" style="8" bestFit="1" customWidth="1"/>
    <col min="9" max="9" width="19" style="8" bestFit="1" customWidth="1"/>
    <col min="10" max="10" width="28.7265625" style="8" bestFit="1" customWidth="1"/>
    <col min="11" max="33" width="8.7265625" style="8"/>
    <col min="34" max="34" width="8.7265625" style="8" customWidth="1"/>
    <col min="35" max="35" width="5.08984375" style="8" customWidth="1"/>
    <col min="36" max="16384" width="8.7265625" style="9"/>
  </cols>
  <sheetData>
    <row r="2" ht="36" customHeight="1" x14ac:dyDescent="0.25"/>
    <row r="11" ht="28.5" customHeight="1" x14ac:dyDescent="0.25"/>
    <row r="39" ht="21" customHeight="1" x14ac:dyDescent="0.25"/>
    <row r="40" ht="17" customHeight="1" x14ac:dyDescent="0.25"/>
    <row r="41" ht="25.5" customHeight="1" x14ac:dyDescent="0.25"/>
    <row r="42" ht="21" customHeight="1" x14ac:dyDescent="0.25"/>
    <row r="43" ht="17" customHeight="1" x14ac:dyDescent="0.25"/>
    <row r="44" ht="25.5" customHeight="1" x14ac:dyDescent="0.25"/>
  </sheetData>
  <pageMargins left="0.7" right="0.7" top="0.75" bottom="0.75" header="0.3" footer="0.3"/>
  <pageSetup scale="25" orientation="landscape"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DD66584A-B6AE-4121-A076-EC3942D79B38}">
  <ds:schemaRefs/>
</ds:datastoreItem>
</file>

<file path=customXml/itemProps2.xml><?xml version="1.0" encoding="utf-8"?>
<ds:datastoreItem xmlns:ds="http://schemas.openxmlformats.org/officeDocument/2006/customXml" ds:itemID="{DD591A81-703F-4F89-A362-D5F43D6AA4E3}">
  <ds:schemaRefs/>
</ds:datastoreItem>
</file>

<file path=customXml/itemProps3.xml><?xml version="1.0" encoding="utf-8"?>
<ds:datastoreItem xmlns:ds="http://schemas.openxmlformats.org/officeDocument/2006/customXml" ds:itemID="{FE7F4614-442A-4701-9202-984F0A00AA8C}">
  <ds:schemaRefs/>
</ds:datastoreItem>
</file>

<file path=customXml/itemProps4.xml><?xml version="1.0" encoding="utf-8"?>
<ds:datastoreItem xmlns:ds="http://schemas.openxmlformats.org/officeDocument/2006/customXml" ds:itemID="{0ABFB074-E4DC-40B9-91ED-8FE5F00B88F1}">
  <ds:schemaRefs/>
</ds:datastoreItem>
</file>

<file path=customXml/itemProps5.xml><?xml version="1.0" encoding="utf-8"?>
<ds:datastoreItem xmlns:ds="http://schemas.openxmlformats.org/officeDocument/2006/customXml" ds:itemID="{79EF588D-F624-4EAF-8EAA-471FD1B3FFF1}">
  <ds:schemaRefs/>
</ds:datastoreItem>
</file>

<file path=customXml/itemProps6.xml><?xml version="1.0" encoding="utf-8"?>
<ds:datastoreItem xmlns:ds="http://schemas.openxmlformats.org/officeDocument/2006/customXml" ds:itemID="{78A32230-6A29-4E30-BD60-5B28421A2C9D}">
  <ds:schemaRefs/>
</ds:datastoreItem>
</file>

<file path=customXml/itemProps7.xml><?xml version="1.0" encoding="utf-8"?>
<ds:datastoreItem xmlns:ds="http://schemas.openxmlformats.org/officeDocument/2006/customXml" ds:itemID="{C46BE393-A28E-4BA5-85E1-2722B098C388}">
  <ds:schemaRefs/>
</ds:datastoreItem>
</file>

<file path=customXml/itemProps8.xml><?xml version="1.0" encoding="utf-8"?>
<ds:datastoreItem xmlns:ds="http://schemas.openxmlformats.org/officeDocument/2006/customXml" ds:itemID="{3272892D-92D4-4F92-8282-BB55B923F271}">
  <ds:schemaRefs/>
</ds:datastoreItem>
</file>

<file path=customXml/itemProps9.xml><?xml version="1.0" encoding="utf-8"?>
<ds:datastoreItem xmlns:ds="http://schemas.openxmlformats.org/officeDocument/2006/customXml" ds:itemID="{5CC0BE65-91FC-48DB-A2D7-AEAD65A16511}">
  <ds:schemaRefs/>
</ds:datastoreItem>
</file>

<file path=customXml/itemProps10.xml><?xml version="1.0" encoding="utf-8"?>
<ds:datastoreItem xmlns:ds="http://schemas.openxmlformats.org/officeDocument/2006/customXml" ds:itemID="{DFF8EF46-F4EC-48D0-B493-A55A1C2ECED3}">
  <ds:schemaRefs/>
</ds:datastoreItem>
</file>

<file path=customXml/itemProps11.xml><?xml version="1.0" encoding="utf-8"?>
<ds:datastoreItem xmlns:ds="http://schemas.openxmlformats.org/officeDocument/2006/customXml" ds:itemID="{1935AA7E-79E2-4508-9318-153E5BEF8E6B}">
  <ds:schemaRefs/>
</ds:datastoreItem>
</file>

<file path=customXml/itemProps12.xml><?xml version="1.0" encoding="utf-8"?>
<ds:datastoreItem xmlns:ds="http://schemas.openxmlformats.org/officeDocument/2006/customXml" ds:itemID="{5A598D4F-7826-467F-83CC-39DE643E6A75}">
  <ds:schemaRefs/>
</ds:datastoreItem>
</file>

<file path=customXml/itemProps13.xml><?xml version="1.0" encoding="utf-8"?>
<ds:datastoreItem xmlns:ds="http://schemas.openxmlformats.org/officeDocument/2006/customXml" ds:itemID="{6742826D-778E-43B8-ABA1-61B4F2A661A7}">
  <ds:schemaRefs/>
</ds:datastoreItem>
</file>

<file path=customXml/itemProps14.xml><?xml version="1.0" encoding="utf-8"?>
<ds:datastoreItem xmlns:ds="http://schemas.openxmlformats.org/officeDocument/2006/customXml" ds:itemID="{011FDE90-5D54-49F0-9359-B01379EA0321}">
  <ds:schemaRefs/>
</ds:datastoreItem>
</file>

<file path=customXml/itemProps15.xml><?xml version="1.0" encoding="utf-8"?>
<ds:datastoreItem xmlns:ds="http://schemas.openxmlformats.org/officeDocument/2006/customXml" ds:itemID="{7E45FDBA-68EB-470A-9BF1-4A190C616784}">
  <ds:schemaRefs>
    <ds:schemaRef ds:uri="http://schemas.microsoft.com/DataMashup"/>
  </ds:schemaRefs>
</ds:datastoreItem>
</file>

<file path=customXml/itemProps16.xml><?xml version="1.0" encoding="utf-8"?>
<ds:datastoreItem xmlns:ds="http://schemas.openxmlformats.org/officeDocument/2006/customXml" ds:itemID="{BF1B441D-E4C9-4DD3-9ED9-1C2226A58B59}">
  <ds:schemaRefs/>
</ds:datastoreItem>
</file>

<file path=customXml/itemProps17.xml><?xml version="1.0" encoding="utf-8"?>
<ds:datastoreItem xmlns:ds="http://schemas.openxmlformats.org/officeDocument/2006/customXml" ds:itemID="{60DF8C69-017E-4F7C-BB5D-2CE68D44C009}">
  <ds:schemaRefs/>
</ds:datastoreItem>
</file>

<file path=customXml/itemProps18.xml><?xml version="1.0" encoding="utf-8"?>
<ds:datastoreItem xmlns:ds="http://schemas.openxmlformats.org/officeDocument/2006/customXml" ds:itemID="{4DF00B9C-8D7F-4064-8D1C-7C2220FD0690}">
  <ds:schemaRefs/>
</ds:datastoreItem>
</file>

<file path=customXml/itemProps19.xml><?xml version="1.0" encoding="utf-8"?>
<ds:datastoreItem xmlns:ds="http://schemas.openxmlformats.org/officeDocument/2006/customXml" ds:itemID="{CFCF76B4-A29B-4A2F-9C73-ECC79C6AAA13}">
  <ds:schemaRefs/>
</ds:datastoreItem>
</file>

<file path=customXml/itemProps20.xml><?xml version="1.0" encoding="utf-8"?>
<ds:datastoreItem xmlns:ds="http://schemas.openxmlformats.org/officeDocument/2006/customXml" ds:itemID="{9FD5786E-9DF3-4C67-A5F4-30E407DD2315}">
  <ds:schemaRefs/>
</ds:datastoreItem>
</file>

<file path=customXml/itemProps21.xml><?xml version="1.0" encoding="utf-8"?>
<ds:datastoreItem xmlns:ds="http://schemas.openxmlformats.org/officeDocument/2006/customXml" ds:itemID="{639B9F63-2D6A-4101-98E7-13D39EEFCBF2}">
  <ds:schemaRefs/>
</ds:datastoreItem>
</file>

<file path=customXml/itemProps22.xml><?xml version="1.0" encoding="utf-8"?>
<ds:datastoreItem xmlns:ds="http://schemas.openxmlformats.org/officeDocument/2006/customXml" ds:itemID="{564A70B6-2687-4FD5-A61B-1C1D2AFD90A8}">
  <ds:schemaRefs/>
</ds:datastoreItem>
</file>

<file path=customXml/itemProps23.xml><?xml version="1.0" encoding="utf-8"?>
<ds:datastoreItem xmlns:ds="http://schemas.openxmlformats.org/officeDocument/2006/customXml" ds:itemID="{83BED276-C1D8-412B-921A-1A3692FDDD81}">
  <ds:schemaRefs/>
</ds:datastoreItem>
</file>

<file path=customXml/itemProps24.xml><?xml version="1.0" encoding="utf-8"?>
<ds:datastoreItem xmlns:ds="http://schemas.openxmlformats.org/officeDocument/2006/customXml" ds:itemID="{83C89E13-17C5-41AA-AB6F-6ECEB46C2837}">
  <ds:schemaRefs/>
</ds:datastoreItem>
</file>

<file path=customXml/itemProps25.xml><?xml version="1.0" encoding="utf-8"?>
<ds:datastoreItem xmlns:ds="http://schemas.openxmlformats.org/officeDocument/2006/customXml" ds:itemID="{7003929C-F883-45C5-A999-0C3F5D6AD9AC}">
  <ds:schemaRefs/>
</ds:datastoreItem>
</file>

<file path=customXml/itemProps26.xml><?xml version="1.0" encoding="utf-8"?>
<ds:datastoreItem xmlns:ds="http://schemas.openxmlformats.org/officeDocument/2006/customXml" ds:itemID="{0EF4B55F-6EBA-4D67-AD3F-3433372A2048}">
  <ds:schemaRefs/>
</ds:datastoreItem>
</file>

<file path=customXml/itemProps27.xml><?xml version="1.0" encoding="utf-8"?>
<ds:datastoreItem xmlns:ds="http://schemas.openxmlformats.org/officeDocument/2006/customXml" ds:itemID="{0F54C37E-FD3A-47DB-B1ED-7189E4545A3C}">
  <ds:schemaRefs/>
</ds:datastoreItem>
</file>

<file path=customXml/itemProps28.xml><?xml version="1.0" encoding="utf-8"?>
<ds:datastoreItem xmlns:ds="http://schemas.openxmlformats.org/officeDocument/2006/customXml" ds:itemID="{31A0515D-01EC-4A6D-8375-91F85F81FF25}">
  <ds:schemaRefs/>
</ds:datastoreItem>
</file>

<file path=customXml/itemProps29.xml><?xml version="1.0" encoding="utf-8"?>
<ds:datastoreItem xmlns:ds="http://schemas.openxmlformats.org/officeDocument/2006/customXml" ds:itemID="{C577E027-C78D-4390-971B-6455A0641A6A}">
  <ds:schemaRefs/>
</ds:datastoreItem>
</file>

<file path=customXml/itemProps30.xml><?xml version="1.0" encoding="utf-8"?>
<ds:datastoreItem xmlns:ds="http://schemas.openxmlformats.org/officeDocument/2006/customXml" ds:itemID="{73896A70-CEE7-4FBC-B788-C7AD13211F7F}">
  <ds:schemaRefs/>
</ds:datastoreItem>
</file>

<file path=customXml/itemProps31.xml><?xml version="1.0" encoding="utf-8"?>
<ds:datastoreItem xmlns:ds="http://schemas.openxmlformats.org/officeDocument/2006/customXml" ds:itemID="{1A71DAD4-123B-4C2F-8268-F184DF10BD09}">
  <ds:schemaRefs/>
</ds:datastoreItem>
</file>

<file path=customXml/itemProps32.xml><?xml version="1.0" encoding="utf-8"?>
<ds:datastoreItem xmlns:ds="http://schemas.openxmlformats.org/officeDocument/2006/customXml" ds:itemID="{592C1F7A-3583-463F-A87E-0106A6FC37BB}">
  <ds:schemaRefs/>
</ds:datastoreItem>
</file>

<file path=customXml/itemProps33.xml><?xml version="1.0" encoding="utf-8"?>
<ds:datastoreItem xmlns:ds="http://schemas.openxmlformats.org/officeDocument/2006/customXml" ds:itemID="{CD9932DD-36FE-4896-9C7E-C0092863C7D0}">
  <ds:schemaRefs/>
</ds:datastoreItem>
</file>

<file path=customXml/itemProps34.xml><?xml version="1.0" encoding="utf-8"?>
<ds:datastoreItem xmlns:ds="http://schemas.openxmlformats.org/officeDocument/2006/customXml" ds:itemID="{4B7FD50D-BECD-412B-A871-6056189D7B21}">
  <ds:schemaRefs/>
</ds:datastoreItem>
</file>

<file path=customXml/itemProps35.xml><?xml version="1.0" encoding="utf-8"?>
<ds:datastoreItem xmlns:ds="http://schemas.openxmlformats.org/officeDocument/2006/customXml" ds:itemID="{593FC8C2-EE18-4A75-AA8C-0E5459A359E5}">
  <ds:schemaRefs/>
</ds:datastoreItem>
</file>

<file path=customXml/itemProps36.xml><?xml version="1.0" encoding="utf-8"?>
<ds:datastoreItem xmlns:ds="http://schemas.openxmlformats.org/officeDocument/2006/customXml" ds:itemID="{E9593FB3-AA73-42AE-B314-284927179FA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 (2)</vt:lpstr>
      <vt:lpstr>Pivot</vt:lpstr>
      <vt:lpstr>dashboard</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marina nagy</dc:creator>
  <cp:lastModifiedBy>marina nagy</cp:lastModifiedBy>
  <cp:lastPrinted>2026-05-16T17:28:53Z</cp:lastPrinted>
  <dcterms:created xsi:type="dcterms:W3CDTF">2026-05-16T13:10:29Z</dcterms:created>
  <dcterms:modified xsi:type="dcterms:W3CDTF">2026-05-16T19:18:42Z</dcterms:modified>
</cp:coreProperties>
</file>