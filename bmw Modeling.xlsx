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cai\data analysis - depi\tec\project\marina v1\"/>
    </mc:Choice>
  </mc:AlternateContent>
  <xr:revisionPtr revIDLastSave="0" documentId="13_ncr:1_{F3979EBA-2A64-41D8-8A88-57DB4699F333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fact (2)" sheetId="5" state="hidden" r:id="rId1"/>
    <sheet name="fact" sheetId="3" r:id="rId2"/>
    <sheet name="date" sheetId="7" r:id="rId3"/>
    <sheet name="country" sheetId="6" r:id="rId4"/>
    <sheet name="Car_description" sheetId="1" r:id="rId5"/>
    <sheet name="dataset" sheetId="2" state="hidden" r:id="rId6"/>
    <sheet name="Sheet1" sheetId="8" state="hidden" r:id="rId7"/>
  </sheets>
  <definedNames>
    <definedName name="ExternalData_1" localSheetId="5" hidden="1">dataset!$A$1:$O$1001</definedName>
    <definedName name="ExternalData_1" localSheetId="1" hidden="1">fact!$B$1:$J$1001</definedName>
    <definedName name="ExternalData_1" localSheetId="0" hidden="1">'fact (2)'!$B$1:$N$1001</definedName>
    <definedName name="ExternalData_1" localSheetId="6" hidden="1">Sheet1!$A$1:$N$1001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10" i="2" l="1"/>
  <c r="N313" i="2"/>
  <c r="N704" i="2"/>
  <c r="N407" i="2"/>
  <c r="N611" i="2"/>
  <c r="N895" i="2"/>
  <c r="N203" i="2"/>
  <c r="N612" i="2"/>
  <c r="N705" i="2"/>
  <c r="N408" i="2"/>
  <c r="N314" i="2"/>
  <c r="N706" i="2"/>
  <c r="N707" i="2"/>
  <c r="N204" i="2"/>
  <c r="N514" i="2"/>
  <c r="N409" i="2"/>
  <c r="N120" i="2"/>
  <c r="N708" i="2"/>
  <c r="N515" i="2"/>
  <c r="N121" i="2"/>
  <c r="N410" i="2"/>
  <c r="N2" i="2"/>
  <c r="N896" i="2"/>
  <c r="N516" i="2"/>
  <c r="N804" i="2"/>
  <c r="N3" i="2"/>
  <c r="N897" i="2"/>
  <c r="N205" i="2"/>
  <c r="N613" i="2"/>
  <c r="N315" i="2"/>
  <c r="N805" i="2"/>
  <c r="N206" i="2"/>
  <c r="N411" i="2"/>
  <c r="N207" i="2"/>
  <c r="N614" i="2"/>
  <c r="N412" i="2"/>
  <c r="N806" i="2"/>
  <c r="N615" i="2"/>
  <c r="N122" i="2"/>
  <c r="N316" i="2"/>
  <c r="N807" i="2"/>
  <c r="N123" i="2"/>
  <c r="N898" i="2"/>
  <c r="N808" i="2"/>
  <c r="N899" i="2"/>
  <c r="N413" i="2"/>
  <c r="N124" i="2"/>
  <c r="N317" i="2"/>
  <c r="N616" i="2"/>
  <c r="N709" i="2"/>
  <c r="N208" i="2"/>
  <c r="N4" i="2"/>
  <c r="N318" i="2"/>
  <c r="N125" i="2"/>
  <c r="N710" i="2"/>
  <c r="N319" i="2"/>
  <c r="N126" i="2"/>
  <c r="N517" i="2"/>
  <c r="N518" i="2"/>
  <c r="N900" i="2"/>
  <c r="N320" i="2"/>
  <c r="N519" i="2"/>
  <c r="N127" i="2"/>
  <c r="N901" i="2"/>
  <c r="N128" i="2"/>
  <c r="N902" i="2"/>
  <c r="N321" i="2"/>
  <c r="N711" i="2"/>
  <c r="N617" i="2"/>
  <c r="N809" i="2"/>
  <c r="N712" i="2"/>
  <c r="N414" i="2"/>
  <c r="N129" i="2"/>
  <c r="N415" i="2"/>
  <c r="N713" i="2"/>
  <c r="N903" i="2"/>
  <c r="N810" i="2"/>
  <c r="N811" i="2"/>
  <c r="N5" i="2"/>
  <c r="N812" i="2"/>
  <c r="N618" i="2"/>
  <c r="N813" i="2"/>
  <c r="N714" i="2"/>
  <c r="N6" i="2"/>
  <c r="N715" i="2"/>
  <c r="N716" i="2"/>
  <c r="N209" i="2"/>
  <c r="N7" i="2"/>
  <c r="N717" i="2"/>
  <c r="N210" i="2"/>
  <c r="N211" i="2"/>
  <c r="N8" i="2"/>
  <c r="N416" i="2"/>
  <c r="N904" i="2"/>
  <c r="N619" i="2"/>
  <c r="N905" i="2"/>
  <c r="N814" i="2"/>
  <c r="N620" i="2"/>
  <c r="N815" i="2"/>
  <c r="N718" i="2"/>
  <c r="N130" i="2"/>
  <c r="N9" i="2"/>
  <c r="N621" i="2"/>
  <c r="N622" i="2"/>
  <c r="N719" i="2"/>
  <c r="N417" i="2"/>
  <c r="N212" i="2"/>
  <c r="N720" i="2"/>
  <c r="N520" i="2"/>
  <c r="N213" i="2"/>
  <c r="N10" i="2"/>
  <c r="N214" i="2"/>
  <c r="N418" i="2"/>
  <c r="N215" i="2"/>
  <c r="N11" i="2"/>
  <c r="N419" i="2"/>
  <c r="N906" i="2"/>
  <c r="N623" i="2"/>
  <c r="N624" i="2"/>
  <c r="N816" i="2"/>
  <c r="N907" i="2"/>
  <c r="N908" i="2"/>
  <c r="N216" i="2"/>
  <c r="N625" i="2"/>
  <c r="N12" i="2"/>
  <c r="N322" i="2"/>
  <c r="N323" i="2"/>
  <c r="N420" i="2"/>
  <c r="N626" i="2"/>
  <c r="N627" i="2"/>
  <c r="N324" i="2"/>
  <c r="N628" i="2"/>
  <c r="N217" i="2"/>
  <c r="N521" i="2"/>
  <c r="N131" i="2"/>
  <c r="N909" i="2"/>
  <c r="N817" i="2"/>
  <c r="N421" i="2"/>
  <c r="N522" i="2"/>
  <c r="N325" i="2"/>
  <c r="N910" i="2"/>
  <c r="N629" i="2"/>
  <c r="N818" i="2"/>
  <c r="N630" i="2"/>
  <c r="N13" i="2"/>
  <c r="N14" i="2"/>
  <c r="N819" i="2"/>
  <c r="N820" i="2"/>
  <c r="N326" i="2"/>
  <c r="N821" i="2"/>
  <c r="N218" i="2"/>
  <c r="N631" i="2"/>
  <c r="N523" i="2"/>
  <c r="N721" i="2"/>
  <c r="N822" i="2"/>
  <c r="N422" i="2"/>
  <c r="N15" i="2"/>
  <c r="N219" i="2"/>
  <c r="N911" i="2"/>
  <c r="N722" i="2"/>
  <c r="N524" i="2"/>
  <c r="N723" i="2"/>
  <c r="N823" i="2"/>
  <c r="N327" i="2"/>
  <c r="N16" i="2"/>
  <c r="N17" i="2"/>
  <c r="N912" i="2"/>
  <c r="N328" i="2"/>
  <c r="N632" i="2"/>
  <c r="N132" i="2"/>
  <c r="N220" i="2"/>
  <c r="N18" i="2"/>
  <c r="N423" i="2"/>
  <c r="N19" i="2"/>
  <c r="N724" i="2"/>
  <c r="N20" i="2"/>
  <c r="N21" i="2"/>
  <c r="N133" i="2"/>
  <c r="N134" i="2"/>
  <c r="N525" i="2"/>
  <c r="N633" i="2"/>
  <c r="N424" i="2"/>
  <c r="N22" i="2"/>
  <c r="N23" i="2"/>
  <c r="N221" i="2"/>
  <c r="N135" i="2"/>
  <c r="N425" i="2"/>
  <c r="N913" i="2"/>
  <c r="N526" i="2"/>
  <c r="N634" i="2"/>
  <c r="N329" i="2"/>
  <c r="N635" i="2"/>
  <c r="N725" i="2"/>
  <c r="N24" i="2"/>
  <c r="N527" i="2"/>
  <c r="N726" i="2"/>
  <c r="N426" i="2"/>
  <c r="N330" i="2"/>
  <c r="N136" i="2"/>
  <c r="N528" i="2"/>
  <c r="N529" i="2"/>
  <c r="N25" i="2"/>
  <c r="N824" i="2"/>
  <c r="N530" i="2"/>
  <c r="N222" i="2"/>
  <c r="N331" i="2"/>
  <c r="N332" i="2"/>
  <c r="N223" i="2"/>
  <c r="N914" i="2"/>
  <c r="N224" i="2"/>
  <c r="N225" i="2"/>
  <c r="N333" i="2"/>
  <c r="N636" i="2"/>
  <c r="N334" i="2"/>
  <c r="N825" i="2"/>
  <c r="N26" i="2"/>
  <c r="N727" i="2"/>
  <c r="N637" i="2"/>
  <c r="N137" i="2"/>
  <c r="N728" i="2"/>
  <c r="N27" i="2"/>
  <c r="N826" i="2"/>
  <c r="N827" i="2"/>
  <c r="N138" i="2"/>
  <c r="N638" i="2"/>
  <c r="N915" i="2"/>
  <c r="N226" i="2"/>
  <c r="N639" i="2"/>
  <c r="N916" i="2"/>
  <c r="N828" i="2"/>
  <c r="N335" i="2"/>
  <c r="N28" i="2"/>
  <c r="N139" i="2"/>
  <c r="N29" i="2"/>
  <c r="N427" i="2"/>
  <c r="N428" i="2"/>
  <c r="N640" i="2"/>
  <c r="N829" i="2"/>
  <c r="N830" i="2"/>
  <c r="N227" i="2"/>
  <c r="N228" i="2"/>
  <c r="N229" i="2"/>
  <c r="N336" i="2"/>
  <c r="N729" i="2"/>
  <c r="N531" i="2"/>
  <c r="N730" i="2"/>
  <c r="N30" i="2"/>
  <c r="N731" i="2"/>
  <c r="N337" i="2"/>
  <c r="N31" i="2"/>
  <c r="N732" i="2"/>
  <c r="N338" i="2"/>
  <c r="N532" i="2"/>
  <c r="N733" i="2"/>
  <c r="N339" i="2"/>
  <c r="N230" i="2"/>
  <c r="N831" i="2"/>
  <c r="N231" i="2"/>
  <c r="N832" i="2"/>
  <c r="N140" i="2"/>
  <c r="N141" i="2"/>
  <c r="N142" i="2"/>
  <c r="N533" i="2"/>
  <c r="N232" i="2"/>
  <c r="N833" i="2"/>
  <c r="N340" i="2"/>
  <c r="N32" i="2"/>
  <c r="N341" i="2"/>
  <c r="N33" i="2"/>
  <c r="N429" i="2"/>
  <c r="N342" i="2"/>
  <c r="N734" i="2"/>
  <c r="N735" i="2"/>
  <c r="N641" i="2"/>
  <c r="N233" i="2"/>
  <c r="N34" i="2"/>
  <c r="N35" i="2"/>
  <c r="N234" i="2"/>
  <c r="N534" i="2"/>
  <c r="N642" i="2"/>
  <c r="N535" i="2"/>
  <c r="N536" i="2"/>
  <c r="N537" i="2"/>
  <c r="N235" i="2"/>
  <c r="N538" i="2"/>
  <c r="N736" i="2"/>
  <c r="N143" i="2"/>
  <c r="N430" i="2"/>
  <c r="N36" i="2"/>
  <c r="N37" i="2"/>
  <c r="N431" i="2"/>
  <c r="N236" i="2"/>
  <c r="N343" i="2"/>
  <c r="N237" i="2"/>
  <c r="N38" i="2"/>
  <c r="N39" i="2"/>
  <c r="N432" i="2"/>
  <c r="N539" i="2"/>
  <c r="N238" i="2"/>
  <c r="N834" i="2"/>
  <c r="N433" i="2"/>
  <c r="N737" i="2"/>
  <c r="N40" i="2"/>
  <c r="N434" i="2"/>
  <c r="N239" i="2"/>
  <c r="N41" i="2"/>
  <c r="N344" i="2"/>
  <c r="N435" i="2"/>
  <c r="N643" i="2"/>
  <c r="N42" i="2"/>
  <c r="N240" i="2"/>
  <c r="N144" i="2"/>
  <c r="N835" i="2"/>
  <c r="N917" i="2"/>
  <c r="N540" i="2"/>
  <c r="N918" i="2"/>
  <c r="N241" i="2"/>
  <c r="N738" i="2"/>
  <c r="N739" i="2"/>
  <c r="N145" i="2"/>
  <c r="N541" i="2"/>
  <c r="N644" i="2"/>
  <c r="N146" i="2"/>
  <c r="N919" i="2"/>
  <c r="N147" i="2"/>
  <c r="N920" i="2"/>
  <c r="N43" i="2"/>
  <c r="N740" i="2"/>
  <c r="N44" i="2"/>
  <c r="N836" i="2"/>
  <c r="N542" i="2"/>
  <c r="N645" i="2"/>
  <c r="N921" i="2"/>
  <c r="N646" i="2"/>
  <c r="N922" i="2"/>
  <c r="N242" i="2"/>
  <c r="N148" i="2"/>
  <c r="N837" i="2"/>
  <c r="N741" i="2"/>
  <c r="N923" i="2"/>
  <c r="N647" i="2"/>
  <c r="N838" i="2"/>
  <c r="N345" i="2"/>
  <c r="N346" i="2"/>
  <c r="N45" i="2"/>
  <c r="N742" i="2"/>
  <c r="N243" i="2"/>
  <c r="N648" i="2"/>
  <c r="N149" i="2"/>
  <c r="N150" i="2"/>
  <c r="N649" i="2"/>
  <c r="N543" i="2"/>
  <c r="N244" i="2"/>
  <c r="N839" i="2"/>
  <c r="N924" i="2"/>
  <c r="N544" i="2"/>
  <c r="N925" i="2"/>
  <c r="N926" i="2"/>
  <c r="N545" i="2"/>
  <c r="N46" i="2"/>
  <c r="N347" i="2"/>
  <c r="N927" i="2"/>
  <c r="N546" i="2"/>
  <c r="N547" i="2"/>
  <c r="N436" i="2"/>
  <c r="N47" i="2"/>
  <c r="N743" i="2"/>
  <c r="N437" i="2"/>
  <c r="N438" i="2"/>
  <c r="N650" i="2"/>
  <c r="N348" i="2"/>
  <c r="N548" i="2"/>
  <c r="N349" i="2"/>
  <c r="N245" i="2"/>
  <c r="N651" i="2"/>
  <c r="N744" i="2"/>
  <c r="N350" i="2"/>
  <c r="N151" i="2"/>
  <c r="N928" i="2"/>
  <c r="N246" i="2"/>
  <c r="N48" i="2"/>
  <c r="N745" i="2"/>
  <c r="N247" i="2"/>
  <c r="N929" i="2"/>
  <c r="N652" i="2"/>
  <c r="N930" i="2"/>
  <c r="N439" i="2"/>
  <c r="N931" i="2"/>
  <c r="N440" i="2"/>
  <c r="N653" i="2"/>
  <c r="N840" i="2"/>
  <c r="N441" i="2"/>
  <c r="N49" i="2"/>
  <c r="N932" i="2"/>
  <c r="N933" i="2"/>
  <c r="N50" i="2"/>
  <c r="N152" i="2"/>
  <c r="N549" i="2"/>
  <c r="N841" i="2"/>
  <c r="N746" i="2"/>
  <c r="N442" i="2"/>
  <c r="N51" i="2"/>
  <c r="N654" i="2"/>
  <c r="N443" i="2"/>
  <c r="N550" i="2"/>
  <c r="N655" i="2"/>
  <c r="N248" i="2"/>
  <c r="N934" i="2"/>
  <c r="N249" i="2"/>
  <c r="N444" i="2"/>
  <c r="N551" i="2"/>
  <c r="N842" i="2"/>
  <c r="N445" i="2"/>
  <c r="N52" i="2"/>
  <c r="N351" i="2"/>
  <c r="N446" i="2"/>
  <c r="N935" i="2"/>
  <c r="N936" i="2"/>
  <c r="N447" i="2"/>
  <c r="N656" i="2"/>
  <c r="N352" i="2"/>
  <c r="N53" i="2"/>
  <c r="N448" i="2"/>
  <c r="N657" i="2"/>
  <c r="N937" i="2"/>
  <c r="N938" i="2"/>
  <c r="N552" i="2"/>
  <c r="N449" i="2"/>
  <c r="N353" i="2"/>
  <c r="N153" i="2"/>
  <c r="N354" i="2"/>
  <c r="N939" i="2"/>
  <c r="N940" i="2"/>
  <c r="N250" i="2"/>
  <c r="N941" i="2"/>
  <c r="N54" i="2"/>
  <c r="N747" i="2"/>
  <c r="N450" i="2"/>
  <c r="N355" i="2"/>
  <c r="N748" i="2"/>
  <c r="N658" i="2"/>
  <c r="N154" i="2"/>
  <c r="N55" i="2"/>
  <c r="N356" i="2"/>
  <c r="N749" i="2"/>
  <c r="N155" i="2"/>
  <c r="N251" i="2"/>
  <c r="N56" i="2"/>
  <c r="N57" i="2"/>
  <c r="N252" i="2"/>
  <c r="N451" i="2"/>
  <c r="N253" i="2"/>
  <c r="N58" i="2"/>
  <c r="N59" i="2"/>
  <c r="N750" i="2"/>
  <c r="N942" i="2"/>
  <c r="N156" i="2"/>
  <c r="N254" i="2"/>
  <c r="N157" i="2"/>
  <c r="N255" i="2"/>
  <c r="N659" i="2"/>
  <c r="N60" i="2"/>
  <c r="N943" i="2"/>
  <c r="N751" i="2"/>
  <c r="N944" i="2"/>
  <c r="N945" i="2"/>
  <c r="N946" i="2"/>
  <c r="N158" i="2"/>
  <c r="N256" i="2"/>
  <c r="N843" i="2"/>
  <c r="N660" i="2"/>
  <c r="N357" i="2"/>
  <c r="N947" i="2"/>
  <c r="N452" i="2"/>
  <c r="N159" i="2"/>
  <c r="N752" i="2"/>
  <c r="N358" i="2"/>
  <c r="N844" i="2"/>
  <c r="N453" i="2"/>
  <c r="N845" i="2"/>
  <c r="N359" i="2"/>
  <c r="N948" i="2"/>
  <c r="N454" i="2"/>
  <c r="N846" i="2"/>
  <c r="N753" i="2"/>
  <c r="N257" i="2"/>
  <c r="N61" i="2"/>
  <c r="N258" i="2"/>
  <c r="N360" i="2"/>
  <c r="N160" i="2"/>
  <c r="N62" i="2"/>
  <c r="N661" i="2"/>
  <c r="N754" i="2"/>
  <c r="N662" i="2"/>
  <c r="N455" i="2"/>
  <c r="N63" i="2"/>
  <c r="N663" i="2"/>
  <c r="N664" i="2"/>
  <c r="N847" i="2"/>
  <c r="N259" i="2"/>
  <c r="N848" i="2"/>
  <c r="N64" i="2"/>
  <c r="N65" i="2"/>
  <c r="N361" i="2"/>
  <c r="N849" i="2"/>
  <c r="N553" i="2"/>
  <c r="N260" i="2"/>
  <c r="N66" i="2"/>
  <c r="N362" i="2"/>
  <c r="N850" i="2"/>
  <c r="N261" i="2"/>
  <c r="N851" i="2"/>
  <c r="N665" i="2"/>
  <c r="N363" i="2"/>
  <c r="N262" i="2"/>
  <c r="N949" i="2"/>
  <c r="N456" i="2"/>
  <c r="N457" i="2"/>
  <c r="N263" i="2"/>
  <c r="N852" i="2"/>
  <c r="N364" i="2"/>
  <c r="N458" i="2"/>
  <c r="N365" i="2"/>
  <c r="N459" i="2"/>
  <c r="N666" i="2"/>
  <c r="N853" i="2"/>
  <c r="N667" i="2"/>
  <c r="N460" i="2"/>
  <c r="N950" i="2"/>
  <c r="N951" i="2"/>
  <c r="N668" i="2"/>
  <c r="N952" i="2"/>
  <c r="N461" i="2"/>
  <c r="N264" i="2"/>
  <c r="N669" i="2"/>
  <c r="N161" i="2"/>
  <c r="N854" i="2"/>
  <c r="N953" i="2"/>
  <c r="N954" i="2"/>
  <c r="N67" i="2"/>
  <c r="N554" i="2"/>
  <c r="N670" i="2"/>
  <c r="N755" i="2"/>
  <c r="N955" i="2"/>
  <c r="N855" i="2"/>
  <c r="N162" i="2"/>
  <c r="N956" i="2"/>
  <c r="N163" i="2"/>
  <c r="N462" i="2"/>
  <c r="N463" i="2"/>
  <c r="N555" i="2"/>
  <c r="N265" i="2"/>
  <c r="N756" i="2"/>
  <c r="N68" i="2"/>
  <c r="N556" i="2"/>
  <c r="N366" i="2"/>
  <c r="N69" i="2"/>
  <c r="N671" i="2"/>
  <c r="N856" i="2"/>
  <c r="N367" i="2"/>
  <c r="N368" i="2"/>
  <c r="N557" i="2"/>
  <c r="N266" i="2"/>
  <c r="N558" i="2"/>
  <c r="N672" i="2"/>
  <c r="N957" i="2"/>
  <c r="N958" i="2"/>
  <c r="N267" i="2"/>
  <c r="N673" i="2"/>
  <c r="N268" i="2"/>
  <c r="N164" i="2"/>
  <c r="N959" i="2"/>
  <c r="N369" i="2"/>
  <c r="N757" i="2"/>
  <c r="N857" i="2"/>
  <c r="N674" i="2"/>
  <c r="N70" i="2"/>
  <c r="N269" i="2"/>
  <c r="N858" i="2"/>
  <c r="N71" i="2"/>
  <c r="N859" i="2"/>
  <c r="N758" i="2"/>
  <c r="N72" i="2"/>
  <c r="N559" i="2"/>
  <c r="N464" i="2"/>
  <c r="N560" i="2"/>
  <c r="N960" i="2"/>
  <c r="N465" i="2"/>
  <c r="N561" i="2"/>
  <c r="N466" i="2"/>
  <c r="N467" i="2"/>
  <c r="N370" i="2"/>
  <c r="N270" i="2"/>
  <c r="N271" i="2"/>
  <c r="N371" i="2"/>
  <c r="N860" i="2"/>
  <c r="N165" i="2"/>
  <c r="N861" i="2"/>
  <c r="N73" i="2"/>
  <c r="N74" i="2"/>
  <c r="N468" i="2"/>
  <c r="N562" i="2"/>
  <c r="N563" i="2"/>
  <c r="N272" i="2"/>
  <c r="N675" i="2"/>
  <c r="N862" i="2"/>
  <c r="N961" i="2"/>
  <c r="N759" i="2"/>
  <c r="N564" i="2"/>
  <c r="N760" i="2"/>
  <c r="N469" i="2"/>
  <c r="N761" i="2"/>
  <c r="N962" i="2"/>
  <c r="N372" i="2"/>
  <c r="N963" i="2"/>
  <c r="N762" i="2"/>
  <c r="N964" i="2"/>
  <c r="N166" i="2"/>
  <c r="N470" i="2"/>
  <c r="N863" i="2"/>
  <c r="N373" i="2"/>
  <c r="N565" i="2"/>
  <c r="N75" i="2"/>
  <c r="N864" i="2"/>
  <c r="N76" i="2"/>
  <c r="N471" i="2"/>
  <c r="N374" i="2"/>
  <c r="N273" i="2"/>
  <c r="N566" i="2"/>
  <c r="N167" i="2"/>
  <c r="N274" i="2"/>
  <c r="N472" i="2"/>
  <c r="N865" i="2"/>
  <c r="N168" i="2"/>
  <c r="N965" i="2"/>
  <c r="N763" i="2"/>
  <c r="N169" i="2"/>
  <c r="N473" i="2"/>
  <c r="N676" i="2"/>
  <c r="N764" i="2"/>
  <c r="N77" i="2"/>
  <c r="N567" i="2"/>
  <c r="N78" i="2"/>
  <c r="N170" i="2"/>
  <c r="N79" i="2"/>
  <c r="N474" i="2"/>
  <c r="N966" i="2"/>
  <c r="N866" i="2"/>
  <c r="N568" i="2"/>
  <c r="N80" i="2"/>
  <c r="N81" i="2"/>
  <c r="N171" i="2"/>
  <c r="N867" i="2"/>
  <c r="N275" i="2"/>
  <c r="N82" i="2"/>
  <c r="N475" i="2"/>
  <c r="N677" i="2"/>
  <c r="N569" i="2"/>
  <c r="N83" i="2"/>
  <c r="N476" i="2"/>
  <c r="N477" i="2"/>
  <c r="N570" i="2"/>
  <c r="N276" i="2"/>
  <c r="N478" i="2"/>
  <c r="N678" i="2"/>
  <c r="N479" i="2"/>
  <c r="N480" i="2"/>
  <c r="N481" i="2"/>
  <c r="N967" i="2"/>
  <c r="N968" i="2"/>
  <c r="N277" i="2"/>
  <c r="N84" i="2"/>
  <c r="N482" i="2"/>
  <c r="N868" i="2"/>
  <c r="N85" i="2"/>
  <c r="N278" i="2"/>
  <c r="N375" i="2"/>
  <c r="N86" i="2"/>
  <c r="N87" i="2"/>
  <c r="N765" i="2"/>
  <c r="N172" i="2"/>
  <c r="N766" i="2"/>
  <c r="N679" i="2"/>
  <c r="N969" i="2"/>
  <c r="N970" i="2"/>
  <c r="N173" i="2"/>
  <c r="N571" i="2"/>
  <c r="N572" i="2"/>
  <c r="N279" i="2"/>
  <c r="N174" i="2"/>
  <c r="N88" i="2"/>
  <c r="N573" i="2"/>
  <c r="N483" i="2"/>
  <c r="N869" i="2"/>
  <c r="N89" i="2"/>
  <c r="N680" i="2"/>
  <c r="N484" i="2"/>
  <c r="N485" i="2"/>
  <c r="N175" i="2"/>
  <c r="N280" i="2"/>
  <c r="N681" i="2"/>
  <c r="N574" i="2"/>
  <c r="N176" i="2"/>
  <c r="N575" i="2"/>
  <c r="N177" i="2"/>
  <c r="N178" i="2"/>
  <c r="N179" i="2"/>
  <c r="N281" i="2"/>
  <c r="N180" i="2"/>
  <c r="N376" i="2"/>
  <c r="N870" i="2"/>
  <c r="N576" i="2"/>
  <c r="N90" i="2"/>
  <c r="N767" i="2"/>
  <c r="N682" i="2"/>
  <c r="N971" i="2"/>
  <c r="N282" i="2"/>
  <c r="N91" i="2"/>
  <c r="N486" i="2"/>
  <c r="N377" i="2"/>
  <c r="N972" i="2"/>
  <c r="N768" i="2"/>
  <c r="N92" i="2"/>
  <c r="N973" i="2"/>
  <c r="N93" i="2"/>
  <c r="N378" i="2"/>
  <c r="N769" i="2"/>
  <c r="N487" i="2"/>
  <c r="N181" i="2"/>
  <c r="N577" i="2"/>
  <c r="N488" i="2"/>
  <c r="N182" i="2"/>
  <c r="N283" i="2"/>
  <c r="N871" i="2"/>
  <c r="N683" i="2"/>
  <c r="N684" i="2"/>
  <c r="N578" i="2"/>
  <c r="N770" i="2"/>
  <c r="N379" i="2"/>
  <c r="N771" i="2"/>
  <c r="N380" i="2"/>
  <c r="N772" i="2"/>
  <c r="N872" i="2"/>
  <c r="N284" i="2"/>
  <c r="N285" i="2"/>
  <c r="N183" i="2"/>
  <c r="N974" i="2"/>
  <c r="N286" i="2"/>
  <c r="N287" i="2"/>
  <c r="N489" i="2"/>
  <c r="N490" i="2"/>
  <c r="N184" i="2"/>
  <c r="N975" i="2"/>
  <c r="N579" i="2"/>
  <c r="N491" i="2"/>
  <c r="N580" i="2"/>
  <c r="N94" i="2"/>
  <c r="N492" i="2"/>
  <c r="N873" i="2"/>
  <c r="N976" i="2"/>
  <c r="N185" i="2"/>
  <c r="N95" i="2"/>
  <c r="N977" i="2"/>
  <c r="N874" i="2"/>
  <c r="N978" i="2"/>
  <c r="N875" i="2"/>
  <c r="N876" i="2"/>
  <c r="N581" i="2"/>
  <c r="N773" i="2"/>
  <c r="N96" i="2"/>
  <c r="N979" i="2"/>
  <c r="N381" i="2"/>
  <c r="N97" i="2"/>
  <c r="N774" i="2"/>
  <c r="N98" i="2"/>
  <c r="N288" i="2"/>
  <c r="N382" i="2"/>
  <c r="N775" i="2"/>
  <c r="N582" i="2"/>
  <c r="N980" i="2"/>
  <c r="N685" i="2"/>
  <c r="N776" i="2"/>
  <c r="N186" i="2"/>
  <c r="N981" i="2"/>
  <c r="N777" i="2"/>
  <c r="N289" i="2"/>
  <c r="N686" i="2"/>
  <c r="N290" i="2"/>
  <c r="N687" i="2"/>
  <c r="N187" i="2"/>
  <c r="N982" i="2"/>
  <c r="N583" i="2"/>
  <c r="N291" i="2"/>
  <c r="N292" i="2"/>
  <c r="N877" i="2"/>
  <c r="N688" i="2"/>
  <c r="N493" i="2"/>
  <c r="N983" i="2"/>
  <c r="N689" i="2"/>
  <c r="N878" i="2"/>
  <c r="N99" i="2"/>
  <c r="N690" i="2"/>
  <c r="N584" i="2"/>
  <c r="N984" i="2"/>
  <c r="N879" i="2"/>
  <c r="N100" i="2"/>
  <c r="N383" i="2"/>
  <c r="N880" i="2"/>
  <c r="N384" i="2"/>
  <c r="N985" i="2"/>
  <c r="N293" i="2"/>
  <c r="N881" i="2"/>
  <c r="N188" i="2"/>
  <c r="N385" i="2"/>
  <c r="N585" i="2"/>
  <c r="N189" i="2"/>
  <c r="N778" i="2"/>
  <c r="N779" i="2"/>
  <c r="N101" i="2"/>
  <c r="N294" i="2"/>
  <c r="N986" i="2"/>
  <c r="N882" i="2"/>
  <c r="N494" i="2"/>
  <c r="N586" i="2"/>
  <c r="N386" i="2"/>
  <c r="N987" i="2"/>
  <c r="N190" i="2"/>
  <c r="N780" i="2"/>
  <c r="N587" i="2"/>
  <c r="N495" i="2"/>
  <c r="N883" i="2"/>
  <c r="N102" i="2"/>
  <c r="N496" i="2"/>
  <c r="N588" i="2"/>
  <c r="N497" i="2"/>
  <c r="N589" i="2"/>
  <c r="N590" i="2"/>
  <c r="N691" i="2"/>
  <c r="N387" i="2"/>
  <c r="N781" i="2"/>
  <c r="N692" i="2"/>
  <c r="N884" i="2"/>
  <c r="N693" i="2"/>
  <c r="N295" i="2"/>
  <c r="N296" i="2"/>
  <c r="N782" i="2"/>
  <c r="N498" i="2"/>
  <c r="N388" i="2"/>
  <c r="N783" i="2"/>
  <c r="N591" i="2"/>
  <c r="N191" i="2"/>
  <c r="N389" i="2"/>
  <c r="N390" i="2"/>
  <c r="N592" i="2"/>
  <c r="N593" i="2"/>
  <c r="N103" i="2"/>
  <c r="N784" i="2"/>
  <c r="N594" i="2"/>
  <c r="N297" i="2"/>
  <c r="N885" i="2"/>
  <c r="N192" i="2"/>
  <c r="N785" i="2"/>
  <c r="N988" i="2"/>
  <c r="N298" i="2"/>
  <c r="N499" i="2"/>
  <c r="N595" i="2"/>
  <c r="N989" i="2"/>
  <c r="N596" i="2"/>
  <c r="N391" i="2"/>
  <c r="N299" i="2"/>
  <c r="N392" i="2"/>
  <c r="N104" i="2"/>
  <c r="N393" i="2"/>
  <c r="N105" i="2"/>
  <c r="N106" i="2"/>
  <c r="N990" i="2"/>
  <c r="N597" i="2"/>
  <c r="N500" i="2"/>
  <c r="N394" i="2"/>
  <c r="N300" i="2"/>
  <c r="N107" i="2"/>
  <c r="N598" i="2"/>
  <c r="N193" i="2"/>
  <c r="N786" i="2"/>
  <c r="N991" i="2"/>
  <c r="N501" i="2"/>
  <c r="N694" i="2"/>
  <c r="N992" i="2"/>
  <c r="N194" i="2"/>
  <c r="N787" i="2"/>
  <c r="N195" i="2"/>
  <c r="N395" i="2"/>
  <c r="N108" i="2"/>
  <c r="N502" i="2"/>
  <c r="N886" i="2"/>
  <c r="N109" i="2"/>
  <c r="N887" i="2"/>
  <c r="N788" i="2"/>
  <c r="N599" i="2"/>
  <c r="N695" i="2"/>
  <c r="N301" i="2"/>
  <c r="N110" i="2"/>
  <c r="N503" i="2"/>
  <c r="N196" i="2"/>
  <c r="N504" i="2"/>
  <c r="N789" i="2"/>
  <c r="N888" i="2"/>
  <c r="N197" i="2"/>
  <c r="N302" i="2"/>
  <c r="N303" i="2"/>
  <c r="N111" i="2"/>
  <c r="N790" i="2"/>
  <c r="N600" i="2"/>
  <c r="N791" i="2"/>
  <c r="N889" i="2"/>
  <c r="N505" i="2"/>
  <c r="N304" i="2"/>
  <c r="N506" i="2"/>
  <c r="N507" i="2"/>
  <c r="N508" i="2"/>
  <c r="N305" i="2"/>
  <c r="N993" i="2"/>
  <c r="N396" i="2"/>
  <c r="N890" i="2"/>
  <c r="N994" i="2"/>
  <c r="N891" i="2"/>
  <c r="N198" i="2"/>
  <c r="N792" i="2"/>
  <c r="N793" i="2"/>
  <c r="N696" i="2"/>
  <c r="N794" i="2"/>
  <c r="N306" i="2"/>
  <c r="N601" i="2"/>
  <c r="N112" i="2"/>
  <c r="N697" i="2"/>
  <c r="N113" i="2"/>
  <c r="N892" i="2"/>
  <c r="N114" i="2"/>
  <c r="N115" i="2"/>
  <c r="N698" i="2"/>
  <c r="N199" i="2"/>
  <c r="N509" i="2"/>
  <c r="N795" i="2"/>
  <c r="N796" i="2"/>
  <c r="N307" i="2"/>
  <c r="N699" i="2"/>
  <c r="N308" i="2"/>
  <c r="N602" i="2"/>
  <c r="N603" i="2"/>
  <c r="N309" i="2"/>
  <c r="N700" i="2"/>
  <c r="N310" i="2"/>
  <c r="N797" i="2"/>
  <c r="N995" i="2"/>
  <c r="N397" i="2"/>
  <c r="N116" i="2"/>
  <c r="N398" i="2"/>
  <c r="N701" i="2"/>
  <c r="N399" i="2"/>
  <c r="N604" i="2"/>
  <c r="N893" i="2"/>
  <c r="N117" i="2"/>
  <c r="N510" i="2"/>
  <c r="N702" i="2"/>
  <c r="N118" i="2"/>
  <c r="N400" i="2"/>
  <c r="N605" i="2"/>
  <c r="N200" i="2"/>
  <c r="N996" i="2"/>
  <c r="N511" i="2"/>
  <c r="N997" i="2"/>
  <c r="N119" i="2"/>
  <c r="N606" i="2"/>
  <c r="N607" i="2"/>
  <c r="N401" i="2"/>
  <c r="N798" i="2"/>
  <c r="N402" i="2"/>
  <c r="N799" i="2"/>
  <c r="N800" i="2"/>
  <c r="N512" i="2"/>
  <c r="N403" i="2"/>
  <c r="N201" i="2"/>
  <c r="N311" i="2"/>
  <c r="N312" i="2"/>
  <c r="N404" i="2"/>
  <c r="N405" i="2"/>
  <c r="N998" i="2"/>
  <c r="N513" i="2"/>
  <c r="N406" i="2"/>
  <c r="N999" i="2"/>
  <c r="N801" i="2"/>
  <c r="N608" i="2"/>
  <c r="N609" i="2"/>
  <c r="N802" i="2"/>
  <c r="N703" i="2"/>
  <c r="N1000" i="2"/>
  <c r="N1001" i="2"/>
  <c r="N803" i="2"/>
  <c r="N202" i="2"/>
  <c r="N894" i="2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M497" i="5"/>
  <c r="M130" i="5"/>
  <c r="M44" i="5"/>
  <c r="M912" i="5"/>
  <c r="M674" i="5"/>
  <c r="M571" i="5"/>
  <c r="M491" i="5"/>
  <c r="M387" i="5"/>
  <c r="M283" i="5"/>
  <c r="M94" i="5"/>
  <c r="M989" i="5"/>
  <c r="M944" i="5"/>
  <c r="M622" i="5"/>
  <c r="M132" i="5"/>
  <c r="M83" i="5"/>
  <c r="M943" i="5"/>
  <c r="M887" i="5"/>
  <c r="M863" i="5"/>
  <c r="M840" i="5"/>
  <c r="M828" i="5"/>
  <c r="M716" i="5"/>
  <c r="M658" i="5"/>
  <c r="M449" i="5"/>
  <c r="M131" i="5"/>
  <c r="M777" i="5"/>
  <c r="M623" i="5"/>
  <c r="M498" i="5"/>
  <c r="M391" i="5"/>
  <c r="M338" i="5"/>
  <c r="M1000" i="5"/>
  <c r="M737" i="5"/>
  <c r="M575" i="5"/>
  <c r="M480" i="5"/>
  <c r="M272" i="5"/>
  <c r="M886" i="5"/>
  <c r="M702" i="5"/>
  <c r="M580" i="5"/>
  <c r="M570" i="5"/>
  <c r="M539" i="5"/>
  <c r="M362" i="5"/>
  <c r="M182" i="5"/>
  <c r="M23" i="5"/>
  <c r="M888" i="5"/>
  <c r="M879" i="5"/>
  <c r="M715" i="5"/>
  <c r="M703" i="5"/>
  <c r="M642" i="5"/>
  <c r="M462" i="5"/>
  <c r="M381" i="5"/>
  <c r="M329" i="5"/>
  <c r="M301" i="5"/>
  <c r="M262" i="5"/>
  <c r="M35" i="5"/>
  <c r="M981" i="5"/>
  <c r="M980" i="5"/>
  <c r="M736" i="5"/>
  <c r="M609" i="5"/>
  <c r="M556" i="5"/>
  <c r="M525" i="5"/>
  <c r="M234" i="5"/>
  <c r="M990" i="5"/>
  <c r="M894" i="5"/>
  <c r="M851" i="5"/>
  <c r="M632" i="5"/>
  <c r="M499" i="5"/>
  <c r="M84" i="5"/>
  <c r="M73" i="5"/>
  <c r="M61" i="5"/>
  <c r="M34" i="5"/>
  <c r="M11" i="5"/>
  <c r="M1001" i="5"/>
  <c r="M767" i="5"/>
  <c r="M714" i="5"/>
  <c r="M688" i="5"/>
  <c r="M657" i="5"/>
  <c r="M641" i="5"/>
  <c r="M631" i="5"/>
  <c r="M540" i="5"/>
  <c r="M380" i="5"/>
  <c r="M282" i="5"/>
  <c r="M72" i="5"/>
  <c r="M942" i="5"/>
  <c r="M803" i="5"/>
  <c r="M666" i="5"/>
  <c r="M534" i="5"/>
  <c r="M420" i="5"/>
  <c r="M419" i="5"/>
  <c r="M140" i="5"/>
  <c r="M85" i="5"/>
  <c r="M22" i="5"/>
  <c r="M960" i="5"/>
  <c r="M911" i="5"/>
  <c r="M857" i="5"/>
  <c r="M774" i="5"/>
  <c r="M360" i="5"/>
  <c r="M337" i="5"/>
  <c r="M328" i="5"/>
  <c r="M261" i="5"/>
  <c r="M9" i="5"/>
  <c r="M976" i="5"/>
  <c r="M673" i="5"/>
  <c r="M656" i="5"/>
  <c r="M588" i="5"/>
  <c r="M350" i="5"/>
  <c r="M281" i="5"/>
  <c r="M260" i="5"/>
  <c r="M247" i="5"/>
  <c r="M195" i="5"/>
  <c r="M33" i="5"/>
  <c r="M833" i="5"/>
  <c r="M327" i="5"/>
  <c r="M878" i="5"/>
  <c r="M821" i="5"/>
  <c r="M587" i="5"/>
  <c r="M548" i="5"/>
  <c r="M240" i="5"/>
  <c r="M227" i="5"/>
  <c r="M119" i="5"/>
  <c r="M988" i="5"/>
  <c r="M931" i="5"/>
  <c r="M802" i="5"/>
  <c r="M60" i="5"/>
  <c r="M10" i="5"/>
  <c r="M902" i="5"/>
  <c r="M607" i="5"/>
  <c r="M513" i="5"/>
  <c r="M300" i="5"/>
  <c r="M271" i="5"/>
  <c r="M202" i="5"/>
  <c r="M181" i="5"/>
  <c r="M93" i="5"/>
  <c r="M71" i="5"/>
  <c r="M43" i="5"/>
  <c r="M961" i="5"/>
  <c r="M922" i="5"/>
  <c r="M910" i="5"/>
  <c r="M589" i="5"/>
  <c r="M472" i="5"/>
  <c r="M405" i="5"/>
  <c r="M311" i="5"/>
  <c r="M81" i="5"/>
  <c r="M59" i="5"/>
  <c r="M974" i="5"/>
  <c r="M735" i="5"/>
  <c r="M730" i="5"/>
  <c r="M701" i="5"/>
  <c r="M665" i="5"/>
  <c r="M490" i="5"/>
  <c r="M437" i="5"/>
  <c r="M336" i="5"/>
  <c r="M310" i="5"/>
  <c r="M309" i="5"/>
  <c r="M290" i="5"/>
  <c r="M172" i="5"/>
  <c r="M156" i="5"/>
  <c r="M118" i="5"/>
  <c r="M51" i="5"/>
  <c r="M893" i="5"/>
  <c r="M892" i="5"/>
  <c r="M834" i="5"/>
  <c r="M775" i="5"/>
  <c r="M745" i="5"/>
  <c r="M489" i="5"/>
  <c r="M455" i="5"/>
  <c r="M361" i="5"/>
  <c r="M291" i="5"/>
  <c r="M139" i="5"/>
  <c r="M827" i="5"/>
  <c r="M776" i="5"/>
  <c r="M700" i="5"/>
  <c r="M608" i="5"/>
  <c r="M555" i="5"/>
  <c r="M396" i="5"/>
  <c r="M228" i="5"/>
  <c r="M155" i="5"/>
  <c r="M109" i="5"/>
  <c r="M975" i="5"/>
  <c r="M725" i="5"/>
  <c r="M724" i="5"/>
  <c r="M649" i="5"/>
  <c r="M599" i="5"/>
  <c r="M590" i="5"/>
  <c r="M520" i="5"/>
  <c r="M461" i="5"/>
  <c r="M226" i="5"/>
  <c r="M214" i="5"/>
  <c r="M201" i="5"/>
  <c r="M755" i="5"/>
  <c r="M693" i="5"/>
  <c r="M406" i="5"/>
  <c r="M312" i="5"/>
  <c r="M82" i="5"/>
  <c r="M639" i="5"/>
  <c r="M531" i="5"/>
  <c r="M403" i="5"/>
  <c r="M359" i="5"/>
  <c r="M358" i="5"/>
  <c r="M308" i="5"/>
  <c r="M70" i="5"/>
  <c r="M58" i="5"/>
  <c r="M848" i="5"/>
  <c r="M568" i="5"/>
  <c r="M335" i="5"/>
  <c r="M289" i="5"/>
  <c r="M21" i="5"/>
  <c r="M812" i="5"/>
  <c r="M613" i="5"/>
  <c r="M496" i="5"/>
  <c r="M454" i="5"/>
  <c r="M448" i="5"/>
  <c r="M404" i="5"/>
  <c r="M341" i="5"/>
  <c r="M280" i="5"/>
  <c r="M259" i="5"/>
  <c r="M68" i="5"/>
  <c r="M929" i="5"/>
  <c r="M519" i="5"/>
  <c r="M506" i="5"/>
  <c r="M460" i="5"/>
  <c r="M386" i="5"/>
  <c r="M298" i="5"/>
  <c r="M296" i="5"/>
  <c r="M117" i="5"/>
  <c r="M78" i="5"/>
  <c r="M940" i="5"/>
  <c r="M839" i="5"/>
  <c r="M766" i="5"/>
  <c r="M530" i="5"/>
  <c r="M348" i="5"/>
  <c r="M246" i="5"/>
  <c r="M123" i="5"/>
  <c r="M80" i="5"/>
  <c r="M928" i="5"/>
  <c r="M765" i="5"/>
  <c r="M713" i="5"/>
  <c r="M598" i="5"/>
  <c r="M225" i="5"/>
  <c r="M180" i="5"/>
  <c r="M970" i="5"/>
  <c r="M959" i="5"/>
  <c r="M941" i="5"/>
  <c r="M729" i="5"/>
  <c r="M453" i="5"/>
  <c r="M334" i="5"/>
  <c r="M212" i="5"/>
  <c r="M154" i="5"/>
  <c r="M108" i="5"/>
  <c r="M79" i="5"/>
  <c r="M32" i="5"/>
  <c r="M31" i="5"/>
  <c r="M930" i="5"/>
  <c r="M850" i="5"/>
  <c r="M849" i="5"/>
  <c r="M417" i="5"/>
  <c r="M402" i="5"/>
  <c r="M368" i="5"/>
  <c r="M306" i="5"/>
  <c r="M297" i="5"/>
  <c r="M233" i="5"/>
  <c r="M224" i="5"/>
  <c r="M813" i="5"/>
  <c r="M789" i="5"/>
  <c r="M734" i="5"/>
  <c r="M699" i="5"/>
  <c r="M614" i="5"/>
  <c r="M586" i="5"/>
  <c r="M418" i="5"/>
  <c r="M349" i="5"/>
  <c r="M307" i="5"/>
  <c r="M299" i="5"/>
  <c r="M213" i="5"/>
  <c r="M188" i="5"/>
  <c r="M171" i="5"/>
  <c r="M901" i="5"/>
  <c r="M647" i="5"/>
  <c r="M630" i="5"/>
  <c r="M533" i="5"/>
  <c r="M532" i="5"/>
  <c r="M507" i="5"/>
  <c r="M342" i="5"/>
  <c r="M92" i="5"/>
  <c r="M973" i="5"/>
  <c r="M951" i="5"/>
  <c r="M950" i="5"/>
  <c r="M877" i="5"/>
  <c r="M648" i="5"/>
  <c r="M640" i="5"/>
  <c r="M395" i="5"/>
  <c r="M69" i="5"/>
  <c r="M30" i="5"/>
  <c r="M788" i="5"/>
  <c r="M569" i="5"/>
  <c r="M512" i="5"/>
  <c r="M326" i="5"/>
  <c r="M179" i="5"/>
  <c r="M116" i="5"/>
  <c r="M29" i="5"/>
  <c r="M836" i="5"/>
  <c r="M629" i="5"/>
  <c r="M612" i="5"/>
  <c r="M232" i="5"/>
  <c r="M49" i="5"/>
  <c r="M927" i="5"/>
  <c r="M819" i="5"/>
  <c r="M801" i="5"/>
  <c r="M752" i="5"/>
  <c r="M733" i="5"/>
  <c r="M606" i="5"/>
  <c r="M578" i="5"/>
  <c r="M511" i="5"/>
  <c r="M394" i="5"/>
  <c r="M186" i="5"/>
  <c r="M178" i="5"/>
  <c r="M50" i="5"/>
  <c r="M949" i="5"/>
  <c r="M754" i="5"/>
  <c r="M605" i="5"/>
  <c r="M537" i="5"/>
  <c r="M436" i="5"/>
  <c r="M435" i="5"/>
  <c r="M223" i="5"/>
  <c r="M938" i="5"/>
  <c r="M921" i="5"/>
  <c r="M838" i="5"/>
  <c r="M753" i="5"/>
  <c r="M579" i="5"/>
  <c r="M222" i="5"/>
  <c r="M221" i="5"/>
  <c r="M177" i="5"/>
  <c r="M76" i="5"/>
  <c r="M385" i="5"/>
  <c r="M19" i="5"/>
  <c r="M8" i="5"/>
  <c r="M7" i="5"/>
  <c r="M999" i="5"/>
  <c r="M867" i="5"/>
  <c r="M698" i="5"/>
  <c r="M697" i="5"/>
  <c r="M487" i="5"/>
  <c r="M115" i="5"/>
  <c r="M20" i="5"/>
  <c r="M811" i="5"/>
  <c r="M680" i="5"/>
  <c r="M538" i="5"/>
  <c r="M529" i="5"/>
  <c r="M488" i="5"/>
  <c r="M187" i="5"/>
  <c r="M136" i="5"/>
  <c r="M91" i="5"/>
  <c r="M77" i="5"/>
  <c r="M42" i="5"/>
  <c r="M969" i="5"/>
  <c r="M820" i="5"/>
  <c r="M796" i="5"/>
  <c r="M787" i="5"/>
  <c r="M761" i="5"/>
  <c r="M161" i="5"/>
  <c r="M137" i="5"/>
  <c r="M107" i="5"/>
  <c r="M28" i="5"/>
  <c r="M987" i="5"/>
  <c r="M876" i="5"/>
  <c r="M837" i="5"/>
  <c r="M760" i="5"/>
  <c r="M577" i="5"/>
  <c r="M495" i="5"/>
  <c r="M434" i="5"/>
  <c r="M427" i="5"/>
  <c r="M270" i="5"/>
  <c r="M106" i="5"/>
  <c r="M875" i="5"/>
  <c r="M727" i="5"/>
  <c r="M628" i="5"/>
  <c r="M447" i="5"/>
  <c r="M428" i="5"/>
  <c r="M379" i="5"/>
  <c r="M244" i="5"/>
  <c r="M170" i="5"/>
  <c r="M162" i="5"/>
  <c r="M129" i="5"/>
  <c r="M968" i="5"/>
  <c r="M856" i="5"/>
  <c r="M764" i="5"/>
  <c r="M728" i="5"/>
  <c r="M664" i="5"/>
  <c r="M567" i="5"/>
  <c r="M245" i="5"/>
  <c r="M138" i="5"/>
  <c r="M939" i="5"/>
  <c r="M868" i="5"/>
  <c r="M744" i="5"/>
  <c r="M585" i="5"/>
  <c r="M367" i="5"/>
  <c r="M194" i="5"/>
  <c r="M193" i="5"/>
  <c r="M67" i="5"/>
  <c r="M926" i="5"/>
  <c r="M773" i="5"/>
  <c r="M662" i="5"/>
  <c r="M231" i="5"/>
  <c r="M919" i="5"/>
  <c r="M825" i="5"/>
  <c r="M732" i="5"/>
  <c r="M159" i="5"/>
  <c r="M6" i="5"/>
  <c r="M918" i="5"/>
  <c r="M692" i="5"/>
  <c r="M604" i="5"/>
  <c r="M401" i="5"/>
  <c r="M128" i="5"/>
  <c r="M763" i="5"/>
  <c r="M584" i="5"/>
  <c r="M573" i="5"/>
  <c r="M479" i="5"/>
  <c r="M416" i="5"/>
  <c r="M347" i="5"/>
  <c r="M251" i="5"/>
  <c r="M230" i="5"/>
  <c r="M862" i="5"/>
  <c r="M786" i="5"/>
  <c r="M597" i="5"/>
  <c r="M566" i="5"/>
  <c r="M445" i="5"/>
  <c r="M268" i="5"/>
  <c r="M243" i="5"/>
  <c r="M153" i="5"/>
  <c r="M998" i="5"/>
  <c r="M936" i="5"/>
  <c r="M726" i="5"/>
  <c r="M638" i="5"/>
  <c r="M536" i="5"/>
  <c r="M518" i="5"/>
  <c r="M390" i="5"/>
  <c r="M253" i="5"/>
  <c r="M211" i="5"/>
  <c r="M105" i="5"/>
  <c r="M250" i="5"/>
  <c r="M220" i="5"/>
  <c r="M712" i="5"/>
  <c r="M505" i="5"/>
  <c r="M305" i="5"/>
  <c r="M948" i="5"/>
  <c r="M920" i="5"/>
  <c r="M874" i="5"/>
  <c r="M687" i="5"/>
  <c r="M663" i="5"/>
  <c r="M611" i="5"/>
  <c r="M603" i="5"/>
  <c r="M425" i="5"/>
  <c r="M909" i="5"/>
  <c r="M504" i="5"/>
  <c r="M446" i="5"/>
  <c r="M325" i="5"/>
  <c r="M252" i="5"/>
  <c r="M242" i="5"/>
  <c r="M146" i="5"/>
  <c r="M135" i="5"/>
  <c r="M873" i="5"/>
  <c r="M835" i="5"/>
  <c r="M751" i="5"/>
  <c r="M637" i="5"/>
  <c r="M621" i="5"/>
  <c r="M574" i="5"/>
  <c r="M486" i="5"/>
  <c r="M471" i="5"/>
  <c r="M393" i="5"/>
  <c r="M279" i="5"/>
  <c r="M258" i="5"/>
  <c r="M57" i="5"/>
  <c r="M997" i="5"/>
  <c r="M937" i="5"/>
  <c r="M826" i="5"/>
  <c r="M426" i="5"/>
  <c r="M366" i="5"/>
  <c r="M269" i="5"/>
  <c r="M257" i="5"/>
  <c r="M210" i="5"/>
  <c r="M935" i="5"/>
  <c r="M899" i="5"/>
  <c r="M784" i="5"/>
  <c r="M750" i="5"/>
  <c r="M564" i="5"/>
  <c r="M256" i="5"/>
  <c r="M619" i="5"/>
  <c r="M596" i="5"/>
  <c r="M510" i="5"/>
  <c r="M433" i="5"/>
  <c r="M424" i="5"/>
  <c r="M295" i="5"/>
  <c r="M41" i="5"/>
  <c r="M897" i="5"/>
  <c r="M891" i="5"/>
  <c r="M783" i="5"/>
  <c r="M759" i="5"/>
  <c r="M758" i="5"/>
  <c r="M610" i="5"/>
  <c r="M565" i="5"/>
  <c r="M509" i="5"/>
  <c r="M485" i="5"/>
  <c r="M442" i="5"/>
  <c r="M414" i="5"/>
  <c r="M399" i="5"/>
  <c r="M239" i="5"/>
  <c r="M219" i="5"/>
  <c r="M900" i="5"/>
  <c r="M810" i="5"/>
  <c r="M771" i="5"/>
  <c r="M711" i="5"/>
  <c r="M661" i="5"/>
  <c r="M357" i="5"/>
  <c r="M958" i="5"/>
  <c r="M898" i="5"/>
  <c r="M815" i="5"/>
  <c r="M785" i="5"/>
  <c r="M679" i="5"/>
  <c r="M547" i="5"/>
  <c r="M459" i="5"/>
  <c r="M122" i="5"/>
  <c r="M55" i="5"/>
  <c r="M832" i="5"/>
  <c r="M816" i="5"/>
  <c r="M743" i="5"/>
  <c r="M66" i="5"/>
  <c r="M40" i="5"/>
  <c r="M772" i="5"/>
  <c r="M655" i="5"/>
  <c r="M646" i="5"/>
  <c r="M503" i="5"/>
  <c r="M389" i="5"/>
  <c r="M169" i="5"/>
  <c r="M168" i="5"/>
  <c r="M967" i="5"/>
  <c r="M934" i="5"/>
  <c r="M933" i="5"/>
  <c r="M854" i="5"/>
  <c r="M636" i="5"/>
  <c r="M444" i="5"/>
  <c r="M443" i="5"/>
  <c r="M384" i="5"/>
  <c r="M185" i="5"/>
  <c r="M104" i="5"/>
  <c r="M996" i="5"/>
  <c r="M986" i="5"/>
  <c r="M855" i="5"/>
  <c r="M824" i="5"/>
  <c r="M817" i="5"/>
  <c r="M595" i="5"/>
  <c r="M524" i="5"/>
  <c r="M478" i="5"/>
  <c r="M415" i="5"/>
  <c r="M400" i="5"/>
  <c r="M346" i="5"/>
  <c r="M318" i="5"/>
  <c r="M200" i="5"/>
  <c r="M749" i="5"/>
  <c r="M678" i="5"/>
  <c r="M620" i="5"/>
  <c r="M324" i="5"/>
  <c r="M277" i="5"/>
  <c r="M90" i="5"/>
  <c r="M5" i="5"/>
  <c r="M866" i="5"/>
  <c r="M818" i="5"/>
  <c r="M795" i="5"/>
  <c r="M672" i="5"/>
  <c r="M528" i="5"/>
  <c r="M267" i="5"/>
  <c r="M145" i="5"/>
  <c r="M56" i="5"/>
  <c r="M995" i="5"/>
  <c r="M823" i="5"/>
  <c r="M554" i="5"/>
  <c r="M523" i="5"/>
  <c r="M452" i="5"/>
  <c r="M413" i="5"/>
  <c r="M378" i="5"/>
  <c r="M323" i="5"/>
  <c r="M278" i="5"/>
  <c r="M48" i="5"/>
  <c r="M957" i="5"/>
  <c r="M410" i="5"/>
  <c r="M332" i="5"/>
  <c r="M321" i="5"/>
  <c r="M218" i="5"/>
  <c r="M686" i="5"/>
  <c r="M660" i="5"/>
  <c r="M635" i="5"/>
  <c r="M563" i="5"/>
  <c r="M468" i="5"/>
  <c r="M397" i="5"/>
  <c r="M27" i="5"/>
  <c r="M965" i="5"/>
  <c r="M896" i="5"/>
  <c r="M895" i="5"/>
  <c r="M885" i="5"/>
  <c r="M872" i="5"/>
  <c r="M782" i="5"/>
  <c r="M696" i="5"/>
  <c r="M654" i="5"/>
  <c r="M594" i="5"/>
  <c r="M576" i="5"/>
  <c r="M494" i="5"/>
  <c r="M411" i="5"/>
  <c r="M322" i="5"/>
  <c r="M317" i="5"/>
  <c r="M192" i="5"/>
  <c r="M144" i="5"/>
  <c r="M113" i="5"/>
  <c r="M709" i="5"/>
  <c r="M527" i="5"/>
  <c r="M398" i="5"/>
  <c r="M355" i="5"/>
  <c r="M294" i="5"/>
  <c r="M287" i="5"/>
  <c r="M134" i="5"/>
  <c r="M75" i="5"/>
  <c r="M4" i="5"/>
  <c r="M972" i="5"/>
  <c r="M809" i="5"/>
  <c r="M808" i="5"/>
  <c r="M742" i="5"/>
  <c r="M516" i="5"/>
  <c r="M412" i="5"/>
  <c r="M364" i="5"/>
  <c r="M340" i="5"/>
  <c r="M303" i="5"/>
  <c r="M209" i="5"/>
  <c r="M207" i="5"/>
  <c r="M133" i="5"/>
  <c r="M103" i="5"/>
  <c r="M731" i="5"/>
  <c r="M723" i="5"/>
  <c r="M553" i="5"/>
  <c r="M451" i="5"/>
  <c r="M377" i="5"/>
  <c r="M249" i="5"/>
  <c r="M208" i="5"/>
  <c r="M191" i="5"/>
  <c r="M114" i="5"/>
  <c r="M966" i="5"/>
  <c r="M865" i="5"/>
  <c r="M847" i="5"/>
  <c r="M345" i="5"/>
  <c r="M266" i="5"/>
  <c r="M255" i="5"/>
  <c r="M167" i="5"/>
  <c r="M39" i="5"/>
  <c r="M979" i="5"/>
  <c r="M720" i="5"/>
  <c r="M376" i="5"/>
  <c r="M356" i="5"/>
  <c r="M333" i="5"/>
  <c r="M65" i="5"/>
  <c r="M54" i="5"/>
  <c r="M18" i="5"/>
  <c r="M908" i="5"/>
  <c r="M794" i="5"/>
  <c r="M757" i="5"/>
  <c r="M593" i="5"/>
  <c r="M552" i="5"/>
  <c r="M517" i="5"/>
  <c r="M441" i="5"/>
  <c r="M365" i="5"/>
  <c r="M288" i="5"/>
  <c r="M985" i="5"/>
  <c r="M860" i="5"/>
  <c r="M859" i="5"/>
  <c r="M710" i="5"/>
  <c r="M602" i="5"/>
  <c r="M470" i="5"/>
  <c r="M304" i="5"/>
  <c r="M199" i="5"/>
  <c r="M176" i="5"/>
  <c r="M152" i="5"/>
  <c r="M102" i="5"/>
  <c r="M47" i="5"/>
  <c r="M722" i="5"/>
  <c r="M562" i="5"/>
  <c r="M276" i="5"/>
  <c r="M861" i="5"/>
  <c r="M807" i="5"/>
  <c r="M721" i="5"/>
  <c r="M469" i="5"/>
  <c r="M331" i="5"/>
  <c r="M238" i="5"/>
  <c r="M143" i="5"/>
  <c r="M971" i="5"/>
  <c r="M846" i="5"/>
  <c r="M475" i="5"/>
  <c r="M458" i="5"/>
  <c r="M439" i="5"/>
  <c r="M320" i="5"/>
  <c r="M151" i="5"/>
  <c r="M46" i="5"/>
  <c r="M37" i="5"/>
  <c r="M871" i="5"/>
  <c r="M806" i="5"/>
  <c r="M583" i="5"/>
  <c r="M572" i="5"/>
  <c r="M545" i="5"/>
  <c r="M515" i="5"/>
  <c r="M440" i="5"/>
  <c r="M166" i="5"/>
  <c r="M142" i="5"/>
  <c r="M126" i="5"/>
  <c r="M88" i="5"/>
  <c r="M947" i="5"/>
  <c r="M925" i="5"/>
  <c r="M670" i="5"/>
  <c r="M466" i="5"/>
  <c r="M354" i="5"/>
  <c r="M217" i="5"/>
  <c r="M955" i="5"/>
  <c r="M822" i="5"/>
  <c r="M770" i="5"/>
  <c r="M501" i="5"/>
  <c r="M275" i="5"/>
  <c r="M174" i="5"/>
  <c r="M984" i="5"/>
  <c r="M917" i="5"/>
  <c r="M853" i="5"/>
  <c r="M793" i="5"/>
  <c r="M618" i="5"/>
  <c r="M560" i="5"/>
  <c r="M484" i="5"/>
  <c r="M408" i="5"/>
  <c r="M375" i="5"/>
  <c r="M175" i="5"/>
  <c r="M165" i="5"/>
  <c r="M127" i="5"/>
  <c r="M121" i="5"/>
  <c r="M907" i="5"/>
  <c r="M890" i="5"/>
  <c r="M707" i="5"/>
  <c r="M671" i="5"/>
  <c r="M493" i="5"/>
  <c r="M409" i="5"/>
  <c r="M316" i="5"/>
  <c r="M265" i="5"/>
  <c r="M150" i="5"/>
  <c r="M3" i="5"/>
  <c r="M978" i="5"/>
  <c r="M964" i="5"/>
  <c r="M769" i="5"/>
  <c r="M561" i="5"/>
  <c r="M477" i="5"/>
  <c r="M198" i="5"/>
  <c r="M994" i="5"/>
  <c r="M956" i="5"/>
  <c r="M906" i="5"/>
  <c r="M870" i="5"/>
  <c r="M546" i="5"/>
  <c r="M467" i="5"/>
  <c r="M423" i="5"/>
  <c r="M293" i="5"/>
  <c r="M17" i="5"/>
  <c r="M15" i="5"/>
  <c r="M924" i="5"/>
  <c r="M884" i="5"/>
  <c r="M858" i="5"/>
  <c r="M792" i="5"/>
  <c r="M669" i="5"/>
  <c r="M465" i="5"/>
  <c r="M432" i="5"/>
  <c r="M206" i="5"/>
  <c r="M164" i="5"/>
  <c r="M993" i="5"/>
  <c r="M676" i="5"/>
  <c r="M675" i="5"/>
  <c r="M592" i="5"/>
  <c r="M551" i="5"/>
  <c r="M544" i="5"/>
  <c r="M374" i="5"/>
  <c r="M248" i="5"/>
  <c r="M38" i="5"/>
  <c r="M719" i="5"/>
  <c r="M708" i="5"/>
  <c r="M659" i="5"/>
  <c r="M476" i="5"/>
  <c r="M120" i="5"/>
  <c r="M89" i="5"/>
  <c r="M25" i="5"/>
  <c r="M691" i="5"/>
  <c r="M677" i="5"/>
  <c r="M634" i="5"/>
  <c r="M550" i="5"/>
  <c r="M526" i="5"/>
  <c r="M502" i="5"/>
  <c r="M286" i="5"/>
  <c r="M237" i="5"/>
  <c r="M112" i="5"/>
  <c r="M26" i="5"/>
  <c r="M16" i="5"/>
  <c r="M946" i="5"/>
  <c r="M843" i="5"/>
  <c r="M780" i="5"/>
  <c r="M685" i="5"/>
  <c r="M627" i="5"/>
  <c r="M582" i="5"/>
  <c r="M481" i="5"/>
  <c r="M163" i="5"/>
  <c r="M87" i="5"/>
  <c r="M542" i="5"/>
  <c r="M373" i="5"/>
  <c r="M344" i="5"/>
  <c r="M274" i="5"/>
  <c r="M264" i="5"/>
  <c r="M983" i="5"/>
  <c r="M889" i="5"/>
  <c r="M740" i="5"/>
  <c r="M482" i="5"/>
  <c r="M464" i="5"/>
  <c r="M100" i="5"/>
  <c r="M844" i="5"/>
  <c r="M804" i="5"/>
  <c r="M756" i="5"/>
  <c r="M741" i="5"/>
  <c r="M653" i="5"/>
  <c r="M388" i="5"/>
  <c r="M124" i="5"/>
  <c r="M64" i="5"/>
  <c r="M953" i="5"/>
  <c r="M799" i="5"/>
  <c r="M543" i="5"/>
  <c r="M407" i="5"/>
  <c r="M315" i="5"/>
  <c r="M197" i="5"/>
  <c r="M101" i="5"/>
  <c r="M99" i="5"/>
  <c r="M992" i="5"/>
  <c r="M923" i="5"/>
  <c r="M798" i="5"/>
  <c r="M768" i="5"/>
  <c r="M694" i="5"/>
  <c r="M626" i="5"/>
  <c r="M474" i="5"/>
  <c r="M330" i="5"/>
  <c r="M229" i="5"/>
  <c r="M184" i="5"/>
  <c r="M14" i="5"/>
  <c r="M718" i="5"/>
  <c r="M695" i="5"/>
  <c r="M682" i="5"/>
  <c r="M617" i="5"/>
  <c r="M591" i="5"/>
  <c r="M522" i="5"/>
  <c r="M352" i="5"/>
  <c r="M285" i="5"/>
  <c r="M157" i="5"/>
  <c r="M125" i="5"/>
  <c r="M905" i="5"/>
  <c r="M421" i="5"/>
  <c r="M339" i="5"/>
  <c r="M954" i="5"/>
  <c r="M845" i="5"/>
  <c r="M805" i="5"/>
  <c r="M800" i="5"/>
  <c r="M706" i="5"/>
  <c r="M683" i="5"/>
  <c r="M615" i="5"/>
  <c r="M559" i="5"/>
  <c r="M343" i="5"/>
  <c r="M292" i="5"/>
  <c r="M149" i="5"/>
  <c r="M684" i="5"/>
  <c r="M558" i="5"/>
  <c r="M514" i="5"/>
  <c r="M508" i="5"/>
  <c r="M483" i="5"/>
  <c r="M457" i="5"/>
  <c r="M353" i="5"/>
  <c r="M158" i="5"/>
  <c r="M790" i="5"/>
  <c r="M781" i="5"/>
  <c r="M916" i="5"/>
  <c r="M831" i="5"/>
  <c r="M791" i="5"/>
  <c r="M616" i="5"/>
  <c r="M521" i="5"/>
  <c r="M422" i="5"/>
  <c r="M372" i="5"/>
  <c r="M216" i="5"/>
  <c r="M141" i="5"/>
  <c r="M111" i="5"/>
  <c r="M45" i="5"/>
  <c r="M977" i="5"/>
  <c r="M882" i="5"/>
  <c r="M690" i="5"/>
  <c r="M652" i="5"/>
  <c r="M650" i="5"/>
  <c r="M645" i="5"/>
  <c r="M430" i="5"/>
  <c r="M205" i="5"/>
  <c r="M74" i="5"/>
  <c r="M36" i="5"/>
  <c r="M24" i="5"/>
  <c r="M915" i="5"/>
  <c r="M904" i="5"/>
  <c r="M852" i="5"/>
  <c r="M830" i="5"/>
  <c r="M738" i="5"/>
  <c r="M456" i="5"/>
  <c r="M438" i="5"/>
  <c r="M429" i="5"/>
  <c r="M204" i="5"/>
  <c r="M203" i="5"/>
  <c r="M53" i="5"/>
  <c r="M705" i="5"/>
  <c r="M651" i="5"/>
  <c r="M625" i="5"/>
  <c r="M549" i="5"/>
  <c r="M382" i="5"/>
  <c r="M363" i="5"/>
  <c r="M313" i="5"/>
  <c r="M302" i="5"/>
  <c r="M273" i="5"/>
  <c r="M63" i="5"/>
  <c r="M903" i="5"/>
  <c r="M797" i="5"/>
  <c r="M779" i="5"/>
  <c r="M717" i="5"/>
  <c r="M689" i="5"/>
  <c r="M681" i="5"/>
  <c r="M644" i="5"/>
  <c r="M633" i="5"/>
  <c r="M624" i="5"/>
  <c r="M392" i="5"/>
  <c r="M371" i="5"/>
  <c r="M351" i="5"/>
  <c r="M254" i="5"/>
  <c r="M189" i="5"/>
  <c r="M160" i="5"/>
  <c r="M98" i="5"/>
  <c r="M96" i="5"/>
  <c r="M2" i="5"/>
  <c r="M952" i="5"/>
  <c r="M932" i="5"/>
  <c r="M842" i="5"/>
  <c r="M746" i="5"/>
  <c r="M667" i="5"/>
  <c r="M581" i="5"/>
  <c r="M463" i="5"/>
  <c r="M370" i="5"/>
  <c r="M263" i="5"/>
  <c r="M241" i="5"/>
  <c r="M86" i="5"/>
  <c r="M13" i="5"/>
  <c r="M864" i="5"/>
  <c r="M841" i="5"/>
  <c r="M541" i="5"/>
  <c r="M236" i="5"/>
  <c r="M235" i="5"/>
  <c r="M991" i="5"/>
  <c r="M762" i="5"/>
  <c r="M601" i="5"/>
  <c r="M450" i="5"/>
  <c r="M369" i="5"/>
  <c r="M284" i="5"/>
  <c r="M173" i="5"/>
  <c r="M962" i="5"/>
  <c r="M945" i="5"/>
  <c r="M869" i="5"/>
  <c r="M747" i="5"/>
  <c r="M643" i="5"/>
  <c r="M431" i="5"/>
  <c r="M215" i="5"/>
  <c r="M148" i="5"/>
  <c r="M913" i="5"/>
  <c r="M880" i="5"/>
  <c r="M704" i="5"/>
  <c r="M535" i="5"/>
  <c r="M492" i="5"/>
  <c r="M383" i="5"/>
  <c r="M319" i="5"/>
  <c r="M190" i="5"/>
  <c r="M183" i="5"/>
  <c r="M147" i="5"/>
  <c r="M982" i="5"/>
  <c r="M963" i="5"/>
  <c r="M914" i="5"/>
  <c r="M883" i="5"/>
  <c r="M814" i="5"/>
  <c r="M778" i="5"/>
  <c r="M600" i="5"/>
  <c r="M473" i="5"/>
  <c r="M314" i="5"/>
  <c r="M196" i="5"/>
  <c r="M62" i="5"/>
  <c r="M52" i="5"/>
  <c r="M12" i="5"/>
  <c r="M829" i="5"/>
  <c r="M557" i="5"/>
  <c r="M500" i="5"/>
  <c r="M110" i="5"/>
  <c r="M95" i="5"/>
  <c r="M881" i="5"/>
  <c r="M748" i="5"/>
  <c r="M739" i="5"/>
  <c r="M668" i="5"/>
  <c r="M97" i="5"/>
  <c r="I86" i="3"/>
  <c r="I742" i="3"/>
  <c r="I340" i="3"/>
  <c r="I52" i="3"/>
  <c r="I481" i="3"/>
  <c r="I400" i="3"/>
  <c r="I779" i="3"/>
  <c r="I180" i="3"/>
  <c r="I476" i="3"/>
  <c r="I346" i="3"/>
  <c r="I37" i="3"/>
  <c r="I131" i="3"/>
  <c r="I249" i="3"/>
  <c r="I984" i="3"/>
  <c r="I872" i="3"/>
  <c r="I514" i="3"/>
  <c r="I289" i="3"/>
  <c r="I188" i="3"/>
  <c r="I105" i="3"/>
  <c r="I557" i="3"/>
  <c r="I868" i="3"/>
  <c r="I94" i="3"/>
  <c r="I878" i="3"/>
  <c r="I817" i="3"/>
  <c r="I928" i="3"/>
  <c r="I38" i="3"/>
  <c r="I893" i="3"/>
  <c r="I311" i="3"/>
  <c r="I759" i="3"/>
  <c r="I738" i="3"/>
  <c r="I962" i="3"/>
  <c r="I138" i="3"/>
  <c r="I404" i="3"/>
  <c r="I20" i="3"/>
  <c r="I753" i="3"/>
  <c r="I576" i="3"/>
  <c r="I617" i="3"/>
  <c r="I237" i="3"/>
  <c r="I387" i="3"/>
  <c r="I402" i="3"/>
  <c r="I28" i="3"/>
  <c r="I783" i="3"/>
  <c r="I78" i="3"/>
  <c r="I35" i="3"/>
  <c r="I531" i="3"/>
  <c r="I700" i="3"/>
  <c r="I190" i="3"/>
  <c r="I863" i="3"/>
  <c r="I846" i="3"/>
  <c r="I587" i="3"/>
  <c r="I751" i="3"/>
  <c r="I369" i="3"/>
  <c r="I195" i="3"/>
  <c r="I792" i="3"/>
  <c r="I534" i="3"/>
  <c r="I959" i="3"/>
  <c r="I886" i="3"/>
  <c r="I368" i="3"/>
  <c r="I904" i="3"/>
  <c r="I443" i="3"/>
  <c r="I787" i="3"/>
  <c r="I953" i="3"/>
  <c r="I240" i="3"/>
  <c r="I363" i="3"/>
  <c r="I672" i="3"/>
  <c r="I277" i="3"/>
  <c r="I821" i="3"/>
  <c r="I284" i="3"/>
  <c r="I72" i="3"/>
  <c r="I127" i="3"/>
  <c r="I373" i="3"/>
  <c r="I874" i="3"/>
  <c r="I320" i="3"/>
  <c r="I315" i="3"/>
  <c r="I12" i="3"/>
  <c r="I4" i="3"/>
  <c r="I439" i="3"/>
  <c r="I958" i="3"/>
  <c r="I841" i="3"/>
  <c r="I949" i="3"/>
  <c r="I464" i="3"/>
  <c r="I592" i="3"/>
  <c r="I705" i="3"/>
  <c r="I918" i="3"/>
  <c r="I795" i="3"/>
  <c r="I961" i="3"/>
  <c r="I957" i="3"/>
  <c r="I108" i="3"/>
  <c r="I903" i="3"/>
  <c r="I452" i="3"/>
  <c r="I316" i="3"/>
  <c r="I281" i="3"/>
  <c r="I214" i="3"/>
  <c r="I224" i="3"/>
  <c r="I851" i="3"/>
  <c r="I304" i="3"/>
  <c r="I758" i="3"/>
  <c r="I500" i="3"/>
  <c r="I63" i="3"/>
  <c r="I333" i="3"/>
  <c r="I731" i="3"/>
  <c r="I910" i="3"/>
  <c r="I376" i="3"/>
  <c r="I493" i="3"/>
  <c r="I395" i="3"/>
  <c r="I441" i="3"/>
  <c r="I660" i="3"/>
  <c r="I577" i="3"/>
  <c r="I490" i="3"/>
  <c r="I992" i="3"/>
  <c r="I187" i="3"/>
  <c r="I674" i="3"/>
  <c r="I913" i="3"/>
  <c r="I733" i="3"/>
  <c r="I43" i="3"/>
  <c r="I474" i="3"/>
  <c r="I927" i="3"/>
  <c r="I374" i="3"/>
  <c r="I47" i="3"/>
  <c r="I292" i="3"/>
  <c r="I714" i="3"/>
  <c r="I698" i="3"/>
  <c r="I227" i="3"/>
  <c r="I677" i="3"/>
  <c r="I966" i="3"/>
  <c r="I364" i="3"/>
  <c r="I419" i="3"/>
  <c r="I912" i="3"/>
  <c r="I852" i="3"/>
  <c r="I865" i="3"/>
  <c r="I181" i="3"/>
  <c r="I750" i="3"/>
  <c r="I539" i="3"/>
  <c r="I101" i="3"/>
  <c r="I871" i="3"/>
  <c r="I890" i="3"/>
  <c r="I774" i="3"/>
  <c r="I530" i="3"/>
  <c r="I582" i="3"/>
  <c r="I647" i="3"/>
  <c r="I854" i="3"/>
  <c r="I339" i="3"/>
  <c r="I536" i="3"/>
  <c r="I740" i="3"/>
  <c r="I203" i="3"/>
  <c r="I604" i="3"/>
  <c r="I427" i="3"/>
  <c r="I889" i="3"/>
  <c r="I930" i="3"/>
  <c r="I734" i="3"/>
  <c r="I396" i="3"/>
  <c r="I57" i="3"/>
  <c r="I689" i="3"/>
  <c r="I636" i="3"/>
  <c r="I786" i="3"/>
  <c r="I226" i="3"/>
  <c r="I825" i="3"/>
  <c r="I808" i="3"/>
  <c r="I2" i="3"/>
  <c r="I866" i="3"/>
  <c r="I980" i="3"/>
  <c r="I836" i="3"/>
  <c r="I330" i="3"/>
  <c r="I405" i="3"/>
  <c r="I509" i="3"/>
  <c r="I687" i="3"/>
  <c r="I119" i="3"/>
  <c r="I726" i="3"/>
  <c r="I902" i="3"/>
  <c r="I747" i="3"/>
  <c r="I444" i="3"/>
  <c r="I92" i="3"/>
  <c r="I549" i="3"/>
  <c r="I644" i="3"/>
  <c r="I625" i="3"/>
  <c r="I512" i="3"/>
  <c r="I633" i="3"/>
  <c r="I192" i="3"/>
  <c r="I987" i="3"/>
  <c r="I969" i="3"/>
  <c r="I367" i="3"/>
  <c r="I81" i="3"/>
  <c r="I679" i="3"/>
  <c r="I788" i="3"/>
  <c r="I117" i="3"/>
  <c r="I310" i="3"/>
  <c r="I17" i="3"/>
  <c r="I19" i="3"/>
  <c r="I807" i="3"/>
  <c r="I498" i="3"/>
  <c r="I710" i="3"/>
  <c r="I204" i="3"/>
  <c r="I23" i="3"/>
  <c r="I341" i="3"/>
  <c r="I347" i="3"/>
  <c r="I716" i="3"/>
  <c r="I829" i="3"/>
  <c r="I862" i="3"/>
  <c r="I567" i="3"/>
  <c r="I947" i="3"/>
  <c r="I298" i="3"/>
  <c r="I206" i="3"/>
  <c r="I696" i="3"/>
  <c r="I46" i="3"/>
  <c r="I803" i="3"/>
  <c r="I641" i="3"/>
  <c r="I943" i="3"/>
  <c r="I699" i="3"/>
  <c r="I952" i="3"/>
  <c r="I319" i="3"/>
  <c r="I974" i="3"/>
  <c r="I74" i="3"/>
  <c r="I562" i="3"/>
  <c r="I110" i="3"/>
  <c r="I273" i="3"/>
  <c r="I389" i="3"/>
  <c r="I575" i="3"/>
  <c r="I609" i="3"/>
  <c r="I831" i="3"/>
  <c r="I260" i="3"/>
  <c r="I936" i="3"/>
  <c r="I873" i="3"/>
  <c r="I266" i="3"/>
  <c r="I176" i="3"/>
  <c r="I462" i="3"/>
  <c r="I139" i="3"/>
  <c r="I650" i="3"/>
  <c r="I143" i="3"/>
  <c r="I220" i="3"/>
  <c r="I53" i="3"/>
  <c r="I317" i="3"/>
  <c r="I62" i="3"/>
  <c r="I504" i="3"/>
  <c r="I707" i="3"/>
  <c r="I919" i="3"/>
  <c r="I931" i="3"/>
  <c r="I407" i="3"/>
  <c r="I51" i="3"/>
  <c r="I350" i="3"/>
  <c r="I126" i="3"/>
  <c r="I451" i="3"/>
  <c r="I345" i="3"/>
  <c r="I82" i="3"/>
  <c r="I812" i="3"/>
  <c r="I385" i="3"/>
  <c r="I627" i="3"/>
  <c r="I353" i="3"/>
  <c r="I978" i="3"/>
  <c r="I358" i="3"/>
  <c r="I526" i="3"/>
  <c r="I484" i="3"/>
  <c r="I595" i="3"/>
  <c r="I614" i="3"/>
  <c r="I998" i="3"/>
  <c r="I411" i="3"/>
  <c r="I239" i="3"/>
  <c r="I307" i="3"/>
  <c r="I489" i="3"/>
  <c r="I525" i="3"/>
  <c r="I290" i="3"/>
  <c r="I569" i="3"/>
  <c r="I234" i="3"/>
  <c r="I602" i="3"/>
  <c r="I461" i="3"/>
  <c r="I838" i="3"/>
  <c r="I767" i="3"/>
  <c r="I869" i="3"/>
  <c r="I532" i="3"/>
  <c r="I233" i="3"/>
  <c r="I24" i="3"/>
  <c r="I465" i="3"/>
  <c r="I87" i="3"/>
  <c r="I599" i="3"/>
  <c r="I856" i="3"/>
  <c r="I651" i="3"/>
  <c r="I685" i="3"/>
  <c r="I981" i="3"/>
  <c r="I895" i="3"/>
  <c r="I107" i="3"/>
  <c r="I631" i="3"/>
  <c r="I391" i="3"/>
  <c r="I900" i="3"/>
  <c r="I120" i="3"/>
  <c r="I334" i="3"/>
  <c r="I763" i="3"/>
  <c r="I880" i="3"/>
  <c r="I371" i="3"/>
  <c r="I182" i="3"/>
  <c r="I870" i="3"/>
  <c r="I170" i="3"/>
  <c r="I36" i="3"/>
  <c r="I590" i="3"/>
  <c r="I540" i="3"/>
  <c r="I799" i="3"/>
  <c r="I782" i="3"/>
  <c r="I1000" i="3"/>
  <c r="I496" i="3"/>
  <c r="I541" i="3"/>
  <c r="I426" i="3"/>
  <c r="I877" i="3"/>
  <c r="I528" i="3"/>
  <c r="I920" i="3"/>
  <c r="I724" i="3"/>
  <c r="I1001" i="3"/>
  <c r="I33" i="3"/>
  <c r="I314" i="3"/>
  <c r="I309" i="3"/>
  <c r="I691" i="3"/>
  <c r="I971" i="3"/>
  <c r="I417" i="3"/>
  <c r="I135" i="3"/>
  <c r="I26" i="3"/>
  <c r="I32" i="3"/>
  <c r="I551" i="3"/>
  <c r="I755" i="3"/>
  <c r="I450" i="3"/>
  <c r="I771" i="3"/>
  <c r="I935" i="3"/>
  <c r="I769" i="3"/>
  <c r="I414" i="3"/>
  <c r="I708" i="3"/>
  <c r="I250" i="3"/>
  <c r="I706" i="3"/>
  <c r="I673" i="3"/>
  <c r="I772" i="3"/>
  <c r="I175" i="3"/>
  <c r="I638" i="3"/>
  <c r="I552" i="3"/>
  <c r="I421" i="3"/>
  <c r="I121" i="3"/>
  <c r="I460" i="3"/>
  <c r="I472" i="3"/>
  <c r="I546" i="3"/>
  <c r="I820" i="3"/>
  <c r="I605" i="3"/>
  <c r="I879" i="3"/>
  <c r="I16" i="3"/>
  <c r="I834" i="3"/>
  <c r="I907" i="3"/>
  <c r="I286" i="3"/>
  <c r="I794" i="3"/>
  <c r="I265" i="3"/>
  <c r="I386" i="3"/>
  <c r="I995" i="3"/>
  <c r="I954" i="3"/>
  <c r="I823" i="3"/>
  <c r="I860" i="3"/>
  <c r="I356" i="3"/>
  <c r="I15" i="3"/>
  <c r="I800" i="3"/>
  <c r="I607" i="3"/>
  <c r="I488" i="3"/>
  <c r="I189" i="3"/>
  <c r="I468" i="3"/>
  <c r="I678" i="3"/>
  <c r="I445" i="3"/>
  <c r="I96" i="3"/>
  <c r="I191" i="3"/>
  <c r="I336" i="3"/>
  <c r="I632" i="3"/>
  <c r="I326" i="3"/>
  <c r="I692" i="3"/>
  <c r="I583" i="3"/>
  <c r="I183" i="3"/>
  <c r="I294" i="3"/>
  <c r="I458" i="3"/>
  <c r="I544" i="3"/>
  <c r="I654" i="3"/>
  <c r="I274" i="3"/>
  <c r="I456" i="3"/>
  <c r="I719" i="3"/>
  <c r="I359" i="3"/>
  <c r="I154" i="3"/>
  <c r="I568" i="3"/>
  <c r="I282" i="3"/>
  <c r="I671" i="3"/>
  <c r="I885" i="3"/>
  <c r="I287" i="3"/>
  <c r="I749" i="3"/>
  <c r="I219" i="3"/>
  <c r="I566" i="3"/>
  <c r="I811" i="3"/>
  <c r="I144" i="3"/>
  <c r="I495" i="3"/>
  <c r="I777" i="3"/>
  <c r="I564" i="3"/>
  <c r="I393" i="3"/>
  <c r="I73" i="3"/>
  <c r="I578" i="3"/>
  <c r="I875" i="3"/>
  <c r="I901" i="3"/>
  <c r="I898" i="3"/>
  <c r="I553" i="3"/>
  <c r="I349" i="3"/>
  <c r="I147" i="3"/>
  <c r="I620" i="3"/>
  <c r="I510" i="3"/>
  <c r="I503" i="3"/>
  <c r="I827" i="3"/>
  <c r="I271" i="3"/>
  <c r="I337" i="3"/>
  <c r="I970" i="3"/>
  <c r="I483" i="3"/>
  <c r="I351" i="3"/>
  <c r="I196" i="3"/>
  <c r="I380" i="3"/>
  <c r="I770" i="3"/>
  <c r="I606" i="3"/>
  <c r="I344" i="3"/>
  <c r="I242" i="3"/>
  <c r="I67" i="3"/>
  <c r="I976" i="3"/>
  <c r="I997" i="3"/>
  <c r="I942" i="3"/>
  <c r="I921" i="3"/>
  <c r="I996" i="3"/>
  <c r="I76" i="3"/>
  <c r="I360" i="3"/>
  <c r="I41" i="3"/>
  <c r="I434" i="3"/>
  <c r="I83" i="3"/>
  <c r="I612" i="3"/>
  <c r="I948" i="3"/>
  <c r="I828" i="3"/>
  <c r="I186" i="3"/>
  <c r="I809" i="3"/>
  <c r="I613" i="3"/>
  <c r="I655" i="3"/>
  <c r="I561" i="3"/>
  <c r="I941" i="3"/>
  <c r="I737" i="3"/>
  <c r="I480" i="3"/>
  <c r="I112" i="3"/>
  <c r="I804" i="3"/>
  <c r="I403" i="3"/>
  <c r="I398" i="3"/>
  <c r="I114" i="3"/>
  <c r="I796" i="3"/>
  <c r="I130" i="3"/>
  <c r="I14" i="3"/>
  <c r="I178" i="3"/>
  <c r="I259" i="3"/>
  <c r="I25" i="3"/>
  <c r="I579" i="3"/>
  <c r="I784" i="3"/>
  <c r="I3" i="3"/>
  <c r="I394" i="3"/>
  <c r="I463" i="3"/>
  <c r="I923" i="3"/>
  <c r="I378" i="3"/>
  <c r="I155" i="3"/>
  <c r="I332" i="3"/>
  <c r="I601" i="3"/>
  <c r="I377" i="3"/>
  <c r="I116" i="3"/>
  <c r="I295" i="3"/>
  <c r="I887" i="3"/>
  <c r="I645" i="3"/>
  <c r="I146" i="3"/>
  <c r="I148" i="3"/>
  <c r="I542" i="3"/>
  <c r="I610" i="3"/>
  <c r="I508" i="3"/>
  <c r="I229" i="3"/>
  <c r="I303" i="3"/>
  <c r="I156" i="3"/>
  <c r="I746" i="3"/>
  <c r="I652" i="3"/>
  <c r="I59" i="3"/>
  <c r="I814" i="3"/>
  <c r="I682" i="3"/>
  <c r="I563" i="3"/>
  <c r="I991" i="3"/>
  <c r="I653" i="3"/>
  <c r="I253" i="3"/>
  <c r="I302" i="3"/>
  <c r="I517" i="3"/>
  <c r="I649" i="3"/>
  <c r="I382" i="3"/>
  <c r="I778" i="3"/>
  <c r="I54" i="3"/>
  <c r="I975" i="3"/>
  <c r="I106" i="3"/>
  <c r="I118" i="3"/>
  <c r="I142" i="3"/>
  <c r="I524" i="3"/>
  <c r="I137" i="3"/>
  <c r="I251" i="3"/>
  <c r="I925" i="3"/>
  <c r="I218" i="3"/>
  <c r="I535" i="3"/>
  <c r="I125" i="3"/>
  <c r="I205" i="3"/>
  <c r="I715" i="3"/>
  <c r="I379" i="3"/>
  <c r="I225" i="3"/>
  <c r="I624" i="3"/>
  <c r="I511" i="3"/>
  <c r="I60" i="3"/>
  <c r="I859" i="3"/>
  <c r="I447" i="3"/>
  <c r="I993" i="3"/>
  <c r="I272" i="3"/>
  <c r="I291" i="3"/>
  <c r="I585" i="3"/>
  <c r="I826" i="3"/>
  <c r="I435" i="3"/>
  <c r="I318" i="3"/>
  <c r="I102" i="3"/>
  <c r="I267" i="3"/>
  <c r="I589" i="3"/>
  <c r="I482" i="3"/>
  <c r="I789" i="3"/>
  <c r="I648" i="3"/>
  <c r="I296" i="3"/>
  <c r="I136" i="3"/>
  <c r="I515" i="3"/>
  <c r="I222" i="3"/>
  <c r="I166" i="3"/>
  <c r="I283" i="3"/>
  <c r="I215" i="3"/>
  <c r="I858" i="3"/>
  <c r="I728" i="3"/>
  <c r="I711" i="3"/>
  <c r="I914" i="3"/>
  <c r="I982" i="3"/>
  <c r="I169" i="3"/>
  <c r="I950" i="3"/>
  <c r="I867" i="3"/>
  <c r="I322" i="3"/>
  <c r="I505" i="3"/>
  <c r="I658" i="3"/>
  <c r="I676" i="3"/>
  <c r="I960" i="3"/>
  <c r="I61" i="3"/>
  <c r="I709" i="3"/>
  <c r="I819" i="3"/>
  <c r="I365" i="3"/>
  <c r="I269" i="3"/>
  <c r="I765" i="3"/>
  <c r="I75" i="3"/>
  <c r="I646" i="3"/>
  <c r="I713" i="3"/>
  <c r="I516" i="3"/>
  <c r="I659" i="3"/>
  <c r="I527" i="3"/>
  <c r="I916" i="3"/>
  <c r="I352" i="3"/>
  <c r="I548" i="3"/>
  <c r="I593" i="3"/>
  <c r="I888" i="3"/>
  <c r="I149" i="3"/>
  <c r="I300" i="3"/>
  <c r="I939" i="3"/>
  <c r="I798" i="3"/>
  <c r="I66" i="3"/>
  <c r="I91" i="3"/>
  <c r="I999" i="3"/>
  <c r="I615" i="3"/>
  <c r="I21" i="3"/>
  <c r="I611" i="3"/>
  <c r="I801" i="3"/>
  <c r="I964" i="3"/>
  <c r="I830" i="3"/>
  <c r="I754" i="3"/>
  <c r="I200" i="3"/>
  <c r="I670" i="3"/>
  <c r="I409" i="3"/>
  <c r="I262" i="3"/>
  <c r="I437" i="3"/>
  <c r="I89" i="3"/>
  <c r="I80" i="3"/>
  <c r="I727" i="3"/>
  <c r="I723" i="3"/>
  <c r="I791" i="3"/>
  <c r="I438" i="3"/>
  <c r="I454" i="3"/>
  <c r="I847" i="3"/>
  <c r="I559" i="3"/>
  <c r="I173" i="3"/>
  <c r="I254" i="3"/>
  <c r="I522" i="3"/>
  <c r="I168" i="3"/>
  <c r="I235" i="3"/>
  <c r="I520" i="3"/>
  <c r="I775" i="3"/>
  <c r="I479" i="3"/>
  <c r="I45" i="3"/>
  <c r="I288" i="3"/>
  <c r="I432" i="3"/>
  <c r="I818" i="3"/>
  <c r="I248" i="3"/>
  <c r="I264" i="3"/>
  <c r="I361" i="3"/>
  <c r="I401" i="3"/>
  <c r="I850" i="3"/>
  <c r="I459" i="3"/>
  <c r="I375" i="3"/>
  <c r="I228" i="3"/>
  <c r="I806" i="3"/>
  <c r="I507" i="3"/>
  <c r="I160" i="3"/>
  <c r="I5" i="3"/>
  <c r="I64" i="3"/>
  <c r="I729" i="3"/>
  <c r="I324" i="3"/>
  <c r="I185" i="3"/>
  <c r="I221" i="3"/>
  <c r="I44" i="3"/>
  <c r="I278" i="3"/>
  <c r="I98" i="3"/>
  <c r="I822" i="3"/>
  <c r="I270" i="3"/>
  <c r="I790" i="3"/>
  <c r="I133" i="3"/>
  <c r="I306" i="3"/>
  <c r="I513" i="3"/>
  <c r="I134" i="3"/>
  <c r="I924" i="3"/>
  <c r="I843" i="3"/>
  <c r="I129" i="3"/>
  <c r="I945" i="3"/>
  <c r="I423" i="3"/>
  <c r="I100" i="3"/>
  <c r="I252" i="3"/>
  <c r="I946" i="3"/>
  <c r="I665" i="3"/>
  <c r="I90" i="3"/>
  <c r="I915" i="3"/>
  <c r="I571" i="3"/>
  <c r="I7" i="3"/>
  <c r="I343" i="3"/>
  <c r="I622" i="3"/>
  <c r="I529" i="3"/>
  <c r="I892" i="3"/>
  <c r="I257" i="3"/>
  <c r="I212" i="3"/>
  <c r="I922" i="3"/>
  <c r="I565" i="3"/>
  <c r="I232" i="3"/>
  <c r="I908" i="3"/>
  <c r="I331" i="3"/>
  <c r="I712" i="3"/>
  <c r="I637" i="3"/>
  <c r="I85" i="3"/>
  <c r="I207" i="3"/>
  <c r="I824" i="3"/>
  <c r="I327" i="3"/>
  <c r="I600" i="3"/>
  <c r="I547" i="3"/>
  <c r="I883" i="3"/>
  <c r="I241" i="3"/>
  <c r="I153" i="3"/>
  <c r="I69" i="3"/>
  <c r="I8" i="3"/>
  <c r="I428" i="3"/>
  <c r="I194" i="3"/>
  <c r="I449" i="3"/>
  <c r="I643" i="3"/>
  <c r="I413" i="3"/>
  <c r="I560" i="3"/>
  <c r="I422" i="3"/>
  <c r="I93" i="3"/>
  <c r="I157" i="3"/>
  <c r="I297" i="3"/>
  <c r="I208" i="3"/>
  <c r="I247" i="3"/>
  <c r="I10" i="3"/>
  <c r="I725" i="3"/>
  <c r="I430" i="3"/>
  <c r="I597" i="3"/>
  <c r="I485" i="3"/>
  <c r="I538" i="3"/>
  <c r="I588" i="3"/>
  <c r="I263" i="3"/>
  <c r="I473" i="3"/>
  <c r="I683" i="3"/>
  <c r="I855" i="3"/>
  <c r="I664" i="3"/>
  <c r="I897" i="3"/>
  <c r="I113" i="3"/>
  <c r="I899" i="3"/>
  <c r="I781" i="3"/>
  <c r="I972" i="3"/>
  <c r="I50" i="3"/>
  <c r="I989" i="3"/>
  <c r="I926" i="3"/>
  <c r="I732" i="3"/>
  <c r="I279" i="3"/>
  <c r="I79" i="3"/>
  <c r="I956" i="3"/>
  <c r="I929" i="3"/>
  <c r="I882" i="3"/>
  <c r="I556" i="3"/>
  <c r="I690" i="3"/>
  <c r="I518" i="3"/>
  <c r="I132" i="3"/>
  <c r="I372" i="3"/>
  <c r="I580" i="3"/>
  <c r="I123" i="3"/>
  <c r="I11" i="3"/>
  <c r="I384" i="3"/>
  <c r="I937" i="3"/>
  <c r="I573" i="3"/>
  <c r="I299" i="3"/>
  <c r="I581" i="3"/>
  <c r="I623" i="3"/>
  <c r="I243" i="3"/>
  <c r="I603" i="3"/>
  <c r="I58" i="3"/>
  <c r="I752" i="3"/>
  <c r="I293" i="3"/>
  <c r="I667" i="3"/>
  <c r="I968" i="3"/>
  <c r="I440" i="3"/>
  <c r="I18" i="3"/>
  <c r="I328" i="3"/>
  <c r="I27" i="3"/>
  <c r="I256" i="3"/>
  <c r="I722" i="3"/>
  <c r="I955" i="3"/>
  <c r="I762" i="3"/>
  <c r="I9" i="3"/>
  <c r="I848" i="3"/>
  <c r="I162" i="3"/>
  <c r="I896" i="3"/>
  <c r="I198" i="3"/>
  <c r="I381" i="3"/>
  <c r="I128" i="3"/>
  <c r="I815" i="3"/>
  <c r="I285" i="3"/>
  <c r="I675" i="3"/>
  <c r="I704" i="3"/>
  <c r="I354" i="3"/>
  <c r="I321" i="3"/>
  <c r="I151" i="3"/>
  <c r="I634" i="3"/>
  <c r="I392" i="3"/>
  <c r="I275" i="3"/>
  <c r="I967" i="3"/>
  <c r="I844" i="3"/>
  <c r="I6" i="3"/>
  <c r="I630" i="3"/>
  <c r="I697" i="3"/>
  <c r="I370" i="3"/>
  <c r="I744" i="3"/>
  <c r="I805" i="3"/>
  <c r="I616" i="3"/>
  <c r="I184" i="3"/>
  <c r="I693" i="3"/>
  <c r="I703" i="3"/>
  <c r="I109" i="3"/>
  <c r="I77" i="3"/>
  <c r="I470" i="3"/>
  <c r="I399" i="3"/>
  <c r="I876" i="3"/>
  <c r="I406" i="3"/>
  <c r="I255" i="3"/>
  <c r="I103" i="3"/>
  <c r="I657" i="3"/>
  <c r="I985" i="3"/>
  <c r="I584" i="3"/>
  <c r="I436" i="3"/>
  <c r="I197" i="3"/>
  <c r="I686" i="3"/>
  <c r="I84" i="3"/>
  <c r="I973" i="3"/>
  <c r="I88" i="3"/>
  <c r="I388" i="3"/>
  <c r="I994" i="3"/>
  <c r="I163" i="3"/>
  <c r="I905" i="3"/>
  <c r="I680" i="3"/>
  <c r="I911" i="3"/>
  <c r="I122" i="3"/>
  <c r="I555" i="3"/>
  <c r="I506" i="3"/>
  <c r="I49" i="3"/>
  <c r="I276" i="3"/>
  <c r="I104" i="3"/>
  <c r="I453" i="3"/>
  <c r="I34" i="3"/>
  <c r="I325" i="3"/>
  <c r="I642" i="3"/>
  <c r="I477" i="3"/>
  <c r="I761" i="3"/>
  <c r="I720" i="3"/>
  <c r="I554" i="3"/>
  <c r="I486" i="3"/>
  <c r="I884" i="3"/>
  <c r="I397" i="3"/>
  <c r="I412" i="3"/>
  <c r="I656" i="3"/>
  <c r="I338" i="3"/>
  <c r="I362" i="3"/>
  <c r="I842" i="3"/>
  <c r="I990" i="3"/>
  <c r="I308" i="3"/>
  <c r="I442" i="3"/>
  <c r="I635" i="3"/>
  <c r="I837" i="3"/>
  <c r="I357" i="3"/>
  <c r="I471" i="3"/>
  <c r="I663" i="3"/>
  <c r="I280" i="3"/>
  <c r="I845" i="3"/>
  <c r="I335" i="3"/>
  <c r="I717" i="3"/>
  <c r="I164" i="3"/>
  <c r="I193" i="3"/>
  <c r="I56" i="3"/>
  <c r="I348" i="3"/>
  <c r="I741" i="3"/>
  <c r="I701" i="3"/>
  <c r="I933" i="3"/>
  <c r="I145" i="3"/>
  <c r="I466" i="3"/>
  <c r="I97" i="3"/>
  <c r="I977" i="3"/>
  <c r="I736" i="3"/>
  <c r="I172" i="3"/>
  <c r="I640" i="3"/>
  <c r="I209" i="3"/>
  <c r="I760" i="3"/>
  <c r="I639" i="3"/>
  <c r="I491" i="3"/>
  <c r="I501" i="3"/>
  <c r="I487" i="3"/>
  <c r="I523" i="3"/>
  <c r="I906" i="3"/>
  <c r="I739" i="3"/>
  <c r="I521" i="3"/>
  <c r="I469" i="3"/>
  <c r="I301" i="3"/>
  <c r="I410" i="3"/>
  <c r="I983" i="3"/>
  <c r="I776" i="3"/>
  <c r="I944" i="3"/>
  <c r="I238" i="3"/>
  <c r="I29" i="3"/>
  <c r="I425" i="3"/>
  <c r="I236" i="3"/>
  <c r="I840" i="3"/>
  <c r="I629" i="3"/>
  <c r="I793" i="3"/>
  <c r="I70" i="3"/>
  <c r="I979" i="3"/>
  <c r="I833" i="3"/>
  <c r="I179" i="3"/>
  <c r="I591" i="3"/>
  <c r="I431" i="3"/>
  <c r="I492" i="3"/>
  <c r="I40" i="3"/>
  <c r="I695" i="3"/>
  <c r="I258" i="3"/>
  <c r="I124" i="3"/>
  <c r="I628" i="3"/>
  <c r="I626" i="3"/>
  <c r="I688" i="3"/>
  <c r="I415" i="3"/>
  <c r="I244" i="3"/>
  <c r="I951" i="3"/>
  <c r="I909" i="3"/>
  <c r="I780" i="3"/>
  <c r="I891" i="3"/>
  <c r="I457" i="3"/>
  <c r="I832" i="3"/>
  <c r="I433" i="3"/>
  <c r="I499" i="3"/>
  <c r="I68" i="3"/>
  <c r="I71" i="3"/>
  <c r="I748" i="3"/>
  <c r="I213" i="3"/>
  <c r="I839" i="3"/>
  <c r="I519" i="3"/>
  <c r="I618" i="3"/>
  <c r="I494" i="3"/>
  <c r="I202" i="3"/>
  <c r="I768" i="3"/>
  <c r="I312" i="3"/>
  <c r="I31" i="3"/>
  <c r="I329" i="3"/>
  <c r="I938" i="3"/>
  <c r="I165" i="3"/>
  <c r="I894" i="3"/>
  <c r="I810" i="3"/>
  <c r="I167" i="3"/>
  <c r="I586" i="3"/>
  <c r="I988" i="3"/>
  <c r="I174" i="3"/>
  <c r="I745" i="3"/>
  <c r="I161" i="3"/>
  <c r="I13" i="3"/>
  <c r="I141" i="3"/>
  <c r="I30" i="3"/>
  <c r="I95" i="3"/>
  <c r="I424" i="3"/>
  <c r="I245" i="3"/>
  <c r="I574" i="3"/>
  <c r="I619" i="3"/>
  <c r="I816" i="3"/>
  <c r="I661" i="3"/>
  <c r="I570" i="3"/>
  <c r="I342" i="3"/>
  <c r="I502" i="3"/>
  <c r="I475" i="3"/>
  <c r="I42" i="3"/>
  <c r="I159" i="3"/>
  <c r="I853" i="3"/>
  <c r="I608" i="3"/>
  <c r="I684" i="3"/>
  <c r="I940" i="3"/>
  <c r="I881" i="3"/>
  <c r="I55" i="3"/>
  <c r="I177" i="3"/>
  <c r="I849" i="3"/>
  <c r="I305" i="3"/>
  <c r="I446" i="3"/>
  <c r="I730" i="3"/>
  <c r="I408" i="3"/>
  <c r="I963" i="3"/>
  <c r="I550" i="3"/>
  <c r="I594" i="3"/>
  <c r="I231" i="3"/>
  <c r="I537" i="3"/>
  <c r="I223" i="3"/>
  <c r="I668" i="3"/>
  <c r="I813" i="3"/>
  <c r="I681" i="3"/>
  <c r="I140" i="3"/>
  <c r="I268" i="3"/>
  <c r="I429" i="3"/>
  <c r="I390" i="3"/>
  <c r="I598" i="3"/>
  <c r="I211" i="3"/>
  <c r="I230" i="3"/>
  <c r="I861" i="3"/>
  <c r="I383" i="3"/>
  <c r="I835" i="3"/>
  <c r="I669" i="3"/>
  <c r="I455" i="3"/>
  <c r="I986" i="3"/>
  <c r="I735" i="3"/>
  <c r="I418" i="3"/>
  <c r="I152" i="3"/>
  <c r="I99" i="3"/>
  <c r="I217" i="3"/>
  <c r="I932" i="3"/>
  <c r="I743" i="3"/>
  <c r="I467" i="3"/>
  <c r="I65" i="3"/>
  <c r="I621" i="3"/>
  <c r="I115" i="3"/>
  <c r="I313" i="3"/>
  <c r="I721" i="3"/>
  <c r="I558" i="3"/>
  <c r="I210" i="3"/>
  <c r="I199" i="3"/>
  <c r="I596" i="3"/>
  <c r="I216" i="3"/>
  <c r="I171" i="3"/>
  <c r="I857" i="3"/>
  <c r="I323" i="3"/>
  <c r="I478" i="3"/>
  <c r="I366" i="3"/>
  <c r="I965" i="3"/>
  <c r="I22" i="3"/>
  <c r="I757" i="3"/>
  <c r="I533" i="3"/>
  <c r="I718" i="3"/>
  <c r="I702" i="3"/>
  <c r="I355" i="3"/>
  <c r="I572" i="3"/>
  <c r="I48" i="3"/>
  <c r="I773" i="3"/>
  <c r="I545" i="3"/>
  <c r="I666" i="3"/>
  <c r="I766" i="3"/>
  <c r="I261" i="3"/>
  <c r="I764" i="3"/>
  <c r="I39" i="3"/>
  <c r="I756" i="3"/>
  <c r="I158" i="3"/>
  <c r="I543" i="3"/>
  <c r="I201" i="3"/>
  <c r="I797" i="3"/>
  <c r="I864" i="3"/>
  <c r="I497" i="3"/>
  <c r="I785" i="3"/>
  <c r="I246" i="3"/>
  <c r="I420" i="3"/>
  <c r="I917" i="3"/>
  <c r="I934" i="3"/>
  <c r="I448" i="3"/>
  <c r="I694" i="3"/>
  <c r="I662" i="3"/>
  <c r="I802" i="3"/>
  <c r="I111" i="3"/>
  <c r="I150" i="3"/>
  <c r="I41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32F0DA-9181-49A6-BCB6-BA0090104294}" keepAlive="1" name="Query - bmw_global_sales_dataset" description="Connection to the 'bmw_global_sales_dataset' query in the workbook." type="5" refreshedVersion="8" background="1" saveData="1">
    <dbPr connection="Provider=Microsoft.Mashup.OleDb.1;Data Source=$Workbook$;Location=bmw_global_sales_dataset;Extended Properties=&quot;&quot;" command="SELECT * FROM [bmw_global_sales_dataset]"/>
  </connection>
  <connection id="2" xr16:uid="{623E3447-CE1B-4810-B3CB-82A999399567}" keepAlive="1" name="Query - bmw_global_sales_dataset (2)" description="Connection to the 'bmw_global_sales_dataset (2)' query in the workbook." type="5" refreshedVersion="8" background="1" saveData="1">
    <dbPr connection="Provider=Microsoft.Mashup.OleDb.1;Data Source=$Workbook$;Location=&quot;bmw_global_sales_dataset (2)&quot;;Extended Properties=&quot;&quot;" command="SELECT * FROM [bmw_global_sales_dataset (2)]"/>
  </connection>
</connections>
</file>

<file path=xl/sharedStrings.xml><?xml version="1.0" encoding="utf-8"?>
<sst xmlns="http://schemas.openxmlformats.org/spreadsheetml/2006/main" count="14423" uniqueCount="295">
  <si>
    <t>year</t>
  </si>
  <si>
    <t>month</t>
  </si>
  <si>
    <t>country</t>
  </si>
  <si>
    <t>model</t>
  </si>
  <si>
    <t>segment</t>
  </si>
  <si>
    <t>engine_type</t>
  </si>
  <si>
    <t>price_usd</t>
  </si>
  <si>
    <t>marketing_spend_usd</t>
  </si>
  <si>
    <t>dealership_count</t>
  </si>
  <si>
    <t>fuel_price_usd</t>
  </si>
  <si>
    <t>gdp_growth_percent</t>
  </si>
  <si>
    <t>interest_rate_percent</t>
  </si>
  <si>
    <t>competition_index</t>
  </si>
  <si>
    <t>units_sold</t>
  </si>
  <si>
    <t>Australia</t>
  </si>
  <si>
    <t>X1</t>
  </si>
  <si>
    <t>SUV</t>
  </si>
  <si>
    <t>Petrol</t>
  </si>
  <si>
    <t>i4</t>
  </si>
  <si>
    <t>Sedan</t>
  </si>
  <si>
    <t>Electric</t>
  </si>
  <si>
    <t>USA</t>
  </si>
  <si>
    <t>5 Series</t>
  </si>
  <si>
    <t>Hybrid</t>
  </si>
  <si>
    <t>i7</t>
  </si>
  <si>
    <t>Brazil</t>
  </si>
  <si>
    <t>X5</t>
  </si>
  <si>
    <t>Diesel</t>
  </si>
  <si>
    <t>China</t>
  </si>
  <si>
    <t>X7</t>
  </si>
  <si>
    <t>India</t>
  </si>
  <si>
    <t>3 Series</t>
  </si>
  <si>
    <t>UK</t>
  </si>
  <si>
    <t>7 Series</t>
  </si>
  <si>
    <t>X3</t>
  </si>
  <si>
    <t>Canada</t>
  </si>
  <si>
    <t>Germany</t>
  </si>
  <si>
    <t>France</t>
  </si>
  <si>
    <t>Japan</t>
  </si>
  <si>
    <t>iX</t>
  </si>
  <si>
    <t>revenue</t>
  </si>
  <si>
    <t>Sales_Id</t>
  </si>
  <si>
    <t>Model</t>
  </si>
  <si>
    <t>Model_Id</t>
  </si>
  <si>
    <t>3 SElDi</t>
  </si>
  <si>
    <t>3 SSeDi</t>
  </si>
  <si>
    <t>3 SSUDi</t>
  </si>
  <si>
    <t>3 SElEl</t>
  </si>
  <si>
    <t>3 SSeEl</t>
  </si>
  <si>
    <t>3 SSUEl</t>
  </si>
  <si>
    <t>3 SElHy</t>
  </si>
  <si>
    <t>3 SSeHy</t>
  </si>
  <si>
    <t>3 SSUHy</t>
  </si>
  <si>
    <t>3 SElPe</t>
  </si>
  <si>
    <t>3 SSePe</t>
  </si>
  <si>
    <t>3 SSUPe</t>
  </si>
  <si>
    <t>5 SElDi</t>
  </si>
  <si>
    <t>5 SSeDi</t>
  </si>
  <si>
    <t>5 SSUDi</t>
  </si>
  <si>
    <t>5 SElEl</t>
  </si>
  <si>
    <t>5 SSeEl</t>
  </si>
  <si>
    <t>5 SSUEl</t>
  </si>
  <si>
    <t>5 SElHy</t>
  </si>
  <si>
    <t>5 SSeHy</t>
  </si>
  <si>
    <t>5 SSUHy</t>
  </si>
  <si>
    <t>5 SElPe</t>
  </si>
  <si>
    <t>5 SSePe</t>
  </si>
  <si>
    <t>5 SSUPe</t>
  </si>
  <si>
    <t>7 SElDi</t>
  </si>
  <si>
    <t>7 SSeDi</t>
  </si>
  <si>
    <t>7 SSUDi</t>
  </si>
  <si>
    <t>7 SElEl</t>
  </si>
  <si>
    <t>7 SSeEl</t>
  </si>
  <si>
    <t>7 SSUEl</t>
  </si>
  <si>
    <t>7 SElHy</t>
  </si>
  <si>
    <t>7 SSeHy</t>
  </si>
  <si>
    <t>7 SSUHy</t>
  </si>
  <si>
    <t>7 SElPe</t>
  </si>
  <si>
    <t>7 SSePe</t>
  </si>
  <si>
    <t>7 SSUPe</t>
  </si>
  <si>
    <t>i4ElDi</t>
  </si>
  <si>
    <t>i4SeDi</t>
  </si>
  <si>
    <t>i4SUDi</t>
  </si>
  <si>
    <t>i4ElEl</t>
  </si>
  <si>
    <t>i4SeEl</t>
  </si>
  <si>
    <t>i4SUEl</t>
  </si>
  <si>
    <t>i4ElHy</t>
  </si>
  <si>
    <t>i4SeHy</t>
  </si>
  <si>
    <t>i4SUHy</t>
  </si>
  <si>
    <t>i4ElPe</t>
  </si>
  <si>
    <t>i4SePe</t>
  </si>
  <si>
    <t>i4SUPe</t>
  </si>
  <si>
    <t>i7ElDi</t>
  </si>
  <si>
    <t>i7SeDi</t>
  </si>
  <si>
    <t>i7SUDi</t>
  </si>
  <si>
    <t>i7ElEl</t>
  </si>
  <si>
    <t>i7SeEl</t>
  </si>
  <si>
    <t>i7SUEl</t>
  </si>
  <si>
    <t>i7ElHy</t>
  </si>
  <si>
    <t>i7SeHy</t>
  </si>
  <si>
    <t>i7SUHy</t>
  </si>
  <si>
    <t>i7ElPe</t>
  </si>
  <si>
    <t>i7SePe</t>
  </si>
  <si>
    <t>i7SUPe</t>
  </si>
  <si>
    <t>iXElDi</t>
  </si>
  <si>
    <t>iXSeDi</t>
  </si>
  <si>
    <t>iXSUDi</t>
  </si>
  <si>
    <t>iXElEl</t>
  </si>
  <si>
    <t>iXSeEl</t>
  </si>
  <si>
    <t>iXSUEl</t>
  </si>
  <si>
    <t>iXElHy</t>
  </si>
  <si>
    <t>iXSeHy</t>
  </si>
  <si>
    <t>iXSUHy</t>
  </si>
  <si>
    <t>iXElPe</t>
  </si>
  <si>
    <t>iXSePe</t>
  </si>
  <si>
    <t>iXSUPe</t>
  </si>
  <si>
    <t>X1ElDi</t>
  </si>
  <si>
    <t>X1SeDi</t>
  </si>
  <si>
    <t>X1SUDi</t>
  </si>
  <si>
    <t>X1ElEl</t>
  </si>
  <si>
    <t>X1SeEl</t>
  </si>
  <si>
    <t>X1SUEl</t>
  </si>
  <si>
    <t>X1ElHy</t>
  </si>
  <si>
    <t>X1SeHy</t>
  </si>
  <si>
    <t>X1SUHy</t>
  </si>
  <si>
    <t>X1ElPe</t>
  </si>
  <si>
    <t>X1SePe</t>
  </si>
  <si>
    <t>X1SUPe</t>
  </si>
  <si>
    <t>X3ElDi</t>
  </si>
  <si>
    <t>X3SeDi</t>
  </si>
  <si>
    <t>X3SUDi</t>
  </si>
  <si>
    <t>X3ElEl</t>
  </si>
  <si>
    <t>X3SeEl</t>
  </si>
  <si>
    <t>X3SUEl</t>
  </si>
  <si>
    <t>X3ElHy</t>
  </si>
  <si>
    <t>X3SeHy</t>
  </si>
  <si>
    <t>X3SUHy</t>
  </si>
  <si>
    <t>X3ElPe</t>
  </si>
  <si>
    <t>X3SePe</t>
  </si>
  <si>
    <t>X3SUPe</t>
  </si>
  <si>
    <t>X5ElDi</t>
  </si>
  <si>
    <t>X5SeDi</t>
  </si>
  <si>
    <t>X5SUDi</t>
  </si>
  <si>
    <t>X5ElEl</t>
  </si>
  <si>
    <t>X5SeEl</t>
  </si>
  <si>
    <t>X5SUEl</t>
  </si>
  <si>
    <t>X5ElHy</t>
  </si>
  <si>
    <t>X5SeHy</t>
  </si>
  <si>
    <t>X5SUHy</t>
  </si>
  <si>
    <t>X5ElPe</t>
  </si>
  <si>
    <t>X5SePe</t>
  </si>
  <si>
    <t>X5SUPe</t>
  </si>
  <si>
    <t>X7ElPe</t>
  </si>
  <si>
    <t>X7SePe</t>
  </si>
  <si>
    <t>X7ElDi</t>
  </si>
  <si>
    <t>X7SeDi</t>
  </si>
  <si>
    <t>X7SUDi</t>
  </si>
  <si>
    <t>X7ElEl</t>
  </si>
  <si>
    <t>X7SeEl</t>
  </si>
  <si>
    <t>X7SUEl</t>
  </si>
  <si>
    <t>X7ElHy</t>
  </si>
  <si>
    <t>X7SeHy</t>
  </si>
  <si>
    <t>X7SUHy</t>
  </si>
  <si>
    <t>country Id</t>
  </si>
  <si>
    <t>Descrip_Id</t>
  </si>
  <si>
    <t>US</t>
  </si>
  <si>
    <t>JP</t>
  </si>
  <si>
    <t>FR</t>
  </si>
  <si>
    <t>IN</t>
  </si>
  <si>
    <t>DE</t>
  </si>
  <si>
    <t>CN</t>
  </si>
  <si>
    <t>CA</t>
  </si>
  <si>
    <t>BR</t>
  </si>
  <si>
    <t>AU</t>
  </si>
  <si>
    <t>date_id</t>
  </si>
  <si>
    <t>20191</t>
  </si>
  <si>
    <t>20165</t>
  </si>
  <si>
    <t>201512</t>
  </si>
  <si>
    <t>202212</t>
  </si>
  <si>
    <t>20217</t>
  </si>
  <si>
    <t>202112</t>
  </si>
  <si>
    <t>20194</t>
  </si>
  <si>
    <t>20245</t>
  </si>
  <si>
    <t>20243</t>
  </si>
  <si>
    <t>20175</t>
  </si>
  <si>
    <t>202210</t>
  </si>
  <si>
    <t>201910</t>
  </si>
  <si>
    <t>20239</t>
  </si>
  <si>
    <t>201612</t>
  </si>
  <si>
    <t>20205</t>
  </si>
  <si>
    <t>20166</t>
  </si>
  <si>
    <t>20227</t>
  </si>
  <si>
    <t>20155</t>
  </si>
  <si>
    <t>20228</t>
  </si>
  <si>
    <t>20177</t>
  </si>
  <si>
    <t>20229</t>
  </si>
  <si>
    <t>20156</t>
  </si>
  <si>
    <t>20208</t>
  </si>
  <si>
    <t>20186</t>
  </si>
  <si>
    <t>20222</t>
  </si>
  <si>
    <t>20203</t>
  </si>
  <si>
    <t>20152</t>
  </si>
  <si>
    <t>20248</t>
  </si>
  <si>
    <t>20187</t>
  </si>
  <si>
    <t>20198</t>
  </si>
  <si>
    <t>20182</t>
  </si>
  <si>
    <t>20237</t>
  </si>
  <si>
    <t>20168</t>
  </si>
  <si>
    <t>20172</t>
  </si>
  <si>
    <t>202011</t>
  </si>
  <si>
    <t>20171</t>
  </si>
  <si>
    <t>20207</t>
  </si>
  <si>
    <t>20181</t>
  </si>
  <si>
    <t>20212</t>
  </si>
  <si>
    <t>20158</t>
  </si>
  <si>
    <t>20197</t>
  </si>
  <si>
    <t>20225</t>
  </si>
  <si>
    <t>201511</t>
  </si>
  <si>
    <t>20224</t>
  </si>
  <si>
    <t>202411</t>
  </si>
  <si>
    <t>20195</t>
  </si>
  <si>
    <t>20218</t>
  </si>
  <si>
    <t>20235</t>
  </si>
  <si>
    <t>20189</t>
  </si>
  <si>
    <t>20238</t>
  </si>
  <si>
    <t>20173</t>
  </si>
  <si>
    <t>201810</t>
  </si>
  <si>
    <t>20193</t>
  </si>
  <si>
    <t>20178</t>
  </si>
  <si>
    <t>20163</t>
  </si>
  <si>
    <t>202110</t>
  </si>
  <si>
    <t>20231</t>
  </si>
  <si>
    <t>20204</t>
  </si>
  <si>
    <t>20206</t>
  </si>
  <si>
    <t>20223</t>
  </si>
  <si>
    <t>201712</t>
  </si>
  <si>
    <t>20236</t>
  </si>
  <si>
    <t>20169</t>
  </si>
  <si>
    <t>20157</t>
  </si>
  <si>
    <t>202311</t>
  </si>
  <si>
    <t>202012</t>
  </si>
  <si>
    <t>201911</t>
  </si>
  <si>
    <t>20184</t>
  </si>
  <si>
    <t>20232</t>
  </si>
  <si>
    <t>20192</t>
  </si>
  <si>
    <t>20153</t>
  </si>
  <si>
    <t>20164</t>
  </si>
  <si>
    <t>20167</t>
  </si>
  <si>
    <t>202010</t>
  </si>
  <si>
    <t>202312</t>
  </si>
  <si>
    <t>20154</t>
  </si>
  <si>
    <t>20201</t>
  </si>
  <si>
    <t>20226</t>
  </si>
  <si>
    <t>20234</t>
  </si>
  <si>
    <t>20196</t>
  </si>
  <si>
    <t>20242</t>
  </si>
  <si>
    <t>20246</t>
  </si>
  <si>
    <t>20213</t>
  </si>
  <si>
    <t>20162</t>
  </si>
  <si>
    <t>202410</t>
  </si>
  <si>
    <t>202211</t>
  </si>
  <si>
    <t>20174</t>
  </si>
  <si>
    <t>201711</t>
  </si>
  <si>
    <t>20202</t>
  </si>
  <si>
    <t>20199</t>
  </si>
  <si>
    <t>20214</t>
  </si>
  <si>
    <t>20185</t>
  </si>
  <si>
    <t>201611</t>
  </si>
  <si>
    <t>20183</t>
  </si>
  <si>
    <t>20179</t>
  </si>
  <si>
    <t>20216</t>
  </si>
  <si>
    <t>201812</t>
  </si>
  <si>
    <t>20161</t>
  </si>
  <si>
    <t>20219</t>
  </si>
  <si>
    <t>202412</t>
  </si>
  <si>
    <t>201510</t>
  </si>
  <si>
    <t>20249</t>
  </si>
  <si>
    <t>20159</t>
  </si>
  <si>
    <t>202310</t>
  </si>
  <si>
    <t>202111</t>
  </si>
  <si>
    <t>201610</t>
  </si>
  <si>
    <t>20188</t>
  </si>
  <si>
    <t>20151</t>
  </si>
  <si>
    <t>201811</t>
  </si>
  <si>
    <t>20221</t>
  </si>
  <si>
    <t>201710</t>
  </si>
  <si>
    <t>20241</t>
  </si>
  <si>
    <t>20247</t>
  </si>
  <si>
    <t>20209</t>
  </si>
  <si>
    <t>20244</t>
  </si>
  <si>
    <t>20215</t>
  </si>
  <si>
    <t>20233</t>
  </si>
  <si>
    <t>20176</t>
  </si>
  <si>
    <t>201912</t>
  </si>
  <si>
    <t>20211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</si>
</sst>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mmmm/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Cascadia Mono"/>
      <family val="3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2" fillId="4" borderId="2" xfId="0" applyFont="1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5" borderId="3" xfId="0" applyFont="1" applyFill="1" applyBorder="1"/>
    <xf numFmtId="165" fontId="0" fillId="0" borderId="0" xfId="0" applyNumberFormat="1"/>
    <xf numFmtId="0" fontId="4" fillId="0" borderId="0" xfId="0" applyFont="1" applyAlignment="1">
      <alignment vertical="center"/>
    </xf>
  </cellXfs>
  <cellStyles count="1">
    <cellStyle name="Normal" xfId="0" builtinId="0"/>
  </cellStyles>
  <dxfs count="2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65" formatCode="[$-409]mmmm/yy;@"/>
    </dxf>
    <dxf>
      <alignment horizontal="left" vertical="bottom" textRotation="0" wrapText="0" indent="0" justifyLastLine="0" shrinkToFit="0" readingOrder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60E274-349D-463C-A727-D8717043AD1A}" autoFormatId="16" applyNumberFormats="0" applyBorderFormats="0" applyFontFormats="0" applyPatternFormats="0" applyAlignmentFormats="0" applyWidthHeightFormats="0">
  <queryTableRefresh nextId="16">
    <queryTableFields count="15">
      <queryTableField id="1" name="year" tableColumnId="15"/>
      <queryTableField id="2" name="month" tableColumnId="2"/>
      <queryTableField id="3" name="country" tableColumnId="3"/>
      <queryTableField id="4" name="model" tableColumnId="4"/>
      <queryTableField id="5" name="segment" tableColumnId="5"/>
      <queryTableField id="6" name="engine_type" tableColumnId="6"/>
      <queryTableField id="7" name="price_usd" tableColumnId="7"/>
      <queryTableField id="8" name="marketing_spend_usd" tableColumnId="8"/>
      <queryTableField id="9" name="dealership_count" tableColumnId="9"/>
      <queryTableField id="10" name="fuel_price_usd" tableColumnId="10"/>
      <queryTableField id="11" name="gdp_growth_percent" tableColumnId="11"/>
      <queryTableField id="12" name="interest_rate_percent" tableColumnId="12"/>
      <queryTableField id="13" name="competition_index" tableColumnId="13"/>
      <queryTableField id="15" dataBound="0" tableColumnId="16"/>
      <queryTableField id="14" name="units_sold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7EF3720-8A8E-4D24-B2F2-C787CDA6713C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5"/>
      <queryTableField id="2" name="month" tableColumnId="2"/>
      <queryTableField id="3" name="country" tableColumnId="3"/>
      <queryTableField id="4" name="model" tableColumnId="4"/>
      <queryTableField id="5" name="segment" tableColumnId="5"/>
      <queryTableField id="6" name="engine_type" tableColumnId="6"/>
      <queryTableField id="7" name="price_usd" tableColumnId="7"/>
      <queryTableField id="8" name="marketing_spend_usd" tableColumnId="8"/>
      <queryTableField id="9" name="dealership_count" tableColumnId="9"/>
      <queryTableField id="10" name="fuel_price_usd" tableColumnId="10"/>
      <queryTableField id="11" name="gdp_growth_percent" tableColumnId="11"/>
      <queryTableField id="12" name="interest_rate_percent" tableColumnId="12"/>
      <queryTableField id="13" name="competition_index" tableColumnId="13"/>
      <queryTableField id="14" name="units_sold" tableColumnId="14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77C1F4-A54F-45DD-A4CF-2975D3B8895C}" name="Table25" displayName="Table25" ref="A1:N1001" totalsRowShown="0">
  <autoFilter ref="A1:N1001" xr:uid="{2B33EA31-AFA1-4901-AF5D-D7B7BEA2BADF}"/>
  <sortState xmlns:xlrd2="http://schemas.microsoft.com/office/spreadsheetml/2017/richdata2" ref="A2:N1001">
    <sortCondition ref="A1:A1001"/>
  </sortState>
  <tableColumns count="14">
    <tableColumn id="1" xr3:uid="{135FD70C-BEE0-4437-B756-05C323736902}" name="Sales_Id"/>
    <tableColumn id="2" xr3:uid="{9A3C462B-EAF5-444F-83C4-53B7E6D30E5A}" name="year"/>
    <tableColumn id="3" xr3:uid="{34863615-B109-48E5-8662-B0D555341297}" name="month"/>
    <tableColumn id="4" xr3:uid="{D68A0DA4-CC38-45CC-83CC-5FE4481B42DA}" name="country"/>
    <tableColumn id="5" xr3:uid="{170B92CA-4023-4541-AEE0-1A91A80146FD}" name="Model_Id"/>
    <tableColumn id="10" xr3:uid="{05FEDD84-39D1-4A35-BB67-D09206FBC47B}" name="price_usd" dataDxfId="24"/>
    <tableColumn id="11" xr3:uid="{9FF79B4E-7D6E-4555-8CA4-D2A699BDDD21}" name="marketing_spend_usd" dataDxfId="23"/>
    <tableColumn id="12" xr3:uid="{D2FAD525-01FC-4C33-8C91-CAA2E606903D}" name="dealership_count"/>
    <tableColumn id="13" xr3:uid="{C753D5BA-3359-4A13-BC00-6755BB865469}" name="fuel_price_usd"/>
    <tableColumn id="14" xr3:uid="{64E770B3-ECDE-4FFF-99F2-0B4D7DBA1727}" name="gdp_growth_percent"/>
    <tableColumn id="15" xr3:uid="{88EDE84E-354E-4609-9080-3625D2FCF667}" name="interest_rate_percent"/>
    <tableColumn id="16" xr3:uid="{D81807F3-045E-44EB-8786-E13AA03FB8BD}" name="competition_index"/>
    <tableColumn id="17" xr3:uid="{109CFA95-581C-4485-8416-1C6A510C8DA7}" name="revenue" dataDxfId="22">
      <calculatedColumnFormula>#N/A</calculatedColumnFormula>
    </tableColumn>
    <tableColumn id="18" xr3:uid="{AC8C9EE4-0C75-4FB2-B0E3-86E8624889A7}" name="units_so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33EA31-AFA1-4901-AF5D-D7B7BEA2BADF}" name="fact" displayName="fact" ref="A1:J1001" totalsRowShown="0">
  <autoFilter ref="A1:J1001" xr:uid="{2B33EA31-AFA1-4901-AF5D-D7B7BEA2BADF}"/>
  <sortState xmlns:xlrd2="http://schemas.microsoft.com/office/spreadsheetml/2017/richdata2" ref="A2:J1001">
    <sortCondition ref="A1:A1048574"/>
  </sortState>
  <tableColumns count="10">
    <tableColumn id="1" xr3:uid="{978EA8D0-F3A6-4D8A-A760-3E241AA014C4}" name="Sales_Id"/>
    <tableColumn id="6" xr3:uid="{9D7EBFD2-D7B7-4BEB-A77E-0BB5491C2DE0}" name="date_id" dataDxfId="28"/>
    <tableColumn id="5" xr3:uid="{78CA2F49-0C33-4ED3-B5F2-3E5DA0BC6C7E}" name="Descrip_Id"/>
    <tableColumn id="3" xr3:uid="{FF6BCD0B-D960-4D40-8C45-3623B42DC290}" name="country Id" dataDxfId="3"/>
    <tableColumn id="10" xr3:uid="{8629B508-689D-4782-BA96-DD9F492B1F48}" name="price_usd" dataDxfId="27"/>
    <tableColumn id="11" xr3:uid="{5BEC6541-435B-48B5-8A42-1661D0ECF5D1}" name="marketing_spend_usd" dataDxfId="26"/>
    <tableColumn id="12" xr3:uid="{0D123979-19A9-4CCB-A5E5-0BCAED8B7635}" name="dealership_count"/>
    <tableColumn id="16" xr3:uid="{4C7F68A9-09F1-483B-BF22-72A653EBB074}" name="competition_index"/>
    <tableColumn id="17" xr3:uid="{234C683B-13BB-4EAA-A4B4-F4AE0A8A775F}" name="revenue" dataDxfId="25">
      <calculatedColumnFormula>fact[[#This Row],[units_sold]]*fact[[#This Row],[price_usd]]</calculatedColumnFormula>
    </tableColumn>
    <tableColumn id="18" xr3:uid="{5CFF51F0-16C9-4AB2-A11C-4424C12E6D0D}" name="units_sol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27E428-D2C7-4FE7-9C6C-480AA2643643}" name="Date" displayName="Date" ref="A1:C121" totalsRowShown="0">
  <autoFilter ref="A1:C121" xr:uid="{FB27E428-D2C7-4FE7-9C6C-480AA2643643}"/>
  <tableColumns count="3">
    <tableColumn id="1" xr3:uid="{08C2F9E0-449F-43D0-A836-1EFD798E5545}" name="year" dataDxfId="21"/>
    <tableColumn id="2" xr3:uid="{3940D322-ED45-451D-BA56-B67043E6244C}" name="month"/>
    <tableColumn id="3" xr3:uid="{0A8F7B9B-028E-4047-972F-D443A72E16F6}" name="date_id" dataDxfId="20">
      <calculatedColumnFormula>CONCATENATE(A2,B2)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902E15-39DD-4A18-B4AD-D419777641FB}" name="Country" displayName="Country" ref="A1:B11" totalsRowShown="0">
  <autoFilter ref="A1:B11" xr:uid="{2F902E15-39DD-4A18-B4AD-D419777641FB}"/>
  <tableColumns count="2">
    <tableColumn id="1" xr3:uid="{1CC12DED-39DD-4540-B8E8-F906C2A8530A}" name="country" dataDxfId="19"/>
    <tableColumn id="2" xr3:uid="{36D29594-1608-45E8-9414-441F96F9E888}" name="country 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00120F-A158-4FD8-B65C-35D55E42D265}" name="Car_description" displayName="Car_description" ref="A1:D121" totalsRowShown="0">
  <autoFilter ref="A1:D121" xr:uid="{5500120F-A158-4FD8-B65C-35D55E42D265}"/>
  <sortState xmlns:xlrd2="http://schemas.microsoft.com/office/spreadsheetml/2017/richdata2" ref="A2:D121">
    <sortCondition ref="B1:B121"/>
  </sortState>
  <tableColumns count="4">
    <tableColumn id="2" xr3:uid="{D8F76644-8F1D-48D5-ABE0-CCE8B551B5CF}" name="Descrip_Id" dataDxfId="18">
      <calculatedColumnFormula>LEFT(Car_description[[#This Row],[Model]],3) &amp; LEFT(Car_description[[#This Row],[segment]],2) &amp; LEFT(Car_description[[#This Row],[engine_type]],2)</calculatedColumnFormula>
    </tableColumn>
    <tableColumn id="3" xr3:uid="{8A00887D-6C19-4F51-BACD-7895B4F0C977}" name="Model" dataDxfId="17"/>
    <tableColumn id="4" xr3:uid="{AB4779C2-E952-4847-A606-E9AC5EADE80F}" name="segment" dataDxfId="16"/>
    <tableColumn id="5" xr3:uid="{15645F0E-C638-42FB-B629-48AE8A12CF6D}" name="engine_type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26400-2039-44FD-B08D-A40D552963CC}" name="bmw_global_sales_dataset" displayName="bmw_global_sales_dataset" ref="A1:O1001" tableType="queryTable" totalsRowShown="0">
  <autoFilter ref="A1:O1001" xr:uid="{3D126400-2039-44FD-B08D-A40D552963CC}"/>
  <sortState xmlns:xlrd2="http://schemas.microsoft.com/office/spreadsheetml/2017/richdata2" ref="A2:O1001">
    <sortCondition ref="A1:A1001"/>
  </sortState>
  <tableColumns count="15">
    <tableColumn id="15" xr3:uid="{4A3A6B6E-3791-4369-B02A-712A6DB41A62}" uniqueName="15" name="year" queryTableFieldId="1"/>
    <tableColumn id="2" xr3:uid="{DDE3B16A-215D-473E-BEA2-C5805DF8C0D6}" uniqueName="2" name="month" queryTableFieldId="2"/>
    <tableColumn id="3" xr3:uid="{AD39037B-CAAB-414A-AADB-7FE0D3618918}" uniqueName="3" name="country" queryTableFieldId="3" dataDxfId="14"/>
    <tableColumn id="4" xr3:uid="{8821E547-07B6-4149-91FA-B899D7CF5885}" uniqueName="4" name="model" queryTableFieldId="4" dataDxfId="13"/>
    <tableColumn id="5" xr3:uid="{B6BB51B2-74D3-4D01-AEA2-5F3C365D4364}" uniqueName="5" name="segment" queryTableFieldId="5" dataDxfId="12"/>
    <tableColumn id="6" xr3:uid="{C455ED75-A1B6-4AAC-9B31-88592CB6CB50}" uniqueName="6" name="engine_type" queryTableFieldId="6" dataDxfId="11"/>
    <tableColumn id="7" xr3:uid="{DBD9720E-39BC-4F06-9B24-0C17181E1240}" uniqueName="7" name="price_usd" queryTableFieldId="7" dataDxfId="10"/>
    <tableColumn id="8" xr3:uid="{D50FB975-8419-4B5C-AC36-0AB35CEA22F0}" uniqueName="8" name="marketing_spend_usd" queryTableFieldId="8" dataDxfId="9"/>
    <tableColumn id="9" xr3:uid="{62C75718-6E1B-4D38-BF10-3AE1F24FE6CA}" uniqueName="9" name="dealership_count" queryTableFieldId="9"/>
    <tableColumn id="10" xr3:uid="{6A88C07E-7B22-426C-BE3D-C9C784C20CF3}" uniqueName="10" name="fuel_price_usd" queryTableFieldId="10"/>
    <tableColumn id="11" xr3:uid="{648C9D03-32A4-4E5E-8EA1-FF421148248D}" uniqueName="11" name="gdp_growth_percent" queryTableFieldId="11"/>
    <tableColumn id="12" xr3:uid="{CFC7F30C-6CAD-41E8-B4A5-5939FFBAA564}" uniqueName="12" name="interest_rate_percent" queryTableFieldId="12"/>
    <tableColumn id="13" xr3:uid="{E32FFB81-E327-43F6-BEAF-B67E185CB652}" uniqueName="13" name="competition_index" queryTableFieldId="13"/>
    <tableColumn id="16" xr3:uid="{12827795-7B28-4ADA-B422-AA7A97A5E810}" uniqueName="16" name="revenue" queryTableFieldId="15" dataDxfId="8">
      <calculatedColumnFormula>bmw_global_sales_dataset[[#This Row],[units_sold]]*bmw_global_sales_dataset[[#This Row],[price_usd]]</calculatedColumnFormula>
    </tableColumn>
    <tableColumn id="14" xr3:uid="{1AC40941-72FB-4DC8-AC75-B0FD96988148}" uniqueName="14" name="units_sold" queryTableField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2A58C6-12F9-4DC7-AF89-70CFB3186A81}" name="bmw_global_sales_dataset__2" displayName="bmw_global_sales_dataset__2" ref="A1:N1001" tableType="queryTable" totalsRowShown="0">
  <autoFilter ref="A1:N1001" xr:uid="{872A58C6-12F9-4DC7-AF89-70CFB3186A81}"/>
  <tableColumns count="14">
    <tableColumn id="15" xr3:uid="{18FA5977-E471-432E-808B-F81A2E0E54A6}" uniqueName="15" name="year" queryTableFieldId="1"/>
    <tableColumn id="2" xr3:uid="{8FB4BDDE-8801-44AB-B605-28AF2CB0DC19}" uniqueName="2" name="month" queryTableFieldId="2"/>
    <tableColumn id="3" xr3:uid="{40FFE81F-07A9-4A08-9D88-0EC529528CA4}" uniqueName="3" name="country" queryTableFieldId="3" dataDxfId="7"/>
    <tableColumn id="4" xr3:uid="{2F530076-F57F-4A13-9538-E1CA98A37523}" uniqueName="4" name="model" queryTableFieldId="4" dataDxfId="6"/>
    <tableColumn id="5" xr3:uid="{65CF88C0-4AF3-4910-A87C-6EFFC2C02A89}" uniqueName="5" name="segment" queryTableFieldId="5" dataDxfId="5"/>
    <tableColumn id="6" xr3:uid="{795B4F5D-7648-49C5-8DE4-49F2628C334E}" uniqueName="6" name="engine_type" queryTableFieldId="6" dataDxfId="4"/>
    <tableColumn id="7" xr3:uid="{CA178914-68AE-4465-85CE-9C1C45D4605A}" uniqueName="7" name="price_usd" queryTableFieldId="7"/>
    <tableColumn id="8" xr3:uid="{23BFD3F0-1B29-4837-B872-593C029EFCB2}" uniqueName="8" name="marketing_spend_usd" queryTableFieldId="8"/>
    <tableColumn id="9" xr3:uid="{4A9DAFBB-3E07-41AA-B335-062F61FA6F10}" uniqueName="9" name="dealership_count" queryTableFieldId="9"/>
    <tableColumn id="10" xr3:uid="{32B296C9-26DA-4CDE-A76D-B1715DAD28C6}" uniqueName="10" name="fuel_price_usd" queryTableFieldId="10"/>
    <tableColumn id="11" xr3:uid="{3A6C7D1E-CBF8-43AB-AFBA-151EC9454FC0}" uniqueName="11" name="gdp_growth_percent" queryTableFieldId="11"/>
    <tableColumn id="12" xr3:uid="{3130A8D3-6E48-43B0-ABBB-F9C144B57D94}" uniqueName="12" name="interest_rate_percent" queryTableFieldId="12"/>
    <tableColumn id="13" xr3:uid="{51448FDD-7786-4A70-9CC6-5E6DE7A8D097}" uniqueName="13" name="competition_index" queryTableFieldId="13"/>
    <tableColumn id="14" xr3:uid="{6DDEEE60-67B0-4EF7-AF84-BBA7581F831B}" uniqueName="14" name="units_sold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3DFF-0602-465F-871A-04492A5F83D9}">
  <dimension ref="A1:Q1001"/>
  <sheetViews>
    <sheetView topLeftCell="A241" workbookViewId="0">
      <selection activeCell="A245" sqref="A245"/>
    </sheetView>
  </sheetViews>
  <sheetFormatPr defaultRowHeight="14.5" x14ac:dyDescent="0.35"/>
  <cols>
    <col min="1" max="1" width="9.54296875" customWidth="1"/>
    <col min="2" max="2" width="6.7265625" customWidth="1"/>
    <col min="3" max="3" width="8.453125" customWidth="1"/>
    <col min="4" max="4" width="9.26953125" customWidth="1"/>
    <col min="5" max="5" width="10.81640625" customWidth="1"/>
    <col min="6" max="6" width="13.453125" bestFit="1" customWidth="1"/>
    <col min="7" max="7" width="21.453125" style="1" customWidth="1"/>
    <col min="8" max="8" width="21.81640625" style="1" bestFit="1" customWidth="1"/>
    <col min="9" max="9" width="17.7265625" bestFit="1" customWidth="1"/>
    <col min="10" max="10" width="20.453125" customWidth="1"/>
    <col min="11" max="11" width="21.26953125" customWidth="1"/>
    <col min="12" max="12" width="21.7265625" bestFit="1" customWidth="1"/>
    <col min="13" max="13" width="18.81640625" bestFit="1" customWidth="1"/>
    <col min="14" max="14" width="18.81640625" customWidth="1"/>
    <col min="15" max="15" width="11.7265625" bestFit="1" customWidth="1"/>
    <col min="16" max="16" width="11.7265625" customWidth="1"/>
  </cols>
  <sheetData>
    <row r="1" spans="1:17" x14ac:dyDescent="0.35">
      <c r="A1" t="s">
        <v>41</v>
      </c>
      <c r="B1" t="s">
        <v>0</v>
      </c>
      <c r="C1" t="s">
        <v>1</v>
      </c>
      <c r="D1" t="s">
        <v>2</v>
      </c>
      <c r="E1" t="s">
        <v>43</v>
      </c>
      <c r="F1" s="1" t="s">
        <v>6</v>
      </c>
      <c r="G1" s="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40</v>
      </c>
      <c r="N1" t="s">
        <v>13</v>
      </c>
      <c r="Q1" t="s">
        <v>43</v>
      </c>
    </row>
    <row r="2" spans="1:17" x14ac:dyDescent="0.35">
      <c r="A2">
        <v>1</v>
      </c>
      <c r="B2">
        <v>2015</v>
      </c>
      <c r="C2">
        <v>1</v>
      </c>
      <c r="D2" t="s">
        <v>37</v>
      </c>
      <c r="E2" t="s">
        <v>52</v>
      </c>
      <c r="F2" s="1">
        <v>55827</v>
      </c>
      <c r="G2" s="1">
        <v>425348</v>
      </c>
      <c r="H2">
        <v>198</v>
      </c>
      <c r="I2">
        <v>0.97</v>
      </c>
      <c r="J2">
        <v>6.29</v>
      </c>
      <c r="K2">
        <v>1.2</v>
      </c>
      <c r="L2">
        <v>2</v>
      </c>
      <c r="M2" s="1" t="e">
        <f>#N/A</f>
        <v>#N/A</v>
      </c>
      <c r="N2">
        <v>706</v>
      </c>
      <c r="Q2" t="s">
        <v>44</v>
      </c>
    </row>
    <row r="3" spans="1:17" x14ac:dyDescent="0.35">
      <c r="A3">
        <v>2</v>
      </c>
      <c r="B3">
        <v>2015</v>
      </c>
      <c r="C3">
        <v>1</v>
      </c>
      <c r="D3" t="s">
        <v>21</v>
      </c>
      <c r="E3" t="s">
        <v>74</v>
      </c>
      <c r="F3" s="1">
        <v>60186</v>
      </c>
      <c r="G3" s="1">
        <v>305230</v>
      </c>
      <c r="H3">
        <v>312</v>
      </c>
      <c r="I3">
        <v>0.97</v>
      </c>
      <c r="J3">
        <v>6.29</v>
      </c>
      <c r="K3">
        <v>1.2</v>
      </c>
      <c r="L3">
        <v>5</v>
      </c>
      <c r="M3" s="1" t="e">
        <f>#N/A</f>
        <v>#N/A</v>
      </c>
      <c r="N3">
        <v>922</v>
      </c>
      <c r="Q3" t="s">
        <v>44</v>
      </c>
    </row>
    <row r="4" spans="1:17" x14ac:dyDescent="0.35">
      <c r="A4">
        <v>3</v>
      </c>
      <c r="B4">
        <v>2015</v>
      </c>
      <c r="C4">
        <v>1</v>
      </c>
      <c r="D4" t="s">
        <v>28</v>
      </c>
      <c r="E4" t="s">
        <v>88</v>
      </c>
      <c r="F4" s="1">
        <v>118384</v>
      </c>
      <c r="G4" s="1">
        <v>462540</v>
      </c>
      <c r="H4">
        <v>56</v>
      </c>
      <c r="I4">
        <v>0.97</v>
      </c>
      <c r="J4">
        <v>6.29</v>
      </c>
      <c r="K4">
        <v>1.2</v>
      </c>
      <c r="L4">
        <v>10</v>
      </c>
      <c r="M4" s="1" t="e">
        <f>#N/A</f>
        <v>#N/A</v>
      </c>
      <c r="N4">
        <v>368</v>
      </c>
      <c r="Q4" t="s">
        <v>44</v>
      </c>
    </row>
    <row r="5" spans="1:17" x14ac:dyDescent="0.35">
      <c r="A5">
        <v>4</v>
      </c>
      <c r="B5">
        <v>2015</v>
      </c>
      <c r="C5">
        <v>1</v>
      </c>
      <c r="D5" t="s">
        <v>36</v>
      </c>
      <c r="E5" t="s">
        <v>94</v>
      </c>
      <c r="F5" s="1">
        <v>44943</v>
      </c>
      <c r="G5" s="1">
        <v>241007</v>
      </c>
      <c r="H5">
        <v>247</v>
      </c>
      <c r="I5">
        <v>0.97</v>
      </c>
      <c r="J5">
        <v>6.29</v>
      </c>
      <c r="K5">
        <v>1.2</v>
      </c>
      <c r="L5">
        <v>4</v>
      </c>
      <c r="M5" s="1" t="e">
        <f>#N/A</f>
        <v>#N/A</v>
      </c>
      <c r="N5">
        <v>647</v>
      </c>
      <c r="Q5" t="s">
        <v>44</v>
      </c>
    </row>
    <row r="6" spans="1:17" x14ac:dyDescent="0.35">
      <c r="A6">
        <v>5</v>
      </c>
      <c r="B6">
        <v>2015</v>
      </c>
      <c r="C6">
        <v>1</v>
      </c>
      <c r="D6" t="s">
        <v>28</v>
      </c>
      <c r="E6" t="s">
        <v>114</v>
      </c>
      <c r="F6" s="1">
        <v>63633</v>
      </c>
      <c r="G6" s="1">
        <v>176218</v>
      </c>
      <c r="H6">
        <v>280</v>
      </c>
      <c r="I6">
        <v>0.97</v>
      </c>
      <c r="J6">
        <v>6.29</v>
      </c>
      <c r="K6">
        <v>1.2</v>
      </c>
      <c r="L6">
        <v>5</v>
      </c>
      <c r="M6" s="1" t="e">
        <f>#N/A</f>
        <v>#N/A</v>
      </c>
      <c r="N6">
        <v>941</v>
      </c>
      <c r="Q6" t="s">
        <v>44</v>
      </c>
    </row>
    <row r="7" spans="1:17" x14ac:dyDescent="0.35">
      <c r="A7">
        <v>6</v>
      </c>
      <c r="B7">
        <v>2015</v>
      </c>
      <c r="C7">
        <v>1</v>
      </c>
      <c r="D7" t="s">
        <v>28</v>
      </c>
      <c r="E7" t="s">
        <v>123</v>
      </c>
      <c r="F7" s="1">
        <v>104876</v>
      </c>
      <c r="G7" s="1">
        <v>229425</v>
      </c>
      <c r="H7">
        <v>322</v>
      </c>
      <c r="I7">
        <v>0.97</v>
      </c>
      <c r="J7">
        <v>6.29</v>
      </c>
      <c r="K7">
        <v>1.2</v>
      </c>
      <c r="L7">
        <v>7</v>
      </c>
      <c r="M7" s="1" t="e">
        <f>#N/A</f>
        <v>#N/A</v>
      </c>
      <c r="N7">
        <v>675</v>
      </c>
      <c r="Q7" t="s">
        <v>45</v>
      </c>
    </row>
    <row r="8" spans="1:17" x14ac:dyDescent="0.35">
      <c r="A8">
        <v>7</v>
      </c>
      <c r="B8">
        <v>2015</v>
      </c>
      <c r="C8">
        <v>1</v>
      </c>
      <c r="D8" t="s">
        <v>30</v>
      </c>
      <c r="E8" t="s">
        <v>123</v>
      </c>
      <c r="F8" s="1">
        <v>41221</v>
      </c>
      <c r="G8" s="1">
        <v>216969</v>
      </c>
      <c r="H8">
        <v>88</v>
      </c>
      <c r="I8">
        <v>0.97</v>
      </c>
      <c r="J8">
        <v>6.29</v>
      </c>
      <c r="K8">
        <v>1.2</v>
      </c>
      <c r="L8">
        <v>1</v>
      </c>
      <c r="M8" s="1" t="e">
        <f>#N/A</f>
        <v>#N/A</v>
      </c>
      <c r="N8">
        <v>492</v>
      </c>
      <c r="Q8" t="s">
        <v>45</v>
      </c>
    </row>
    <row r="9" spans="1:17" x14ac:dyDescent="0.35">
      <c r="A9">
        <v>8</v>
      </c>
      <c r="B9">
        <v>2015</v>
      </c>
      <c r="C9">
        <v>1</v>
      </c>
      <c r="D9" t="s">
        <v>28</v>
      </c>
      <c r="E9" t="s">
        <v>151</v>
      </c>
      <c r="F9" s="1">
        <v>83517</v>
      </c>
      <c r="G9" s="1">
        <v>190021</v>
      </c>
      <c r="H9">
        <v>311</v>
      </c>
      <c r="I9">
        <v>0.97</v>
      </c>
      <c r="J9">
        <v>6.29</v>
      </c>
      <c r="K9">
        <v>1.2</v>
      </c>
      <c r="L9">
        <v>8</v>
      </c>
      <c r="M9" s="1" t="e">
        <f>#N/A</f>
        <v>#N/A</v>
      </c>
      <c r="N9">
        <v>662</v>
      </c>
      <c r="Q9" t="s">
        <v>45</v>
      </c>
    </row>
    <row r="10" spans="1:17" x14ac:dyDescent="0.35">
      <c r="A10">
        <v>9</v>
      </c>
      <c r="B10">
        <v>2015</v>
      </c>
      <c r="C10">
        <v>1</v>
      </c>
      <c r="D10" t="s">
        <v>35</v>
      </c>
      <c r="E10" t="s">
        <v>147</v>
      </c>
      <c r="F10" s="1">
        <v>67167</v>
      </c>
      <c r="G10" s="1">
        <v>210185</v>
      </c>
      <c r="H10">
        <v>139</v>
      </c>
      <c r="I10">
        <v>0.97</v>
      </c>
      <c r="J10">
        <v>6.29</v>
      </c>
      <c r="K10">
        <v>1.2</v>
      </c>
      <c r="L10">
        <v>8</v>
      </c>
      <c r="M10" s="1" t="e">
        <f>#N/A</f>
        <v>#N/A</v>
      </c>
      <c r="N10">
        <v>380</v>
      </c>
      <c r="Q10" t="s">
        <v>45</v>
      </c>
    </row>
    <row r="11" spans="1:17" x14ac:dyDescent="0.35">
      <c r="A11">
        <v>10</v>
      </c>
      <c r="B11">
        <v>2015</v>
      </c>
      <c r="C11">
        <v>1</v>
      </c>
      <c r="D11" t="s">
        <v>32</v>
      </c>
      <c r="E11" t="e">
        <v>#N/A</v>
      </c>
      <c r="F11" s="1">
        <v>76850</v>
      </c>
      <c r="G11" s="1">
        <v>197525</v>
      </c>
      <c r="H11">
        <v>62</v>
      </c>
      <c r="I11">
        <v>0.97</v>
      </c>
      <c r="J11">
        <v>6.29</v>
      </c>
      <c r="K11">
        <v>1.2</v>
      </c>
      <c r="L11">
        <v>2</v>
      </c>
      <c r="M11" s="1" t="e">
        <f>#N/A</f>
        <v>#N/A</v>
      </c>
      <c r="N11">
        <v>211</v>
      </c>
      <c r="Q11" t="s">
        <v>45</v>
      </c>
    </row>
    <row r="12" spans="1:17" x14ac:dyDescent="0.35">
      <c r="A12">
        <v>11</v>
      </c>
      <c r="B12">
        <v>2015</v>
      </c>
      <c r="C12">
        <v>2</v>
      </c>
      <c r="D12" t="s">
        <v>37</v>
      </c>
      <c r="E12" t="s">
        <v>46</v>
      </c>
      <c r="F12" s="1">
        <v>102695</v>
      </c>
      <c r="G12" s="1">
        <v>463083</v>
      </c>
      <c r="H12">
        <v>223</v>
      </c>
      <c r="I12">
        <v>0.97</v>
      </c>
      <c r="J12">
        <v>6.29</v>
      </c>
      <c r="K12">
        <v>1.2</v>
      </c>
      <c r="L12">
        <v>8</v>
      </c>
      <c r="M12" s="1" t="e">
        <f>#N/A</f>
        <v>#N/A</v>
      </c>
      <c r="N12">
        <v>538</v>
      </c>
      <c r="Q12" t="s">
        <v>46</v>
      </c>
    </row>
    <row r="13" spans="1:17" x14ac:dyDescent="0.35">
      <c r="A13">
        <v>12</v>
      </c>
      <c r="B13">
        <v>2015</v>
      </c>
      <c r="C13">
        <v>2</v>
      </c>
      <c r="D13" t="s">
        <v>25</v>
      </c>
      <c r="E13" t="s">
        <v>51</v>
      </c>
      <c r="F13" s="1">
        <v>50630</v>
      </c>
      <c r="G13" s="1">
        <v>101024</v>
      </c>
      <c r="H13">
        <v>191</v>
      </c>
      <c r="I13">
        <v>0.97</v>
      </c>
      <c r="J13">
        <v>6.29</v>
      </c>
      <c r="K13">
        <v>1.2</v>
      </c>
      <c r="L13">
        <v>8</v>
      </c>
      <c r="M13" s="1" t="e">
        <f>#N/A</f>
        <v>#N/A</v>
      </c>
      <c r="N13">
        <v>780</v>
      </c>
      <c r="Q13" t="s">
        <v>46</v>
      </c>
    </row>
    <row r="14" spans="1:17" x14ac:dyDescent="0.35">
      <c r="A14">
        <v>13</v>
      </c>
      <c r="B14">
        <v>2015</v>
      </c>
      <c r="C14">
        <v>2</v>
      </c>
      <c r="D14" t="s">
        <v>28</v>
      </c>
      <c r="E14" t="s">
        <v>62</v>
      </c>
      <c r="F14" s="1">
        <v>116788</v>
      </c>
      <c r="G14" s="1">
        <v>306681</v>
      </c>
      <c r="H14">
        <v>171</v>
      </c>
      <c r="I14">
        <v>0.97</v>
      </c>
      <c r="J14">
        <v>6.29</v>
      </c>
      <c r="K14">
        <v>1.2</v>
      </c>
      <c r="L14">
        <v>9</v>
      </c>
      <c r="M14" s="1" t="e">
        <f>#N/A</f>
        <v>#N/A</v>
      </c>
      <c r="N14">
        <v>575</v>
      </c>
      <c r="Q14" t="s">
        <v>46</v>
      </c>
    </row>
    <row r="15" spans="1:17" x14ac:dyDescent="0.35">
      <c r="A15">
        <v>14</v>
      </c>
      <c r="B15">
        <v>2015</v>
      </c>
      <c r="C15">
        <v>2</v>
      </c>
      <c r="D15" t="s">
        <v>30</v>
      </c>
      <c r="E15" t="s">
        <v>72</v>
      </c>
      <c r="F15" s="1">
        <v>37841</v>
      </c>
      <c r="G15" s="1">
        <v>347594</v>
      </c>
      <c r="H15">
        <v>152</v>
      </c>
      <c r="I15">
        <v>0.97</v>
      </c>
      <c r="J15">
        <v>6.29</v>
      </c>
      <c r="K15">
        <v>1.2</v>
      </c>
      <c r="L15">
        <v>4</v>
      </c>
      <c r="M15" s="1" t="e">
        <f>#N/A</f>
        <v>#N/A</v>
      </c>
      <c r="N15">
        <v>517</v>
      </c>
      <c r="Q15" t="s">
        <v>46</v>
      </c>
    </row>
    <row r="16" spans="1:17" x14ac:dyDescent="0.35">
      <c r="A16">
        <v>15</v>
      </c>
      <c r="B16">
        <v>2015</v>
      </c>
      <c r="C16">
        <v>2</v>
      </c>
      <c r="D16" t="s">
        <v>25</v>
      </c>
      <c r="E16" t="s">
        <v>68</v>
      </c>
      <c r="F16" s="1">
        <v>79462</v>
      </c>
      <c r="G16" s="1">
        <v>351566</v>
      </c>
      <c r="H16">
        <v>98</v>
      </c>
      <c r="I16">
        <v>0.97</v>
      </c>
      <c r="J16">
        <v>6.29</v>
      </c>
      <c r="K16">
        <v>1.2</v>
      </c>
      <c r="L16">
        <v>10</v>
      </c>
      <c r="M16" s="1" t="e">
        <f>#N/A</f>
        <v>#N/A</v>
      </c>
      <c r="N16">
        <v>298</v>
      </c>
      <c r="Q16" t="s">
        <v>46</v>
      </c>
    </row>
    <row r="17" spans="1:17" x14ac:dyDescent="0.35">
      <c r="A17">
        <v>16</v>
      </c>
      <c r="B17">
        <v>2015</v>
      </c>
      <c r="C17">
        <v>2</v>
      </c>
      <c r="D17" t="s">
        <v>32</v>
      </c>
      <c r="E17" t="s">
        <v>72</v>
      </c>
      <c r="F17" s="1">
        <v>114401</v>
      </c>
      <c r="G17" s="1">
        <v>413334</v>
      </c>
      <c r="H17">
        <v>84</v>
      </c>
      <c r="I17">
        <v>0.97</v>
      </c>
      <c r="J17">
        <v>6.29</v>
      </c>
      <c r="K17">
        <v>1.2</v>
      </c>
      <c r="L17">
        <v>1</v>
      </c>
      <c r="M17" s="1" t="e">
        <f>#N/A</f>
        <v>#N/A</v>
      </c>
      <c r="N17">
        <v>268</v>
      </c>
      <c r="Q17" t="s">
        <v>46</v>
      </c>
    </row>
    <row r="18" spans="1:17" x14ac:dyDescent="0.35">
      <c r="A18">
        <v>17</v>
      </c>
      <c r="B18">
        <v>2015</v>
      </c>
      <c r="C18">
        <v>2</v>
      </c>
      <c r="D18" t="s">
        <v>30</v>
      </c>
      <c r="E18" t="s">
        <v>84</v>
      </c>
      <c r="F18" s="1">
        <v>91356</v>
      </c>
      <c r="G18" s="1">
        <v>192690</v>
      </c>
      <c r="H18">
        <v>21</v>
      </c>
      <c r="I18">
        <v>0.97</v>
      </c>
      <c r="J18">
        <v>6.29</v>
      </c>
      <c r="K18">
        <v>1.2</v>
      </c>
      <c r="L18">
        <v>3</v>
      </c>
      <c r="M18" s="1" t="e">
        <f>#N/A</f>
        <v>#N/A</v>
      </c>
      <c r="N18">
        <v>306</v>
      </c>
      <c r="Q18" t="s">
        <v>46</v>
      </c>
    </row>
    <row r="19" spans="1:17" x14ac:dyDescent="0.35">
      <c r="A19">
        <v>18</v>
      </c>
      <c r="B19">
        <v>2015</v>
      </c>
      <c r="C19">
        <v>2</v>
      </c>
      <c r="D19" t="s">
        <v>30</v>
      </c>
      <c r="E19" t="s">
        <v>123</v>
      </c>
      <c r="F19" s="1">
        <v>35495</v>
      </c>
      <c r="G19" s="1">
        <v>412612</v>
      </c>
      <c r="H19">
        <v>304</v>
      </c>
      <c r="I19">
        <v>0.97</v>
      </c>
      <c r="J19">
        <v>6.29</v>
      </c>
      <c r="K19">
        <v>1.2</v>
      </c>
      <c r="L19">
        <v>1</v>
      </c>
      <c r="M19" s="1" t="e">
        <f>#N/A</f>
        <v>#N/A</v>
      </c>
      <c r="N19">
        <v>973</v>
      </c>
      <c r="Q19" t="s">
        <v>46</v>
      </c>
    </row>
    <row r="20" spans="1:17" x14ac:dyDescent="0.35">
      <c r="A20">
        <v>19</v>
      </c>
      <c r="B20">
        <v>2015</v>
      </c>
      <c r="C20">
        <v>2</v>
      </c>
      <c r="D20" t="s">
        <v>14</v>
      </c>
      <c r="E20" t="s">
        <v>122</v>
      </c>
      <c r="F20" s="1">
        <v>48016</v>
      </c>
      <c r="G20" s="1">
        <v>486549</v>
      </c>
      <c r="H20">
        <v>346</v>
      </c>
      <c r="I20">
        <v>0.97</v>
      </c>
      <c r="J20">
        <v>6.29</v>
      </c>
      <c r="K20">
        <v>1.2</v>
      </c>
      <c r="L20">
        <v>6</v>
      </c>
      <c r="M20" s="1" t="e">
        <f>#N/A</f>
        <v>#N/A</v>
      </c>
      <c r="N20">
        <v>1156</v>
      </c>
      <c r="Q20" t="s">
        <v>46</v>
      </c>
    </row>
    <row r="21" spans="1:17" x14ac:dyDescent="0.35">
      <c r="A21">
        <v>20</v>
      </c>
      <c r="B21">
        <v>2015</v>
      </c>
      <c r="C21">
        <v>2</v>
      </c>
      <c r="D21" t="s">
        <v>30</v>
      </c>
      <c r="E21" t="s">
        <v>138</v>
      </c>
      <c r="F21" s="1">
        <v>113291</v>
      </c>
      <c r="G21" s="1">
        <v>258281</v>
      </c>
      <c r="H21">
        <v>365</v>
      </c>
      <c r="I21">
        <v>0.97</v>
      </c>
      <c r="J21">
        <v>6.29</v>
      </c>
      <c r="K21">
        <v>1.2</v>
      </c>
      <c r="L21">
        <v>6</v>
      </c>
      <c r="M21" s="1" t="e">
        <f>#N/A</f>
        <v>#N/A</v>
      </c>
      <c r="N21">
        <v>1027</v>
      </c>
      <c r="Q21" t="s">
        <v>46</v>
      </c>
    </row>
    <row r="22" spans="1:17" x14ac:dyDescent="0.35">
      <c r="A22">
        <v>21</v>
      </c>
      <c r="B22">
        <v>2015</v>
      </c>
      <c r="C22">
        <v>2</v>
      </c>
      <c r="D22" t="s">
        <v>30</v>
      </c>
      <c r="E22" t="s">
        <v>152</v>
      </c>
      <c r="F22" s="1">
        <v>75696</v>
      </c>
      <c r="G22" s="1">
        <v>68667</v>
      </c>
      <c r="H22">
        <v>38</v>
      </c>
      <c r="I22">
        <v>0.97</v>
      </c>
      <c r="J22">
        <v>6.29</v>
      </c>
      <c r="K22">
        <v>1.2</v>
      </c>
      <c r="L22">
        <v>5</v>
      </c>
      <c r="M22" s="1" t="e">
        <f>#N/A</f>
        <v>#N/A</v>
      </c>
      <c r="N22">
        <v>388</v>
      </c>
      <c r="Q22" t="s">
        <v>46</v>
      </c>
    </row>
    <row r="23" spans="1:17" x14ac:dyDescent="0.35">
      <c r="A23">
        <v>22</v>
      </c>
      <c r="B23">
        <v>2015</v>
      </c>
      <c r="C23">
        <v>2</v>
      </c>
      <c r="D23" t="s">
        <v>21</v>
      </c>
      <c r="E23" t="s">
        <v>156</v>
      </c>
      <c r="F23" s="1">
        <v>102443</v>
      </c>
      <c r="G23" s="1">
        <v>411445</v>
      </c>
      <c r="H23">
        <v>175</v>
      </c>
      <c r="I23">
        <v>0.97</v>
      </c>
      <c r="J23">
        <v>6.29</v>
      </c>
      <c r="K23">
        <v>1.2</v>
      </c>
      <c r="L23">
        <v>1</v>
      </c>
      <c r="M23" s="1" t="e">
        <f>#N/A</f>
        <v>#N/A</v>
      </c>
      <c r="N23">
        <v>533</v>
      </c>
      <c r="Q23" t="s">
        <v>46</v>
      </c>
    </row>
    <row r="24" spans="1:17" x14ac:dyDescent="0.35">
      <c r="A24">
        <v>23</v>
      </c>
      <c r="B24">
        <v>2015</v>
      </c>
      <c r="C24">
        <v>3</v>
      </c>
      <c r="D24" t="s">
        <v>35</v>
      </c>
      <c r="E24" t="s">
        <v>55</v>
      </c>
      <c r="F24" s="1">
        <v>108324</v>
      </c>
      <c r="G24" s="1">
        <v>381495</v>
      </c>
      <c r="H24">
        <v>389</v>
      </c>
      <c r="I24">
        <v>0.97</v>
      </c>
      <c r="J24">
        <v>6.29</v>
      </c>
      <c r="K24">
        <v>1.2</v>
      </c>
      <c r="L24">
        <v>2</v>
      </c>
      <c r="M24" s="1" t="e">
        <f>#N/A</f>
        <v>#N/A</v>
      </c>
      <c r="N24">
        <v>1242</v>
      </c>
      <c r="Q24" t="s">
        <v>46</v>
      </c>
    </row>
    <row r="25" spans="1:17" x14ac:dyDescent="0.35">
      <c r="A25">
        <v>24</v>
      </c>
      <c r="B25">
        <v>2015</v>
      </c>
      <c r="C25">
        <v>3</v>
      </c>
      <c r="D25" t="s">
        <v>30</v>
      </c>
      <c r="E25" t="s">
        <v>69</v>
      </c>
      <c r="F25" s="1">
        <v>40037</v>
      </c>
      <c r="G25" s="1">
        <v>306306</v>
      </c>
      <c r="H25">
        <v>274</v>
      </c>
      <c r="I25">
        <v>0.97</v>
      </c>
      <c r="J25">
        <v>6.29</v>
      </c>
      <c r="K25">
        <v>1.2</v>
      </c>
      <c r="L25">
        <v>1</v>
      </c>
      <c r="M25" s="1" t="e">
        <f>#N/A</f>
        <v>#N/A</v>
      </c>
      <c r="N25">
        <v>762</v>
      </c>
      <c r="Q25" t="s">
        <v>47</v>
      </c>
    </row>
    <row r="26" spans="1:17" x14ac:dyDescent="0.35">
      <c r="A26">
        <v>25</v>
      </c>
      <c r="B26">
        <v>2015</v>
      </c>
      <c r="C26">
        <v>3</v>
      </c>
      <c r="D26" t="s">
        <v>35</v>
      </c>
      <c r="E26" t="s">
        <v>68</v>
      </c>
      <c r="F26" s="1">
        <v>85494</v>
      </c>
      <c r="G26" s="1">
        <v>359044</v>
      </c>
      <c r="H26">
        <v>31</v>
      </c>
      <c r="I26">
        <v>0.97</v>
      </c>
      <c r="J26">
        <v>6.29</v>
      </c>
      <c r="K26">
        <v>1.2</v>
      </c>
      <c r="L26">
        <v>6</v>
      </c>
      <c r="M26" s="1" t="e">
        <f>#N/A</f>
        <v>#N/A</v>
      </c>
      <c r="N26">
        <v>100</v>
      </c>
      <c r="Q26" t="s">
        <v>47</v>
      </c>
    </row>
    <row r="27" spans="1:17" x14ac:dyDescent="0.35">
      <c r="A27">
        <v>26</v>
      </c>
      <c r="B27">
        <v>2015</v>
      </c>
      <c r="C27">
        <v>3</v>
      </c>
      <c r="D27" t="s">
        <v>37</v>
      </c>
      <c r="E27" t="s">
        <v>90</v>
      </c>
      <c r="F27" s="1">
        <v>104453</v>
      </c>
      <c r="G27" s="1">
        <v>192226</v>
      </c>
      <c r="H27">
        <v>44</v>
      </c>
      <c r="I27">
        <v>0.97</v>
      </c>
      <c r="J27">
        <v>6.29</v>
      </c>
      <c r="K27">
        <v>1.2</v>
      </c>
      <c r="L27">
        <v>6</v>
      </c>
      <c r="M27" s="1" t="e">
        <f>#N/A</f>
        <v>#N/A</v>
      </c>
      <c r="N27">
        <v>265</v>
      </c>
      <c r="Q27" t="s">
        <v>47</v>
      </c>
    </row>
    <row r="28" spans="1:17" x14ac:dyDescent="0.35">
      <c r="A28">
        <v>27</v>
      </c>
      <c r="B28">
        <v>2015</v>
      </c>
      <c r="C28">
        <v>3</v>
      </c>
      <c r="D28" t="s">
        <v>28</v>
      </c>
      <c r="E28" t="s">
        <v>120</v>
      </c>
      <c r="F28" s="1">
        <v>77598</v>
      </c>
      <c r="G28" s="1">
        <v>483603</v>
      </c>
      <c r="H28">
        <v>199</v>
      </c>
      <c r="I28">
        <v>0.97</v>
      </c>
      <c r="J28">
        <v>6.29</v>
      </c>
      <c r="K28">
        <v>1.2</v>
      </c>
      <c r="L28">
        <v>2</v>
      </c>
      <c r="M28" s="1" t="e">
        <f>#N/A</f>
        <v>#N/A</v>
      </c>
      <c r="N28">
        <v>863</v>
      </c>
      <c r="Q28" t="s">
        <v>47</v>
      </c>
    </row>
    <row r="29" spans="1:17" x14ac:dyDescent="0.35">
      <c r="A29">
        <v>28</v>
      </c>
      <c r="B29">
        <v>2015</v>
      </c>
      <c r="C29">
        <v>3</v>
      </c>
      <c r="D29" t="s">
        <v>37</v>
      </c>
      <c r="E29" t="s">
        <v>128</v>
      </c>
      <c r="F29" s="1">
        <v>53610</v>
      </c>
      <c r="G29" s="1">
        <v>128840</v>
      </c>
      <c r="H29">
        <v>225</v>
      </c>
      <c r="I29">
        <v>0.97</v>
      </c>
      <c r="J29">
        <v>6.29</v>
      </c>
      <c r="K29">
        <v>1.2</v>
      </c>
      <c r="L29">
        <v>4</v>
      </c>
      <c r="M29" s="1" t="e">
        <f>#N/A</f>
        <v>#N/A</v>
      </c>
      <c r="N29">
        <v>675</v>
      </c>
      <c r="Q29" t="s">
        <v>47</v>
      </c>
    </row>
    <row r="30" spans="1:17" x14ac:dyDescent="0.35">
      <c r="A30">
        <v>29</v>
      </c>
      <c r="B30">
        <v>2015</v>
      </c>
      <c r="C30">
        <v>3</v>
      </c>
      <c r="D30" t="s">
        <v>14</v>
      </c>
      <c r="E30" t="s">
        <v>129</v>
      </c>
      <c r="F30" s="1">
        <v>96078</v>
      </c>
      <c r="G30" s="1">
        <v>99476</v>
      </c>
      <c r="H30">
        <v>266</v>
      </c>
      <c r="I30">
        <v>0.97</v>
      </c>
      <c r="J30">
        <v>6.29</v>
      </c>
      <c r="K30">
        <v>1.2</v>
      </c>
      <c r="L30">
        <v>5</v>
      </c>
      <c r="M30" s="1" t="e">
        <f>#N/A</f>
        <v>#N/A</v>
      </c>
      <c r="N30">
        <v>637</v>
      </c>
      <c r="Q30" t="s">
        <v>47</v>
      </c>
    </row>
    <row r="31" spans="1:17" x14ac:dyDescent="0.35">
      <c r="A31">
        <v>30</v>
      </c>
      <c r="B31">
        <v>2015</v>
      </c>
      <c r="C31">
        <v>4</v>
      </c>
      <c r="D31" t="s">
        <v>32</v>
      </c>
      <c r="E31" t="s">
        <v>133</v>
      </c>
      <c r="F31" s="1">
        <v>53157</v>
      </c>
      <c r="G31" s="1">
        <v>107786</v>
      </c>
      <c r="H31">
        <v>173</v>
      </c>
      <c r="I31">
        <v>0.97</v>
      </c>
      <c r="J31">
        <v>6.29</v>
      </c>
      <c r="K31">
        <v>1.2</v>
      </c>
      <c r="L31">
        <v>8</v>
      </c>
      <c r="M31" s="1" t="e">
        <f>#N/A</f>
        <v>#N/A</v>
      </c>
      <c r="N31">
        <v>667</v>
      </c>
      <c r="Q31" t="s">
        <v>47</v>
      </c>
    </row>
    <row r="32" spans="1:17" x14ac:dyDescent="0.35">
      <c r="A32">
        <v>31</v>
      </c>
      <c r="B32">
        <v>2015</v>
      </c>
      <c r="C32">
        <v>4</v>
      </c>
      <c r="D32" t="s">
        <v>37</v>
      </c>
      <c r="E32" t="s">
        <v>133</v>
      </c>
      <c r="F32" s="1">
        <v>84556</v>
      </c>
      <c r="G32" s="1">
        <v>358645</v>
      </c>
      <c r="H32">
        <v>370</v>
      </c>
      <c r="I32">
        <v>0.97</v>
      </c>
      <c r="J32">
        <v>6.29</v>
      </c>
      <c r="K32">
        <v>1.2</v>
      </c>
      <c r="L32">
        <v>4</v>
      </c>
      <c r="M32" s="1" t="e">
        <f>#N/A</f>
        <v>#N/A</v>
      </c>
      <c r="N32">
        <v>815</v>
      </c>
      <c r="Q32" t="s">
        <v>47</v>
      </c>
    </row>
    <row r="33" spans="1:17" x14ac:dyDescent="0.35">
      <c r="A33">
        <v>32</v>
      </c>
      <c r="B33">
        <v>2015</v>
      </c>
      <c r="C33">
        <v>4</v>
      </c>
      <c r="D33" t="s">
        <v>37</v>
      </c>
      <c r="E33" t="s">
        <v>150</v>
      </c>
      <c r="F33" s="1">
        <v>55213</v>
      </c>
      <c r="G33" s="1">
        <v>361741</v>
      </c>
      <c r="H33">
        <v>219</v>
      </c>
      <c r="I33">
        <v>0.97</v>
      </c>
      <c r="J33">
        <v>6.29</v>
      </c>
      <c r="K33">
        <v>1.2</v>
      </c>
      <c r="L33">
        <v>1</v>
      </c>
      <c r="M33" s="1" t="e">
        <f>#N/A</f>
        <v>#N/A</v>
      </c>
      <c r="N33">
        <v>717</v>
      </c>
      <c r="Q33" t="s">
        <v>47</v>
      </c>
    </row>
    <row r="34" spans="1:17" x14ac:dyDescent="0.35">
      <c r="A34">
        <v>33</v>
      </c>
      <c r="B34">
        <v>2015</v>
      </c>
      <c r="C34">
        <v>4</v>
      </c>
      <c r="D34" t="s">
        <v>21</v>
      </c>
      <c r="E34" t="e">
        <v>#N/A</v>
      </c>
      <c r="F34" s="1">
        <v>48029</v>
      </c>
      <c r="G34" s="1">
        <v>159321</v>
      </c>
      <c r="H34">
        <v>217</v>
      </c>
      <c r="I34">
        <v>0.97</v>
      </c>
      <c r="J34">
        <v>6.29</v>
      </c>
      <c r="K34">
        <v>1.2</v>
      </c>
      <c r="L34">
        <v>7</v>
      </c>
      <c r="M34" s="1" t="e">
        <f>#N/A</f>
        <v>#N/A</v>
      </c>
      <c r="N34">
        <v>622</v>
      </c>
      <c r="Q34" t="s">
        <v>47</v>
      </c>
    </row>
    <row r="35" spans="1:17" x14ac:dyDescent="0.35">
      <c r="A35">
        <v>34</v>
      </c>
      <c r="B35">
        <v>2015</v>
      </c>
      <c r="C35">
        <v>4</v>
      </c>
      <c r="D35" t="s">
        <v>32</v>
      </c>
      <c r="E35" t="s">
        <v>155</v>
      </c>
      <c r="F35" s="1">
        <v>106916</v>
      </c>
      <c r="G35" s="1">
        <v>482348</v>
      </c>
      <c r="H35">
        <v>112</v>
      </c>
      <c r="I35">
        <v>0.97</v>
      </c>
      <c r="J35">
        <v>6.29</v>
      </c>
      <c r="K35">
        <v>1.2</v>
      </c>
      <c r="L35">
        <v>8</v>
      </c>
      <c r="M35" s="1" t="e">
        <f>#N/A</f>
        <v>#N/A</v>
      </c>
      <c r="N35">
        <v>408</v>
      </c>
      <c r="Q35" t="s">
        <v>48</v>
      </c>
    </row>
    <row r="36" spans="1:17" x14ac:dyDescent="0.35">
      <c r="A36">
        <v>35</v>
      </c>
      <c r="B36">
        <v>2015</v>
      </c>
      <c r="C36">
        <v>5</v>
      </c>
      <c r="D36" t="s">
        <v>30</v>
      </c>
      <c r="E36" t="s">
        <v>55</v>
      </c>
      <c r="F36" s="1">
        <v>82645</v>
      </c>
      <c r="G36" s="1">
        <v>369248</v>
      </c>
      <c r="H36">
        <v>322</v>
      </c>
      <c r="I36">
        <v>0.97</v>
      </c>
      <c r="J36">
        <v>6.29</v>
      </c>
      <c r="K36">
        <v>1.2</v>
      </c>
      <c r="L36">
        <v>5</v>
      </c>
      <c r="M36" s="1" t="e">
        <f>#N/A</f>
        <v>#N/A</v>
      </c>
      <c r="N36">
        <v>827</v>
      </c>
      <c r="Q36" t="s">
        <v>48</v>
      </c>
    </row>
    <row r="37" spans="1:17" x14ac:dyDescent="0.35">
      <c r="A37">
        <v>36</v>
      </c>
      <c r="B37">
        <v>2015</v>
      </c>
      <c r="C37">
        <v>5</v>
      </c>
      <c r="D37" t="s">
        <v>25</v>
      </c>
      <c r="E37" t="s">
        <v>79</v>
      </c>
      <c r="F37" s="1">
        <v>110242</v>
      </c>
      <c r="G37" s="1">
        <v>495625</v>
      </c>
      <c r="H37">
        <v>285</v>
      </c>
      <c r="I37">
        <v>0.97</v>
      </c>
      <c r="J37">
        <v>6.29</v>
      </c>
      <c r="K37">
        <v>1.2</v>
      </c>
      <c r="L37">
        <v>7</v>
      </c>
      <c r="M37" s="1" t="e">
        <f>#N/A</f>
        <v>#N/A</v>
      </c>
      <c r="N37">
        <v>943</v>
      </c>
      <c r="Q37" t="s">
        <v>48</v>
      </c>
    </row>
    <row r="38" spans="1:17" x14ac:dyDescent="0.35">
      <c r="A38">
        <v>37</v>
      </c>
      <c r="B38">
        <v>2015</v>
      </c>
      <c r="C38">
        <v>5</v>
      </c>
      <c r="D38" t="s">
        <v>21</v>
      </c>
      <c r="E38" t="s">
        <v>70</v>
      </c>
      <c r="F38" s="1">
        <v>109024</v>
      </c>
      <c r="G38" s="1">
        <v>489978</v>
      </c>
      <c r="H38">
        <v>39</v>
      </c>
      <c r="I38">
        <v>0.97</v>
      </c>
      <c r="J38">
        <v>6.29</v>
      </c>
      <c r="K38">
        <v>1.2</v>
      </c>
      <c r="L38">
        <v>9</v>
      </c>
      <c r="M38" s="1" t="e">
        <f>#N/A</f>
        <v>#N/A</v>
      </c>
      <c r="N38">
        <v>493</v>
      </c>
      <c r="Q38" t="s">
        <v>48</v>
      </c>
    </row>
    <row r="39" spans="1:17" x14ac:dyDescent="0.35">
      <c r="A39">
        <v>38</v>
      </c>
      <c r="B39">
        <v>2015</v>
      </c>
      <c r="C39">
        <v>5</v>
      </c>
      <c r="D39" t="s">
        <v>37</v>
      </c>
      <c r="E39" t="s">
        <v>85</v>
      </c>
      <c r="F39" s="1">
        <v>91396</v>
      </c>
      <c r="G39" s="1">
        <v>61549</v>
      </c>
      <c r="H39">
        <v>16</v>
      </c>
      <c r="I39">
        <v>0.97</v>
      </c>
      <c r="J39">
        <v>6.29</v>
      </c>
      <c r="K39">
        <v>1.2</v>
      </c>
      <c r="L39">
        <v>7</v>
      </c>
      <c r="M39" s="1" t="e">
        <f>#N/A</f>
        <v>#N/A</v>
      </c>
      <c r="N39">
        <v>15</v>
      </c>
      <c r="Q39" t="s">
        <v>48</v>
      </c>
    </row>
    <row r="40" spans="1:17" x14ac:dyDescent="0.35">
      <c r="A40">
        <v>39</v>
      </c>
      <c r="B40">
        <v>2015</v>
      </c>
      <c r="C40">
        <v>5</v>
      </c>
      <c r="D40" t="s">
        <v>37</v>
      </c>
      <c r="E40" t="s">
        <v>98</v>
      </c>
      <c r="F40" s="1">
        <v>102616</v>
      </c>
      <c r="G40" s="1">
        <v>124205</v>
      </c>
      <c r="H40">
        <v>229</v>
      </c>
      <c r="I40">
        <v>0.97</v>
      </c>
      <c r="J40">
        <v>6.29</v>
      </c>
      <c r="K40">
        <v>1.2</v>
      </c>
      <c r="L40">
        <v>7</v>
      </c>
      <c r="M40" s="1" t="e">
        <f>#N/A</f>
        <v>#N/A</v>
      </c>
      <c r="N40">
        <v>687</v>
      </c>
      <c r="Q40" t="s">
        <v>48</v>
      </c>
    </row>
    <row r="41" spans="1:17" x14ac:dyDescent="0.35">
      <c r="A41">
        <v>40</v>
      </c>
      <c r="B41">
        <v>2015</v>
      </c>
      <c r="C41">
        <v>5</v>
      </c>
      <c r="D41" t="s">
        <v>36</v>
      </c>
      <c r="E41" t="s">
        <v>102</v>
      </c>
      <c r="F41" s="1">
        <v>90739</v>
      </c>
      <c r="G41" s="1">
        <v>315976</v>
      </c>
      <c r="H41">
        <v>62</v>
      </c>
      <c r="I41">
        <v>0.97</v>
      </c>
      <c r="J41">
        <v>6.29</v>
      </c>
      <c r="K41">
        <v>1.2</v>
      </c>
      <c r="L41">
        <v>3</v>
      </c>
      <c r="M41" s="1" t="e">
        <f>#N/A</f>
        <v>#N/A</v>
      </c>
      <c r="N41">
        <v>527</v>
      </c>
      <c r="Q41" t="s">
        <v>48</v>
      </c>
    </row>
    <row r="42" spans="1:17" x14ac:dyDescent="0.35">
      <c r="A42">
        <v>41</v>
      </c>
      <c r="B42">
        <v>2015</v>
      </c>
      <c r="C42">
        <v>5</v>
      </c>
      <c r="D42" t="s">
        <v>25</v>
      </c>
      <c r="E42" t="s">
        <v>121</v>
      </c>
      <c r="F42" s="1">
        <v>58760</v>
      </c>
      <c r="G42" s="1">
        <v>91269</v>
      </c>
      <c r="H42">
        <v>241</v>
      </c>
      <c r="I42">
        <v>0.97</v>
      </c>
      <c r="J42">
        <v>6.29</v>
      </c>
      <c r="K42">
        <v>1.2</v>
      </c>
      <c r="L42">
        <v>6</v>
      </c>
      <c r="M42" s="1" t="e">
        <f>#N/A</f>
        <v>#N/A</v>
      </c>
      <c r="N42">
        <v>916</v>
      </c>
      <c r="Q42" t="s">
        <v>48</v>
      </c>
    </row>
    <row r="43" spans="1:17" x14ac:dyDescent="0.35">
      <c r="A43">
        <v>42</v>
      </c>
      <c r="B43">
        <v>2015</v>
      </c>
      <c r="C43">
        <v>5</v>
      </c>
      <c r="D43" t="s">
        <v>35</v>
      </c>
      <c r="E43" t="s">
        <v>146</v>
      </c>
      <c r="F43" s="1">
        <v>61140</v>
      </c>
      <c r="G43" s="1">
        <v>444485</v>
      </c>
      <c r="H43">
        <v>292</v>
      </c>
      <c r="I43">
        <v>0.97</v>
      </c>
      <c r="J43">
        <v>6.29</v>
      </c>
      <c r="K43">
        <v>1.2</v>
      </c>
      <c r="L43">
        <v>6</v>
      </c>
      <c r="M43" s="1" t="e">
        <f>#N/A</f>
        <v>#N/A</v>
      </c>
      <c r="N43">
        <v>1044</v>
      </c>
      <c r="Q43" t="s">
        <v>49</v>
      </c>
    </row>
    <row r="44" spans="1:17" x14ac:dyDescent="0.35">
      <c r="A44">
        <v>43</v>
      </c>
      <c r="B44">
        <v>2015</v>
      </c>
      <c r="C44">
        <v>5</v>
      </c>
      <c r="D44" t="s">
        <v>25</v>
      </c>
      <c r="E44" t="s">
        <v>162</v>
      </c>
      <c r="F44" s="1">
        <v>112463</v>
      </c>
      <c r="G44" s="1">
        <v>239167</v>
      </c>
      <c r="H44">
        <v>234</v>
      </c>
      <c r="I44">
        <v>0.97</v>
      </c>
      <c r="J44">
        <v>6.29</v>
      </c>
      <c r="K44">
        <v>1.2</v>
      </c>
      <c r="L44">
        <v>1</v>
      </c>
      <c r="M44" s="1" t="e">
        <f>#N/A</f>
        <v>#N/A</v>
      </c>
      <c r="N44">
        <v>507</v>
      </c>
      <c r="Q44" t="s">
        <v>49</v>
      </c>
    </row>
    <row r="45" spans="1:17" x14ac:dyDescent="0.35">
      <c r="A45">
        <v>44</v>
      </c>
      <c r="B45">
        <v>2015</v>
      </c>
      <c r="C45">
        <v>6</v>
      </c>
      <c r="D45" t="s">
        <v>32</v>
      </c>
      <c r="E45" t="s">
        <v>56</v>
      </c>
      <c r="F45" s="1">
        <v>63926</v>
      </c>
      <c r="G45" s="1">
        <v>248153</v>
      </c>
      <c r="H45">
        <v>336</v>
      </c>
      <c r="I45">
        <v>0.97</v>
      </c>
      <c r="J45">
        <v>6.29</v>
      </c>
      <c r="K45">
        <v>1.2</v>
      </c>
      <c r="L45">
        <v>9</v>
      </c>
      <c r="M45" s="1" t="e">
        <f>#N/A</f>
        <v>#N/A</v>
      </c>
      <c r="N45">
        <v>882</v>
      </c>
      <c r="Q45" t="s">
        <v>49</v>
      </c>
    </row>
    <row r="46" spans="1:17" x14ac:dyDescent="0.35">
      <c r="A46">
        <v>45</v>
      </c>
      <c r="B46">
        <v>2015</v>
      </c>
      <c r="C46">
        <v>6</v>
      </c>
      <c r="D46" t="s">
        <v>30</v>
      </c>
      <c r="E46" t="s">
        <v>79</v>
      </c>
      <c r="F46" s="1">
        <v>103472</v>
      </c>
      <c r="G46" s="1">
        <v>407092</v>
      </c>
      <c r="H46">
        <v>121</v>
      </c>
      <c r="I46">
        <v>0.97</v>
      </c>
      <c r="J46">
        <v>6.29</v>
      </c>
      <c r="K46">
        <v>1.2</v>
      </c>
      <c r="L46">
        <v>9</v>
      </c>
      <c r="M46" s="1" t="e">
        <f>#N/A</f>
        <v>#N/A</v>
      </c>
      <c r="N46">
        <v>313</v>
      </c>
      <c r="Q46" t="s">
        <v>49</v>
      </c>
    </row>
    <row r="47" spans="1:17" x14ac:dyDescent="0.35">
      <c r="A47">
        <v>46</v>
      </c>
      <c r="B47">
        <v>2015</v>
      </c>
      <c r="C47">
        <v>6</v>
      </c>
      <c r="D47" t="s">
        <v>14</v>
      </c>
      <c r="E47" t="s">
        <v>82</v>
      </c>
      <c r="F47" s="1">
        <v>118791</v>
      </c>
      <c r="G47" s="1">
        <v>443052</v>
      </c>
      <c r="H47">
        <v>339</v>
      </c>
      <c r="I47">
        <v>0.97</v>
      </c>
      <c r="J47">
        <v>6.29</v>
      </c>
      <c r="K47">
        <v>1.2</v>
      </c>
      <c r="L47">
        <v>5</v>
      </c>
      <c r="M47" s="1" t="e">
        <f>#N/A</f>
        <v>#N/A</v>
      </c>
      <c r="N47">
        <v>751</v>
      </c>
      <c r="Q47" t="s">
        <v>49</v>
      </c>
    </row>
    <row r="48" spans="1:17" x14ac:dyDescent="0.35">
      <c r="A48">
        <v>47</v>
      </c>
      <c r="B48">
        <v>2015</v>
      </c>
      <c r="C48">
        <v>6</v>
      </c>
      <c r="D48" t="s">
        <v>37</v>
      </c>
      <c r="E48" t="s">
        <v>92</v>
      </c>
      <c r="F48" s="1">
        <v>76984</v>
      </c>
      <c r="G48" s="1">
        <v>64390</v>
      </c>
      <c r="H48">
        <v>380</v>
      </c>
      <c r="I48">
        <v>0.97</v>
      </c>
      <c r="J48">
        <v>6.29</v>
      </c>
      <c r="K48">
        <v>1.2</v>
      </c>
      <c r="L48">
        <v>4</v>
      </c>
      <c r="M48" s="1" t="e">
        <f>#N/A</f>
        <v>#N/A</v>
      </c>
      <c r="N48">
        <v>814</v>
      </c>
      <c r="Q48" t="s">
        <v>49</v>
      </c>
    </row>
    <row r="49" spans="1:17" x14ac:dyDescent="0.35">
      <c r="A49">
        <v>48</v>
      </c>
      <c r="B49">
        <v>2015</v>
      </c>
      <c r="C49">
        <v>6</v>
      </c>
      <c r="D49" t="s">
        <v>32</v>
      </c>
      <c r="E49" t="s">
        <v>127</v>
      </c>
      <c r="F49" s="1">
        <v>87975</v>
      </c>
      <c r="G49" s="1">
        <v>160489</v>
      </c>
      <c r="H49">
        <v>356</v>
      </c>
      <c r="I49">
        <v>0.97</v>
      </c>
      <c r="J49">
        <v>6.29</v>
      </c>
      <c r="K49">
        <v>1.2</v>
      </c>
      <c r="L49">
        <v>1</v>
      </c>
      <c r="M49" s="1" t="e">
        <f>#N/A</f>
        <v>#N/A</v>
      </c>
      <c r="N49">
        <v>751</v>
      </c>
      <c r="Q49" t="s">
        <v>49</v>
      </c>
    </row>
    <row r="50" spans="1:17" x14ac:dyDescent="0.35">
      <c r="A50">
        <v>49</v>
      </c>
      <c r="B50">
        <v>2015</v>
      </c>
      <c r="C50">
        <v>6</v>
      </c>
      <c r="D50" t="s">
        <v>28</v>
      </c>
      <c r="E50" t="s">
        <v>126</v>
      </c>
      <c r="F50" s="1">
        <v>113518</v>
      </c>
      <c r="G50" s="1">
        <v>206164</v>
      </c>
      <c r="H50">
        <v>373</v>
      </c>
      <c r="I50">
        <v>0.97</v>
      </c>
      <c r="J50">
        <v>6.29</v>
      </c>
      <c r="K50">
        <v>1.2</v>
      </c>
      <c r="L50">
        <v>10</v>
      </c>
      <c r="M50" s="1" t="e">
        <f>#N/A</f>
        <v>#N/A</v>
      </c>
      <c r="N50">
        <v>1156</v>
      </c>
      <c r="Q50" t="s">
        <v>50</v>
      </c>
    </row>
    <row r="51" spans="1:17" x14ac:dyDescent="0.35">
      <c r="A51">
        <v>50</v>
      </c>
      <c r="B51">
        <v>2015</v>
      </c>
      <c r="C51">
        <v>6</v>
      </c>
      <c r="D51" t="s">
        <v>21</v>
      </c>
      <c r="E51" t="s">
        <v>144</v>
      </c>
      <c r="F51" s="1">
        <v>93502</v>
      </c>
      <c r="G51" s="1">
        <v>395744</v>
      </c>
      <c r="H51">
        <v>162</v>
      </c>
      <c r="I51">
        <v>0.97</v>
      </c>
      <c r="J51">
        <v>6.29</v>
      </c>
      <c r="K51">
        <v>1.2</v>
      </c>
      <c r="L51">
        <v>7</v>
      </c>
      <c r="M51" s="1" t="e">
        <f>#N/A</f>
        <v>#N/A</v>
      </c>
      <c r="N51">
        <v>596</v>
      </c>
      <c r="Q51" t="s">
        <v>50</v>
      </c>
    </row>
    <row r="52" spans="1:17" x14ac:dyDescent="0.35">
      <c r="A52">
        <v>51</v>
      </c>
      <c r="B52">
        <v>2015</v>
      </c>
      <c r="C52">
        <v>7</v>
      </c>
      <c r="D52" t="s">
        <v>25</v>
      </c>
      <c r="E52" t="s">
        <v>46</v>
      </c>
      <c r="F52" s="1">
        <v>44927</v>
      </c>
      <c r="G52" s="1">
        <v>498013</v>
      </c>
      <c r="H52">
        <v>382</v>
      </c>
      <c r="I52">
        <v>0.97</v>
      </c>
      <c r="J52">
        <v>6.29</v>
      </c>
      <c r="K52">
        <v>1.2</v>
      </c>
      <c r="L52">
        <v>9</v>
      </c>
      <c r="M52" s="1" t="e">
        <f>#N/A</f>
        <v>#N/A</v>
      </c>
      <c r="N52">
        <v>923</v>
      </c>
      <c r="Q52" t="s">
        <v>50</v>
      </c>
    </row>
    <row r="53" spans="1:17" x14ac:dyDescent="0.35">
      <c r="A53">
        <v>52</v>
      </c>
      <c r="B53">
        <v>2015</v>
      </c>
      <c r="C53">
        <v>7</v>
      </c>
      <c r="D53" t="s">
        <v>36</v>
      </c>
      <c r="E53" t="s">
        <v>54</v>
      </c>
      <c r="F53" s="1">
        <v>46279</v>
      </c>
      <c r="G53" s="1">
        <v>398594</v>
      </c>
      <c r="H53">
        <v>306</v>
      </c>
      <c r="I53">
        <v>0.97</v>
      </c>
      <c r="J53">
        <v>6.29</v>
      </c>
      <c r="K53">
        <v>1.2</v>
      </c>
      <c r="L53">
        <v>1</v>
      </c>
      <c r="M53" s="1" t="e">
        <f>#N/A</f>
        <v>#N/A</v>
      </c>
      <c r="N53">
        <v>999</v>
      </c>
      <c r="Q53" t="s">
        <v>50</v>
      </c>
    </row>
    <row r="54" spans="1:17" x14ac:dyDescent="0.35">
      <c r="A54">
        <v>53</v>
      </c>
      <c r="B54">
        <v>2015</v>
      </c>
      <c r="C54">
        <v>7</v>
      </c>
      <c r="D54" t="s">
        <v>28</v>
      </c>
      <c r="E54" t="s">
        <v>84</v>
      </c>
      <c r="F54" s="1">
        <v>111976</v>
      </c>
      <c r="G54" s="1">
        <v>287989</v>
      </c>
      <c r="H54">
        <v>107</v>
      </c>
      <c r="I54">
        <v>0.97</v>
      </c>
      <c r="J54">
        <v>6.29</v>
      </c>
      <c r="K54">
        <v>1.2</v>
      </c>
      <c r="L54">
        <v>5</v>
      </c>
      <c r="M54" s="1" t="e">
        <f>#N/A</f>
        <v>#N/A</v>
      </c>
      <c r="N54">
        <v>552</v>
      </c>
      <c r="Q54" t="s">
        <v>50</v>
      </c>
    </row>
    <row r="55" spans="1:17" x14ac:dyDescent="0.35">
      <c r="A55">
        <v>54</v>
      </c>
      <c r="B55">
        <v>2015</v>
      </c>
      <c r="C55">
        <v>7</v>
      </c>
      <c r="D55" t="s">
        <v>28</v>
      </c>
      <c r="E55" t="s">
        <v>99</v>
      </c>
      <c r="F55" s="1">
        <v>43876</v>
      </c>
      <c r="G55" s="1">
        <v>89148</v>
      </c>
      <c r="H55">
        <v>18</v>
      </c>
      <c r="I55">
        <v>0.97</v>
      </c>
      <c r="J55">
        <v>6.29</v>
      </c>
      <c r="K55">
        <v>1.2</v>
      </c>
      <c r="L55">
        <v>7</v>
      </c>
      <c r="M55" s="1" t="e">
        <f>#N/A</f>
        <v>#N/A</v>
      </c>
      <c r="N55">
        <v>467</v>
      </c>
      <c r="Q55" t="s">
        <v>51</v>
      </c>
    </row>
    <row r="56" spans="1:17" x14ac:dyDescent="0.35">
      <c r="A56">
        <v>55</v>
      </c>
      <c r="B56">
        <v>2015</v>
      </c>
      <c r="C56">
        <v>7</v>
      </c>
      <c r="D56" t="s">
        <v>35</v>
      </c>
      <c r="E56" t="s">
        <v>93</v>
      </c>
      <c r="F56" s="1">
        <v>107394</v>
      </c>
      <c r="G56" s="1">
        <v>144202</v>
      </c>
      <c r="H56">
        <v>109</v>
      </c>
      <c r="I56">
        <v>0.97</v>
      </c>
      <c r="J56">
        <v>6.29</v>
      </c>
      <c r="K56">
        <v>1.2</v>
      </c>
      <c r="L56">
        <v>9</v>
      </c>
      <c r="M56" s="1" t="e">
        <f>#N/A</f>
        <v>#N/A</v>
      </c>
      <c r="N56">
        <v>224</v>
      </c>
      <c r="Q56" t="s">
        <v>51</v>
      </c>
    </row>
    <row r="57" spans="1:17" x14ac:dyDescent="0.35">
      <c r="A57">
        <v>56</v>
      </c>
      <c r="B57">
        <v>2015</v>
      </c>
      <c r="C57">
        <v>7</v>
      </c>
      <c r="D57" t="s">
        <v>28</v>
      </c>
      <c r="E57" t="s">
        <v>105</v>
      </c>
      <c r="F57" s="1">
        <v>44637</v>
      </c>
      <c r="G57" s="1">
        <v>428824</v>
      </c>
      <c r="H57">
        <v>229</v>
      </c>
      <c r="I57">
        <v>0.97</v>
      </c>
      <c r="J57">
        <v>6.29</v>
      </c>
      <c r="K57">
        <v>1.2</v>
      </c>
      <c r="L57">
        <v>10</v>
      </c>
      <c r="M57" s="1" t="e">
        <f>#N/A</f>
        <v>#N/A</v>
      </c>
      <c r="N57">
        <v>861</v>
      </c>
      <c r="Q57" t="s">
        <v>51</v>
      </c>
    </row>
    <row r="58" spans="1:17" x14ac:dyDescent="0.35">
      <c r="A58">
        <v>57</v>
      </c>
      <c r="B58">
        <v>2015</v>
      </c>
      <c r="C58">
        <v>7</v>
      </c>
      <c r="D58" t="s">
        <v>28</v>
      </c>
      <c r="E58" t="s">
        <v>139</v>
      </c>
      <c r="F58" s="1">
        <v>37895</v>
      </c>
      <c r="G58" s="1">
        <v>194491</v>
      </c>
      <c r="H58">
        <v>247</v>
      </c>
      <c r="I58">
        <v>0.97</v>
      </c>
      <c r="J58">
        <v>6.29</v>
      </c>
      <c r="K58">
        <v>1.2</v>
      </c>
      <c r="L58">
        <v>5</v>
      </c>
      <c r="M58" s="1" t="e">
        <f>#N/A</f>
        <v>#N/A</v>
      </c>
      <c r="N58">
        <v>762</v>
      </c>
      <c r="Q58" t="s">
        <v>51</v>
      </c>
    </row>
    <row r="59" spans="1:17" x14ac:dyDescent="0.35">
      <c r="A59">
        <v>58</v>
      </c>
      <c r="B59">
        <v>2015</v>
      </c>
      <c r="C59">
        <v>7</v>
      </c>
      <c r="D59" t="s">
        <v>30</v>
      </c>
      <c r="E59" t="s">
        <v>145</v>
      </c>
      <c r="F59" s="1">
        <v>59299</v>
      </c>
      <c r="G59" s="1">
        <v>295160</v>
      </c>
      <c r="H59">
        <v>265</v>
      </c>
      <c r="I59">
        <v>0.97</v>
      </c>
      <c r="J59">
        <v>6.29</v>
      </c>
      <c r="K59">
        <v>1.2</v>
      </c>
      <c r="L59">
        <v>10</v>
      </c>
      <c r="M59" s="1" t="e">
        <f>#N/A</f>
        <v>#N/A</v>
      </c>
      <c r="N59">
        <v>904</v>
      </c>
      <c r="Q59" t="s">
        <v>51</v>
      </c>
    </row>
    <row r="60" spans="1:17" x14ac:dyDescent="0.35">
      <c r="A60">
        <v>59</v>
      </c>
      <c r="B60">
        <v>2015</v>
      </c>
      <c r="C60">
        <v>7</v>
      </c>
      <c r="D60" t="s">
        <v>32</v>
      </c>
      <c r="E60" t="s">
        <v>147</v>
      </c>
      <c r="F60" s="1">
        <v>107635</v>
      </c>
      <c r="G60" s="1">
        <v>280063</v>
      </c>
      <c r="H60">
        <v>282</v>
      </c>
      <c r="I60">
        <v>0.97</v>
      </c>
      <c r="J60">
        <v>6.29</v>
      </c>
      <c r="K60">
        <v>1.2</v>
      </c>
      <c r="L60">
        <v>10</v>
      </c>
      <c r="M60" s="1" t="e">
        <f>#N/A</f>
        <v>#N/A</v>
      </c>
      <c r="N60">
        <v>662</v>
      </c>
      <c r="Q60" t="s">
        <v>51</v>
      </c>
    </row>
    <row r="61" spans="1:17" x14ac:dyDescent="0.35">
      <c r="A61">
        <v>60</v>
      </c>
      <c r="B61">
        <v>2015</v>
      </c>
      <c r="C61">
        <v>7</v>
      </c>
      <c r="D61" t="s">
        <v>21</v>
      </c>
      <c r="E61" t="e">
        <v>#N/A</v>
      </c>
      <c r="F61" s="1">
        <v>36378</v>
      </c>
      <c r="G61" s="1">
        <v>267394</v>
      </c>
      <c r="H61">
        <v>395</v>
      </c>
      <c r="I61">
        <v>0.97</v>
      </c>
      <c r="J61">
        <v>6.29</v>
      </c>
      <c r="K61">
        <v>1.2</v>
      </c>
      <c r="L61">
        <v>10</v>
      </c>
      <c r="M61" s="1" t="e">
        <f>#N/A</f>
        <v>#N/A</v>
      </c>
      <c r="N61">
        <v>953</v>
      </c>
      <c r="Q61" t="s">
        <v>51</v>
      </c>
    </row>
    <row r="62" spans="1:17" x14ac:dyDescent="0.35">
      <c r="A62">
        <v>61</v>
      </c>
      <c r="B62">
        <v>2015</v>
      </c>
      <c r="C62">
        <v>8</v>
      </c>
      <c r="D62" t="s">
        <v>30</v>
      </c>
      <c r="E62" t="s">
        <v>46</v>
      </c>
      <c r="F62" s="1">
        <v>44837</v>
      </c>
      <c r="G62" s="1">
        <v>397299</v>
      </c>
      <c r="H62">
        <v>173</v>
      </c>
      <c r="I62">
        <v>0.97</v>
      </c>
      <c r="J62">
        <v>6.29</v>
      </c>
      <c r="K62">
        <v>1.2</v>
      </c>
      <c r="L62">
        <v>6</v>
      </c>
      <c r="M62" s="1" t="e">
        <f>#N/A</f>
        <v>#N/A</v>
      </c>
      <c r="N62">
        <v>670</v>
      </c>
      <c r="Q62" t="s">
        <v>51</v>
      </c>
    </row>
    <row r="63" spans="1:17" x14ac:dyDescent="0.35">
      <c r="A63">
        <v>62</v>
      </c>
      <c r="B63">
        <v>2015</v>
      </c>
      <c r="C63">
        <v>8</v>
      </c>
      <c r="D63" t="s">
        <v>21</v>
      </c>
      <c r="E63" t="s">
        <v>53</v>
      </c>
      <c r="F63" s="1">
        <v>87982</v>
      </c>
      <c r="G63" s="1">
        <v>449594</v>
      </c>
      <c r="H63">
        <v>178</v>
      </c>
      <c r="I63">
        <v>0.97</v>
      </c>
      <c r="J63">
        <v>6.29</v>
      </c>
      <c r="K63">
        <v>1.2</v>
      </c>
      <c r="L63">
        <v>2</v>
      </c>
      <c r="M63" s="1" t="e">
        <f>#N/A</f>
        <v>#N/A</v>
      </c>
      <c r="N63">
        <v>495</v>
      </c>
      <c r="Q63" t="s">
        <v>51</v>
      </c>
    </row>
    <row r="64" spans="1:17" x14ac:dyDescent="0.35">
      <c r="A64">
        <v>63</v>
      </c>
      <c r="B64">
        <v>2015</v>
      </c>
      <c r="C64">
        <v>8</v>
      </c>
      <c r="D64" t="s">
        <v>28</v>
      </c>
      <c r="E64" t="s">
        <v>64</v>
      </c>
      <c r="F64" s="1">
        <v>40583</v>
      </c>
      <c r="G64" s="1">
        <v>240715</v>
      </c>
      <c r="H64">
        <v>29</v>
      </c>
      <c r="I64">
        <v>0.97</v>
      </c>
      <c r="J64">
        <v>6.29</v>
      </c>
      <c r="K64">
        <v>1.2</v>
      </c>
      <c r="L64">
        <v>6</v>
      </c>
      <c r="M64" s="1" t="e">
        <f>#N/A</f>
        <v>#N/A</v>
      </c>
      <c r="N64">
        <v>417</v>
      </c>
      <c r="Q64" t="s">
        <v>51</v>
      </c>
    </row>
    <row r="65" spans="1:17" x14ac:dyDescent="0.35">
      <c r="A65">
        <v>64</v>
      </c>
      <c r="B65">
        <v>2015</v>
      </c>
      <c r="C65">
        <v>8</v>
      </c>
      <c r="D65" t="s">
        <v>37</v>
      </c>
      <c r="E65" t="s">
        <v>84</v>
      </c>
      <c r="F65" s="1">
        <v>77065</v>
      </c>
      <c r="G65" s="1">
        <v>74502</v>
      </c>
      <c r="H65">
        <v>265</v>
      </c>
      <c r="I65">
        <v>0.97</v>
      </c>
      <c r="J65">
        <v>6.29</v>
      </c>
      <c r="K65">
        <v>1.2</v>
      </c>
      <c r="L65">
        <v>9</v>
      </c>
      <c r="M65" s="1" t="e">
        <f>#N/A</f>
        <v>#N/A</v>
      </c>
      <c r="N65">
        <v>929</v>
      </c>
      <c r="Q65" t="s">
        <v>51</v>
      </c>
    </row>
    <row r="66" spans="1:17" x14ac:dyDescent="0.35">
      <c r="A66">
        <v>65</v>
      </c>
      <c r="B66">
        <v>2015</v>
      </c>
      <c r="C66">
        <v>8</v>
      </c>
      <c r="D66" t="s">
        <v>35</v>
      </c>
      <c r="E66" t="s">
        <v>98</v>
      </c>
      <c r="F66" s="1">
        <v>49414</v>
      </c>
      <c r="G66" s="1">
        <v>259087</v>
      </c>
      <c r="H66">
        <v>186</v>
      </c>
      <c r="I66">
        <v>0.97</v>
      </c>
      <c r="J66">
        <v>6.29</v>
      </c>
      <c r="K66">
        <v>1.2</v>
      </c>
      <c r="L66">
        <v>1</v>
      </c>
      <c r="M66" s="1" t="e">
        <f>#N/A</f>
        <v>#N/A</v>
      </c>
      <c r="N66">
        <v>564</v>
      </c>
      <c r="Q66" t="s">
        <v>51</v>
      </c>
    </row>
    <row r="67" spans="1:17" x14ac:dyDescent="0.35">
      <c r="A67">
        <v>66</v>
      </c>
      <c r="B67">
        <v>2015</v>
      </c>
      <c r="C67">
        <v>8</v>
      </c>
      <c r="D67" t="s">
        <v>14</v>
      </c>
      <c r="E67" t="s">
        <v>116</v>
      </c>
      <c r="F67" s="1">
        <v>65930</v>
      </c>
      <c r="G67" s="1">
        <v>320001</v>
      </c>
      <c r="H67">
        <v>89</v>
      </c>
      <c r="I67">
        <v>0.97</v>
      </c>
      <c r="J67">
        <v>6.29</v>
      </c>
      <c r="K67">
        <v>1.2</v>
      </c>
      <c r="L67">
        <v>1</v>
      </c>
      <c r="M67" s="1" t="e">
        <f>#N/A</f>
        <v>#N/A</v>
      </c>
      <c r="N67">
        <v>301</v>
      </c>
      <c r="Q67" t="s">
        <v>52</v>
      </c>
    </row>
    <row r="68" spans="1:17" x14ac:dyDescent="0.35">
      <c r="A68">
        <v>67</v>
      </c>
      <c r="B68">
        <v>2015</v>
      </c>
      <c r="C68">
        <v>8</v>
      </c>
      <c r="D68" t="s">
        <v>36</v>
      </c>
      <c r="E68" t="s">
        <v>137</v>
      </c>
      <c r="F68" s="1">
        <v>42533</v>
      </c>
      <c r="G68" s="1">
        <v>110654</v>
      </c>
      <c r="H68">
        <v>322</v>
      </c>
      <c r="I68">
        <v>0.97</v>
      </c>
      <c r="J68">
        <v>6.29</v>
      </c>
      <c r="K68">
        <v>1.2</v>
      </c>
      <c r="L68">
        <v>5</v>
      </c>
      <c r="M68" s="1" t="e">
        <f>#N/A</f>
        <v>#N/A</v>
      </c>
      <c r="N68">
        <v>721</v>
      </c>
      <c r="Q68" t="s">
        <v>52</v>
      </c>
    </row>
    <row r="69" spans="1:17" x14ac:dyDescent="0.35">
      <c r="A69">
        <v>68</v>
      </c>
      <c r="B69">
        <v>2015</v>
      </c>
      <c r="C69">
        <v>8</v>
      </c>
      <c r="D69" t="s">
        <v>35</v>
      </c>
      <c r="E69" t="s">
        <v>129</v>
      </c>
      <c r="F69" s="1">
        <v>59648</v>
      </c>
      <c r="G69" s="1">
        <v>216991</v>
      </c>
      <c r="H69">
        <v>220</v>
      </c>
      <c r="I69">
        <v>0.97</v>
      </c>
      <c r="J69">
        <v>6.29</v>
      </c>
      <c r="K69">
        <v>1.2</v>
      </c>
      <c r="L69">
        <v>9</v>
      </c>
      <c r="M69" s="1" t="e">
        <f>#N/A</f>
        <v>#N/A</v>
      </c>
      <c r="N69">
        <v>724</v>
      </c>
      <c r="Q69" t="s">
        <v>52</v>
      </c>
    </row>
    <row r="70" spans="1:17" x14ac:dyDescent="0.35">
      <c r="A70">
        <v>69</v>
      </c>
      <c r="B70">
        <v>2015</v>
      </c>
      <c r="C70">
        <v>8</v>
      </c>
      <c r="D70" t="s">
        <v>36</v>
      </c>
      <c r="E70" t="s">
        <v>139</v>
      </c>
      <c r="F70" s="1">
        <v>51075</v>
      </c>
      <c r="G70" s="1">
        <v>127095</v>
      </c>
      <c r="H70">
        <v>34</v>
      </c>
      <c r="I70">
        <v>0.97</v>
      </c>
      <c r="J70">
        <v>6.29</v>
      </c>
      <c r="K70">
        <v>1.2</v>
      </c>
      <c r="L70">
        <v>2</v>
      </c>
      <c r="M70" s="1" t="e">
        <f>#N/A</f>
        <v>#N/A</v>
      </c>
      <c r="N70">
        <v>388</v>
      </c>
      <c r="Q70" t="s">
        <v>52</v>
      </c>
    </row>
    <row r="71" spans="1:17" x14ac:dyDescent="0.35">
      <c r="A71">
        <v>70</v>
      </c>
      <c r="B71">
        <v>2015</v>
      </c>
      <c r="C71">
        <v>8</v>
      </c>
      <c r="D71" t="s">
        <v>35</v>
      </c>
      <c r="E71" t="s">
        <v>146</v>
      </c>
      <c r="F71" s="1">
        <v>114823</v>
      </c>
      <c r="G71" s="1">
        <v>110282</v>
      </c>
      <c r="H71">
        <v>31</v>
      </c>
      <c r="I71">
        <v>0.97</v>
      </c>
      <c r="J71">
        <v>6.29</v>
      </c>
      <c r="K71">
        <v>1.2</v>
      </c>
      <c r="L71">
        <v>2</v>
      </c>
      <c r="M71" s="1" t="e">
        <f>#N/A</f>
        <v>#N/A</v>
      </c>
      <c r="N71">
        <v>398</v>
      </c>
      <c r="Q71" t="s">
        <v>52</v>
      </c>
    </row>
    <row r="72" spans="1:17" x14ac:dyDescent="0.35">
      <c r="A72">
        <v>71</v>
      </c>
      <c r="B72">
        <v>2015</v>
      </c>
      <c r="C72">
        <v>8</v>
      </c>
      <c r="D72" t="s">
        <v>38</v>
      </c>
      <c r="E72" t="s">
        <v>153</v>
      </c>
      <c r="F72" s="1">
        <v>96861</v>
      </c>
      <c r="G72" s="1">
        <v>465685</v>
      </c>
      <c r="H72">
        <v>81</v>
      </c>
      <c r="I72">
        <v>0.97</v>
      </c>
      <c r="J72">
        <v>6.29</v>
      </c>
      <c r="K72">
        <v>1.2</v>
      </c>
      <c r="L72">
        <v>3</v>
      </c>
      <c r="M72" s="1" t="e">
        <f>#N/A</f>
        <v>#N/A</v>
      </c>
      <c r="N72">
        <v>451</v>
      </c>
      <c r="Q72" t="s">
        <v>52</v>
      </c>
    </row>
    <row r="73" spans="1:17" x14ac:dyDescent="0.35">
      <c r="A73">
        <v>72</v>
      </c>
      <c r="B73">
        <v>2015</v>
      </c>
      <c r="C73">
        <v>8</v>
      </c>
      <c r="D73" t="s">
        <v>32</v>
      </c>
      <c r="E73" t="e">
        <v>#N/A</v>
      </c>
      <c r="F73" s="1">
        <v>35893</v>
      </c>
      <c r="G73" s="1">
        <v>327648</v>
      </c>
      <c r="H73">
        <v>27</v>
      </c>
      <c r="I73">
        <v>0.97</v>
      </c>
      <c r="J73">
        <v>6.29</v>
      </c>
      <c r="K73">
        <v>1.2</v>
      </c>
      <c r="L73">
        <v>10</v>
      </c>
      <c r="M73" s="1" t="e">
        <f>#N/A</f>
        <v>#N/A</v>
      </c>
      <c r="N73">
        <v>212</v>
      </c>
      <c r="Q73" t="s">
        <v>52</v>
      </c>
    </row>
    <row r="74" spans="1:17" x14ac:dyDescent="0.35">
      <c r="A74">
        <v>73</v>
      </c>
      <c r="B74">
        <v>2015</v>
      </c>
      <c r="C74">
        <v>9</v>
      </c>
      <c r="D74" t="s">
        <v>21</v>
      </c>
      <c r="E74" t="s">
        <v>55</v>
      </c>
      <c r="F74" s="1">
        <v>46772</v>
      </c>
      <c r="G74" s="1">
        <v>403330</v>
      </c>
      <c r="H74">
        <v>290</v>
      </c>
      <c r="I74">
        <v>0.97</v>
      </c>
      <c r="J74">
        <v>6.29</v>
      </c>
      <c r="K74">
        <v>1.2</v>
      </c>
      <c r="L74">
        <v>3</v>
      </c>
      <c r="M74" s="1" t="e">
        <f>#N/A</f>
        <v>#N/A</v>
      </c>
      <c r="N74">
        <v>1044</v>
      </c>
      <c r="Q74" t="s">
        <v>52</v>
      </c>
    </row>
    <row r="75" spans="1:17" x14ac:dyDescent="0.35">
      <c r="A75">
        <v>74</v>
      </c>
      <c r="B75">
        <v>2015</v>
      </c>
      <c r="C75">
        <v>9</v>
      </c>
      <c r="D75" t="s">
        <v>21</v>
      </c>
      <c r="E75" t="s">
        <v>88</v>
      </c>
      <c r="F75" s="1">
        <v>75734</v>
      </c>
      <c r="G75" s="1">
        <v>265657</v>
      </c>
      <c r="H75">
        <v>362</v>
      </c>
      <c r="I75">
        <v>0.97</v>
      </c>
      <c r="J75">
        <v>6.29</v>
      </c>
      <c r="K75">
        <v>1.2</v>
      </c>
      <c r="L75">
        <v>7</v>
      </c>
      <c r="M75" s="1" t="e">
        <f>#N/A</f>
        <v>#N/A</v>
      </c>
      <c r="N75">
        <v>836</v>
      </c>
      <c r="Q75" t="s">
        <v>52</v>
      </c>
    </row>
    <row r="76" spans="1:17" x14ac:dyDescent="0.35">
      <c r="A76">
        <v>75</v>
      </c>
      <c r="B76">
        <v>2015</v>
      </c>
      <c r="C76">
        <v>9</v>
      </c>
      <c r="D76" t="s">
        <v>21</v>
      </c>
      <c r="E76" t="s">
        <v>124</v>
      </c>
      <c r="F76" s="1">
        <v>101677</v>
      </c>
      <c r="G76" s="1">
        <v>316907</v>
      </c>
      <c r="H76">
        <v>56</v>
      </c>
      <c r="I76">
        <v>0.97</v>
      </c>
      <c r="J76">
        <v>6.29</v>
      </c>
      <c r="K76">
        <v>1.2</v>
      </c>
      <c r="L76">
        <v>7</v>
      </c>
      <c r="M76" s="1" t="e">
        <f>#N/A</f>
        <v>#N/A</v>
      </c>
      <c r="N76">
        <v>255</v>
      </c>
      <c r="Q76" t="s">
        <v>52</v>
      </c>
    </row>
    <row r="77" spans="1:17" x14ac:dyDescent="0.35">
      <c r="A77">
        <v>76</v>
      </c>
      <c r="B77">
        <v>2015</v>
      </c>
      <c r="C77">
        <v>9</v>
      </c>
      <c r="D77" t="s">
        <v>38</v>
      </c>
      <c r="E77" t="s">
        <v>121</v>
      </c>
      <c r="F77" s="1">
        <v>72052</v>
      </c>
      <c r="G77" s="1">
        <v>172066</v>
      </c>
      <c r="H77">
        <v>332</v>
      </c>
      <c r="I77">
        <v>0.97</v>
      </c>
      <c r="J77">
        <v>6.29</v>
      </c>
      <c r="K77">
        <v>1.2</v>
      </c>
      <c r="L77">
        <v>9</v>
      </c>
      <c r="M77" s="1" t="e">
        <f>#N/A</f>
        <v>#N/A</v>
      </c>
      <c r="N77">
        <v>908</v>
      </c>
      <c r="Q77" t="s">
        <v>52</v>
      </c>
    </row>
    <row r="78" spans="1:17" x14ac:dyDescent="0.35">
      <c r="A78">
        <v>77</v>
      </c>
      <c r="B78">
        <v>2015</v>
      </c>
      <c r="C78">
        <v>9</v>
      </c>
      <c r="D78" t="s">
        <v>14</v>
      </c>
      <c r="E78" t="s">
        <v>136</v>
      </c>
      <c r="F78" s="1">
        <v>96431</v>
      </c>
      <c r="G78" s="1">
        <v>482601</v>
      </c>
      <c r="H78">
        <v>337</v>
      </c>
      <c r="I78">
        <v>0.97</v>
      </c>
      <c r="J78">
        <v>6.29</v>
      </c>
      <c r="K78">
        <v>1.2</v>
      </c>
      <c r="L78">
        <v>5</v>
      </c>
      <c r="M78" s="1" t="e">
        <f>#N/A</f>
        <v>#N/A</v>
      </c>
      <c r="N78">
        <v>937</v>
      </c>
      <c r="Q78" t="s">
        <v>52</v>
      </c>
    </row>
    <row r="79" spans="1:17" x14ac:dyDescent="0.35">
      <c r="A79">
        <v>78</v>
      </c>
      <c r="B79">
        <v>2015</v>
      </c>
      <c r="C79">
        <v>9</v>
      </c>
      <c r="D79" t="s">
        <v>32</v>
      </c>
      <c r="E79" t="s">
        <v>133</v>
      </c>
      <c r="F79" s="1">
        <v>41054</v>
      </c>
      <c r="G79" s="1">
        <v>202948</v>
      </c>
      <c r="H79">
        <v>257</v>
      </c>
      <c r="I79">
        <v>0.97</v>
      </c>
      <c r="J79">
        <v>6.29</v>
      </c>
      <c r="K79">
        <v>1.2</v>
      </c>
      <c r="L79">
        <v>10</v>
      </c>
      <c r="M79" s="1" t="e">
        <f>#N/A</f>
        <v>#N/A</v>
      </c>
      <c r="N79">
        <v>905</v>
      </c>
      <c r="Q79" t="s">
        <v>52</v>
      </c>
    </row>
    <row r="80" spans="1:17" x14ac:dyDescent="0.35">
      <c r="A80">
        <v>79</v>
      </c>
      <c r="B80">
        <v>2015</v>
      </c>
      <c r="C80">
        <v>9</v>
      </c>
      <c r="D80" t="s">
        <v>21</v>
      </c>
      <c r="E80" t="s">
        <v>135</v>
      </c>
      <c r="F80" s="1">
        <v>119577</v>
      </c>
      <c r="G80" s="1">
        <v>252918</v>
      </c>
      <c r="H80">
        <v>301</v>
      </c>
      <c r="I80">
        <v>0.97</v>
      </c>
      <c r="J80">
        <v>6.29</v>
      </c>
      <c r="K80">
        <v>1.2</v>
      </c>
      <c r="L80">
        <v>1</v>
      </c>
      <c r="M80" s="1" t="e">
        <f>#N/A</f>
        <v>#N/A</v>
      </c>
      <c r="N80">
        <v>678</v>
      </c>
      <c r="Q80" t="s">
        <v>52</v>
      </c>
    </row>
    <row r="81" spans="1:17" x14ac:dyDescent="0.35">
      <c r="A81">
        <v>80</v>
      </c>
      <c r="B81">
        <v>2015</v>
      </c>
      <c r="C81">
        <v>9</v>
      </c>
      <c r="D81" t="s">
        <v>21</v>
      </c>
      <c r="E81" t="s">
        <v>145</v>
      </c>
      <c r="F81" s="1">
        <v>81418</v>
      </c>
      <c r="G81" s="1">
        <v>416648</v>
      </c>
      <c r="H81">
        <v>33</v>
      </c>
      <c r="I81">
        <v>0.97</v>
      </c>
      <c r="J81">
        <v>6.29</v>
      </c>
      <c r="K81">
        <v>1.2</v>
      </c>
      <c r="L81">
        <v>3</v>
      </c>
      <c r="M81" s="1" t="e">
        <f>#N/A</f>
        <v>#N/A</v>
      </c>
      <c r="N81">
        <v>162</v>
      </c>
      <c r="Q81" t="s">
        <v>52</v>
      </c>
    </row>
    <row r="82" spans="1:17" x14ac:dyDescent="0.35">
      <c r="A82">
        <v>81</v>
      </c>
      <c r="B82">
        <v>2015</v>
      </c>
      <c r="C82">
        <v>9</v>
      </c>
      <c r="D82" t="s">
        <v>36</v>
      </c>
      <c r="E82" t="s">
        <v>140</v>
      </c>
      <c r="F82" s="1">
        <v>88639</v>
      </c>
      <c r="G82" s="1">
        <v>394912</v>
      </c>
      <c r="H82">
        <v>158</v>
      </c>
      <c r="I82">
        <v>0.97</v>
      </c>
      <c r="J82">
        <v>6.29</v>
      </c>
      <c r="K82">
        <v>1.2</v>
      </c>
      <c r="L82">
        <v>3</v>
      </c>
      <c r="M82" s="1" t="e">
        <f>#N/A</f>
        <v>#N/A</v>
      </c>
      <c r="N82">
        <v>482</v>
      </c>
      <c r="Q82" t="s">
        <v>52</v>
      </c>
    </row>
    <row r="83" spans="1:17" x14ac:dyDescent="0.35">
      <c r="A83">
        <v>82</v>
      </c>
      <c r="B83">
        <v>2015</v>
      </c>
      <c r="C83">
        <v>9</v>
      </c>
      <c r="D83" t="s">
        <v>25</v>
      </c>
      <c r="E83" t="s">
        <v>160</v>
      </c>
      <c r="F83" s="1">
        <v>103876</v>
      </c>
      <c r="G83" s="1">
        <v>315470</v>
      </c>
      <c r="H83">
        <v>109</v>
      </c>
      <c r="I83">
        <v>0.97</v>
      </c>
      <c r="J83">
        <v>6.29</v>
      </c>
      <c r="K83">
        <v>1.2</v>
      </c>
      <c r="L83">
        <v>1</v>
      </c>
      <c r="M83" s="1" t="e">
        <f>#N/A</f>
        <v>#N/A</v>
      </c>
      <c r="N83">
        <v>540</v>
      </c>
      <c r="Q83" t="s">
        <v>52</v>
      </c>
    </row>
    <row r="84" spans="1:17" x14ac:dyDescent="0.35">
      <c r="A84">
        <v>83</v>
      </c>
      <c r="B84">
        <v>2015</v>
      </c>
      <c r="C84">
        <v>9</v>
      </c>
      <c r="D84" t="s">
        <v>14</v>
      </c>
      <c r="E84" t="e">
        <v>#N/A</v>
      </c>
      <c r="F84" s="1">
        <v>65607</v>
      </c>
      <c r="G84" s="1">
        <v>165260</v>
      </c>
      <c r="H84">
        <v>181</v>
      </c>
      <c r="I84">
        <v>0.97</v>
      </c>
      <c r="J84">
        <v>6.29</v>
      </c>
      <c r="K84">
        <v>1.2</v>
      </c>
      <c r="L84">
        <v>1</v>
      </c>
      <c r="M84" s="1" t="e">
        <f>#N/A</f>
        <v>#N/A</v>
      </c>
      <c r="N84">
        <v>588</v>
      </c>
      <c r="Q84" t="s">
        <v>52</v>
      </c>
    </row>
    <row r="85" spans="1:17" x14ac:dyDescent="0.35">
      <c r="A85">
        <v>84</v>
      </c>
      <c r="B85">
        <v>2015</v>
      </c>
      <c r="C85">
        <v>9</v>
      </c>
      <c r="D85" t="s">
        <v>32</v>
      </c>
      <c r="E85" t="s">
        <v>152</v>
      </c>
      <c r="F85" s="1">
        <v>75581</v>
      </c>
      <c r="G85" s="1">
        <v>221635</v>
      </c>
      <c r="H85">
        <v>295</v>
      </c>
      <c r="I85">
        <v>0.97</v>
      </c>
      <c r="J85">
        <v>6.29</v>
      </c>
      <c r="K85">
        <v>1.2</v>
      </c>
      <c r="L85">
        <v>2</v>
      </c>
      <c r="M85" s="1" t="e">
        <f>#N/A</f>
        <v>#N/A</v>
      </c>
      <c r="N85">
        <v>848</v>
      </c>
      <c r="Q85" t="s">
        <v>53</v>
      </c>
    </row>
    <row r="86" spans="1:17" x14ac:dyDescent="0.35">
      <c r="A86">
        <v>85</v>
      </c>
      <c r="B86">
        <v>2015</v>
      </c>
      <c r="C86">
        <v>10</v>
      </c>
      <c r="D86" t="s">
        <v>37</v>
      </c>
      <c r="E86" t="s">
        <v>51</v>
      </c>
      <c r="F86" s="1">
        <v>112004</v>
      </c>
      <c r="G86" s="1">
        <v>498927</v>
      </c>
      <c r="H86">
        <v>18</v>
      </c>
      <c r="I86">
        <v>0.97</v>
      </c>
      <c r="J86">
        <v>6.29</v>
      </c>
      <c r="K86">
        <v>1.2</v>
      </c>
      <c r="L86">
        <v>7</v>
      </c>
      <c r="M86" s="1" t="e">
        <f>#N/A</f>
        <v>#N/A</v>
      </c>
      <c r="N86">
        <v>130</v>
      </c>
      <c r="Q86" t="s">
        <v>53</v>
      </c>
    </row>
    <row r="87" spans="1:17" x14ac:dyDescent="0.35">
      <c r="A87">
        <v>86</v>
      </c>
      <c r="B87">
        <v>2015</v>
      </c>
      <c r="C87">
        <v>10</v>
      </c>
      <c r="D87" t="s">
        <v>36</v>
      </c>
      <c r="E87" t="s">
        <v>67</v>
      </c>
      <c r="F87" s="1">
        <v>80760</v>
      </c>
      <c r="G87" s="1">
        <v>380724</v>
      </c>
      <c r="H87">
        <v>362</v>
      </c>
      <c r="I87">
        <v>0.97</v>
      </c>
      <c r="J87">
        <v>6.29</v>
      </c>
      <c r="K87">
        <v>1.2</v>
      </c>
      <c r="L87">
        <v>1</v>
      </c>
      <c r="M87" s="1" t="e">
        <f>#N/A</f>
        <v>#N/A</v>
      </c>
      <c r="N87">
        <v>961</v>
      </c>
      <c r="Q87" t="s">
        <v>53</v>
      </c>
    </row>
    <row r="88" spans="1:17" x14ac:dyDescent="0.35">
      <c r="A88">
        <v>87</v>
      </c>
      <c r="B88">
        <v>2015</v>
      </c>
      <c r="C88">
        <v>10</v>
      </c>
      <c r="D88" t="s">
        <v>28</v>
      </c>
      <c r="E88" t="s">
        <v>78</v>
      </c>
      <c r="F88" s="1">
        <v>115846</v>
      </c>
      <c r="G88" s="1">
        <v>164919</v>
      </c>
      <c r="H88">
        <v>25</v>
      </c>
      <c r="I88">
        <v>0.97</v>
      </c>
      <c r="J88">
        <v>6.29</v>
      </c>
      <c r="K88">
        <v>1.2</v>
      </c>
      <c r="L88">
        <v>5</v>
      </c>
      <c r="M88" s="1" t="e">
        <f>#N/A</f>
        <v>#N/A</v>
      </c>
      <c r="N88">
        <v>359</v>
      </c>
      <c r="Q88" t="s">
        <v>53</v>
      </c>
    </row>
    <row r="89" spans="1:17" x14ac:dyDescent="0.35">
      <c r="A89">
        <v>88</v>
      </c>
      <c r="B89">
        <v>2015</v>
      </c>
      <c r="C89">
        <v>10</v>
      </c>
      <c r="D89" t="s">
        <v>21</v>
      </c>
      <c r="E89" t="s">
        <v>69</v>
      </c>
      <c r="F89" s="1">
        <v>71561</v>
      </c>
      <c r="G89" s="1">
        <v>253179</v>
      </c>
      <c r="H89">
        <v>115</v>
      </c>
      <c r="I89">
        <v>0.97</v>
      </c>
      <c r="J89">
        <v>6.29</v>
      </c>
      <c r="K89">
        <v>1.2</v>
      </c>
      <c r="L89">
        <v>6</v>
      </c>
      <c r="M89" s="1" t="e">
        <f>#N/A</f>
        <v>#N/A</v>
      </c>
      <c r="N89">
        <v>284</v>
      </c>
      <c r="Q89" t="s">
        <v>53</v>
      </c>
    </row>
    <row r="90" spans="1:17" x14ac:dyDescent="0.35">
      <c r="A90">
        <v>89</v>
      </c>
      <c r="B90">
        <v>2015</v>
      </c>
      <c r="C90">
        <v>10</v>
      </c>
      <c r="D90" t="s">
        <v>37</v>
      </c>
      <c r="E90" t="s">
        <v>94</v>
      </c>
      <c r="F90" s="1">
        <v>75277</v>
      </c>
      <c r="G90" s="1">
        <v>230427</v>
      </c>
      <c r="H90">
        <v>103</v>
      </c>
      <c r="I90">
        <v>0.97</v>
      </c>
      <c r="J90">
        <v>6.29</v>
      </c>
      <c r="K90">
        <v>1.2</v>
      </c>
      <c r="L90">
        <v>9</v>
      </c>
      <c r="M90" s="1" t="e">
        <f>#N/A</f>
        <v>#N/A</v>
      </c>
      <c r="N90">
        <v>275</v>
      </c>
      <c r="Q90" t="s">
        <v>53</v>
      </c>
    </row>
    <row r="91" spans="1:17" x14ac:dyDescent="0.35">
      <c r="A91">
        <v>90</v>
      </c>
      <c r="B91">
        <v>2015</v>
      </c>
      <c r="C91">
        <v>10</v>
      </c>
      <c r="D91" t="s">
        <v>14</v>
      </c>
      <c r="E91" t="s">
        <v>121</v>
      </c>
      <c r="F91" s="1">
        <v>42349</v>
      </c>
      <c r="G91" s="1">
        <v>258886</v>
      </c>
      <c r="H91">
        <v>119</v>
      </c>
      <c r="I91">
        <v>0.97</v>
      </c>
      <c r="J91">
        <v>6.29</v>
      </c>
      <c r="K91">
        <v>1.2</v>
      </c>
      <c r="L91">
        <v>2</v>
      </c>
      <c r="M91" s="1" t="e">
        <f>#N/A</f>
        <v>#N/A</v>
      </c>
      <c r="N91">
        <v>372</v>
      </c>
      <c r="Q91" t="s">
        <v>53</v>
      </c>
    </row>
    <row r="92" spans="1:17" x14ac:dyDescent="0.35">
      <c r="A92">
        <v>91</v>
      </c>
      <c r="B92">
        <v>2015</v>
      </c>
      <c r="C92">
        <v>10</v>
      </c>
      <c r="D92" t="s">
        <v>37</v>
      </c>
      <c r="E92" t="s">
        <v>130</v>
      </c>
      <c r="F92" s="1">
        <v>63557</v>
      </c>
      <c r="G92" s="1">
        <v>420635</v>
      </c>
      <c r="H92">
        <v>218</v>
      </c>
      <c r="I92">
        <v>0.97</v>
      </c>
      <c r="J92">
        <v>6.29</v>
      </c>
      <c r="K92">
        <v>1.2</v>
      </c>
      <c r="L92">
        <v>9</v>
      </c>
      <c r="M92" s="1" t="e">
        <f>#N/A</f>
        <v>#N/A</v>
      </c>
      <c r="N92">
        <v>542</v>
      </c>
      <c r="Q92" t="s">
        <v>53</v>
      </c>
    </row>
    <row r="93" spans="1:17" x14ac:dyDescent="0.35">
      <c r="A93">
        <v>92</v>
      </c>
      <c r="B93">
        <v>2015</v>
      </c>
      <c r="C93">
        <v>10</v>
      </c>
      <c r="D93" t="s">
        <v>21</v>
      </c>
      <c r="E93" t="s">
        <v>146</v>
      </c>
      <c r="F93" s="1">
        <v>61123</v>
      </c>
      <c r="G93" s="1">
        <v>212007</v>
      </c>
      <c r="H93">
        <v>230</v>
      </c>
      <c r="I93">
        <v>0.97</v>
      </c>
      <c r="J93">
        <v>6.29</v>
      </c>
      <c r="K93">
        <v>1.2</v>
      </c>
      <c r="L93">
        <v>1</v>
      </c>
      <c r="M93" s="1" t="e">
        <f>#N/A</f>
        <v>#N/A</v>
      </c>
      <c r="N93">
        <v>788</v>
      </c>
      <c r="Q93" t="s">
        <v>53</v>
      </c>
    </row>
    <row r="94" spans="1:17" x14ac:dyDescent="0.35">
      <c r="A94">
        <v>93</v>
      </c>
      <c r="B94">
        <v>2015</v>
      </c>
      <c r="C94">
        <v>10</v>
      </c>
      <c r="D94" t="s">
        <v>37</v>
      </c>
      <c r="E94" t="s">
        <v>161</v>
      </c>
      <c r="F94" s="1">
        <v>67634</v>
      </c>
      <c r="G94" s="1">
        <v>490977</v>
      </c>
      <c r="H94">
        <v>284</v>
      </c>
      <c r="I94">
        <v>0.97</v>
      </c>
      <c r="J94">
        <v>6.29</v>
      </c>
      <c r="K94">
        <v>1.2</v>
      </c>
      <c r="L94">
        <v>10</v>
      </c>
      <c r="M94" s="1" t="e">
        <f>#N/A</f>
        <v>#N/A</v>
      </c>
      <c r="N94">
        <v>849</v>
      </c>
      <c r="Q94" t="s">
        <v>53</v>
      </c>
    </row>
    <row r="95" spans="1:17" x14ac:dyDescent="0.35">
      <c r="A95">
        <v>94</v>
      </c>
      <c r="B95">
        <v>2015</v>
      </c>
      <c r="C95">
        <v>11</v>
      </c>
      <c r="D95" t="s">
        <v>32</v>
      </c>
      <c r="E95" t="s">
        <v>45</v>
      </c>
      <c r="F95" s="1">
        <v>115863</v>
      </c>
      <c r="G95" s="1">
        <v>99156</v>
      </c>
      <c r="H95">
        <v>190</v>
      </c>
      <c r="I95">
        <v>0.97</v>
      </c>
      <c r="J95">
        <v>6.29</v>
      </c>
      <c r="K95">
        <v>1.2</v>
      </c>
      <c r="L95">
        <v>6</v>
      </c>
      <c r="M95" s="1" t="e">
        <f>#N/A</f>
        <v>#N/A</v>
      </c>
      <c r="N95">
        <v>473</v>
      </c>
      <c r="Q95" t="s">
        <v>54</v>
      </c>
    </row>
    <row r="96" spans="1:17" x14ac:dyDescent="0.35">
      <c r="A96">
        <v>95</v>
      </c>
      <c r="B96">
        <v>2015</v>
      </c>
      <c r="C96">
        <v>11</v>
      </c>
      <c r="D96" t="s">
        <v>21</v>
      </c>
      <c r="E96" t="s">
        <v>52</v>
      </c>
      <c r="F96" s="1">
        <v>55711</v>
      </c>
      <c r="G96" s="1">
        <v>345276</v>
      </c>
      <c r="H96">
        <v>55</v>
      </c>
      <c r="I96">
        <v>0.97</v>
      </c>
      <c r="J96">
        <v>6.29</v>
      </c>
      <c r="K96">
        <v>1.2</v>
      </c>
      <c r="L96">
        <v>9</v>
      </c>
      <c r="M96" s="1" t="e">
        <f>#N/A</f>
        <v>#N/A</v>
      </c>
      <c r="N96">
        <v>170</v>
      </c>
      <c r="Q96" t="s">
        <v>54</v>
      </c>
    </row>
    <row r="97" spans="1:17" x14ac:dyDescent="0.35">
      <c r="A97">
        <v>96</v>
      </c>
      <c r="B97">
        <v>2015</v>
      </c>
      <c r="C97">
        <v>11</v>
      </c>
      <c r="D97" t="s">
        <v>36</v>
      </c>
      <c r="E97" t="s">
        <v>44</v>
      </c>
      <c r="F97" s="1">
        <v>45143</v>
      </c>
      <c r="G97" s="1">
        <v>141288</v>
      </c>
      <c r="H97">
        <v>224</v>
      </c>
      <c r="I97">
        <v>0.97</v>
      </c>
      <c r="J97">
        <v>6.29</v>
      </c>
      <c r="K97">
        <v>1.2</v>
      </c>
      <c r="L97">
        <v>2</v>
      </c>
      <c r="M97" s="1" t="e">
        <f>#N/A</f>
        <v>#N/A</v>
      </c>
      <c r="N97">
        <v>651</v>
      </c>
      <c r="Q97" t="s">
        <v>54</v>
      </c>
    </row>
    <row r="98" spans="1:17" x14ac:dyDescent="0.35">
      <c r="A98">
        <v>97</v>
      </c>
      <c r="B98">
        <v>2015</v>
      </c>
      <c r="C98">
        <v>11</v>
      </c>
      <c r="D98" t="s">
        <v>32</v>
      </c>
      <c r="E98" t="s">
        <v>52</v>
      </c>
      <c r="F98" s="1">
        <v>38775</v>
      </c>
      <c r="G98" s="1">
        <v>238788</v>
      </c>
      <c r="H98">
        <v>332</v>
      </c>
      <c r="I98">
        <v>0.97</v>
      </c>
      <c r="J98">
        <v>6.29</v>
      </c>
      <c r="K98">
        <v>1.2</v>
      </c>
      <c r="L98">
        <v>10</v>
      </c>
      <c r="M98" s="1" t="e">
        <f>#N/A</f>
        <v>#N/A</v>
      </c>
      <c r="N98">
        <v>835</v>
      </c>
      <c r="Q98" t="s">
        <v>54</v>
      </c>
    </row>
    <row r="99" spans="1:17" x14ac:dyDescent="0.35">
      <c r="A99">
        <v>98</v>
      </c>
      <c r="B99">
        <v>2015</v>
      </c>
      <c r="C99">
        <v>11</v>
      </c>
      <c r="D99" t="s">
        <v>21</v>
      </c>
      <c r="E99" t="s">
        <v>63</v>
      </c>
      <c r="F99" s="1">
        <v>86702</v>
      </c>
      <c r="G99" s="1">
        <v>76128</v>
      </c>
      <c r="H99">
        <v>85</v>
      </c>
      <c r="I99">
        <v>0.97</v>
      </c>
      <c r="J99">
        <v>6.29</v>
      </c>
      <c r="K99">
        <v>1.2</v>
      </c>
      <c r="L99">
        <v>4</v>
      </c>
      <c r="M99" s="1" t="e">
        <f>#N/A</f>
        <v>#N/A</v>
      </c>
      <c r="N99">
        <v>304</v>
      </c>
      <c r="Q99" t="s">
        <v>54</v>
      </c>
    </row>
    <row r="100" spans="1:17" x14ac:dyDescent="0.35">
      <c r="A100">
        <v>99</v>
      </c>
      <c r="B100">
        <v>2015</v>
      </c>
      <c r="C100">
        <v>11</v>
      </c>
      <c r="D100" t="s">
        <v>36</v>
      </c>
      <c r="E100" t="s">
        <v>65</v>
      </c>
      <c r="F100" s="1">
        <v>81032</v>
      </c>
      <c r="G100" s="1">
        <v>231323</v>
      </c>
      <c r="H100">
        <v>10</v>
      </c>
      <c r="I100">
        <v>0.97</v>
      </c>
      <c r="J100">
        <v>6.29</v>
      </c>
      <c r="K100">
        <v>1.2</v>
      </c>
      <c r="L100">
        <v>4</v>
      </c>
      <c r="M100" s="1" t="e">
        <f>#N/A</f>
        <v>#N/A</v>
      </c>
      <c r="N100">
        <v>247</v>
      </c>
      <c r="Q100" t="s">
        <v>54</v>
      </c>
    </row>
    <row r="101" spans="1:17" x14ac:dyDescent="0.35">
      <c r="A101">
        <v>100</v>
      </c>
      <c r="B101">
        <v>2015</v>
      </c>
      <c r="C101">
        <v>11</v>
      </c>
      <c r="D101" t="s">
        <v>25</v>
      </c>
      <c r="E101" t="s">
        <v>63</v>
      </c>
      <c r="F101" s="1">
        <v>67919</v>
      </c>
      <c r="G101" s="1">
        <v>435546</v>
      </c>
      <c r="H101">
        <v>190</v>
      </c>
      <c r="I101">
        <v>0.97</v>
      </c>
      <c r="J101">
        <v>6.29</v>
      </c>
      <c r="K101">
        <v>1.2</v>
      </c>
      <c r="L101">
        <v>1</v>
      </c>
      <c r="M101" s="1" t="e">
        <f>#N/A</f>
        <v>#N/A</v>
      </c>
      <c r="N101">
        <v>600</v>
      </c>
      <c r="Q101" t="s">
        <v>54</v>
      </c>
    </row>
    <row r="102" spans="1:17" x14ac:dyDescent="0.35">
      <c r="A102">
        <v>101</v>
      </c>
      <c r="B102">
        <v>2015</v>
      </c>
      <c r="C102">
        <v>11</v>
      </c>
      <c r="D102" t="s">
        <v>37</v>
      </c>
      <c r="E102" t="s">
        <v>82</v>
      </c>
      <c r="F102" s="1">
        <v>100911</v>
      </c>
      <c r="G102" s="1">
        <v>276486</v>
      </c>
      <c r="H102">
        <v>367</v>
      </c>
      <c r="I102">
        <v>0.97</v>
      </c>
      <c r="J102">
        <v>6.29</v>
      </c>
      <c r="K102">
        <v>1.2</v>
      </c>
      <c r="L102">
        <v>7</v>
      </c>
      <c r="M102" s="1" t="e">
        <f>#N/A</f>
        <v>#N/A</v>
      </c>
      <c r="N102">
        <v>1145</v>
      </c>
      <c r="Q102" t="s">
        <v>54</v>
      </c>
    </row>
    <row r="103" spans="1:17" x14ac:dyDescent="0.35">
      <c r="A103">
        <v>102</v>
      </c>
      <c r="B103">
        <v>2015</v>
      </c>
      <c r="C103">
        <v>11</v>
      </c>
      <c r="D103" t="s">
        <v>25</v>
      </c>
      <c r="E103" t="s">
        <v>87</v>
      </c>
      <c r="F103" s="1">
        <v>112239</v>
      </c>
      <c r="G103" s="1">
        <v>170507</v>
      </c>
      <c r="H103">
        <v>34</v>
      </c>
      <c r="I103">
        <v>0.97</v>
      </c>
      <c r="J103">
        <v>6.29</v>
      </c>
      <c r="K103">
        <v>1.2</v>
      </c>
      <c r="L103">
        <v>1</v>
      </c>
      <c r="M103" s="1" t="e">
        <f>#N/A</f>
        <v>#N/A</v>
      </c>
      <c r="N103">
        <v>446</v>
      </c>
      <c r="Q103" t="s">
        <v>54</v>
      </c>
    </row>
    <row r="104" spans="1:17" x14ac:dyDescent="0.35">
      <c r="A104">
        <v>103</v>
      </c>
      <c r="B104">
        <v>2015</v>
      </c>
      <c r="C104">
        <v>11</v>
      </c>
      <c r="D104" t="s">
        <v>30</v>
      </c>
      <c r="E104" t="s">
        <v>96</v>
      </c>
      <c r="F104" s="1">
        <v>69159</v>
      </c>
      <c r="G104" s="1">
        <v>160084</v>
      </c>
      <c r="H104">
        <v>323</v>
      </c>
      <c r="I104">
        <v>0.97</v>
      </c>
      <c r="J104">
        <v>6.29</v>
      </c>
      <c r="K104">
        <v>1.2</v>
      </c>
      <c r="L104">
        <v>10</v>
      </c>
      <c r="M104" s="1" t="e">
        <f>#N/A</f>
        <v>#N/A</v>
      </c>
      <c r="N104">
        <v>994</v>
      </c>
      <c r="Q104" t="s">
        <v>54</v>
      </c>
    </row>
    <row r="105" spans="1:17" x14ac:dyDescent="0.35">
      <c r="A105">
        <v>104</v>
      </c>
      <c r="B105">
        <v>2015</v>
      </c>
      <c r="C105">
        <v>11</v>
      </c>
      <c r="D105" t="s">
        <v>28</v>
      </c>
      <c r="E105" t="s">
        <v>110</v>
      </c>
      <c r="F105" s="1">
        <v>87057</v>
      </c>
      <c r="G105" s="1">
        <v>493942</v>
      </c>
      <c r="H105">
        <v>362</v>
      </c>
      <c r="I105">
        <v>0.97</v>
      </c>
      <c r="J105">
        <v>6.29</v>
      </c>
      <c r="K105">
        <v>1.2</v>
      </c>
      <c r="L105">
        <v>6</v>
      </c>
      <c r="M105" s="1" t="e">
        <f>#N/A</f>
        <v>#N/A</v>
      </c>
      <c r="N105">
        <v>1196</v>
      </c>
      <c r="Q105" t="s">
        <v>54</v>
      </c>
    </row>
    <row r="106" spans="1:17" x14ac:dyDescent="0.35">
      <c r="A106">
        <v>105</v>
      </c>
      <c r="B106">
        <v>2015</v>
      </c>
      <c r="C106">
        <v>11</v>
      </c>
      <c r="D106" t="s">
        <v>32</v>
      </c>
      <c r="E106" t="s">
        <v>119</v>
      </c>
      <c r="F106" s="1">
        <v>107573</v>
      </c>
      <c r="G106" s="1">
        <v>287268</v>
      </c>
      <c r="H106">
        <v>192</v>
      </c>
      <c r="I106">
        <v>0.97</v>
      </c>
      <c r="J106">
        <v>6.29</v>
      </c>
      <c r="K106">
        <v>1.2</v>
      </c>
      <c r="L106">
        <v>6</v>
      </c>
      <c r="M106" s="1" t="e">
        <f>#N/A</f>
        <v>#N/A</v>
      </c>
      <c r="N106">
        <v>759</v>
      </c>
      <c r="Q106" t="s">
        <v>55</v>
      </c>
    </row>
    <row r="107" spans="1:17" x14ac:dyDescent="0.35">
      <c r="A107">
        <v>106</v>
      </c>
      <c r="B107">
        <v>2015</v>
      </c>
      <c r="C107">
        <v>11</v>
      </c>
      <c r="D107" t="s">
        <v>28</v>
      </c>
      <c r="E107" t="s">
        <v>120</v>
      </c>
      <c r="F107" s="1">
        <v>78459</v>
      </c>
      <c r="G107" s="1">
        <v>377329</v>
      </c>
      <c r="H107">
        <v>93</v>
      </c>
      <c r="I107">
        <v>0.97</v>
      </c>
      <c r="J107">
        <v>6.29</v>
      </c>
      <c r="K107">
        <v>1.2</v>
      </c>
      <c r="L107">
        <v>2</v>
      </c>
      <c r="M107" s="1" t="e">
        <f>#N/A</f>
        <v>#N/A</v>
      </c>
      <c r="N107">
        <v>576</v>
      </c>
      <c r="Q107" t="s">
        <v>55</v>
      </c>
    </row>
    <row r="108" spans="1:17" x14ac:dyDescent="0.35">
      <c r="A108">
        <v>107</v>
      </c>
      <c r="B108">
        <v>2015</v>
      </c>
      <c r="C108">
        <v>11</v>
      </c>
      <c r="D108" t="s">
        <v>25</v>
      </c>
      <c r="E108" t="s">
        <v>133</v>
      </c>
      <c r="F108" s="1">
        <v>91548</v>
      </c>
      <c r="G108" s="1">
        <v>454499</v>
      </c>
      <c r="H108">
        <v>224</v>
      </c>
      <c r="I108">
        <v>0.97</v>
      </c>
      <c r="J108">
        <v>6.29</v>
      </c>
      <c r="K108">
        <v>1.2</v>
      </c>
      <c r="L108">
        <v>8</v>
      </c>
      <c r="M108" s="1" t="e">
        <f>#N/A</f>
        <v>#N/A</v>
      </c>
      <c r="N108">
        <v>887</v>
      </c>
      <c r="Q108" t="s">
        <v>55</v>
      </c>
    </row>
    <row r="109" spans="1:17" x14ac:dyDescent="0.35">
      <c r="A109">
        <v>108</v>
      </c>
      <c r="B109">
        <v>2015</v>
      </c>
      <c r="C109">
        <v>11</v>
      </c>
      <c r="D109" t="s">
        <v>28</v>
      </c>
      <c r="E109" t="s">
        <v>142</v>
      </c>
      <c r="F109" s="1">
        <v>47720</v>
      </c>
      <c r="G109" s="1">
        <v>172989</v>
      </c>
      <c r="H109">
        <v>246</v>
      </c>
      <c r="I109">
        <v>0.97</v>
      </c>
      <c r="J109">
        <v>6.29</v>
      </c>
      <c r="K109">
        <v>1.2</v>
      </c>
      <c r="L109">
        <v>5</v>
      </c>
      <c r="M109" s="1" t="e">
        <f>#N/A</f>
        <v>#N/A</v>
      </c>
      <c r="N109">
        <v>677</v>
      </c>
      <c r="Q109" t="s">
        <v>55</v>
      </c>
    </row>
    <row r="110" spans="1:17" x14ac:dyDescent="0.35">
      <c r="A110">
        <v>109</v>
      </c>
      <c r="B110">
        <v>2015</v>
      </c>
      <c r="C110">
        <v>12</v>
      </c>
      <c r="D110" t="s">
        <v>32</v>
      </c>
      <c r="E110" t="s">
        <v>45</v>
      </c>
      <c r="F110" s="1">
        <v>54065</v>
      </c>
      <c r="G110" s="1">
        <v>402513</v>
      </c>
      <c r="H110">
        <v>177</v>
      </c>
      <c r="I110">
        <v>0.97</v>
      </c>
      <c r="J110">
        <v>6.29</v>
      </c>
      <c r="K110">
        <v>1.2</v>
      </c>
      <c r="L110">
        <v>8</v>
      </c>
      <c r="M110" s="1" t="e">
        <f>#N/A</f>
        <v>#N/A</v>
      </c>
      <c r="N110">
        <v>713</v>
      </c>
      <c r="Q110" t="s">
        <v>55</v>
      </c>
    </row>
    <row r="111" spans="1:17" x14ac:dyDescent="0.35">
      <c r="A111">
        <v>110</v>
      </c>
      <c r="B111">
        <v>2015</v>
      </c>
      <c r="C111">
        <v>12</v>
      </c>
      <c r="D111" t="s">
        <v>25</v>
      </c>
      <c r="E111" t="s">
        <v>56</v>
      </c>
      <c r="F111" s="1">
        <v>85435</v>
      </c>
      <c r="G111" s="1">
        <v>50882</v>
      </c>
      <c r="H111">
        <v>367</v>
      </c>
      <c r="I111">
        <v>0.97</v>
      </c>
      <c r="J111">
        <v>6.29</v>
      </c>
      <c r="K111">
        <v>1.2</v>
      </c>
      <c r="L111">
        <v>7</v>
      </c>
      <c r="M111" s="1" t="e">
        <f>#N/A</f>
        <v>#N/A</v>
      </c>
      <c r="N111">
        <v>1038</v>
      </c>
      <c r="Q111" t="s">
        <v>55</v>
      </c>
    </row>
    <row r="112" spans="1:17" x14ac:dyDescent="0.35">
      <c r="A112">
        <v>111</v>
      </c>
      <c r="B112">
        <v>2015</v>
      </c>
      <c r="C112">
        <v>12</v>
      </c>
      <c r="D112" t="s">
        <v>35</v>
      </c>
      <c r="E112" t="s">
        <v>68</v>
      </c>
      <c r="F112" s="1">
        <v>39321</v>
      </c>
      <c r="G112" s="1">
        <v>308916</v>
      </c>
      <c r="H112">
        <v>115</v>
      </c>
      <c r="I112">
        <v>0.97</v>
      </c>
      <c r="J112">
        <v>6.29</v>
      </c>
      <c r="K112">
        <v>1.2</v>
      </c>
      <c r="L112">
        <v>4</v>
      </c>
      <c r="M112" s="1" t="e">
        <f>#N/A</f>
        <v>#N/A</v>
      </c>
      <c r="N112">
        <v>367</v>
      </c>
      <c r="Q112" t="s">
        <v>55</v>
      </c>
    </row>
    <row r="113" spans="1:17" x14ac:dyDescent="0.35">
      <c r="A113">
        <v>112</v>
      </c>
      <c r="B113">
        <v>2015</v>
      </c>
      <c r="C113">
        <v>12</v>
      </c>
      <c r="D113" t="s">
        <v>35</v>
      </c>
      <c r="E113" t="s">
        <v>89</v>
      </c>
      <c r="F113" s="1">
        <v>118860</v>
      </c>
      <c r="G113" s="1">
        <v>207403</v>
      </c>
      <c r="H113">
        <v>396</v>
      </c>
      <c r="I113">
        <v>0.97</v>
      </c>
      <c r="J113">
        <v>6.29</v>
      </c>
      <c r="K113">
        <v>1.2</v>
      </c>
      <c r="L113">
        <v>4</v>
      </c>
      <c r="M113" s="1" t="e">
        <f>#N/A</f>
        <v>#N/A</v>
      </c>
      <c r="N113">
        <v>1078</v>
      </c>
      <c r="Q113" t="s">
        <v>55</v>
      </c>
    </row>
    <row r="114" spans="1:17" x14ac:dyDescent="0.35">
      <c r="A114">
        <v>113</v>
      </c>
      <c r="B114">
        <v>2015</v>
      </c>
      <c r="C114">
        <v>12</v>
      </c>
      <c r="D114" t="s">
        <v>36</v>
      </c>
      <c r="E114" t="s">
        <v>86</v>
      </c>
      <c r="F114" s="1">
        <v>108843</v>
      </c>
      <c r="G114" s="1">
        <v>308072</v>
      </c>
      <c r="H114">
        <v>365</v>
      </c>
      <c r="I114">
        <v>0.97</v>
      </c>
      <c r="J114">
        <v>6.29</v>
      </c>
      <c r="K114">
        <v>1.2</v>
      </c>
      <c r="L114">
        <v>10</v>
      </c>
      <c r="M114" s="1" t="e">
        <f>#N/A</f>
        <v>#N/A</v>
      </c>
      <c r="N114">
        <v>822</v>
      </c>
      <c r="Q114" t="s">
        <v>55</v>
      </c>
    </row>
    <row r="115" spans="1:17" x14ac:dyDescent="0.35">
      <c r="A115">
        <v>114</v>
      </c>
      <c r="B115">
        <v>2015</v>
      </c>
      <c r="C115">
        <v>12</v>
      </c>
      <c r="D115" t="s">
        <v>28</v>
      </c>
      <c r="E115" t="s">
        <v>122</v>
      </c>
      <c r="F115" s="1">
        <v>117476</v>
      </c>
      <c r="G115" s="1">
        <v>73777</v>
      </c>
      <c r="H115">
        <v>334</v>
      </c>
      <c r="I115">
        <v>0.97</v>
      </c>
      <c r="J115">
        <v>6.29</v>
      </c>
      <c r="K115">
        <v>1.2</v>
      </c>
      <c r="L115">
        <v>1</v>
      </c>
      <c r="M115" s="1" t="e">
        <f>#N/A</f>
        <v>#N/A</v>
      </c>
      <c r="N115">
        <v>1025</v>
      </c>
      <c r="Q115" t="s">
        <v>55</v>
      </c>
    </row>
    <row r="116" spans="1:17" x14ac:dyDescent="0.35">
      <c r="A116">
        <v>115</v>
      </c>
      <c r="B116">
        <v>2015</v>
      </c>
      <c r="C116">
        <v>12</v>
      </c>
      <c r="D116" t="s">
        <v>28</v>
      </c>
      <c r="E116" t="s">
        <v>128</v>
      </c>
      <c r="F116" s="1">
        <v>58649</v>
      </c>
      <c r="G116" s="1">
        <v>301063</v>
      </c>
      <c r="H116">
        <v>343</v>
      </c>
      <c r="I116">
        <v>0.97</v>
      </c>
      <c r="J116">
        <v>6.29</v>
      </c>
      <c r="K116">
        <v>1.2</v>
      </c>
      <c r="L116">
        <v>4</v>
      </c>
      <c r="M116" s="1" t="e">
        <f>#N/A</f>
        <v>#N/A</v>
      </c>
      <c r="N116">
        <v>1071</v>
      </c>
      <c r="Q116" t="s">
        <v>55</v>
      </c>
    </row>
    <row r="117" spans="1:17" x14ac:dyDescent="0.35">
      <c r="A117">
        <v>116</v>
      </c>
      <c r="B117">
        <v>2015</v>
      </c>
      <c r="C117">
        <v>12</v>
      </c>
      <c r="D117" t="s">
        <v>30</v>
      </c>
      <c r="E117" t="s">
        <v>136</v>
      </c>
      <c r="F117" s="1">
        <v>53100</v>
      </c>
      <c r="G117" s="1">
        <v>414543</v>
      </c>
      <c r="H117">
        <v>76</v>
      </c>
      <c r="I117">
        <v>0.97</v>
      </c>
      <c r="J117">
        <v>6.29</v>
      </c>
      <c r="K117">
        <v>1.2</v>
      </c>
      <c r="L117">
        <v>1</v>
      </c>
      <c r="M117" s="1" t="e">
        <f>#N/A</f>
        <v>#N/A</v>
      </c>
      <c r="N117">
        <v>320</v>
      </c>
      <c r="Q117" t="s">
        <v>56</v>
      </c>
    </row>
    <row r="118" spans="1:17" x14ac:dyDescent="0.35">
      <c r="A118">
        <v>117</v>
      </c>
      <c r="B118">
        <v>2015</v>
      </c>
      <c r="C118">
        <v>12</v>
      </c>
      <c r="D118" t="s">
        <v>25</v>
      </c>
      <c r="E118" t="s">
        <v>144</v>
      </c>
      <c r="F118" s="1">
        <v>81546</v>
      </c>
      <c r="G118" s="1">
        <v>287103</v>
      </c>
      <c r="H118">
        <v>78</v>
      </c>
      <c r="I118">
        <v>0.97</v>
      </c>
      <c r="J118">
        <v>6.29</v>
      </c>
      <c r="K118">
        <v>1.2</v>
      </c>
      <c r="L118">
        <v>3</v>
      </c>
      <c r="M118" s="1" t="e">
        <f>#N/A</f>
        <v>#N/A</v>
      </c>
      <c r="N118">
        <v>532</v>
      </c>
      <c r="Q118" t="s">
        <v>56</v>
      </c>
    </row>
    <row r="119" spans="1:17" x14ac:dyDescent="0.35">
      <c r="A119">
        <v>118</v>
      </c>
      <c r="B119">
        <v>2015</v>
      </c>
      <c r="C119">
        <v>12</v>
      </c>
      <c r="D119" t="s">
        <v>21</v>
      </c>
      <c r="E119" t="s">
        <v>148</v>
      </c>
      <c r="F119" s="1">
        <v>83665</v>
      </c>
      <c r="G119" s="1">
        <v>422454</v>
      </c>
      <c r="H119">
        <v>150</v>
      </c>
      <c r="I119">
        <v>0.97</v>
      </c>
      <c r="J119">
        <v>6.29</v>
      </c>
      <c r="K119">
        <v>1.2</v>
      </c>
      <c r="L119">
        <v>2</v>
      </c>
      <c r="M119" s="1" t="e">
        <f>#N/A</f>
        <v>#N/A</v>
      </c>
      <c r="N119">
        <v>553</v>
      </c>
      <c r="Q119" t="s">
        <v>56</v>
      </c>
    </row>
    <row r="120" spans="1:17" x14ac:dyDescent="0.35">
      <c r="A120">
        <v>119</v>
      </c>
      <c r="B120">
        <v>2016</v>
      </c>
      <c r="C120">
        <v>1</v>
      </c>
      <c r="D120" t="s">
        <v>35</v>
      </c>
      <c r="E120" t="s">
        <v>69</v>
      </c>
      <c r="F120" s="1">
        <v>60081</v>
      </c>
      <c r="G120" s="1">
        <v>375724</v>
      </c>
      <c r="H120">
        <v>35</v>
      </c>
      <c r="I120">
        <v>0.97</v>
      </c>
      <c r="J120">
        <v>6.29</v>
      </c>
      <c r="K120">
        <v>1.2</v>
      </c>
      <c r="L120">
        <v>8</v>
      </c>
      <c r="M120" s="1" t="e">
        <f>#N/A</f>
        <v>#N/A</v>
      </c>
      <c r="N120">
        <v>100</v>
      </c>
      <c r="Q120" t="s">
        <v>56</v>
      </c>
    </row>
    <row r="121" spans="1:17" x14ac:dyDescent="0.35">
      <c r="A121">
        <v>120</v>
      </c>
      <c r="B121">
        <v>2016</v>
      </c>
      <c r="C121">
        <v>1</v>
      </c>
      <c r="D121" t="s">
        <v>14</v>
      </c>
      <c r="E121" t="s">
        <v>75</v>
      </c>
      <c r="F121" s="1">
        <v>80246</v>
      </c>
      <c r="G121" s="1">
        <v>354094</v>
      </c>
      <c r="H121">
        <v>107</v>
      </c>
      <c r="I121">
        <v>0.97</v>
      </c>
      <c r="J121">
        <v>6.29</v>
      </c>
      <c r="K121">
        <v>1.2</v>
      </c>
      <c r="L121">
        <v>1</v>
      </c>
      <c r="M121" s="1" t="e">
        <f>#N/A</f>
        <v>#N/A</v>
      </c>
      <c r="N121">
        <v>479</v>
      </c>
      <c r="Q121" t="s">
        <v>56</v>
      </c>
    </row>
    <row r="122" spans="1:17" x14ac:dyDescent="0.35">
      <c r="A122">
        <v>121</v>
      </c>
      <c r="B122">
        <v>2016</v>
      </c>
      <c r="C122">
        <v>1</v>
      </c>
      <c r="D122" t="s">
        <v>25</v>
      </c>
      <c r="E122" t="s">
        <v>99</v>
      </c>
      <c r="F122" s="1">
        <v>45681</v>
      </c>
      <c r="G122" s="1">
        <v>161915</v>
      </c>
      <c r="H122">
        <v>223</v>
      </c>
      <c r="I122">
        <v>0.97</v>
      </c>
      <c r="J122">
        <v>6.29</v>
      </c>
      <c r="K122">
        <v>1.2</v>
      </c>
      <c r="L122">
        <v>9</v>
      </c>
      <c r="M122" s="1" t="e">
        <f>#N/A</f>
        <v>#N/A</v>
      </c>
      <c r="N122">
        <v>511</v>
      </c>
      <c r="Q122" t="s">
        <v>56</v>
      </c>
    </row>
    <row r="123" spans="1:17" x14ac:dyDescent="0.35">
      <c r="A123">
        <v>122</v>
      </c>
      <c r="B123">
        <v>2016</v>
      </c>
      <c r="C123">
        <v>1</v>
      </c>
      <c r="D123" t="s">
        <v>36</v>
      </c>
      <c r="E123" t="s">
        <v>135</v>
      </c>
      <c r="F123" s="1">
        <v>76798</v>
      </c>
      <c r="G123" s="1">
        <v>197764</v>
      </c>
      <c r="H123">
        <v>366</v>
      </c>
      <c r="I123">
        <v>0.97</v>
      </c>
      <c r="J123">
        <v>6.29</v>
      </c>
      <c r="K123">
        <v>1.2</v>
      </c>
      <c r="L123">
        <v>7</v>
      </c>
      <c r="M123" s="1" t="e">
        <f>#N/A</f>
        <v>#N/A</v>
      </c>
      <c r="N123">
        <v>1104</v>
      </c>
      <c r="Q123" t="s">
        <v>56</v>
      </c>
    </row>
    <row r="124" spans="1:17" x14ac:dyDescent="0.35">
      <c r="A124">
        <v>123</v>
      </c>
      <c r="B124">
        <v>2016</v>
      </c>
      <c r="C124">
        <v>2</v>
      </c>
      <c r="D124" t="s">
        <v>38</v>
      </c>
      <c r="E124" t="s">
        <v>64</v>
      </c>
      <c r="F124" s="1">
        <v>42797</v>
      </c>
      <c r="G124" s="1">
        <v>122534</v>
      </c>
      <c r="H124">
        <v>398</v>
      </c>
      <c r="I124">
        <v>0.97</v>
      </c>
      <c r="J124">
        <v>6.29</v>
      </c>
      <c r="K124">
        <v>1.2</v>
      </c>
      <c r="L124">
        <v>8</v>
      </c>
      <c r="M124" s="1" t="e">
        <f>#N/A</f>
        <v>#N/A</v>
      </c>
      <c r="N124">
        <v>1026</v>
      </c>
      <c r="Q124" t="s">
        <v>56</v>
      </c>
    </row>
    <row r="125" spans="1:17" x14ac:dyDescent="0.35">
      <c r="A125">
        <v>124</v>
      </c>
      <c r="B125">
        <v>2016</v>
      </c>
      <c r="C125">
        <v>2</v>
      </c>
      <c r="D125" t="s">
        <v>25</v>
      </c>
      <c r="E125" t="s">
        <v>61</v>
      </c>
      <c r="F125" s="1">
        <v>58600</v>
      </c>
      <c r="G125" s="1">
        <v>284784</v>
      </c>
      <c r="H125">
        <v>151</v>
      </c>
      <c r="I125">
        <v>0.97</v>
      </c>
      <c r="J125">
        <v>6.29</v>
      </c>
      <c r="K125">
        <v>1.2</v>
      </c>
      <c r="L125">
        <v>8</v>
      </c>
      <c r="M125" s="1" t="e">
        <f>#N/A</f>
        <v>#N/A</v>
      </c>
      <c r="N125">
        <v>654</v>
      </c>
      <c r="Q125" t="s">
        <v>56</v>
      </c>
    </row>
    <row r="126" spans="1:17" x14ac:dyDescent="0.35">
      <c r="A126">
        <v>125</v>
      </c>
      <c r="B126">
        <v>2016</v>
      </c>
      <c r="C126">
        <v>2</v>
      </c>
      <c r="D126" t="s">
        <v>32</v>
      </c>
      <c r="E126" t="s">
        <v>78</v>
      </c>
      <c r="F126" s="1">
        <v>103116</v>
      </c>
      <c r="G126" s="1">
        <v>395452</v>
      </c>
      <c r="H126">
        <v>101</v>
      </c>
      <c r="I126">
        <v>0.97</v>
      </c>
      <c r="J126">
        <v>6.29</v>
      </c>
      <c r="K126">
        <v>1.2</v>
      </c>
      <c r="L126">
        <v>4</v>
      </c>
      <c r="M126" s="1" t="e">
        <f>#N/A</f>
        <v>#N/A</v>
      </c>
      <c r="N126">
        <v>231</v>
      </c>
      <c r="Q126" t="s">
        <v>56</v>
      </c>
    </row>
    <row r="127" spans="1:17" x14ac:dyDescent="0.35">
      <c r="A127">
        <v>126</v>
      </c>
      <c r="B127">
        <v>2016</v>
      </c>
      <c r="C127">
        <v>2</v>
      </c>
      <c r="D127" t="s">
        <v>21</v>
      </c>
      <c r="E127" t="s">
        <v>75</v>
      </c>
      <c r="F127" s="1">
        <v>115960</v>
      </c>
      <c r="G127" s="1">
        <v>464627</v>
      </c>
      <c r="H127">
        <v>381</v>
      </c>
      <c r="I127">
        <v>0.97</v>
      </c>
      <c r="J127">
        <v>6.29</v>
      </c>
      <c r="K127">
        <v>1.2</v>
      </c>
      <c r="L127">
        <v>9</v>
      </c>
      <c r="M127" s="1" t="e">
        <f>#N/A</f>
        <v>#N/A</v>
      </c>
      <c r="N127">
        <v>805</v>
      </c>
      <c r="Q127" t="s">
        <v>56</v>
      </c>
    </row>
    <row r="128" spans="1:17" x14ac:dyDescent="0.35">
      <c r="A128">
        <v>127</v>
      </c>
      <c r="B128">
        <v>2016</v>
      </c>
      <c r="C128">
        <v>2</v>
      </c>
      <c r="D128" t="s">
        <v>14</v>
      </c>
      <c r="E128" t="s">
        <v>113</v>
      </c>
      <c r="F128" s="1">
        <v>75860</v>
      </c>
      <c r="G128" s="1">
        <v>187815</v>
      </c>
      <c r="H128">
        <v>101</v>
      </c>
      <c r="I128">
        <v>0.97</v>
      </c>
      <c r="J128">
        <v>6.29</v>
      </c>
      <c r="K128">
        <v>1.2</v>
      </c>
      <c r="L128">
        <v>2</v>
      </c>
      <c r="M128" s="1" t="e">
        <f>#N/A</f>
        <v>#N/A</v>
      </c>
      <c r="N128">
        <v>330</v>
      </c>
      <c r="Q128" t="s">
        <v>57</v>
      </c>
    </row>
    <row r="129" spans="1:17" x14ac:dyDescent="0.35">
      <c r="A129">
        <v>128</v>
      </c>
      <c r="B129">
        <v>2016</v>
      </c>
      <c r="C129">
        <v>2</v>
      </c>
      <c r="D129" t="s">
        <v>25</v>
      </c>
      <c r="E129" t="s">
        <v>118</v>
      </c>
      <c r="F129" s="1">
        <v>68302</v>
      </c>
      <c r="G129" s="1">
        <v>231726</v>
      </c>
      <c r="H129">
        <v>28</v>
      </c>
      <c r="I129">
        <v>0.97</v>
      </c>
      <c r="J129">
        <v>6.29</v>
      </c>
      <c r="K129">
        <v>1.2</v>
      </c>
      <c r="L129">
        <v>5</v>
      </c>
      <c r="M129" s="1" t="e">
        <f>#N/A</f>
        <v>#N/A</v>
      </c>
      <c r="N129">
        <v>438</v>
      </c>
      <c r="Q129" t="s">
        <v>57</v>
      </c>
    </row>
    <row r="130" spans="1:17" x14ac:dyDescent="0.35">
      <c r="A130">
        <v>129</v>
      </c>
      <c r="B130">
        <v>2016</v>
      </c>
      <c r="C130">
        <v>2</v>
      </c>
      <c r="D130" t="s">
        <v>30</v>
      </c>
      <c r="E130" t="s">
        <v>162</v>
      </c>
      <c r="F130" s="1">
        <v>95739</v>
      </c>
      <c r="G130" s="1">
        <v>307831</v>
      </c>
      <c r="H130">
        <v>30</v>
      </c>
      <c r="I130">
        <v>0.97</v>
      </c>
      <c r="J130">
        <v>6.29</v>
      </c>
      <c r="K130">
        <v>1.2</v>
      </c>
      <c r="L130">
        <v>7</v>
      </c>
      <c r="M130" s="1" t="e">
        <f>#N/A</f>
        <v>#N/A</v>
      </c>
      <c r="N130">
        <v>184</v>
      </c>
      <c r="Q130" t="s">
        <v>58</v>
      </c>
    </row>
    <row r="131" spans="1:17" x14ac:dyDescent="0.35">
      <c r="A131">
        <v>130</v>
      </c>
      <c r="B131">
        <v>2016</v>
      </c>
      <c r="C131">
        <v>2</v>
      </c>
      <c r="D131" t="s">
        <v>14</v>
      </c>
      <c r="E131" t="s">
        <v>159</v>
      </c>
      <c r="F131" s="1">
        <v>44190</v>
      </c>
      <c r="G131" s="1">
        <v>495527</v>
      </c>
      <c r="H131">
        <v>252</v>
      </c>
      <c r="I131">
        <v>0.97</v>
      </c>
      <c r="J131">
        <v>6.29</v>
      </c>
      <c r="K131">
        <v>1.2</v>
      </c>
      <c r="L131">
        <v>6</v>
      </c>
      <c r="M131" s="1" t="e">
        <f>#N/A</f>
        <v>#N/A</v>
      </c>
      <c r="N131">
        <v>632</v>
      </c>
      <c r="Q131" t="s">
        <v>58</v>
      </c>
    </row>
    <row r="132" spans="1:17" x14ac:dyDescent="0.35">
      <c r="A132">
        <v>131</v>
      </c>
      <c r="B132">
        <v>2016</v>
      </c>
      <c r="C132">
        <v>2</v>
      </c>
      <c r="D132" t="s">
        <v>28</v>
      </c>
      <c r="E132" t="s">
        <v>160</v>
      </c>
      <c r="F132" s="1">
        <v>105990</v>
      </c>
      <c r="G132" s="1">
        <v>198866</v>
      </c>
      <c r="H132">
        <v>339</v>
      </c>
      <c r="I132">
        <v>0.97</v>
      </c>
      <c r="J132">
        <v>6.29</v>
      </c>
      <c r="K132">
        <v>1.2</v>
      </c>
      <c r="L132">
        <v>1</v>
      </c>
      <c r="M132" s="1" t="e">
        <f>#N/A</f>
        <v>#N/A</v>
      </c>
      <c r="N132">
        <v>1024</v>
      </c>
      <c r="Q132" t="s">
        <v>58</v>
      </c>
    </row>
    <row r="133" spans="1:17" x14ac:dyDescent="0.35">
      <c r="A133">
        <v>132</v>
      </c>
      <c r="B133">
        <v>2016</v>
      </c>
      <c r="C133">
        <v>3</v>
      </c>
      <c r="D133" t="s">
        <v>30</v>
      </c>
      <c r="E133" t="s">
        <v>87</v>
      </c>
      <c r="F133" s="1">
        <v>50187</v>
      </c>
      <c r="G133" s="1">
        <v>237035</v>
      </c>
      <c r="H133">
        <v>116</v>
      </c>
      <c r="I133">
        <v>0.97</v>
      </c>
      <c r="J133">
        <v>6.29</v>
      </c>
      <c r="K133">
        <v>1.2</v>
      </c>
      <c r="L133">
        <v>1</v>
      </c>
      <c r="M133" s="1" t="e">
        <f>#N/A</f>
        <v>#N/A</v>
      </c>
      <c r="N133">
        <v>708</v>
      </c>
      <c r="Q133" t="s">
        <v>58</v>
      </c>
    </row>
    <row r="134" spans="1:17" x14ac:dyDescent="0.35">
      <c r="A134">
        <v>133</v>
      </c>
      <c r="B134">
        <v>2016</v>
      </c>
      <c r="C134">
        <v>3</v>
      </c>
      <c r="D134" t="s">
        <v>30</v>
      </c>
      <c r="E134" t="s">
        <v>88</v>
      </c>
      <c r="F134" s="1">
        <v>98080</v>
      </c>
      <c r="G134" s="1">
        <v>233683</v>
      </c>
      <c r="H134">
        <v>78</v>
      </c>
      <c r="I134">
        <v>0.97</v>
      </c>
      <c r="J134">
        <v>6.29</v>
      </c>
      <c r="K134">
        <v>1.2</v>
      </c>
      <c r="L134">
        <v>8</v>
      </c>
      <c r="M134" s="1" t="e">
        <f>#N/A</f>
        <v>#N/A</v>
      </c>
      <c r="N134">
        <v>317</v>
      </c>
      <c r="Q134" t="s">
        <v>58</v>
      </c>
    </row>
    <row r="135" spans="1:17" x14ac:dyDescent="0.35">
      <c r="A135">
        <v>134</v>
      </c>
      <c r="B135">
        <v>2016</v>
      </c>
      <c r="C135">
        <v>3</v>
      </c>
      <c r="D135" t="s">
        <v>28</v>
      </c>
      <c r="E135" t="s">
        <v>106</v>
      </c>
      <c r="F135" s="1">
        <v>119817</v>
      </c>
      <c r="G135" s="1">
        <v>359732</v>
      </c>
      <c r="H135">
        <v>294</v>
      </c>
      <c r="I135">
        <v>0.97</v>
      </c>
      <c r="J135">
        <v>6.29</v>
      </c>
      <c r="K135">
        <v>1.2</v>
      </c>
      <c r="L135">
        <v>1</v>
      </c>
      <c r="M135" s="1" t="e">
        <f>#N/A</f>
        <v>#N/A</v>
      </c>
      <c r="N135">
        <v>730</v>
      </c>
      <c r="Q135" t="s">
        <v>58</v>
      </c>
    </row>
    <row r="136" spans="1:17" x14ac:dyDescent="0.35">
      <c r="A136">
        <v>135</v>
      </c>
      <c r="B136">
        <v>2016</v>
      </c>
      <c r="C136">
        <v>3</v>
      </c>
      <c r="D136" t="s">
        <v>14</v>
      </c>
      <c r="E136" t="s">
        <v>121</v>
      </c>
      <c r="F136" s="1">
        <v>85013</v>
      </c>
      <c r="G136" s="1">
        <v>275414</v>
      </c>
      <c r="H136">
        <v>51</v>
      </c>
      <c r="I136">
        <v>0.97</v>
      </c>
      <c r="J136">
        <v>6.29</v>
      </c>
      <c r="K136">
        <v>1.2</v>
      </c>
      <c r="L136">
        <v>6</v>
      </c>
      <c r="M136" s="1" t="e">
        <f>#N/A</f>
        <v>#N/A</v>
      </c>
      <c r="N136">
        <v>347</v>
      </c>
      <c r="Q136" t="s">
        <v>58</v>
      </c>
    </row>
    <row r="137" spans="1:17" x14ac:dyDescent="0.35">
      <c r="A137">
        <v>136</v>
      </c>
      <c r="B137">
        <v>2016</v>
      </c>
      <c r="C137">
        <v>3</v>
      </c>
      <c r="D137" t="s">
        <v>38</v>
      </c>
      <c r="E137" t="s">
        <v>120</v>
      </c>
      <c r="F137" s="1">
        <v>78254</v>
      </c>
      <c r="G137" s="1">
        <v>286770</v>
      </c>
      <c r="H137">
        <v>73</v>
      </c>
      <c r="I137">
        <v>0.97</v>
      </c>
      <c r="J137">
        <v>6.29</v>
      </c>
      <c r="K137">
        <v>1.2</v>
      </c>
      <c r="L137">
        <v>7</v>
      </c>
      <c r="M137" s="1" t="e">
        <f>#N/A</f>
        <v>#N/A</v>
      </c>
      <c r="N137">
        <v>377</v>
      </c>
      <c r="Q137" t="s">
        <v>58</v>
      </c>
    </row>
    <row r="138" spans="1:17" x14ac:dyDescent="0.35">
      <c r="A138">
        <v>137</v>
      </c>
      <c r="B138">
        <v>2016</v>
      </c>
      <c r="C138">
        <v>3</v>
      </c>
      <c r="D138" t="s">
        <v>37</v>
      </c>
      <c r="E138" t="s">
        <v>117</v>
      </c>
      <c r="F138" s="1">
        <v>38114</v>
      </c>
      <c r="G138" s="1">
        <v>486946</v>
      </c>
      <c r="H138">
        <v>246</v>
      </c>
      <c r="I138">
        <v>0.97</v>
      </c>
      <c r="J138">
        <v>6.29</v>
      </c>
      <c r="K138">
        <v>1.2</v>
      </c>
      <c r="L138">
        <v>2</v>
      </c>
      <c r="M138" s="1" t="e">
        <f>#N/A</f>
        <v>#N/A</v>
      </c>
      <c r="N138">
        <v>968</v>
      </c>
      <c r="Q138" t="s">
        <v>59</v>
      </c>
    </row>
    <row r="139" spans="1:17" x14ac:dyDescent="0.35">
      <c r="A139">
        <v>138</v>
      </c>
      <c r="B139">
        <v>2016</v>
      </c>
      <c r="C139">
        <v>3</v>
      </c>
      <c r="D139" t="s">
        <v>32</v>
      </c>
      <c r="E139" t="s">
        <v>143</v>
      </c>
      <c r="F139" s="1">
        <v>50989</v>
      </c>
      <c r="G139" s="1">
        <v>399317</v>
      </c>
      <c r="H139">
        <v>202</v>
      </c>
      <c r="I139">
        <v>0.97</v>
      </c>
      <c r="J139">
        <v>6.29</v>
      </c>
      <c r="K139">
        <v>1.2</v>
      </c>
      <c r="L139">
        <v>9</v>
      </c>
      <c r="M139" s="1" t="e">
        <f>#N/A</f>
        <v>#N/A</v>
      </c>
      <c r="N139">
        <v>651</v>
      </c>
      <c r="Q139" t="s">
        <v>59</v>
      </c>
    </row>
    <row r="140" spans="1:17" x14ac:dyDescent="0.35">
      <c r="A140">
        <v>139</v>
      </c>
      <c r="B140">
        <v>2016</v>
      </c>
      <c r="C140">
        <v>3</v>
      </c>
      <c r="D140" t="s">
        <v>36</v>
      </c>
      <c r="E140" t="s">
        <v>152</v>
      </c>
      <c r="F140" s="1">
        <v>88473</v>
      </c>
      <c r="G140" s="1">
        <v>81625</v>
      </c>
      <c r="H140">
        <v>185</v>
      </c>
      <c r="I140">
        <v>0.97</v>
      </c>
      <c r="J140">
        <v>6.29</v>
      </c>
      <c r="K140">
        <v>1.2</v>
      </c>
      <c r="L140">
        <v>1</v>
      </c>
      <c r="M140" s="1" t="e">
        <f>#N/A</f>
        <v>#N/A</v>
      </c>
      <c r="N140">
        <v>540</v>
      </c>
      <c r="Q140" t="s">
        <v>59</v>
      </c>
    </row>
    <row r="141" spans="1:17" x14ac:dyDescent="0.35">
      <c r="A141">
        <v>140</v>
      </c>
      <c r="B141">
        <v>2016</v>
      </c>
      <c r="C141">
        <v>4</v>
      </c>
      <c r="D141" t="s">
        <v>32</v>
      </c>
      <c r="E141" t="s">
        <v>56</v>
      </c>
      <c r="F141" s="1">
        <v>61950</v>
      </c>
      <c r="G141" s="1">
        <v>101012</v>
      </c>
      <c r="H141">
        <v>386</v>
      </c>
      <c r="I141">
        <v>0.97</v>
      </c>
      <c r="J141">
        <v>6.29</v>
      </c>
      <c r="K141">
        <v>1.2</v>
      </c>
      <c r="L141">
        <v>9</v>
      </c>
      <c r="M141" s="1" t="e">
        <f>#N/A</f>
        <v>#N/A</v>
      </c>
      <c r="N141">
        <v>931</v>
      </c>
      <c r="Q141" t="s">
        <v>59</v>
      </c>
    </row>
    <row r="142" spans="1:17" x14ac:dyDescent="0.35">
      <c r="A142">
        <v>141</v>
      </c>
      <c r="B142">
        <v>2016</v>
      </c>
      <c r="C142">
        <v>4</v>
      </c>
      <c r="D142" t="s">
        <v>14</v>
      </c>
      <c r="E142" t="s">
        <v>78</v>
      </c>
      <c r="F142" s="1">
        <v>85210</v>
      </c>
      <c r="G142" s="1">
        <v>286824</v>
      </c>
      <c r="H142">
        <v>309</v>
      </c>
      <c r="I142">
        <v>0.97</v>
      </c>
      <c r="J142">
        <v>6.29</v>
      </c>
      <c r="K142">
        <v>1.2</v>
      </c>
      <c r="L142">
        <v>1</v>
      </c>
      <c r="M142" s="1" t="e">
        <f>#N/A</f>
        <v>#N/A</v>
      </c>
      <c r="N142">
        <v>865</v>
      </c>
      <c r="Q142" t="s">
        <v>59</v>
      </c>
    </row>
    <row r="143" spans="1:17" x14ac:dyDescent="0.35">
      <c r="A143">
        <v>142</v>
      </c>
      <c r="B143">
        <v>2016</v>
      </c>
      <c r="C143">
        <v>4</v>
      </c>
      <c r="D143" t="s">
        <v>30</v>
      </c>
      <c r="E143" t="s">
        <v>80</v>
      </c>
      <c r="F143" s="1">
        <v>62281</v>
      </c>
      <c r="G143" s="1">
        <v>398951</v>
      </c>
      <c r="H143">
        <v>137</v>
      </c>
      <c r="I143">
        <v>0.97</v>
      </c>
      <c r="J143">
        <v>6.29</v>
      </c>
      <c r="K143">
        <v>1.2</v>
      </c>
      <c r="L143">
        <v>9</v>
      </c>
      <c r="M143" s="1" t="e">
        <f>#N/A</f>
        <v>#N/A</v>
      </c>
      <c r="N143">
        <v>640</v>
      </c>
      <c r="Q143" t="s">
        <v>59</v>
      </c>
    </row>
    <row r="144" spans="1:17" x14ac:dyDescent="0.35">
      <c r="A144">
        <v>143</v>
      </c>
      <c r="B144">
        <v>2016</v>
      </c>
      <c r="C144">
        <v>4</v>
      </c>
      <c r="D144" t="s">
        <v>28</v>
      </c>
      <c r="E144" t="s">
        <v>89</v>
      </c>
      <c r="F144" s="1">
        <v>41191</v>
      </c>
      <c r="G144" s="1">
        <v>331321</v>
      </c>
      <c r="H144">
        <v>383</v>
      </c>
      <c r="I144">
        <v>0.97</v>
      </c>
      <c r="J144">
        <v>6.29</v>
      </c>
      <c r="K144">
        <v>1.2</v>
      </c>
      <c r="L144">
        <v>5</v>
      </c>
      <c r="M144" s="1" t="e">
        <f>#N/A</f>
        <v>#N/A</v>
      </c>
      <c r="N144">
        <v>1197</v>
      </c>
      <c r="Q144" t="s">
        <v>59</v>
      </c>
    </row>
    <row r="145" spans="1:17" x14ac:dyDescent="0.35">
      <c r="A145">
        <v>144</v>
      </c>
      <c r="B145">
        <v>2016</v>
      </c>
      <c r="C145">
        <v>4</v>
      </c>
      <c r="D145" t="s">
        <v>35</v>
      </c>
      <c r="E145" t="s">
        <v>93</v>
      </c>
      <c r="F145" s="1">
        <v>36301</v>
      </c>
      <c r="G145" s="1">
        <v>142837</v>
      </c>
      <c r="H145">
        <v>69</v>
      </c>
      <c r="I145">
        <v>0.97</v>
      </c>
      <c r="J145">
        <v>6.29</v>
      </c>
      <c r="K145">
        <v>1.2</v>
      </c>
      <c r="L145">
        <v>1</v>
      </c>
      <c r="M145" s="1" t="e">
        <f>#N/A</f>
        <v>#N/A</v>
      </c>
      <c r="N145">
        <v>595</v>
      </c>
      <c r="Q145" t="s">
        <v>59</v>
      </c>
    </row>
    <row r="146" spans="1:17" x14ac:dyDescent="0.35">
      <c r="A146">
        <v>145</v>
      </c>
      <c r="B146">
        <v>2016</v>
      </c>
      <c r="C146">
        <v>4</v>
      </c>
      <c r="D146" t="s">
        <v>25</v>
      </c>
      <c r="E146" t="s">
        <v>106</v>
      </c>
      <c r="F146" s="1">
        <v>64424</v>
      </c>
      <c r="G146" s="1">
        <v>299836</v>
      </c>
      <c r="H146">
        <v>40</v>
      </c>
      <c r="I146">
        <v>0.97</v>
      </c>
      <c r="J146">
        <v>6.29</v>
      </c>
      <c r="K146">
        <v>1.2</v>
      </c>
      <c r="L146">
        <v>9</v>
      </c>
      <c r="M146" s="1" t="e">
        <f>#N/A</f>
        <v>#N/A</v>
      </c>
      <c r="N146">
        <v>456</v>
      </c>
      <c r="Q146" t="s">
        <v>59</v>
      </c>
    </row>
    <row r="147" spans="1:17" x14ac:dyDescent="0.35">
      <c r="A147">
        <v>146</v>
      </c>
      <c r="B147">
        <v>2016</v>
      </c>
      <c r="C147">
        <v>5</v>
      </c>
      <c r="D147" t="s">
        <v>35</v>
      </c>
      <c r="E147" t="s">
        <v>47</v>
      </c>
      <c r="F147" s="1">
        <v>119694</v>
      </c>
      <c r="G147" s="1">
        <v>326393</v>
      </c>
      <c r="H147">
        <v>55</v>
      </c>
      <c r="I147">
        <v>0.97</v>
      </c>
      <c r="J147">
        <v>6.29</v>
      </c>
      <c r="K147">
        <v>1.2</v>
      </c>
      <c r="L147">
        <v>6</v>
      </c>
      <c r="M147" s="1" t="e">
        <f>#N/A</f>
        <v>#N/A</v>
      </c>
      <c r="N147">
        <v>536</v>
      </c>
      <c r="Q147" t="s">
        <v>59</v>
      </c>
    </row>
    <row r="148" spans="1:17" x14ac:dyDescent="0.35">
      <c r="A148">
        <v>147</v>
      </c>
      <c r="B148">
        <v>2016</v>
      </c>
      <c r="C148">
        <v>5</v>
      </c>
      <c r="D148" t="s">
        <v>25</v>
      </c>
      <c r="E148" t="s">
        <v>48</v>
      </c>
      <c r="F148" s="1">
        <v>86567</v>
      </c>
      <c r="G148" s="1">
        <v>299717</v>
      </c>
      <c r="H148">
        <v>148</v>
      </c>
      <c r="I148">
        <v>0.97</v>
      </c>
      <c r="J148">
        <v>6.29</v>
      </c>
      <c r="K148">
        <v>1.2</v>
      </c>
      <c r="L148">
        <v>3</v>
      </c>
      <c r="M148" s="1" t="e">
        <f>#N/A</f>
        <v>#N/A</v>
      </c>
      <c r="N148">
        <v>463</v>
      </c>
      <c r="Q148" t="s">
        <v>59</v>
      </c>
    </row>
    <row r="149" spans="1:17" x14ac:dyDescent="0.35">
      <c r="A149">
        <v>148</v>
      </c>
      <c r="B149">
        <v>2016</v>
      </c>
      <c r="C149">
        <v>5</v>
      </c>
      <c r="D149" t="s">
        <v>35</v>
      </c>
      <c r="E149" t="s">
        <v>59</v>
      </c>
      <c r="F149" s="1">
        <v>79066</v>
      </c>
      <c r="G149" s="1">
        <v>260765</v>
      </c>
      <c r="H149">
        <v>201</v>
      </c>
      <c r="I149">
        <v>0.97</v>
      </c>
      <c r="J149">
        <v>6.29</v>
      </c>
      <c r="K149">
        <v>1.2</v>
      </c>
      <c r="L149">
        <v>2</v>
      </c>
      <c r="M149" s="1" t="e">
        <f>#N/A</f>
        <v>#N/A</v>
      </c>
      <c r="N149">
        <v>587</v>
      </c>
      <c r="Q149" t="s">
        <v>60</v>
      </c>
    </row>
    <row r="150" spans="1:17" x14ac:dyDescent="0.35">
      <c r="A150">
        <v>149</v>
      </c>
      <c r="B150">
        <v>2016</v>
      </c>
      <c r="C150">
        <v>5</v>
      </c>
      <c r="D150" t="s">
        <v>25</v>
      </c>
      <c r="E150" t="s">
        <v>74</v>
      </c>
      <c r="F150" s="1">
        <v>55918</v>
      </c>
      <c r="G150" s="1">
        <v>50654</v>
      </c>
      <c r="H150">
        <v>238</v>
      </c>
      <c r="I150">
        <v>0.97</v>
      </c>
      <c r="J150">
        <v>6.29</v>
      </c>
      <c r="K150">
        <v>1.2</v>
      </c>
      <c r="L150">
        <v>4</v>
      </c>
      <c r="M150" s="1" t="e">
        <f>#N/A</f>
        <v>#N/A</v>
      </c>
      <c r="N150">
        <v>680</v>
      </c>
      <c r="Q150" t="s">
        <v>60</v>
      </c>
    </row>
    <row r="151" spans="1:17" x14ac:dyDescent="0.35">
      <c r="A151">
        <v>150</v>
      </c>
      <c r="B151">
        <v>2016</v>
      </c>
      <c r="C151">
        <v>5</v>
      </c>
      <c r="D151" t="s">
        <v>14</v>
      </c>
      <c r="E151" t="s">
        <v>79</v>
      </c>
      <c r="F151" s="1">
        <v>102691</v>
      </c>
      <c r="G151" s="1">
        <v>183114</v>
      </c>
      <c r="H151">
        <v>129</v>
      </c>
      <c r="I151">
        <v>0.97</v>
      </c>
      <c r="J151">
        <v>6.29</v>
      </c>
      <c r="K151">
        <v>1.2</v>
      </c>
      <c r="L151">
        <v>5</v>
      </c>
      <c r="M151" s="1" t="e">
        <f>#N/A</f>
        <v>#N/A</v>
      </c>
      <c r="N151">
        <v>390</v>
      </c>
      <c r="Q151" t="s">
        <v>60</v>
      </c>
    </row>
    <row r="152" spans="1:17" x14ac:dyDescent="0.35">
      <c r="A152">
        <v>151</v>
      </c>
      <c r="B152">
        <v>2016</v>
      </c>
      <c r="C152">
        <v>5</v>
      </c>
      <c r="D152" t="s">
        <v>32</v>
      </c>
      <c r="E152" t="s">
        <v>82</v>
      </c>
      <c r="F152" s="1">
        <v>102684</v>
      </c>
      <c r="G152" s="1">
        <v>76505</v>
      </c>
      <c r="H152">
        <v>30</v>
      </c>
      <c r="I152">
        <v>0.97</v>
      </c>
      <c r="J152">
        <v>6.29</v>
      </c>
      <c r="K152">
        <v>1.2</v>
      </c>
      <c r="L152">
        <v>2</v>
      </c>
      <c r="M152" s="1" t="e">
        <f>#N/A</f>
        <v>#N/A</v>
      </c>
      <c r="N152">
        <v>336</v>
      </c>
      <c r="Q152" t="s">
        <v>61</v>
      </c>
    </row>
    <row r="153" spans="1:17" x14ac:dyDescent="0.35">
      <c r="A153">
        <v>152</v>
      </c>
      <c r="B153">
        <v>2016</v>
      </c>
      <c r="C153">
        <v>5</v>
      </c>
      <c r="D153" t="s">
        <v>14</v>
      </c>
      <c r="E153" t="s">
        <v>111</v>
      </c>
      <c r="F153" s="1">
        <v>69474</v>
      </c>
      <c r="G153" s="1">
        <v>218733</v>
      </c>
      <c r="H153">
        <v>110</v>
      </c>
      <c r="I153">
        <v>0.97</v>
      </c>
      <c r="J153">
        <v>6.29</v>
      </c>
      <c r="K153">
        <v>1.2</v>
      </c>
      <c r="L153">
        <v>9</v>
      </c>
      <c r="M153" s="1" t="e">
        <f>#N/A</f>
        <v>#N/A</v>
      </c>
      <c r="N153">
        <v>548</v>
      </c>
      <c r="Q153" t="s">
        <v>61</v>
      </c>
    </row>
    <row r="154" spans="1:17" x14ac:dyDescent="0.35">
      <c r="A154">
        <v>153</v>
      </c>
      <c r="B154">
        <v>2016</v>
      </c>
      <c r="C154">
        <v>5</v>
      </c>
      <c r="D154" t="s">
        <v>36</v>
      </c>
      <c r="E154" t="s">
        <v>133</v>
      </c>
      <c r="F154" s="1">
        <v>59162</v>
      </c>
      <c r="G154" s="1">
        <v>334965</v>
      </c>
      <c r="H154">
        <v>155</v>
      </c>
      <c r="I154">
        <v>0.97</v>
      </c>
      <c r="J154">
        <v>6.29</v>
      </c>
      <c r="K154">
        <v>1.2</v>
      </c>
      <c r="L154">
        <v>5</v>
      </c>
      <c r="M154" s="1" t="e">
        <f>#N/A</f>
        <v>#N/A</v>
      </c>
      <c r="N154">
        <v>542</v>
      </c>
      <c r="Q154" t="s">
        <v>61</v>
      </c>
    </row>
    <row r="155" spans="1:17" x14ac:dyDescent="0.35">
      <c r="A155">
        <v>154</v>
      </c>
      <c r="B155">
        <v>2016</v>
      </c>
      <c r="C155">
        <v>5</v>
      </c>
      <c r="D155" t="s">
        <v>28</v>
      </c>
      <c r="E155" t="s">
        <v>142</v>
      </c>
      <c r="F155" s="1">
        <v>74661</v>
      </c>
      <c r="G155" s="1">
        <v>303078</v>
      </c>
      <c r="H155">
        <v>110</v>
      </c>
      <c r="I155">
        <v>0.97</v>
      </c>
      <c r="J155">
        <v>6.29</v>
      </c>
      <c r="K155">
        <v>1.2</v>
      </c>
      <c r="L155">
        <v>1</v>
      </c>
      <c r="M155" s="1" t="e">
        <f>#N/A</f>
        <v>#N/A</v>
      </c>
      <c r="N155">
        <v>529</v>
      </c>
      <c r="Q155" t="s">
        <v>61</v>
      </c>
    </row>
    <row r="156" spans="1:17" x14ac:dyDescent="0.35">
      <c r="A156">
        <v>155</v>
      </c>
      <c r="B156">
        <v>2016</v>
      </c>
      <c r="C156">
        <v>5</v>
      </c>
      <c r="D156" t="s">
        <v>35</v>
      </c>
      <c r="E156" t="s">
        <v>144</v>
      </c>
      <c r="F156" s="1">
        <v>78066</v>
      </c>
      <c r="G156" s="1">
        <v>296103</v>
      </c>
      <c r="H156">
        <v>30</v>
      </c>
      <c r="I156">
        <v>0.97</v>
      </c>
      <c r="J156">
        <v>6.29</v>
      </c>
      <c r="K156">
        <v>1.2</v>
      </c>
      <c r="L156">
        <v>7</v>
      </c>
      <c r="M156" s="1" t="e">
        <f>#N/A</f>
        <v>#N/A</v>
      </c>
      <c r="N156">
        <v>187</v>
      </c>
      <c r="Q156" t="s">
        <v>61</v>
      </c>
    </row>
    <row r="157" spans="1:17" x14ac:dyDescent="0.35">
      <c r="A157">
        <v>156</v>
      </c>
      <c r="B157">
        <v>2016</v>
      </c>
      <c r="C157">
        <v>6</v>
      </c>
      <c r="D157" t="s">
        <v>28</v>
      </c>
      <c r="E157" t="s">
        <v>61</v>
      </c>
      <c r="F157" s="1">
        <v>69493</v>
      </c>
      <c r="G157" s="1">
        <v>211323</v>
      </c>
      <c r="H157">
        <v>311</v>
      </c>
      <c r="I157">
        <v>0.97</v>
      </c>
      <c r="J157">
        <v>6.29</v>
      </c>
      <c r="K157">
        <v>1.2</v>
      </c>
      <c r="L157">
        <v>4</v>
      </c>
      <c r="M157" s="1" t="e">
        <f>#N/A</f>
        <v>#N/A</v>
      </c>
      <c r="N157">
        <v>967</v>
      </c>
      <c r="Q157" t="s">
        <v>61</v>
      </c>
    </row>
    <row r="158" spans="1:17" x14ac:dyDescent="0.35">
      <c r="A158">
        <v>157</v>
      </c>
      <c r="B158">
        <v>2016</v>
      </c>
      <c r="C158">
        <v>6</v>
      </c>
      <c r="D158" t="s">
        <v>38</v>
      </c>
      <c r="E158" t="s">
        <v>58</v>
      </c>
      <c r="F158" s="1">
        <v>58834</v>
      </c>
      <c r="G158" s="1">
        <v>58720</v>
      </c>
      <c r="H158">
        <v>368</v>
      </c>
      <c r="I158">
        <v>0.97</v>
      </c>
      <c r="J158">
        <v>6.29</v>
      </c>
      <c r="K158">
        <v>1.2</v>
      </c>
      <c r="L158">
        <v>6</v>
      </c>
      <c r="M158" s="1" t="e">
        <f>#N/A</f>
        <v>#N/A</v>
      </c>
      <c r="N158">
        <v>1006</v>
      </c>
      <c r="Q158" t="s">
        <v>61</v>
      </c>
    </row>
    <row r="159" spans="1:17" x14ac:dyDescent="0.35">
      <c r="A159">
        <v>158</v>
      </c>
      <c r="B159">
        <v>2016</v>
      </c>
      <c r="C159">
        <v>6</v>
      </c>
      <c r="D159" t="s">
        <v>14</v>
      </c>
      <c r="E159" t="s">
        <v>114</v>
      </c>
      <c r="F159" s="1">
        <v>97217</v>
      </c>
      <c r="G159" s="1">
        <v>91139</v>
      </c>
      <c r="H159">
        <v>37</v>
      </c>
      <c r="I159">
        <v>0.97</v>
      </c>
      <c r="J159">
        <v>6.29</v>
      </c>
      <c r="K159">
        <v>1.2</v>
      </c>
      <c r="L159">
        <v>7</v>
      </c>
      <c r="M159" s="1" t="e">
        <f>#N/A</f>
        <v>#N/A</v>
      </c>
      <c r="N159">
        <v>411</v>
      </c>
      <c r="Q159" t="s">
        <v>61</v>
      </c>
    </row>
    <row r="160" spans="1:17" x14ac:dyDescent="0.35">
      <c r="A160">
        <v>159</v>
      </c>
      <c r="B160">
        <v>2016</v>
      </c>
      <c r="C160">
        <v>7</v>
      </c>
      <c r="D160" t="s">
        <v>32</v>
      </c>
      <c r="E160" t="s">
        <v>52</v>
      </c>
      <c r="F160" s="1">
        <v>35507</v>
      </c>
      <c r="G160" s="1">
        <v>241313</v>
      </c>
      <c r="H160">
        <v>380</v>
      </c>
      <c r="I160">
        <v>0.97</v>
      </c>
      <c r="J160">
        <v>6.29</v>
      </c>
      <c r="K160">
        <v>1.2</v>
      </c>
      <c r="L160">
        <v>6</v>
      </c>
      <c r="M160" s="1" t="e">
        <f>#N/A</f>
        <v>#N/A</v>
      </c>
      <c r="N160">
        <v>1169</v>
      </c>
      <c r="Q160" t="s">
        <v>61</v>
      </c>
    </row>
    <row r="161" spans="1:17" x14ac:dyDescent="0.35">
      <c r="A161">
        <v>160</v>
      </c>
      <c r="B161">
        <v>2016</v>
      </c>
      <c r="C161">
        <v>7</v>
      </c>
      <c r="D161" t="s">
        <v>36</v>
      </c>
      <c r="E161" t="s">
        <v>120</v>
      </c>
      <c r="F161" s="1">
        <v>113002</v>
      </c>
      <c r="G161" s="1">
        <v>101482</v>
      </c>
      <c r="H161">
        <v>126</v>
      </c>
      <c r="I161">
        <v>0.97</v>
      </c>
      <c r="J161">
        <v>6.29</v>
      </c>
      <c r="K161">
        <v>1.2</v>
      </c>
      <c r="L161">
        <v>9</v>
      </c>
      <c r="M161" s="1" t="e">
        <f>#N/A</f>
        <v>#N/A</v>
      </c>
      <c r="N161">
        <v>318</v>
      </c>
      <c r="Q161" t="s">
        <v>61</v>
      </c>
    </row>
    <row r="162" spans="1:17" x14ac:dyDescent="0.35">
      <c r="A162">
        <v>161</v>
      </c>
      <c r="B162">
        <v>2016</v>
      </c>
      <c r="C162">
        <v>7</v>
      </c>
      <c r="D162" t="s">
        <v>30</v>
      </c>
      <c r="E162" t="s">
        <v>118</v>
      </c>
      <c r="F162" s="1">
        <v>43320</v>
      </c>
      <c r="G162" s="1">
        <v>189681</v>
      </c>
      <c r="H162">
        <v>227</v>
      </c>
      <c r="I162">
        <v>0.97</v>
      </c>
      <c r="J162">
        <v>6.29</v>
      </c>
      <c r="K162">
        <v>1.2</v>
      </c>
      <c r="L162">
        <v>4</v>
      </c>
      <c r="M162" s="1" t="e">
        <f>#N/A</f>
        <v>#N/A</v>
      </c>
      <c r="N162">
        <v>641</v>
      </c>
      <c r="Q162" t="s">
        <v>62</v>
      </c>
    </row>
    <row r="163" spans="1:17" x14ac:dyDescent="0.35">
      <c r="A163">
        <v>162</v>
      </c>
      <c r="B163">
        <v>2016</v>
      </c>
      <c r="C163">
        <v>8</v>
      </c>
      <c r="D163" t="s">
        <v>21</v>
      </c>
      <c r="E163" t="s">
        <v>67</v>
      </c>
      <c r="F163" s="1">
        <v>116502</v>
      </c>
      <c r="G163" s="1">
        <v>163783</v>
      </c>
      <c r="H163">
        <v>134</v>
      </c>
      <c r="I163">
        <v>0.97</v>
      </c>
      <c r="J163">
        <v>6.29</v>
      </c>
      <c r="K163">
        <v>1.2</v>
      </c>
      <c r="L163">
        <v>8</v>
      </c>
      <c r="M163" s="1" t="e">
        <f>#N/A</f>
        <v>#N/A</v>
      </c>
      <c r="N163">
        <v>393</v>
      </c>
      <c r="Q163" t="s">
        <v>62</v>
      </c>
    </row>
    <row r="164" spans="1:17" x14ac:dyDescent="0.35">
      <c r="A164">
        <v>163</v>
      </c>
      <c r="B164">
        <v>2016</v>
      </c>
      <c r="C164">
        <v>8</v>
      </c>
      <c r="D164" t="s">
        <v>37</v>
      </c>
      <c r="E164" t="s">
        <v>71</v>
      </c>
      <c r="F164" s="1">
        <v>62052</v>
      </c>
      <c r="G164" s="1">
        <v>145965</v>
      </c>
      <c r="H164">
        <v>93</v>
      </c>
      <c r="I164">
        <v>0.97</v>
      </c>
      <c r="J164">
        <v>6.29</v>
      </c>
      <c r="K164">
        <v>1.2</v>
      </c>
      <c r="L164">
        <v>4</v>
      </c>
      <c r="M164" s="1" t="e">
        <f>#N/A</f>
        <v>#N/A</v>
      </c>
      <c r="N164">
        <v>518</v>
      </c>
      <c r="Q164" t="s">
        <v>62</v>
      </c>
    </row>
    <row r="165" spans="1:17" x14ac:dyDescent="0.35">
      <c r="A165">
        <v>164</v>
      </c>
      <c r="B165">
        <v>2016</v>
      </c>
      <c r="C165">
        <v>8</v>
      </c>
      <c r="D165" t="s">
        <v>25</v>
      </c>
      <c r="E165" t="s">
        <v>75</v>
      </c>
      <c r="F165" s="1">
        <v>49605</v>
      </c>
      <c r="G165" s="1">
        <v>105501</v>
      </c>
      <c r="H165">
        <v>163</v>
      </c>
      <c r="I165">
        <v>0.97</v>
      </c>
      <c r="J165">
        <v>6.29</v>
      </c>
      <c r="K165">
        <v>1.2</v>
      </c>
      <c r="L165">
        <v>9</v>
      </c>
      <c r="M165" s="1" t="e">
        <f>#N/A</f>
        <v>#N/A</v>
      </c>
      <c r="N165">
        <v>759</v>
      </c>
      <c r="Q165" t="s">
        <v>62</v>
      </c>
    </row>
    <row r="166" spans="1:17" x14ac:dyDescent="0.35">
      <c r="A166">
        <v>165</v>
      </c>
      <c r="B166">
        <v>2016</v>
      </c>
      <c r="C166">
        <v>8</v>
      </c>
      <c r="D166" t="s">
        <v>35</v>
      </c>
      <c r="E166" t="s">
        <v>78</v>
      </c>
      <c r="F166" s="1">
        <v>45345</v>
      </c>
      <c r="G166" s="1">
        <v>274866</v>
      </c>
      <c r="H166">
        <v>398</v>
      </c>
      <c r="I166">
        <v>0.97</v>
      </c>
      <c r="J166">
        <v>6.29</v>
      </c>
      <c r="K166">
        <v>1.2</v>
      </c>
      <c r="L166">
        <v>8</v>
      </c>
      <c r="M166" s="1" t="e">
        <f>#N/A</f>
        <v>#N/A</v>
      </c>
      <c r="N166">
        <v>916</v>
      </c>
      <c r="Q166" t="s">
        <v>62</v>
      </c>
    </row>
    <row r="167" spans="1:17" x14ac:dyDescent="0.35">
      <c r="A167">
        <v>166</v>
      </c>
      <c r="B167">
        <v>2016</v>
      </c>
      <c r="C167">
        <v>8</v>
      </c>
      <c r="D167" t="s">
        <v>37</v>
      </c>
      <c r="E167" t="s">
        <v>85</v>
      </c>
      <c r="F167" s="1">
        <v>42853</v>
      </c>
      <c r="G167" s="1">
        <v>104362</v>
      </c>
      <c r="H167">
        <v>235</v>
      </c>
      <c r="I167">
        <v>0.97</v>
      </c>
      <c r="J167">
        <v>6.29</v>
      </c>
      <c r="K167">
        <v>1.2</v>
      </c>
      <c r="L167">
        <v>3</v>
      </c>
      <c r="M167" s="1" t="e">
        <f>#N/A</f>
        <v>#N/A</v>
      </c>
      <c r="N167">
        <v>666</v>
      </c>
      <c r="Q167" t="s">
        <v>62</v>
      </c>
    </row>
    <row r="168" spans="1:17" x14ac:dyDescent="0.35">
      <c r="A168">
        <v>167</v>
      </c>
      <c r="B168">
        <v>2016</v>
      </c>
      <c r="C168">
        <v>8</v>
      </c>
      <c r="D168" t="s">
        <v>25</v>
      </c>
      <c r="E168" t="s">
        <v>97</v>
      </c>
      <c r="F168" s="1">
        <v>75745</v>
      </c>
      <c r="G168" s="1">
        <v>249618</v>
      </c>
      <c r="H168">
        <v>289</v>
      </c>
      <c r="I168">
        <v>0.97</v>
      </c>
      <c r="J168">
        <v>6.29</v>
      </c>
      <c r="K168">
        <v>1.2</v>
      </c>
      <c r="L168">
        <v>4</v>
      </c>
      <c r="M168" s="1" t="e">
        <f>#N/A</f>
        <v>#N/A</v>
      </c>
      <c r="N168">
        <v>1004</v>
      </c>
      <c r="Q168" t="s">
        <v>62</v>
      </c>
    </row>
    <row r="169" spans="1:17" x14ac:dyDescent="0.35">
      <c r="A169">
        <v>168</v>
      </c>
      <c r="B169">
        <v>2016</v>
      </c>
      <c r="C169">
        <v>8</v>
      </c>
      <c r="D169" t="s">
        <v>30</v>
      </c>
      <c r="E169" t="s">
        <v>97</v>
      </c>
      <c r="F169" s="1">
        <v>119518</v>
      </c>
      <c r="G169" s="1">
        <v>270326</v>
      </c>
      <c r="H169">
        <v>332</v>
      </c>
      <c r="I169">
        <v>0.97</v>
      </c>
      <c r="J169">
        <v>6.29</v>
      </c>
      <c r="K169">
        <v>1.2</v>
      </c>
      <c r="L169">
        <v>4</v>
      </c>
      <c r="M169" s="1" t="e">
        <f>#N/A</f>
        <v>#N/A</v>
      </c>
      <c r="N169">
        <v>847</v>
      </c>
      <c r="Q169" t="s">
        <v>62</v>
      </c>
    </row>
    <row r="170" spans="1:17" x14ac:dyDescent="0.35">
      <c r="A170">
        <v>169</v>
      </c>
      <c r="B170">
        <v>2016</v>
      </c>
      <c r="C170">
        <v>8</v>
      </c>
      <c r="D170" t="s">
        <v>38</v>
      </c>
      <c r="E170" t="s">
        <v>118</v>
      </c>
      <c r="F170" s="1">
        <v>95430</v>
      </c>
      <c r="G170" s="1">
        <v>369532</v>
      </c>
      <c r="H170">
        <v>214</v>
      </c>
      <c r="I170">
        <v>0.97</v>
      </c>
      <c r="J170">
        <v>6.29</v>
      </c>
      <c r="K170">
        <v>1.2</v>
      </c>
      <c r="L170">
        <v>1</v>
      </c>
      <c r="M170" s="1" t="e">
        <f>#N/A</f>
        <v>#N/A</v>
      </c>
      <c r="N170">
        <v>510</v>
      </c>
      <c r="Q170" t="s">
        <v>62</v>
      </c>
    </row>
    <row r="171" spans="1:17" x14ac:dyDescent="0.35">
      <c r="A171">
        <v>170</v>
      </c>
      <c r="B171">
        <v>2016</v>
      </c>
      <c r="C171">
        <v>8</v>
      </c>
      <c r="D171" t="s">
        <v>32</v>
      </c>
      <c r="E171" t="s">
        <v>131</v>
      </c>
      <c r="F171" s="1">
        <v>35490</v>
      </c>
      <c r="G171" s="1">
        <v>70836</v>
      </c>
      <c r="H171">
        <v>217</v>
      </c>
      <c r="I171">
        <v>0.97</v>
      </c>
      <c r="J171">
        <v>6.29</v>
      </c>
      <c r="K171">
        <v>1.2</v>
      </c>
      <c r="L171">
        <v>9</v>
      </c>
      <c r="M171" s="1" t="e">
        <f>#N/A</f>
        <v>#N/A</v>
      </c>
      <c r="N171">
        <v>450</v>
      </c>
      <c r="Q171" t="s">
        <v>62</v>
      </c>
    </row>
    <row r="172" spans="1:17" x14ac:dyDescent="0.35">
      <c r="A172">
        <v>171</v>
      </c>
      <c r="B172">
        <v>2016</v>
      </c>
      <c r="C172">
        <v>8</v>
      </c>
      <c r="D172" t="s">
        <v>35</v>
      </c>
      <c r="E172" t="s">
        <v>144</v>
      </c>
      <c r="F172" s="1">
        <v>64670</v>
      </c>
      <c r="G172" s="1">
        <v>140054</v>
      </c>
      <c r="H172">
        <v>224</v>
      </c>
      <c r="I172">
        <v>0.97</v>
      </c>
      <c r="J172">
        <v>6.29</v>
      </c>
      <c r="K172">
        <v>1.2</v>
      </c>
      <c r="L172">
        <v>4</v>
      </c>
      <c r="M172" s="1" t="e">
        <f>#N/A</f>
        <v>#N/A</v>
      </c>
      <c r="N172">
        <v>800</v>
      </c>
      <c r="Q172" t="s">
        <v>62</v>
      </c>
    </row>
    <row r="173" spans="1:17" x14ac:dyDescent="0.35">
      <c r="A173">
        <v>172</v>
      </c>
      <c r="B173">
        <v>2016</v>
      </c>
      <c r="C173">
        <v>9</v>
      </c>
      <c r="D173" t="s">
        <v>32</v>
      </c>
      <c r="E173" t="s">
        <v>49</v>
      </c>
      <c r="F173" s="1">
        <v>95942</v>
      </c>
      <c r="G173" s="1">
        <v>250003</v>
      </c>
      <c r="H173">
        <v>297</v>
      </c>
      <c r="I173">
        <v>0.97</v>
      </c>
      <c r="J173">
        <v>6.29</v>
      </c>
      <c r="K173">
        <v>1.2</v>
      </c>
      <c r="L173">
        <v>2</v>
      </c>
      <c r="M173" s="1" t="e">
        <f>#N/A</f>
        <v>#N/A</v>
      </c>
      <c r="N173">
        <v>892</v>
      </c>
      <c r="Q173" t="s">
        <v>63</v>
      </c>
    </row>
    <row r="174" spans="1:17" x14ac:dyDescent="0.35">
      <c r="A174">
        <v>173</v>
      </c>
      <c r="B174">
        <v>2016</v>
      </c>
      <c r="C174">
        <v>9</v>
      </c>
      <c r="D174" t="s">
        <v>25</v>
      </c>
      <c r="E174" t="s">
        <v>76</v>
      </c>
      <c r="F174" s="1">
        <v>96269</v>
      </c>
      <c r="G174" s="1">
        <v>102344</v>
      </c>
      <c r="H174">
        <v>240</v>
      </c>
      <c r="I174">
        <v>0.97</v>
      </c>
      <c r="J174">
        <v>6.29</v>
      </c>
      <c r="K174">
        <v>1.2</v>
      </c>
      <c r="L174">
        <v>5</v>
      </c>
      <c r="M174" s="1" t="e">
        <f>#N/A</f>
        <v>#N/A</v>
      </c>
      <c r="N174">
        <v>588</v>
      </c>
      <c r="Q174" t="s">
        <v>63</v>
      </c>
    </row>
    <row r="175" spans="1:17" x14ac:dyDescent="0.35">
      <c r="A175">
        <v>174</v>
      </c>
      <c r="B175">
        <v>2016</v>
      </c>
      <c r="C175">
        <v>9</v>
      </c>
      <c r="D175" t="s">
        <v>38</v>
      </c>
      <c r="E175" t="s">
        <v>75</v>
      </c>
      <c r="F175" s="1">
        <v>116418</v>
      </c>
      <c r="G175" s="1">
        <v>355063</v>
      </c>
      <c r="H175">
        <v>358</v>
      </c>
      <c r="I175">
        <v>0.97</v>
      </c>
      <c r="J175">
        <v>6.29</v>
      </c>
      <c r="K175">
        <v>1.2</v>
      </c>
      <c r="L175">
        <v>10</v>
      </c>
      <c r="M175" s="1" t="e">
        <f>#N/A</f>
        <v>#N/A</v>
      </c>
      <c r="N175">
        <v>743</v>
      </c>
      <c r="Q175" t="s">
        <v>63</v>
      </c>
    </row>
    <row r="176" spans="1:17" x14ac:dyDescent="0.35">
      <c r="A176">
        <v>175</v>
      </c>
      <c r="B176">
        <v>2016</v>
      </c>
      <c r="C176">
        <v>9</v>
      </c>
      <c r="D176" t="s">
        <v>37</v>
      </c>
      <c r="E176" t="s">
        <v>82</v>
      </c>
      <c r="F176" s="1">
        <v>61081</v>
      </c>
      <c r="G176" s="1">
        <v>399880</v>
      </c>
      <c r="H176">
        <v>279</v>
      </c>
      <c r="I176">
        <v>0.97</v>
      </c>
      <c r="J176">
        <v>6.29</v>
      </c>
      <c r="K176">
        <v>1.2</v>
      </c>
      <c r="L176">
        <v>9</v>
      </c>
      <c r="M176" s="1" t="e">
        <f>#N/A</f>
        <v>#N/A</v>
      </c>
      <c r="N176">
        <v>848</v>
      </c>
      <c r="Q176" t="s">
        <v>63</v>
      </c>
    </row>
    <row r="177" spans="1:17" x14ac:dyDescent="0.35">
      <c r="A177">
        <v>176</v>
      </c>
      <c r="B177">
        <v>2016</v>
      </c>
      <c r="C177">
        <v>9</v>
      </c>
      <c r="D177" t="s">
        <v>25</v>
      </c>
      <c r="E177" t="s">
        <v>124</v>
      </c>
      <c r="F177" s="1">
        <v>114079</v>
      </c>
      <c r="G177" s="1">
        <v>89041</v>
      </c>
      <c r="H177">
        <v>73</v>
      </c>
      <c r="I177">
        <v>0.97</v>
      </c>
      <c r="J177">
        <v>6.29</v>
      </c>
      <c r="K177">
        <v>1.2</v>
      </c>
      <c r="L177">
        <v>10</v>
      </c>
      <c r="M177" s="1" t="e">
        <f>#N/A</f>
        <v>#N/A</v>
      </c>
      <c r="N177">
        <v>396</v>
      </c>
      <c r="Q177" t="s">
        <v>63</v>
      </c>
    </row>
    <row r="178" spans="1:17" x14ac:dyDescent="0.35">
      <c r="A178">
        <v>177</v>
      </c>
      <c r="B178">
        <v>2016</v>
      </c>
      <c r="C178">
        <v>9</v>
      </c>
      <c r="D178" t="s">
        <v>30</v>
      </c>
      <c r="E178" t="s">
        <v>126</v>
      </c>
      <c r="F178" s="1">
        <v>42465</v>
      </c>
      <c r="G178" s="1">
        <v>306427</v>
      </c>
      <c r="H178">
        <v>255</v>
      </c>
      <c r="I178">
        <v>0.97</v>
      </c>
      <c r="J178">
        <v>6.29</v>
      </c>
      <c r="K178">
        <v>1.2</v>
      </c>
      <c r="L178">
        <v>5</v>
      </c>
      <c r="M178" s="1" t="e">
        <f>#N/A</f>
        <v>#N/A</v>
      </c>
      <c r="N178">
        <v>775</v>
      </c>
      <c r="Q178" t="s">
        <v>63</v>
      </c>
    </row>
    <row r="179" spans="1:17" x14ac:dyDescent="0.35">
      <c r="A179">
        <v>178</v>
      </c>
      <c r="B179">
        <v>2016</v>
      </c>
      <c r="C179">
        <v>9</v>
      </c>
      <c r="D179" t="s">
        <v>38</v>
      </c>
      <c r="E179" t="s">
        <v>128</v>
      </c>
      <c r="F179" s="1">
        <v>37809</v>
      </c>
      <c r="G179" s="1">
        <v>126208</v>
      </c>
      <c r="H179">
        <v>57</v>
      </c>
      <c r="I179">
        <v>0.97</v>
      </c>
      <c r="J179">
        <v>6.29</v>
      </c>
      <c r="K179">
        <v>1.2</v>
      </c>
      <c r="L179">
        <v>10</v>
      </c>
      <c r="M179" s="1" t="e">
        <f>#N/A</f>
        <v>#N/A</v>
      </c>
      <c r="N179">
        <v>529</v>
      </c>
      <c r="Q179" t="s">
        <v>63</v>
      </c>
    </row>
    <row r="180" spans="1:17" x14ac:dyDescent="0.35">
      <c r="A180">
        <v>179</v>
      </c>
      <c r="B180">
        <v>2016</v>
      </c>
      <c r="C180">
        <v>9</v>
      </c>
      <c r="D180" t="s">
        <v>35</v>
      </c>
      <c r="E180" t="s">
        <v>134</v>
      </c>
      <c r="F180" s="1">
        <v>77818</v>
      </c>
      <c r="G180" s="1">
        <v>497421</v>
      </c>
      <c r="H180">
        <v>300</v>
      </c>
      <c r="I180">
        <v>0.97</v>
      </c>
      <c r="J180">
        <v>6.29</v>
      </c>
      <c r="K180">
        <v>1.2</v>
      </c>
      <c r="L180">
        <v>4</v>
      </c>
      <c r="M180" s="1" t="e">
        <f>#N/A</f>
        <v>#N/A</v>
      </c>
      <c r="N180">
        <v>684</v>
      </c>
      <c r="Q180" t="s">
        <v>63</v>
      </c>
    </row>
    <row r="181" spans="1:17" x14ac:dyDescent="0.35">
      <c r="A181">
        <v>180</v>
      </c>
      <c r="B181">
        <v>2016</v>
      </c>
      <c r="C181">
        <v>9</v>
      </c>
      <c r="D181" t="s">
        <v>25</v>
      </c>
      <c r="E181" t="s">
        <v>146</v>
      </c>
      <c r="F181" s="1">
        <v>92473</v>
      </c>
      <c r="G181" s="1">
        <v>436791</v>
      </c>
      <c r="H181">
        <v>329</v>
      </c>
      <c r="I181">
        <v>0.97</v>
      </c>
      <c r="J181">
        <v>6.29</v>
      </c>
      <c r="K181">
        <v>1.2</v>
      </c>
      <c r="L181">
        <v>9</v>
      </c>
      <c r="M181" s="1" t="e">
        <f>#N/A</f>
        <v>#N/A</v>
      </c>
      <c r="N181">
        <v>935</v>
      </c>
      <c r="Q181" t="s">
        <v>64</v>
      </c>
    </row>
    <row r="182" spans="1:17" x14ac:dyDescent="0.35">
      <c r="A182">
        <v>181</v>
      </c>
      <c r="B182">
        <v>2016</v>
      </c>
      <c r="C182">
        <v>9</v>
      </c>
      <c r="D182" t="s">
        <v>21</v>
      </c>
      <c r="E182" t="s">
        <v>156</v>
      </c>
      <c r="F182" s="1">
        <v>118111</v>
      </c>
      <c r="G182" s="1">
        <v>372245</v>
      </c>
      <c r="H182">
        <v>41</v>
      </c>
      <c r="I182">
        <v>0.97</v>
      </c>
      <c r="J182">
        <v>6.29</v>
      </c>
      <c r="K182">
        <v>1.2</v>
      </c>
      <c r="L182">
        <v>3</v>
      </c>
      <c r="M182" s="1" t="e">
        <f>#N/A</f>
        <v>#N/A</v>
      </c>
      <c r="N182">
        <v>290</v>
      </c>
      <c r="Q182" t="s">
        <v>64</v>
      </c>
    </row>
    <row r="183" spans="1:17" x14ac:dyDescent="0.35">
      <c r="A183">
        <v>182</v>
      </c>
      <c r="B183">
        <v>2016</v>
      </c>
      <c r="C183">
        <v>10</v>
      </c>
      <c r="D183" t="s">
        <v>35</v>
      </c>
      <c r="E183" t="s">
        <v>47</v>
      </c>
      <c r="F183" s="1">
        <v>35515</v>
      </c>
      <c r="G183" s="1">
        <v>340477</v>
      </c>
      <c r="H183">
        <v>195</v>
      </c>
      <c r="I183">
        <v>0.97</v>
      </c>
      <c r="J183">
        <v>6.29</v>
      </c>
      <c r="K183">
        <v>1.2</v>
      </c>
      <c r="L183">
        <v>7</v>
      </c>
      <c r="M183" s="1" t="e">
        <f>#N/A</f>
        <v>#N/A</v>
      </c>
      <c r="N183">
        <v>561</v>
      </c>
      <c r="Q183" t="s">
        <v>64</v>
      </c>
    </row>
    <row r="184" spans="1:17" x14ac:dyDescent="0.35">
      <c r="A184">
        <v>183</v>
      </c>
      <c r="B184">
        <v>2016</v>
      </c>
      <c r="C184">
        <v>10</v>
      </c>
      <c r="D184" t="s">
        <v>25</v>
      </c>
      <c r="E184" t="s">
        <v>62</v>
      </c>
      <c r="F184" s="1">
        <v>39136</v>
      </c>
      <c r="G184" s="1">
        <v>173714</v>
      </c>
      <c r="H184">
        <v>123</v>
      </c>
      <c r="I184">
        <v>0.97</v>
      </c>
      <c r="J184">
        <v>6.29</v>
      </c>
      <c r="K184">
        <v>1.2</v>
      </c>
      <c r="L184">
        <v>4</v>
      </c>
      <c r="M184" s="1" t="e">
        <f>#N/A</f>
        <v>#N/A</v>
      </c>
      <c r="N184">
        <v>387</v>
      </c>
      <c r="Q184" t="s">
        <v>64</v>
      </c>
    </row>
    <row r="185" spans="1:17" x14ac:dyDescent="0.35">
      <c r="A185">
        <v>184</v>
      </c>
      <c r="B185">
        <v>2016</v>
      </c>
      <c r="C185">
        <v>10</v>
      </c>
      <c r="D185" t="s">
        <v>21</v>
      </c>
      <c r="E185" t="s">
        <v>96</v>
      </c>
      <c r="F185" s="1">
        <v>77431</v>
      </c>
      <c r="G185" s="1">
        <v>239518</v>
      </c>
      <c r="H185">
        <v>188</v>
      </c>
      <c r="I185">
        <v>0.97</v>
      </c>
      <c r="J185">
        <v>6.29</v>
      </c>
      <c r="K185">
        <v>1.2</v>
      </c>
      <c r="L185">
        <v>7</v>
      </c>
      <c r="M185" s="1" t="e">
        <f>#N/A</f>
        <v>#N/A</v>
      </c>
      <c r="N185">
        <v>543</v>
      </c>
      <c r="Q185" t="s">
        <v>64</v>
      </c>
    </row>
    <row r="186" spans="1:17" x14ac:dyDescent="0.35">
      <c r="A186">
        <v>185</v>
      </c>
      <c r="B186">
        <v>2016</v>
      </c>
      <c r="C186">
        <v>10</v>
      </c>
      <c r="D186" t="s">
        <v>14</v>
      </c>
      <c r="E186" t="s">
        <v>126</v>
      </c>
      <c r="F186" s="1">
        <v>87091</v>
      </c>
      <c r="G186" s="1">
        <v>313551</v>
      </c>
      <c r="H186">
        <v>360</v>
      </c>
      <c r="I186">
        <v>0.97</v>
      </c>
      <c r="J186">
        <v>6.29</v>
      </c>
      <c r="K186">
        <v>1.2</v>
      </c>
      <c r="L186">
        <v>8</v>
      </c>
      <c r="M186" s="1" t="e">
        <f>#N/A</f>
        <v>#N/A</v>
      </c>
      <c r="N186">
        <v>829</v>
      </c>
      <c r="Q186" t="s">
        <v>64</v>
      </c>
    </row>
    <row r="187" spans="1:17" x14ac:dyDescent="0.35">
      <c r="A187">
        <v>186</v>
      </c>
      <c r="B187">
        <v>2016</v>
      </c>
      <c r="C187">
        <v>10</v>
      </c>
      <c r="D187" t="s">
        <v>32</v>
      </c>
      <c r="E187" t="s">
        <v>121</v>
      </c>
      <c r="F187" s="1">
        <v>62160</v>
      </c>
      <c r="G187" s="1">
        <v>445797</v>
      </c>
      <c r="H187">
        <v>24</v>
      </c>
      <c r="I187">
        <v>0.97</v>
      </c>
      <c r="J187">
        <v>6.29</v>
      </c>
      <c r="K187">
        <v>1.2</v>
      </c>
      <c r="L187">
        <v>5</v>
      </c>
      <c r="M187" s="1" t="e">
        <f>#N/A</f>
        <v>#N/A</v>
      </c>
      <c r="N187">
        <v>406</v>
      </c>
      <c r="Q187" t="s">
        <v>64</v>
      </c>
    </row>
    <row r="188" spans="1:17" x14ac:dyDescent="0.35">
      <c r="A188">
        <v>187</v>
      </c>
      <c r="B188">
        <v>2016</v>
      </c>
      <c r="C188">
        <v>10</v>
      </c>
      <c r="D188" t="s">
        <v>38</v>
      </c>
      <c r="E188" t="s">
        <v>131</v>
      </c>
      <c r="F188" s="1">
        <v>106138</v>
      </c>
      <c r="G188" s="1">
        <v>494244</v>
      </c>
      <c r="H188">
        <v>115</v>
      </c>
      <c r="I188">
        <v>0.97</v>
      </c>
      <c r="J188">
        <v>6.29</v>
      </c>
      <c r="K188">
        <v>1.2</v>
      </c>
      <c r="L188">
        <v>3</v>
      </c>
      <c r="M188" s="1" t="e">
        <f>#N/A</f>
        <v>#N/A</v>
      </c>
      <c r="N188">
        <v>647</v>
      </c>
      <c r="Q188" t="s">
        <v>64</v>
      </c>
    </row>
    <row r="189" spans="1:17" x14ac:dyDescent="0.35">
      <c r="A189">
        <v>188</v>
      </c>
      <c r="B189">
        <v>2016</v>
      </c>
      <c r="C189">
        <v>11</v>
      </c>
      <c r="D189" t="s">
        <v>28</v>
      </c>
      <c r="E189" t="s">
        <v>52</v>
      </c>
      <c r="F189" s="1">
        <v>54581</v>
      </c>
      <c r="G189" s="1">
        <v>346379</v>
      </c>
      <c r="H189">
        <v>108</v>
      </c>
      <c r="I189">
        <v>0.97</v>
      </c>
      <c r="J189">
        <v>6.29</v>
      </c>
      <c r="K189">
        <v>1.2</v>
      </c>
      <c r="L189">
        <v>4</v>
      </c>
      <c r="M189" s="1" t="e">
        <f>#N/A</f>
        <v>#N/A</v>
      </c>
      <c r="N189">
        <v>346</v>
      </c>
      <c r="Q189" t="s">
        <v>65</v>
      </c>
    </row>
    <row r="190" spans="1:17" x14ac:dyDescent="0.35">
      <c r="A190">
        <v>189</v>
      </c>
      <c r="B190">
        <v>2016</v>
      </c>
      <c r="C190">
        <v>11</v>
      </c>
      <c r="D190" t="s">
        <v>37</v>
      </c>
      <c r="E190" t="s">
        <v>47</v>
      </c>
      <c r="F190" s="1">
        <v>55977</v>
      </c>
      <c r="G190" s="1">
        <v>481888</v>
      </c>
      <c r="H190">
        <v>146</v>
      </c>
      <c r="I190">
        <v>0.97</v>
      </c>
      <c r="J190">
        <v>6.29</v>
      </c>
      <c r="K190">
        <v>1.2</v>
      </c>
      <c r="L190">
        <v>10</v>
      </c>
      <c r="M190" s="1" t="e">
        <f>#N/A</f>
        <v>#N/A</v>
      </c>
      <c r="N190">
        <v>600</v>
      </c>
      <c r="Q190" t="s">
        <v>65</v>
      </c>
    </row>
    <row r="191" spans="1:17" x14ac:dyDescent="0.35">
      <c r="A191">
        <v>190</v>
      </c>
      <c r="B191">
        <v>2016</v>
      </c>
      <c r="C191">
        <v>11</v>
      </c>
      <c r="D191" t="s">
        <v>36</v>
      </c>
      <c r="E191" t="s">
        <v>86</v>
      </c>
      <c r="F191" s="1">
        <v>65573</v>
      </c>
      <c r="G191" s="1">
        <v>344499</v>
      </c>
      <c r="H191">
        <v>111</v>
      </c>
      <c r="I191">
        <v>0.97</v>
      </c>
      <c r="J191">
        <v>6.29</v>
      </c>
      <c r="K191">
        <v>1.2</v>
      </c>
      <c r="L191">
        <v>10</v>
      </c>
      <c r="M191" s="1" t="e">
        <f>#N/A</f>
        <v>#N/A</v>
      </c>
      <c r="N191">
        <v>578</v>
      </c>
      <c r="Q191" t="s">
        <v>65</v>
      </c>
    </row>
    <row r="192" spans="1:17" x14ac:dyDescent="0.35">
      <c r="A192">
        <v>191</v>
      </c>
      <c r="B192">
        <v>2016</v>
      </c>
      <c r="C192">
        <v>11</v>
      </c>
      <c r="D192" t="s">
        <v>28</v>
      </c>
      <c r="E192" t="s">
        <v>89</v>
      </c>
      <c r="F192" s="1">
        <v>115428</v>
      </c>
      <c r="G192" s="1">
        <v>418893</v>
      </c>
      <c r="H192">
        <v>253</v>
      </c>
      <c r="I192">
        <v>0.97</v>
      </c>
      <c r="J192">
        <v>6.29</v>
      </c>
      <c r="K192">
        <v>1.2</v>
      </c>
      <c r="L192">
        <v>10</v>
      </c>
      <c r="M192" s="1" t="e">
        <f>#N/A</f>
        <v>#N/A</v>
      </c>
      <c r="N192">
        <v>533</v>
      </c>
      <c r="Q192" t="s">
        <v>65</v>
      </c>
    </row>
    <row r="193" spans="1:17" x14ac:dyDescent="0.35">
      <c r="A193">
        <v>192</v>
      </c>
      <c r="B193">
        <v>2016</v>
      </c>
      <c r="C193">
        <v>11</v>
      </c>
      <c r="D193" t="s">
        <v>14</v>
      </c>
      <c r="E193" t="s">
        <v>116</v>
      </c>
      <c r="F193" s="1">
        <v>88775</v>
      </c>
      <c r="G193" s="1">
        <v>145864</v>
      </c>
      <c r="H193">
        <v>342</v>
      </c>
      <c r="I193">
        <v>0.97</v>
      </c>
      <c r="J193">
        <v>6.29</v>
      </c>
      <c r="K193">
        <v>1.2</v>
      </c>
      <c r="L193">
        <v>3</v>
      </c>
      <c r="M193" s="1" t="e">
        <f>#N/A</f>
        <v>#N/A</v>
      </c>
      <c r="N193">
        <v>910</v>
      </c>
      <c r="Q193" t="s">
        <v>65</v>
      </c>
    </row>
    <row r="194" spans="1:17" x14ac:dyDescent="0.35">
      <c r="A194">
        <v>193</v>
      </c>
      <c r="B194">
        <v>2016</v>
      </c>
      <c r="C194">
        <v>11</v>
      </c>
      <c r="D194" t="s">
        <v>21</v>
      </c>
      <c r="E194" t="s">
        <v>116</v>
      </c>
      <c r="F194" s="1">
        <v>77624</v>
      </c>
      <c r="G194" s="1">
        <v>215837</v>
      </c>
      <c r="H194">
        <v>115</v>
      </c>
      <c r="I194">
        <v>0.97</v>
      </c>
      <c r="J194">
        <v>6.29</v>
      </c>
      <c r="K194">
        <v>1.2</v>
      </c>
      <c r="L194">
        <v>7</v>
      </c>
      <c r="M194" s="1" t="e">
        <f>#N/A</f>
        <v>#N/A</v>
      </c>
      <c r="N194">
        <v>433</v>
      </c>
      <c r="Q194" t="s">
        <v>65</v>
      </c>
    </row>
    <row r="195" spans="1:17" x14ac:dyDescent="0.35">
      <c r="A195">
        <v>194</v>
      </c>
      <c r="B195">
        <v>2016</v>
      </c>
      <c r="C195">
        <v>11</v>
      </c>
      <c r="D195" t="s">
        <v>38</v>
      </c>
      <c r="E195" t="s">
        <v>150</v>
      </c>
      <c r="F195" s="1">
        <v>102598</v>
      </c>
      <c r="G195" s="1">
        <v>475643</v>
      </c>
      <c r="H195">
        <v>170</v>
      </c>
      <c r="I195">
        <v>0.97</v>
      </c>
      <c r="J195">
        <v>6.29</v>
      </c>
      <c r="K195">
        <v>1.2</v>
      </c>
      <c r="L195">
        <v>10</v>
      </c>
      <c r="M195" s="1" t="e">
        <f>#N/A</f>
        <v>#N/A</v>
      </c>
      <c r="N195">
        <v>625</v>
      </c>
      <c r="Q195" t="s">
        <v>66</v>
      </c>
    </row>
    <row r="196" spans="1:17" x14ac:dyDescent="0.35">
      <c r="A196">
        <v>195</v>
      </c>
      <c r="B196">
        <v>2016</v>
      </c>
      <c r="C196">
        <v>12</v>
      </c>
      <c r="D196" t="s">
        <v>32</v>
      </c>
      <c r="E196" t="s">
        <v>46</v>
      </c>
      <c r="F196" s="1">
        <v>111382</v>
      </c>
      <c r="G196" s="1">
        <v>321189</v>
      </c>
      <c r="H196">
        <v>225</v>
      </c>
      <c r="I196">
        <v>0.97</v>
      </c>
      <c r="J196">
        <v>6.29</v>
      </c>
      <c r="K196">
        <v>1.2</v>
      </c>
      <c r="L196">
        <v>4</v>
      </c>
      <c r="M196" s="1" t="e">
        <f>#N/A</f>
        <v>#N/A</v>
      </c>
      <c r="N196">
        <v>883</v>
      </c>
      <c r="Q196" t="s">
        <v>66</v>
      </c>
    </row>
    <row r="197" spans="1:17" x14ac:dyDescent="0.35">
      <c r="A197">
        <v>196</v>
      </c>
      <c r="B197">
        <v>2016</v>
      </c>
      <c r="C197">
        <v>12</v>
      </c>
      <c r="D197" t="s">
        <v>36</v>
      </c>
      <c r="E197" t="s">
        <v>63</v>
      </c>
      <c r="F197" s="1">
        <v>92724</v>
      </c>
      <c r="G197" s="1">
        <v>166220</v>
      </c>
      <c r="H197">
        <v>347</v>
      </c>
      <c r="I197">
        <v>0.97</v>
      </c>
      <c r="J197">
        <v>6.29</v>
      </c>
      <c r="K197">
        <v>1.2</v>
      </c>
      <c r="L197">
        <v>9</v>
      </c>
      <c r="M197" s="1" t="e">
        <f>#N/A</f>
        <v>#N/A</v>
      </c>
      <c r="N197">
        <v>1070</v>
      </c>
      <c r="Q197" t="s">
        <v>66</v>
      </c>
    </row>
    <row r="198" spans="1:17" x14ac:dyDescent="0.35">
      <c r="A198">
        <v>197</v>
      </c>
      <c r="B198">
        <v>2016</v>
      </c>
      <c r="C198">
        <v>12</v>
      </c>
      <c r="D198" t="s">
        <v>21</v>
      </c>
      <c r="E198" t="s">
        <v>73</v>
      </c>
      <c r="F198" s="1">
        <v>108531</v>
      </c>
      <c r="G198" s="1">
        <v>188439</v>
      </c>
      <c r="H198">
        <v>377</v>
      </c>
      <c r="I198">
        <v>0.97</v>
      </c>
      <c r="J198">
        <v>6.29</v>
      </c>
      <c r="K198">
        <v>1.2</v>
      </c>
      <c r="L198">
        <v>1</v>
      </c>
      <c r="M198" s="1" t="e">
        <f>#N/A</f>
        <v>#N/A</v>
      </c>
      <c r="N198">
        <v>785</v>
      </c>
      <c r="Q198" t="s">
        <v>66</v>
      </c>
    </row>
    <row r="199" spans="1:17" x14ac:dyDescent="0.35">
      <c r="A199">
        <v>198</v>
      </c>
      <c r="B199">
        <v>2016</v>
      </c>
      <c r="C199">
        <v>12</v>
      </c>
      <c r="D199" t="s">
        <v>38</v>
      </c>
      <c r="E199" t="s">
        <v>82</v>
      </c>
      <c r="F199" s="1">
        <v>69758</v>
      </c>
      <c r="G199" s="1">
        <v>72486</v>
      </c>
      <c r="H199">
        <v>290</v>
      </c>
      <c r="I199">
        <v>0.97</v>
      </c>
      <c r="J199">
        <v>6.29</v>
      </c>
      <c r="K199">
        <v>1.2</v>
      </c>
      <c r="L199">
        <v>9</v>
      </c>
      <c r="M199" s="1" t="e">
        <f>#N/A</f>
        <v>#N/A</v>
      </c>
      <c r="N199">
        <v>977</v>
      </c>
      <c r="Q199" t="s">
        <v>66</v>
      </c>
    </row>
    <row r="200" spans="1:17" x14ac:dyDescent="0.35">
      <c r="A200">
        <v>199</v>
      </c>
      <c r="B200">
        <v>2016</v>
      </c>
      <c r="C200">
        <v>12</v>
      </c>
      <c r="D200" t="s">
        <v>38</v>
      </c>
      <c r="E200" t="s">
        <v>95</v>
      </c>
      <c r="F200" s="1">
        <v>52796</v>
      </c>
      <c r="G200" s="1">
        <v>255782</v>
      </c>
      <c r="H200">
        <v>302</v>
      </c>
      <c r="I200">
        <v>0.97</v>
      </c>
      <c r="J200">
        <v>6.29</v>
      </c>
      <c r="K200">
        <v>1.2</v>
      </c>
      <c r="L200">
        <v>6</v>
      </c>
      <c r="M200" s="1" t="e">
        <f>#N/A</f>
        <v>#N/A</v>
      </c>
      <c r="N200">
        <v>953</v>
      </c>
      <c r="Q200" t="s">
        <v>67</v>
      </c>
    </row>
    <row r="201" spans="1:17" x14ac:dyDescent="0.35">
      <c r="A201">
        <v>200</v>
      </c>
      <c r="B201">
        <v>2016</v>
      </c>
      <c r="C201">
        <v>12</v>
      </c>
      <c r="D201" t="s">
        <v>28</v>
      </c>
      <c r="E201" t="s">
        <v>141</v>
      </c>
      <c r="F201" s="1">
        <v>92608</v>
      </c>
      <c r="G201" s="1">
        <v>57837</v>
      </c>
      <c r="H201">
        <v>170</v>
      </c>
      <c r="I201">
        <v>0.97</v>
      </c>
      <c r="J201">
        <v>6.29</v>
      </c>
      <c r="K201">
        <v>1.2</v>
      </c>
      <c r="L201">
        <v>3</v>
      </c>
      <c r="M201" s="1" t="e">
        <f>#N/A</f>
        <v>#N/A</v>
      </c>
      <c r="N201">
        <v>622</v>
      </c>
      <c r="Q201" t="s">
        <v>67</v>
      </c>
    </row>
    <row r="202" spans="1:17" x14ac:dyDescent="0.35">
      <c r="A202">
        <v>201</v>
      </c>
      <c r="B202">
        <v>2016</v>
      </c>
      <c r="C202">
        <v>12</v>
      </c>
      <c r="D202" t="s">
        <v>38</v>
      </c>
      <c r="E202" t="s">
        <v>146</v>
      </c>
      <c r="F202" s="1">
        <v>110900</v>
      </c>
      <c r="G202" s="1">
        <v>108123</v>
      </c>
      <c r="H202">
        <v>236</v>
      </c>
      <c r="I202">
        <v>0.97</v>
      </c>
      <c r="J202">
        <v>6.29</v>
      </c>
      <c r="K202">
        <v>1.2</v>
      </c>
      <c r="L202">
        <v>9</v>
      </c>
      <c r="M202" s="1" t="e">
        <f>#N/A</f>
        <v>#N/A</v>
      </c>
      <c r="N202">
        <v>868</v>
      </c>
      <c r="Q202" t="s">
        <v>67</v>
      </c>
    </row>
    <row r="203" spans="1:17" x14ac:dyDescent="0.35">
      <c r="A203">
        <v>202</v>
      </c>
      <c r="B203">
        <v>2017</v>
      </c>
      <c r="C203">
        <v>1</v>
      </c>
      <c r="D203" t="s">
        <v>21</v>
      </c>
      <c r="E203" t="s">
        <v>54</v>
      </c>
      <c r="F203" s="1">
        <v>39603</v>
      </c>
      <c r="G203" s="1">
        <v>431028</v>
      </c>
      <c r="H203">
        <v>255</v>
      </c>
      <c r="I203">
        <v>0.97</v>
      </c>
      <c r="J203">
        <v>6.29</v>
      </c>
      <c r="K203">
        <v>1.2</v>
      </c>
      <c r="L203">
        <v>2</v>
      </c>
      <c r="M203" s="1" t="e">
        <f>#N/A</f>
        <v>#N/A</v>
      </c>
      <c r="N203">
        <v>778</v>
      </c>
      <c r="Q203" t="s">
        <v>67</v>
      </c>
    </row>
    <row r="204" spans="1:17" x14ac:dyDescent="0.35">
      <c r="A204">
        <v>203</v>
      </c>
      <c r="B204">
        <v>2017</v>
      </c>
      <c r="C204">
        <v>1</v>
      </c>
      <c r="D204" t="s">
        <v>30</v>
      </c>
      <c r="E204" t="s">
        <v>54</v>
      </c>
      <c r="F204" s="1">
        <v>52272</v>
      </c>
      <c r="G204" s="1">
        <v>411484</v>
      </c>
      <c r="H204">
        <v>315</v>
      </c>
      <c r="I204">
        <v>0.97</v>
      </c>
      <c r="J204">
        <v>6.29</v>
      </c>
      <c r="K204">
        <v>1.2</v>
      </c>
      <c r="L204">
        <v>9</v>
      </c>
      <c r="M204" s="1" t="e">
        <f>#N/A</f>
        <v>#N/A</v>
      </c>
      <c r="N204">
        <v>1036</v>
      </c>
      <c r="Q204" t="s">
        <v>67</v>
      </c>
    </row>
    <row r="205" spans="1:17" x14ac:dyDescent="0.35">
      <c r="A205">
        <v>204</v>
      </c>
      <c r="B205">
        <v>2017</v>
      </c>
      <c r="C205">
        <v>1</v>
      </c>
      <c r="D205" t="s">
        <v>37</v>
      </c>
      <c r="E205" t="s">
        <v>55</v>
      </c>
      <c r="F205" s="1">
        <v>105190</v>
      </c>
      <c r="G205" s="1">
        <v>284561</v>
      </c>
      <c r="H205">
        <v>150</v>
      </c>
      <c r="I205">
        <v>0.97</v>
      </c>
      <c r="J205">
        <v>6.29</v>
      </c>
      <c r="K205">
        <v>1.2</v>
      </c>
      <c r="L205">
        <v>1</v>
      </c>
      <c r="M205" s="1" t="e">
        <f>#N/A</f>
        <v>#N/A</v>
      </c>
      <c r="N205">
        <v>515</v>
      </c>
      <c r="Q205" t="s">
        <v>67</v>
      </c>
    </row>
    <row r="206" spans="1:17" x14ac:dyDescent="0.35">
      <c r="A206">
        <v>205</v>
      </c>
      <c r="B206">
        <v>2017</v>
      </c>
      <c r="C206">
        <v>1</v>
      </c>
      <c r="D206" t="s">
        <v>14</v>
      </c>
      <c r="E206" t="s">
        <v>71</v>
      </c>
      <c r="F206" s="1">
        <v>97894</v>
      </c>
      <c r="G206" s="1">
        <v>408320</v>
      </c>
      <c r="H206">
        <v>78</v>
      </c>
      <c r="I206">
        <v>0.97</v>
      </c>
      <c r="J206">
        <v>6.29</v>
      </c>
      <c r="K206">
        <v>1.2</v>
      </c>
      <c r="L206">
        <v>1</v>
      </c>
      <c r="M206" s="1" t="e">
        <f>#N/A</f>
        <v>#N/A</v>
      </c>
      <c r="N206">
        <v>457</v>
      </c>
      <c r="Q206" t="s">
        <v>67</v>
      </c>
    </row>
    <row r="207" spans="1:17" x14ac:dyDescent="0.35">
      <c r="A207">
        <v>206</v>
      </c>
      <c r="B207">
        <v>2017</v>
      </c>
      <c r="C207">
        <v>1</v>
      </c>
      <c r="D207" t="s">
        <v>21</v>
      </c>
      <c r="E207" t="s">
        <v>87</v>
      </c>
      <c r="F207" s="1">
        <v>96816</v>
      </c>
      <c r="G207" s="1">
        <v>221128</v>
      </c>
      <c r="H207">
        <v>30</v>
      </c>
      <c r="I207">
        <v>0.97</v>
      </c>
      <c r="J207">
        <v>6.29</v>
      </c>
      <c r="K207">
        <v>1.2</v>
      </c>
      <c r="L207">
        <v>6</v>
      </c>
      <c r="M207" s="1" t="e">
        <f>#N/A</f>
        <v>#N/A</v>
      </c>
      <c r="N207">
        <v>373</v>
      </c>
      <c r="Q207" t="s">
        <v>67</v>
      </c>
    </row>
    <row r="208" spans="1:17" x14ac:dyDescent="0.35">
      <c r="A208">
        <v>207</v>
      </c>
      <c r="B208">
        <v>2017</v>
      </c>
      <c r="C208">
        <v>1</v>
      </c>
      <c r="D208" t="s">
        <v>14</v>
      </c>
      <c r="E208" t="s">
        <v>86</v>
      </c>
      <c r="F208" s="1">
        <v>97320</v>
      </c>
      <c r="G208" s="1">
        <v>211149</v>
      </c>
      <c r="H208">
        <v>91</v>
      </c>
      <c r="I208">
        <v>0.97</v>
      </c>
      <c r="J208">
        <v>6.29</v>
      </c>
      <c r="K208">
        <v>1.2</v>
      </c>
      <c r="L208">
        <v>4</v>
      </c>
      <c r="M208" s="1" t="e">
        <f>#N/A</f>
        <v>#N/A</v>
      </c>
      <c r="N208">
        <v>396</v>
      </c>
      <c r="Q208" t="s">
        <v>67</v>
      </c>
    </row>
    <row r="209" spans="1:17" x14ac:dyDescent="0.35">
      <c r="A209">
        <v>208</v>
      </c>
      <c r="B209">
        <v>2017</v>
      </c>
      <c r="C209">
        <v>1</v>
      </c>
      <c r="D209" t="s">
        <v>28</v>
      </c>
      <c r="E209" t="s">
        <v>87</v>
      </c>
      <c r="F209" s="1">
        <v>92204</v>
      </c>
      <c r="G209" s="1">
        <v>139326</v>
      </c>
      <c r="H209">
        <v>335</v>
      </c>
      <c r="I209">
        <v>0.97</v>
      </c>
      <c r="J209">
        <v>6.29</v>
      </c>
      <c r="K209">
        <v>1.2</v>
      </c>
      <c r="L209">
        <v>4</v>
      </c>
      <c r="M209" s="1" t="e">
        <f>#N/A</f>
        <v>#N/A</v>
      </c>
      <c r="N209">
        <v>698</v>
      </c>
      <c r="Q209" t="s">
        <v>68</v>
      </c>
    </row>
    <row r="210" spans="1:17" x14ac:dyDescent="0.35">
      <c r="A210">
        <v>209</v>
      </c>
      <c r="B210">
        <v>2017</v>
      </c>
      <c r="C210">
        <v>1</v>
      </c>
      <c r="D210" t="s">
        <v>37</v>
      </c>
      <c r="E210" t="s">
        <v>104</v>
      </c>
      <c r="F210" s="1">
        <v>50960</v>
      </c>
      <c r="G210" s="1">
        <v>72738</v>
      </c>
      <c r="H210">
        <v>371</v>
      </c>
      <c r="I210">
        <v>0.97</v>
      </c>
      <c r="J210">
        <v>6.29</v>
      </c>
      <c r="K210">
        <v>1.2</v>
      </c>
      <c r="L210">
        <v>3</v>
      </c>
      <c r="M210" s="1" t="e">
        <f>#N/A</f>
        <v>#N/A</v>
      </c>
      <c r="N210">
        <v>759</v>
      </c>
      <c r="Q210" t="s">
        <v>68</v>
      </c>
    </row>
    <row r="211" spans="1:17" x14ac:dyDescent="0.35">
      <c r="A211">
        <v>210</v>
      </c>
      <c r="B211">
        <v>2017</v>
      </c>
      <c r="C211">
        <v>1</v>
      </c>
      <c r="D211" t="s">
        <v>21</v>
      </c>
      <c r="E211" t="s">
        <v>110</v>
      </c>
      <c r="F211" s="1">
        <v>69635</v>
      </c>
      <c r="G211" s="1">
        <v>79777</v>
      </c>
      <c r="H211">
        <v>113</v>
      </c>
      <c r="I211">
        <v>0.97</v>
      </c>
      <c r="J211">
        <v>6.29</v>
      </c>
      <c r="K211">
        <v>1.2</v>
      </c>
      <c r="L211">
        <v>7</v>
      </c>
      <c r="M211" s="1" t="e">
        <f>#N/A</f>
        <v>#N/A</v>
      </c>
      <c r="N211">
        <v>533</v>
      </c>
      <c r="Q211" t="s">
        <v>68</v>
      </c>
    </row>
    <row r="212" spans="1:17" x14ac:dyDescent="0.35">
      <c r="A212">
        <v>211</v>
      </c>
      <c r="B212">
        <v>2017</v>
      </c>
      <c r="C212">
        <v>1</v>
      </c>
      <c r="D212" t="s">
        <v>36</v>
      </c>
      <c r="E212" t="s">
        <v>133</v>
      </c>
      <c r="F212" s="1">
        <v>78059</v>
      </c>
      <c r="G212" s="1">
        <v>226326</v>
      </c>
      <c r="H212">
        <v>384</v>
      </c>
      <c r="I212">
        <v>0.97</v>
      </c>
      <c r="J212">
        <v>6.29</v>
      </c>
      <c r="K212">
        <v>1.2</v>
      </c>
      <c r="L212">
        <v>8</v>
      </c>
      <c r="M212" s="1" t="e">
        <f>#N/A</f>
        <v>#N/A</v>
      </c>
      <c r="N212">
        <v>1181</v>
      </c>
      <c r="Q212" t="s">
        <v>68</v>
      </c>
    </row>
    <row r="213" spans="1:17" x14ac:dyDescent="0.35">
      <c r="A213">
        <v>212</v>
      </c>
      <c r="B213">
        <v>2017</v>
      </c>
      <c r="C213">
        <v>1</v>
      </c>
      <c r="D213" t="s">
        <v>28</v>
      </c>
      <c r="E213" t="s">
        <v>131</v>
      </c>
      <c r="F213" s="1">
        <v>113543</v>
      </c>
      <c r="G213" s="1">
        <v>110038</v>
      </c>
      <c r="H213">
        <v>85</v>
      </c>
      <c r="I213">
        <v>0.97</v>
      </c>
      <c r="J213">
        <v>6.29</v>
      </c>
      <c r="K213">
        <v>1.2</v>
      </c>
      <c r="L213">
        <v>6</v>
      </c>
      <c r="M213" s="1" t="e">
        <f>#N/A</f>
        <v>#N/A</v>
      </c>
      <c r="N213">
        <v>586</v>
      </c>
      <c r="Q213" t="s">
        <v>68</v>
      </c>
    </row>
    <row r="214" spans="1:17" x14ac:dyDescent="0.35">
      <c r="A214">
        <v>213</v>
      </c>
      <c r="B214">
        <v>2017</v>
      </c>
      <c r="C214">
        <v>1</v>
      </c>
      <c r="D214" t="s">
        <v>36</v>
      </c>
      <c r="E214" t="s">
        <v>141</v>
      </c>
      <c r="F214" s="1">
        <v>119573</v>
      </c>
      <c r="G214" s="1">
        <v>452681</v>
      </c>
      <c r="H214">
        <v>30</v>
      </c>
      <c r="I214">
        <v>0.97</v>
      </c>
      <c r="J214">
        <v>6.29</v>
      </c>
      <c r="K214">
        <v>1.2</v>
      </c>
      <c r="L214">
        <v>8</v>
      </c>
      <c r="M214" s="1" t="e">
        <f>#N/A</f>
        <v>#N/A</v>
      </c>
      <c r="N214">
        <v>67</v>
      </c>
      <c r="Q214" t="s">
        <v>68</v>
      </c>
    </row>
    <row r="215" spans="1:17" x14ac:dyDescent="0.35">
      <c r="A215">
        <v>214</v>
      </c>
      <c r="B215">
        <v>2017</v>
      </c>
      <c r="C215">
        <v>2</v>
      </c>
      <c r="D215" t="s">
        <v>35</v>
      </c>
      <c r="E215" t="s">
        <v>48</v>
      </c>
      <c r="F215" s="1">
        <v>63369</v>
      </c>
      <c r="G215" s="1">
        <v>274522</v>
      </c>
      <c r="H215">
        <v>153</v>
      </c>
      <c r="I215">
        <v>0.97</v>
      </c>
      <c r="J215">
        <v>6.29</v>
      </c>
      <c r="K215">
        <v>1.2</v>
      </c>
      <c r="L215">
        <v>5</v>
      </c>
      <c r="M215" s="1" t="e">
        <f>#N/A</f>
        <v>#N/A</v>
      </c>
      <c r="N215">
        <v>532</v>
      </c>
      <c r="Q215" t="s">
        <v>68</v>
      </c>
    </row>
    <row r="216" spans="1:17" x14ac:dyDescent="0.35">
      <c r="A216">
        <v>215</v>
      </c>
      <c r="B216">
        <v>2017</v>
      </c>
      <c r="C216">
        <v>2</v>
      </c>
      <c r="D216" t="s">
        <v>37</v>
      </c>
      <c r="E216" t="s">
        <v>56</v>
      </c>
      <c r="F216" s="1">
        <v>49506</v>
      </c>
      <c r="G216" s="1">
        <v>71341</v>
      </c>
      <c r="H216">
        <v>295</v>
      </c>
      <c r="I216">
        <v>0.97</v>
      </c>
      <c r="J216">
        <v>6.29</v>
      </c>
      <c r="K216">
        <v>1.2</v>
      </c>
      <c r="L216">
        <v>5</v>
      </c>
      <c r="M216" s="1" t="e">
        <f>#N/A</f>
        <v>#N/A</v>
      </c>
      <c r="N216">
        <v>674</v>
      </c>
      <c r="Q216" t="s">
        <v>68</v>
      </c>
    </row>
    <row r="217" spans="1:17" x14ac:dyDescent="0.35">
      <c r="A217">
        <v>216</v>
      </c>
      <c r="B217">
        <v>2017</v>
      </c>
      <c r="C217">
        <v>2</v>
      </c>
      <c r="D217" t="s">
        <v>30</v>
      </c>
      <c r="E217" t="s">
        <v>77</v>
      </c>
      <c r="F217" s="1">
        <v>117733</v>
      </c>
      <c r="G217" s="1">
        <v>75938</v>
      </c>
      <c r="H217">
        <v>301</v>
      </c>
      <c r="I217">
        <v>0.97</v>
      </c>
      <c r="J217">
        <v>6.29</v>
      </c>
      <c r="K217">
        <v>1.2</v>
      </c>
      <c r="L217">
        <v>3</v>
      </c>
      <c r="M217" s="1" t="e">
        <f>#N/A</f>
        <v>#N/A</v>
      </c>
      <c r="N217">
        <v>782</v>
      </c>
      <c r="Q217" t="s">
        <v>68</v>
      </c>
    </row>
    <row r="218" spans="1:17" x14ac:dyDescent="0.35">
      <c r="A218">
        <v>217</v>
      </c>
      <c r="B218">
        <v>2017</v>
      </c>
      <c r="C218">
        <v>2</v>
      </c>
      <c r="D218" t="s">
        <v>21</v>
      </c>
      <c r="E218" t="s">
        <v>91</v>
      </c>
      <c r="F218" s="1">
        <v>95892</v>
      </c>
      <c r="G218" s="1">
        <v>285652</v>
      </c>
      <c r="H218">
        <v>286</v>
      </c>
      <c r="I218">
        <v>0.97</v>
      </c>
      <c r="J218">
        <v>6.29</v>
      </c>
      <c r="K218">
        <v>1.2</v>
      </c>
      <c r="L218">
        <v>2</v>
      </c>
      <c r="M218" s="1" t="e">
        <f>#N/A</f>
        <v>#N/A</v>
      </c>
      <c r="N218">
        <v>804</v>
      </c>
      <c r="Q218" t="s">
        <v>68</v>
      </c>
    </row>
    <row r="219" spans="1:17" x14ac:dyDescent="0.35">
      <c r="A219">
        <v>218</v>
      </c>
      <c r="B219">
        <v>2017</v>
      </c>
      <c r="C219">
        <v>2</v>
      </c>
      <c r="D219" t="s">
        <v>36</v>
      </c>
      <c r="E219" t="s">
        <v>101</v>
      </c>
      <c r="F219" s="1">
        <v>42933</v>
      </c>
      <c r="G219" s="1">
        <v>332260</v>
      </c>
      <c r="H219">
        <v>99</v>
      </c>
      <c r="I219">
        <v>0.97</v>
      </c>
      <c r="J219">
        <v>6.29</v>
      </c>
      <c r="K219">
        <v>1.2</v>
      </c>
      <c r="L219">
        <v>7</v>
      </c>
      <c r="M219" s="1" t="e">
        <f>#N/A</f>
        <v>#N/A</v>
      </c>
      <c r="N219">
        <v>361</v>
      </c>
      <c r="Q219" t="s">
        <v>68</v>
      </c>
    </row>
    <row r="220" spans="1:17" x14ac:dyDescent="0.35">
      <c r="A220">
        <v>219</v>
      </c>
      <c r="B220">
        <v>2017</v>
      </c>
      <c r="C220">
        <v>2</v>
      </c>
      <c r="D220" t="s">
        <v>25</v>
      </c>
      <c r="E220" t="s">
        <v>109</v>
      </c>
      <c r="F220" s="1">
        <v>51932</v>
      </c>
      <c r="G220" s="1">
        <v>398848</v>
      </c>
      <c r="H220">
        <v>216</v>
      </c>
      <c r="I220">
        <v>0.97</v>
      </c>
      <c r="J220">
        <v>6.29</v>
      </c>
      <c r="K220">
        <v>1.2</v>
      </c>
      <c r="L220">
        <v>8</v>
      </c>
      <c r="M220" s="1" t="e">
        <f>#N/A</f>
        <v>#N/A</v>
      </c>
      <c r="N220">
        <v>711</v>
      </c>
      <c r="Q220" t="s">
        <v>69</v>
      </c>
    </row>
    <row r="221" spans="1:17" x14ac:dyDescent="0.35">
      <c r="A221">
        <v>220</v>
      </c>
      <c r="B221">
        <v>2017</v>
      </c>
      <c r="C221">
        <v>2</v>
      </c>
      <c r="D221" t="s">
        <v>37</v>
      </c>
      <c r="E221" t="s">
        <v>124</v>
      </c>
      <c r="F221" s="1">
        <v>52857</v>
      </c>
      <c r="G221" s="1">
        <v>239216</v>
      </c>
      <c r="H221">
        <v>213</v>
      </c>
      <c r="I221">
        <v>0.97</v>
      </c>
      <c r="J221">
        <v>6.29</v>
      </c>
      <c r="K221">
        <v>1.2</v>
      </c>
      <c r="L221">
        <v>1</v>
      </c>
      <c r="M221" s="1" t="e">
        <f>#N/A</f>
        <v>#N/A</v>
      </c>
      <c r="N221">
        <v>523</v>
      </c>
      <c r="Q221" t="s">
        <v>69</v>
      </c>
    </row>
    <row r="222" spans="1:17" x14ac:dyDescent="0.35">
      <c r="A222">
        <v>221</v>
      </c>
      <c r="B222">
        <v>2017</v>
      </c>
      <c r="C222">
        <v>2</v>
      </c>
      <c r="D222" t="s">
        <v>37</v>
      </c>
      <c r="E222" t="s">
        <v>124</v>
      </c>
      <c r="F222" s="1">
        <v>45400</v>
      </c>
      <c r="G222" s="1">
        <v>274970</v>
      </c>
      <c r="H222">
        <v>67</v>
      </c>
      <c r="I222">
        <v>0.97</v>
      </c>
      <c r="J222">
        <v>6.29</v>
      </c>
      <c r="K222">
        <v>1.2</v>
      </c>
      <c r="L222">
        <v>7</v>
      </c>
      <c r="M222" s="1" t="e">
        <f>#N/A</f>
        <v>#N/A</v>
      </c>
      <c r="N222">
        <v>286</v>
      </c>
      <c r="Q222" t="s">
        <v>69</v>
      </c>
    </row>
    <row r="223" spans="1:17" x14ac:dyDescent="0.35">
      <c r="A223">
        <v>222</v>
      </c>
      <c r="B223">
        <v>2017</v>
      </c>
      <c r="C223">
        <v>2</v>
      </c>
      <c r="D223" t="s">
        <v>21</v>
      </c>
      <c r="E223" t="s">
        <v>125</v>
      </c>
      <c r="F223" s="1">
        <v>96304</v>
      </c>
      <c r="G223" s="1">
        <v>83085</v>
      </c>
      <c r="H223">
        <v>198</v>
      </c>
      <c r="I223">
        <v>0.97</v>
      </c>
      <c r="J223">
        <v>6.29</v>
      </c>
      <c r="K223">
        <v>1.2</v>
      </c>
      <c r="L223">
        <v>3</v>
      </c>
      <c r="M223" s="1" t="e">
        <f>#N/A</f>
        <v>#N/A</v>
      </c>
      <c r="N223">
        <v>668</v>
      </c>
      <c r="Q223" t="s">
        <v>69</v>
      </c>
    </row>
    <row r="224" spans="1:17" x14ac:dyDescent="0.35">
      <c r="A224">
        <v>223</v>
      </c>
      <c r="B224">
        <v>2017</v>
      </c>
      <c r="C224">
        <v>2</v>
      </c>
      <c r="D224" t="s">
        <v>37</v>
      </c>
      <c r="E224" t="s">
        <v>132</v>
      </c>
      <c r="F224" s="1">
        <v>35390</v>
      </c>
      <c r="G224" s="1">
        <v>451954</v>
      </c>
      <c r="H224">
        <v>360</v>
      </c>
      <c r="I224">
        <v>0.97</v>
      </c>
      <c r="J224">
        <v>6.29</v>
      </c>
      <c r="K224">
        <v>1.2</v>
      </c>
      <c r="L224">
        <v>2</v>
      </c>
      <c r="M224" s="1" t="e">
        <f>#N/A</f>
        <v>#N/A</v>
      </c>
      <c r="N224">
        <v>1007</v>
      </c>
      <c r="Q224" t="s">
        <v>69</v>
      </c>
    </row>
    <row r="225" spans="1:17" x14ac:dyDescent="0.35">
      <c r="A225">
        <v>224</v>
      </c>
      <c r="B225">
        <v>2017</v>
      </c>
      <c r="C225">
        <v>2</v>
      </c>
      <c r="D225" t="s">
        <v>14</v>
      </c>
      <c r="E225" t="s">
        <v>134</v>
      </c>
      <c r="F225" s="1">
        <v>51574</v>
      </c>
      <c r="G225" s="1">
        <v>282931</v>
      </c>
      <c r="H225">
        <v>129</v>
      </c>
      <c r="I225">
        <v>0.97</v>
      </c>
      <c r="J225">
        <v>6.29</v>
      </c>
      <c r="K225">
        <v>1.2</v>
      </c>
      <c r="L225">
        <v>4</v>
      </c>
      <c r="M225" s="1" t="e">
        <f>#N/A</f>
        <v>#N/A</v>
      </c>
      <c r="N225">
        <v>591</v>
      </c>
      <c r="Q225" t="s">
        <v>69</v>
      </c>
    </row>
    <row r="226" spans="1:17" x14ac:dyDescent="0.35">
      <c r="A226">
        <v>225</v>
      </c>
      <c r="B226">
        <v>2017</v>
      </c>
      <c r="C226">
        <v>2</v>
      </c>
      <c r="D226" t="s">
        <v>32</v>
      </c>
      <c r="E226" t="s">
        <v>141</v>
      </c>
      <c r="F226" s="1">
        <v>50689</v>
      </c>
      <c r="G226" s="1">
        <v>427078</v>
      </c>
      <c r="H226">
        <v>39</v>
      </c>
      <c r="I226">
        <v>0.97</v>
      </c>
      <c r="J226">
        <v>6.29</v>
      </c>
      <c r="K226">
        <v>1.2</v>
      </c>
      <c r="L226">
        <v>6</v>
      </c>
      <c r="M226" s="1" t="e">
        <f>#N/A</f>
        <v>#N/A</v>
      </c>
      <c r="N226">
        <v>406</v>
      </c>
      <c r="Q226" t="s">
        <v>69</v>
      </c>
    </row>
    <row r="227" spans="1:17" x14ac:dyDescent="0.35">
      <c r="A227">
        <v>226</v>
      </c>
      <c r="B227">
        <v>2017</v>
      </c>
      <c r="C227">
        <v>2</v>
      </c>
      <c r="D227" t="s">
        <v>25</v>
      </c>
      <c r="E227" t="s">
        <v>148</v>
      </c>
      <c r="F227" s="1">
        <v>35798</v>
      </c>
      <c r="G227" s="1">
        <v>441670</v>
      </c>
      <c r="H227">
        <v>25</v>
      </c>
      <c r="I227">
        <v>0.97</v>
      </c>
      <c r="J227">
        <v>6.29</v>
      </c>
      <c r="K227">
        <v>1.2</v>
      </c>
      <c r="L227">
        <v>6</v>
      </c>
      <c r="M227" s="1" t="e">
        <f>#N/A</f>
        <v>#N/A</v>
      </c>
      <c r="N227">
        <v>151</v>
      </c>
      <c r="Q227" t="s">
        <v>70</v>
      </c>
    </row>
    <row r="228" spans="1:17" x14ac:dyDescent="0.35">
      <c r="A228">
        <v>227</v>
      </c>
      <c r="B228">
        <v>2017</v>
      </c>
      <c r="C228">
        <v>2</v>
      </c>
      <c r="D228" t="s">
        <v>28</v>
      </c>
      <c r="E228" t="s">
        <v>142</v>
      </c>
      <c r="F228" s="1">
        <v>67330</v>
      </c>
      <c r="G228" s="1">
        <v>242718</v>
      </c>
      <c r="H228">
        <v>278</v>
      </c>
      <c r="I228">
        <v>0.97</v>
      </c>
      <c r="J228">
        <v>6.29</v>
      </c>
      <c r="K228">
        <v>1.2</v>
      </c>
      <c r="L228">
        <v>3</v>
      </c>
      <c r="M228" s="1" t="e">
        <f>#N/A</f>
        <v>#N/A</v>
      </c>
      <c r="N228">
        <v>896</v>
      </c>
      <c r="Q228" t="s">
        <v>70</v>
      </c>
    </row>
    <row r="229" spans="1:17" x14ac:dyDescent="0.35">
      <c r="A229">
        <v>228</v>
      </c>
      <c r="B229">
        <v>2017</v>
      </c>
      <c r="C229">
        <v>3</v>
      </c>
      <c r="D229" t="s">
        <v>28</v>
      </c>
      <c r="E229" t="s">
        <v>62</v>
      </c>
      <c r="F229" s="1">
        <v>108755</v>
      </c>
      <c r="G229" s="1">
        <v>296983</v>
      </c>
      <c r="H229">
        <v>243</v>
      </c>
      <c r="I229">
        <v>0.97</v>
      </c>
      <c r="J229">
        <v>6.29</v>
      </c>
      <c r="K229">
        <v>1.2</v>
      </c>
      <c r="L229">
        <v>9</v>
      </c>
      <c r="M229" s="1" t="e">
        <f>#N/A</f>
        <v>#N/A</v>
      </c>
      <c r="N229">
        <v>578</v>
      </c>
      <c r="Q229" t="s">
        <v>70</v>
      </c>
    </row>
    <row r="230" spans="1:17" x14ac:dyDescent="0.35">
      <c r="A230">
        <v>229</v>
      </c>
      <c r="B230">
        <v>2017</v>
      </c>
      <c r="C230">
        <v>3</v>
      </c>
      <c r="D230" t="s">
        <v>37</v>
      </c>
      <c r="E230" t="s">
        <v>112</v>
      </c>
      <c r="F230" s="1">
        <v>46569</v>
      </c>
      <c r="G230" s="1">
        <v>79709</v>
      </c>
      <c r="H230">
        <v>385</v>
      </c>
      <c r="I230">
        <v>0.97</v>
      </c>
      <c r="J230">
        <v>6.29</v>
      </c>
      <c r="K230">
        <v>1.2</v>
      </c>
      <c r="L230">
        <v>8</v>
      </c>
      <c r="M230" s="1" t="e">
        <f>#N/A</f>
        <v>#N/A</v>
      </c>
      <c r="N230">
        <v>874</v>
      </c>
      <c r="Q230" t="s">
        <v>70</v>
      </c>
    </row>
    <row r="231" spans="1:17" x14ac:dyDescent="0.35">
      <c r="A231">
        <v>230</v>
      </c>
      <c r="B231">
        <v>2017</v>
      </c>
      <c r="C231">
        <v>3</v>
      </c>
      <c r="D231" t="s">
        <v>30</v>
      </c>
      <c r="E231" t="s">
        <v>115</v>
      </c>
      <c r="F231" s="1">
        <v>113863</v>
      </c>
      <c r="G231" s="1">
        <v>83477</v>
      </c>
      <c r="H231">
        <v>205</v>
      </c>
      <c r="I231">
        <v>0.97</v>
      </c>
      <c r="J231">
        <v>6.29</v>
      </c>
      <c r="K231">
        <v>1.2</v>
      </c>
      <c r="L231">
        <v>10</v>
      </c>
      <c r="M231" s="1" t="e">
        <f>#N/A</f>
        <v>#N/A</v>
      </c>
      <c r="N231">
        <v>693</v>
      </c>
      <c r="Q231" t="s">
        <v>70</v>
      </c>
    </row>
    <row r="232" spans="1:17" x14ac:dyDescent="0.35">
      <c r="A232">
        <v>231</v>
      </c>
      <c r="B232">
        <v>2017</v>
      </c>
      <c r="C232">
        <v>3</v>
      </c>
      <c r="D232" t="s">
        <v>25</v>
      </c>
      <c r="E232" t="s">
        <v>127</v>
      </c>
      <c r="F232" s="1">
        <v>109229</v>
      </c>
      <c r="G232" s="1">
        <v>225037</v>
      </c>
      <c r="H232">
        <v>195</v>
      </c>
      <c r="I232">
        <v>0.97</v>
      </c>
      <c r="J232">
        <v>6.29</v>
      </c>
      <c r="K232">
        <v>1.2</v>
      </c>
      <c r="L232">
        <v>9</v>
      </c>
      <c r="M232" s="1" t="e">
        <f>#N/A</f>
        <v>#N/A</v>
      </c>
      <c r="N232">
        <v>716</v>
      </c>
      <c r="Q232" t="s">
        <v>70</v>
      </c>
    </row>
    <row r="233" spans="1:17" x14ac:dyDescent="0.35">
      <c r="A233">
        <v>232</v>
      </c>
      <c r="B233">
        <v>2017</v>
      </c>
      <c r="C233">
        <v>3</v>
      </c>
      <c r="D233" t="s">
        <v>38</v>
      </c>
      <c r="E233" t="s">
        <v>132</v>
      </c>
      <c r="F233" s="1">
        <v>69650</v>
      </c>
      <c r="G233" s="1">
        <v>381588</v>
      </c>
      <c r="H233">
        <v>71</v>
      </c>
      <c r="I233">
        <v>0.97</v>
      </c>
      <c r="J233">
        <v>6.29</v>
      </c>
      <c r="K233">
        <v>1.2</v>
      </c>
      <c r="L233">
        <v>7</v>
      </c>
      <c r="M233" s="1" t="e">
        <f>#N/A</f>
        <v>#N/A</v>
      </c>
      <c r="N233">
        <v>197</v>
      </c>
      <c r="Q233" t="s">
        <v>70</v>
      </c>
    </row>
    <row r="234" spans="1:17" x14ac:dyDescent="0.35">
      <c r="A234">
        <v>233</v>
      </c>
      <c r="B234">
        <v>2017</v>
      </c>
      <c r="C234">
        <v>3</v>
      </c>
      <c r="D234" t="s">
        <v>30</v>
      </c>
      <c r="E234" t="s">
        <v>154</v>
      </c>
      <c r="F234" s="1">
        <v>64086</v>
      </c>
      <c r="G234" s="1">
        <v>383404</v>
      </c>
      <c r="H234">
        <v>152</v>
      </c>
      <c r="I234">
        <v>0.97</v>
      </c>
      <c r="J234">
        <v>6.29</v>
      </c>
      <c r="K234">
        <v>1.2</v>
      </c>
      <c r="L234">
        <v>3</v>
      </c>
      <c r="M234" s="1" t="e">
        <f>#N/A</f>
        <v>#N/A</v>
      </c>
      <c r="N234">
        <v>381</v>
      </c>
      <c r="Q234" t="s">
        <v>70</v>
      </c>
    </row>
    <row r="235" spans="1:17" x14ac:dyDescent="0.35">
      <c r="A235">
        <v>234</v>
      </c>
      <c r="B235">
        <v>2017</v>
      </c>
      <c r="C235">
        <v>4</v>
      </c>
      <c r="D235" t="s">
        <v>38</v>
      </c>
      <c r="E235" t="s">
        <v>50</v>
      </c>
      <c r="F235" s="1">
        <v>115158</v>
      </c>
      <c r="G235" s="1">
        <v>249519</v>
      </c>
      <c r="H235">
        <v>12</v>
      </c>
      <c r="I235">
        <v>0.97</v>
      </c>
      <c r="J235">
        <v>6.29</v>
      </c>
      <c r="K235">
        <v>1.2</v>
      </c>
      <c r="L235">
        <v>6</v>
      </c>
      <c r="M235" s="1" t="e">
        <f>#N/A</f>
        <v>#N/A</v>
      </c>
      <c r="N235">
        <v>72</v>
      </c>
      <c r="Q235" t="s">
        <v>70</v>
      </c>
    </row>
    <row r="236" spans="1:17" x14ac:dyDescent="0.35">
      <c r="A236">
        <v>235</v>
      </c>
      <c r="B236">
        <v>2017</v>
      </c>
      <c r="C236">
        <v>4</v>
      </c>
      <c r="D236" t="s">
        <v>14</v>
      </c>
      <c r="E236" t="s">
        <v>50</v>
      </c>
      <c r="F236" s="1">
        <v>35992</v>
      </c>
      <c r="G236" s="1">
        <v>127994</v>
      </c>
      <c r="H236">
        <v>296</v>
      </c>
      <c r="I236">
        <v>0.97</v>
      </c>
      <c r="J236">
        <v>6.29</v>
      </c>
      <c r="K236">
        <v>1.2</v>
      </c>
      <c r="L236">
        <v>3</v>
      </c>
      <c r="M236" s="1" t="e">
        <f>#N/A</f>
        <v>#N/A</v>
      </c>
      <c r="N236">
        <v>907</v>
      </c>
      <c r="Q236" t="s">
        <v>71</v>
      </c>
    </row>
    <row r="237" spans="1:17" x14ac:dyDescent="0.35">
      <c r="A237">
        <v>236</v>
      </c>
      <c r="B237">
        <v>2017</v>
      </c>
      <c r="C237">
        <v>4</v>
      </c>
      <c r="D237" t="s">
        <v>32</v>
      </c>
      <c r="E237" t="s">
        <v>68</v>
      </c>
      <c r="F237" s="1">
        <v>79439</v>
      </c>
      <c r="G237" s="1">
        <v>484352</v>
      </c>
      <c r="H237">
        <v>11</v>
      </c>
      <c r="I237">
        <v>0.97</v>
      </c>
      <c r="J237">
        <v>6.29</v>
      </c>
      <c r="K237">
        <v>1.2</v>
      </c>
      <c r="L237">
        <v>7</v>
      </c>
      <c r="M237" s="1" t="e">
        <f>#N/A</f>
        <v>#N/A</v>
      </c>
      <c r="N237">
        <v>420</v>
      </c>
      <c r="Q237" t="s">
        <v>71</v>
      </c>
    </row>
    <row r="238" spans="1:17" x14ac:dyDescent="0.35">
      <c r="A238">
        <v>237</v>
      </c>
      <c r="B238">
        <v>2017</v>
      </c>
      <c r="C238">
        <v>4</v>
      </c>
      <c r="D238" t="s">
        <v>21</v>
      </c>
      <c r="E238" t="s">
        <v>80</v>
      </c>
      <c r="F238" s="1">
        <v>114526</v>
      </c>
      <c r="G238" s="1">
        <v>129183</v>
      </c>
      <c r="H238">
        <v>107</v>
      </c>
      <c r="I238">
        <v>0.97</v>
      </c>
      <c r="J238">
        <v>6.29</v>
      </c>
      <c r="K238">
        <v>1.2</v>
      </c>
      <c r="L238">
        <v>10</v>
      </c>
      <c r="M238" s="1" t="e">
        <f>#N/A</f>
        <v>#N/A</v>
      </c>
      <c r="N238">
        <v>439</v>
      </c>
      <c r="Q238" t="s">
        <v>71</v>
      </c>
    </row>
    <row r="239" spans="1:17" x14ac:dyDescent="0.35">
      <c r="A239">
        <v>238</v>
      </c>
      <c r="B239">
        <v>2017</v>
      </c>
      <c r="C239">
        <v>4</v>
      </c>
      <c r="D239" t="s">
        <v>37</v>
      </c>
      <c r="E239" t="s">
        <v>101</v>
      </c>
      <c r="F239" s="1">
        <v>111396</v>
      </c>
      <c r="G239" s="1">
        <v>387164</v>
      </c>
      <c r="H239">
        <v>306</v>
      </c>
      <c r="I239">
        <v>0.97</v>
      </c>
      <c r="J239">
        <v>6.29</v>
      </c>
      <c r="K239">
        <v>1.2</v>
      </c>
      <c r="L239">
        <v>10</v>
      </c>
      <c r="M239" s="1" t="e">
        <f>#N/A</f>
        <v>#N/A</v>
      </c>
      <c r="N239">
        <v>964</v>
      </c>
      <c r="Q239" t="s">
        <v>71</v>
      </c>
    </row>
    <row r="240" spans="1:17" x14ac:dyDescent="0.35">
      <c r="A240">
        <v>239</v>
      </c>
      <c r="B240">
        <v>2017</v>
      </c>
      <c r="C240">
        <v>4</v>
      </c>
      <c r="D240" t="s">
        <v>25</v>
      </c>
      <c r="E240" t="s">
        <v>148</v>
      </c>
      <c r="F240" s="1">
        <v>73871</v>
      </c>
      <c r="G240" s="1">
        <v>470661</v>
      </c>
      <c r="H240">
        <v>209</v>
      </c>
      <c r="I240">
        <v>0.97</v>
      </c>
      <c r="J240">
        <v>6.29</v>
      </c>
      <c r="K240">
        <v>1.2</v>
      </c>
      <c r="L240">
        <v>4</v>
      </c>
      <c r="M240" s="1" t="e">
        <f>#N/A</f>
        <v>#N/A</v>
      </c>
      <c r="N240">
        <v>525</v>
      </c>
      <c r="Q240" t="s">
        <v>71</v>
      </c>
    </row>
    <row r="241" spans="1:17" x14ac:dyDescent="0.35">
      <c r="A241">
        <v>240</v>
      </c>
      <c r="B241">
        <v>2017</v>
      </c>
      <c r="C241">
        <v>5</v>
      </c>
      <c r="D241" t="s">
        <v>35</v>
      </c>
      <c r="E241" t="s">
        <v>51</v>
      </c>
      <c r="F241" s="1">
        <v>51374</v>
      </c>
      <c r="G241" s="1">
        <v>219330</v>
      </c>
      <c r="H241">
        <v>330</v>
      </c>
      <c r="I241">
        <v>0.97</v>
      </c>
      <c r="J241">
        <v>6.29</v>
      </c>
      <c r="K241">
        <v>1.2</v>
      </c>
      <c r="L241">
        <v>2</v>
      </c>
      <c r="M241" s="1" t="e">
        <f>#N/A</f>
        <v>#N/A</v>
      </c>
      <c r="N241">
        <v>1096</v>
      </c>
      <c r="Q241" t="s">
        <v>71</v>
      </c>
    </row>
    <row r="242" spans="1:17" x14ac:dyDescent="0.35">
      <c r="A242">
        <v>241</v>
      </c>
      <c r="B242">
        <v>2017</v>
      </c>
      <c r="C242">
        <v>5</v>
      </c>
      <c r="D242" t="s">
        <v>38</v>
      </c>
      <c r="E242" t="s">
        <v>106</v>
      </c>
      <c r="F242" s="1">
        <v>36184</v>
      </c>
      <c r="G242" s="1">
        <v>320012</v>
      </c>
      <c r="H242">
        <v>67</v>
      </c>
      <c r="I242">
        <v>0.97</v>
      </c>
      <c r="J242">
        <v>6.29</v>
      </c>
      <c r="K242">
        <v>1.2</v>
      </c>
      <c r="L242">
        <v>7</v>
      </c>
      <c r="M242" s="1" t="e">
        <f>#N/A</f>
        <v>#N/A</v>
      </c>
      <c r="N242">
        <v>536</v>
      </c>
      <c r="Q242" t="s">
        <v>71</v>
      </c>
    </row>
    <row r="243" spans="1:17" x14ac:dyDescent="0.35">
      <c r="A243">
        <v>242</v>
      </c>
      <c r="B243">
        <v>2017</v>
      </c>
      <c r="C243">
        <v>5</v>
      </c>
      <c r="D243" t="s">
        <v>32</v>
      </c>
      <c r="E243" t="s">
        <v>111</v>
      </c>
      <c r="F243" s="1">
        <v>111946</v>
      </c>
      <c r="G243" s="1">
        <v>194615</v>
      </c>
      <c r="H243">
        <v>276</v>
      </c>
      <c r="I243">
        <v>0.97</v>
      </c>
      <c r="J243">
        <v>6.29</v>
      </c>
      <c r="K243">
        <v>1.2</v>
      </c>
      <c r="L243">
        <v>4</v>
      </c>
      <c r="M243" s="1" t="e">
        <f>#N/A</f>
        <v>#N/A</v>
      </c>
      <c r="N243">
        <v>903</v>
      </c>
      <c r="Q243" t="s">
        <v>71</v>
      </c>
    </row>
    <row r="244" spans="1:17" x14ac:dyDescent="0.35">
      <c r="A244">
        <v>243</v>
      </c>
      <c r="B244">
        <v>2017</v>
      </c>
      <c r="C244">
        <v>5</v>
      </c>
      <c r="D244" t="s">
        <v>38</v>
      </c>
      <c r="E244" t="s">
        <v>118</v>
      </c>
      <c r="F244" s="1">
        <v>83128</v>
      </c>
      <c r="G244" s="1">
        <v>119093</v>
      </c>
      <c r="H244">
        <v>191</v>
      </c>
      <c r="I244">
        <v>0.97</v>
      </c>
      <c r="J244">
        <v>6.29</v>
      </c>
      <c r="K244">
        <v>1.2</v>
      </c>
      <c r="L244">
        <v>8</v>
      </c>
      <c r="M244" s="1" t="e">
        <f>#N/A</f>
        <v>#N/A</v>
      </c>
      <c r="N244">
        <v>512</v>
      </c>
      <c r="Q244" t="s">
        <v>71</v>
      </c>
    </row>
    <row r="245" spans="1:17" x14ac:dyDescent="0.35">
      <c r="A245">
        <v>244</v>
      </c>
      <c r="B245">
        <v>2017</v>
      </c>
      <c r="C245">
        <v>5</v>
      </c>
      <c r="D245" t="s">
        <v>30</v>
      </c>
      <c r="E245" t="s">
        <v>117</v>
      </c>
      <c r="F245" s="1">
        <v>54810</v>
      </c>
      <c r="G245" s="1">
        <v>96705</v>
      </c>
      <c r="H245">
        <v>167</v>
      </c>
      <c r="I245">
        <v>0.97</v>
      </c>
      <c r="J245">
        <v>6.29</v>
      </c>
      <c r="K245">
        <v>1.2</v>
      </c>
      <c r="L245">
        <v>6</v>
      </c>
      <c r="M245" s="1" t="e">
        <f>#N/A</f>
        <v>#N/A</v>
      </c>
      <c r="N245">
        <v>663</v>
      </c>
      <c r="Q245" t="s">
        <v>72</v>
      </c>
    </row>
    <row r="246" spans="1:17" x14ac:dyDescent="0.35">
      <c r="A246">
        <v>245</v>
      </c>
      <c r="B246">
        <v>2017</v>
      </c>
      <c r="C246">
        <v>5</v>
      </c>
      <c r="D246" t="s">
        <v>25</v>
      </c>
      <c r="E246" t="s">
        <v>135</v>
      </c>
      <c r="F246" s="1">
        <v>116417</v>
      </c>
      <c r="G246" s="1">
        <v>54137</v>
      </c>
      <c r="H246">
        <v>256</v>
      </c>
      <c r="I246">
        <v>0.97</v>
      </c>
      <c r="J246">
        <v>6.29</v>
      </c>
      <c r="K246">
        <v>1.2</v>
      </c>
      <c r="L246">
        <v>10</v>
      </c>
      <c r="M246" s="1" t="e">
        <f>#N/A</f>
        <v>#N/A</v>
      </c>
      <c r="N246">
        <v>705</v>
      </c>
      <c r="Q246" t="s">
        <v>72</v>
      </c>
    </row>
    <row r="247" spans="1:17" x14ac:dyDescent="0.35">
      <c r="A247">
        <v>246</v>
      </c>
      <c r="B247">
        <v>2017</v>
      </c>
      <c r="C247">
        <v>5</v>
      </c>
      <c r="D247" t="s">
        <v>21</v>
      </c>
      <c r="E247" t="s">
        <v>150</v>
      </c>
      <c r="F247" s="1">
        <v>108984</v>
      </c>
      <c r="G247" s="1">
        <v>210212</v>
      </c>
      <c r="H247">
        <v>241</v>
      </c>
      <c r="I247">
        <v>0.97</v>
      </c>
      <c r="J247">
        <v>6.29</v>
      </c>
      <c r="K247">
        <v>1.2</v>
      </c>
      <c r="L247">
        <v>8</v>
      </c>
      <c r="M247" s="1" t="e">
        <f>#N/A</f>
        <v>#N/A</v>
      </c>
      <c r="N247">
        <v>472</v>
      </c>
      <c r="Q247" t="s">
        <v>72</v>
      </c>
    </row>
    <row r="248" spans="1:17" x14ac:dyDescent="0.35">
      <c r="A248">
        <v>247</v>
      </c>
      <c r="B248">
        <v>2017</v>
      </c>
      <c r="C248">
        <v>6</v>
      </c>
      <c r="D248" t="s">
        <v>28</v>
      </c>
      <c r="E248" t="s">
        <v>70</v>
      </c>
      <c r="F248" s="1">
        <v>61655</v>
      </c>
      <c r="G248" s="1">
        <v>246314</v>
      </c>
      <c r="H248">
        <v>310</v>
      </c>
      <c r="I248">
        <v>0.97</v>
      </c>
      <c r="J248">
        <v>6.29</v>
      </c>
      <c r="K248">
        <v>1.2</v>
      </c>
      <c r="L248">
        <v>8</v>
      </c>
      <c r="M248" s="1" t="e">
        <f>#N/A</f>
        <v>#N/A</v>
      </c>
      <c r="N248">
        <v>1066</v>
      </c>
      <c r="Q248" t="s">
        <v>72</v>
      </c>
    </row>
    <row r="249" spans="1:17" x14ac:dyDescent="0.35">
      <c r="A249">
        <v>248</v>
      </c>
      <c r="B249">
        <v>2017</v>
      </c>
      <c r="C249">
        <v>6</v>
      </c>
      <c r="D249" t="s">
        <v>25</v>
      </c>
      <c r="E249" t="s">
        <v>86</v>
      </c>
      <c r="F249" s="1">
        <v>67924</v>
      </c>
      <c r="G249" s="1">
        <v>494958</v>
      </c>
      <c r="H249">
        <v>158</v>
      </c>
      <c r="I249">
        <v>0.97</v>
      </c>
      <c r="J249">
        <v>6.29</v>
      </c>
      <c r="K249">
        <v>1.2</v>
      </c>
      <c r="L249">
        <v>5</v>
      </c>
      <c r="M249" s="1" t="e">
        <f>#N/A</f>
        <v>#N/A</v>
      </c>
      <c r="N249">
        <v>576</v>
      </c>
      <c r="Q249" t="s">
        <v>72</v>
      </c>
    </row>
    <row r="250" spans="1:17" x14ac:dyDescent="0.35">
      <c r="A250">
        <v>249</v>
      </c>
      <c r="B250">
        <v>2017</v>
      </c>
      <c r="C250">
        <v>6</v>
      </c>
      <c r="D250" t="s">
        <v>38</v>
      </c>
      <c r="E250" t="s">
        <v>109</v>
      </c>
      <c r="F250" s="1">
        <v>47254</v>
      </c>
      <c r="G250" s="1">
        <v>355761</v>
      </c>
      <c r="H250">
        <v>163</v>
      </c>
      <c r="I250">
        <v>0.97</v>
      </c>
      <c r="J250">
        <v>6.29</v>
      </c>
      <c r="K250">
        <v>1.2</v>
      </c>
      <c r="L250">
        <v>7</v>
      </c>
      <c r="M250" s="1" t="e">
        <f>#N/A</f>
        <v>#N/A</v>
      </c>
      <c r="N250">
        <v>389</v>
      </c>
      <c r="Q250" t="s">
        <v>72</v>
      </c>
    </row>
    <row r="251" spans="1:17" x14ac:dyDescent="0.35">
      <c r="A251">
        <v>250</v>
      </c>
      <c r="B251">
        <v>2017</v>
      </c>
      <c r="C251">
        <v>6</v>
      </c>
      <c r="D251" t="s">
        <v>30</v>
      </c>
      <c r="E251" t="s">
        <v>112</v>
      </c>
      <c r="F251" s="1">
        <v>70932</v>
      </c>
      <c r="G251" s="1">
        <v>286042</v>
      </c>
      <c r="H251">
        <v>58</v>
      </c>
      <c r="I251">
        <v>0.97</v>
      </c>
      <c r="J251">
        <v>6.29</v>
      </c>
      <c r="K251">
        <v>1.2</v>
      </c>
      <c r="L251">
        <v>9</v>
      </c>
      <c r="M251" s="1" t="e">
        <f>#N/A</f>
        <v>#N/A</v>
      </c>
      <c r="N251">
        <v>502</v>
      </c>
      <c r="Q251" t="s">
        <v>72</v>
      </c>
    </row>
    <row r="252" spans="1:17" x14ac:dyDescent="0.35">
      <c r="A252">
        <v>251</v>
      </c>
      <c r="B252">
        <v>2017</v>
      </c>
      <c r="C252">
        <v>6</v>
      </c>
      <c r="D252" t="s">
        <v>35</v>
      </c>
      <c r="E252" t="s">
        <v>106</v>
      </c>
      <c r="F252" s="1">
        <v>109807</v>
      </c>
      <c r="G252" s="1">
        <v>231143</v>
      </c>
      <c r="H252">
        <v>157</v>
      </c>
      <c r="I252">
        <v>0.97</v>
      </c>
      <c r="J252">
        <v>6.29</v>
      </c>
      <c r="K252">
        <v>1.2</v>
      </c>
      <c r="L252">
        <v>1</v>
      </c>
      <c r="M252" s="1" t="e">
        <f>#N/A</f>
        <v>#N/A</v>
      </c>
      <c r="N252">
        <v>380</v>
      </c>
      <c r="Q252" t="s">
        <v>72</v>
      </c>
    </row>
    <row r="253" spans="1:17" x14ac:dyDescent="0.35">
      <c r="A253">
        <v>252</v>
      </c>
      <c r="B253">
        <v>2017</v>
      </c>
      <c r="C253">
        <v>6</v>
      </c>
      <c r="D253" t="s">
        <v>14</v>
      </c>
      <c r="E253" t="s">
        <v>110</v>
      </c>
      <c r="F253" s="1">
        <v>106927</v>
      </c>
      <c r="G253" s="1">
        <v>291766</v>
      </c>
      <c r="H253">
        <v>341</v>
      </c>
      <c r="I253">
        <v>0.97</v>
      </c>
      <c r="J253">
        <v>6.29</v>
      </c>
      <c r="K253">
        <v>1.2</v>
      </c>
      <c r="L253">
        <v>6</v>
      </c>
      <c r="M253" s="1" t="e">
        <f>#N/A</f>
        <v>#N/A</v>
      </c>
      <c r="N253">
        <v>933</v>
      </c>
      <c r="Q253" t="s">
        <v>72</v>
      </c>
    </row>
    <row r="254" spans="1:17" x14ac:dyDescent="0.35">
      <c r="A254">
        <v>253</v>
      </c>
      <c r="B254">
        <v>2017</v>
      </c>
      <c r="C254">
        <v>7</v>
      </c>
      <c r="D254" t="s">
        <v>25</v>
      </c>
      <c r="E254" t="s">
        <v>52</v>
      </c>
      <c r="F254" s="1">
        <v>79414</v>
      </c>
      <c r="G254" s="1">
        <v>249757</v>
      </c>
      <c r="H254">
        <v>222</v>
      </c>
      <c r="I254">
        <v>0.97</v>
      </c>
      <c r="J254">
        <v>6.29</v>
      </c>
      <c r="K254">
        <v>1.2</v>
      </c>
      <c r="L254">
        <v>10</v>
      </c>
      <c r="M254" s="1" t="e">
        <f>#N/A</f>
        <v>#N/A</v>
      </c>
      <c r="N254">
        <v>632</v>
      </c>
      <c r="Q254" t="s">
        <v>72</v>
      </c>
    </row>
    <row r="255" spans="1:17" x14ac:dyDescent="0.35">
      <c r="A255">
        <v>254</v>
      </c>
      <c r="B255">
        <v>2017</v>
      </c>
      <c r="C255">
        <v>7</v>
      </c>
      <c r="D255" t="s">
        <v>25</v>
      </c>
      <c r="E255" t="s">
        <v>85</v>
      </c>
      <c r="F255" s="1">
        <v>52297</v>
      </c>
      <c r="G255" s="1">
        <v>171225</v>
      </c>
      <c r="H255">
        <v>271</v>
      </c>
      <c r="I255">
        <v>0.97</v>
      </c>
      <c r="J255">
        <v>6.29</v>
      </c>
      <c r="K255">
        <v>1.2</v>
      </c>
      <c r="L255">
        <v>7</v>
      </c>
      <c r="M255" s="1" t="e">
        <f>#N/A</f>
        <v>#N/A</v>
      </c>
      <c r="N255">
        <v>738</v>
      </c>
      <c r="Q255" t="s">
        <v>73</v>
      </c>
    </row>
    <row r="256" spans="1:17" x14ac:dyDescent="0.35">
      <c r="A256">
        <v>255</v>
      </c>
      <c r="B256">
        <v>2017</v>
      </c>
      <c r="C256">
        <v>7</v>
      </c>
      <c r="D256" t="s">
        <v>37</v>
      </c>
      <c r="E256" t="s">
        <v>103</v>
      </c>
      <c r="F256" s="1">
        <v>60425</v>
      </c>
      <c r="G256" s="1">
        <v>191900</v>
      </c>
      <c r="H256">
        <v>48</v>
      </c>
      <c r="I256">
        <v>0.97</v>
      </c>
      <c r="J256">
        <v>6.29</v>
      </c>
      <c r="K256">
        <v>1.2</v>
      </c>
      <c r="L256">
        <v>10</v>
      </c>
      <c r="M256" s="1" t="e">
        <f>#N/A</f>
        <v>#N/A</v>
      </c>
      <c r="N256">
        <v>302</v>
      </c>
      <c r="Q256" t="s">
        <v>73</v>
      </c>
    </row>
    <row r="257" spans="1:17" x14ac:dyDescent="0.35">
      <c r="A257">
        <v>256</v>
      </c>
      <c r="B257">
        <v>2017</v>
      </c>
      <c r="C257">
        <v>7</v>
      </c>
      <c r="D257" t="s">
        <v>30</v>
      </c>
      <c r="E257" t="s">
        <v>104</v>
      </c>
      <c r="F257" s="1">
        <v>96822</v>
      </c>
      <c r="G257" s="1">
        <v>227169</v>
      </c>
      <c r="H257">
        <v>302</v>
      </c>
      <c r="I257">
        <v>0.97</v>
      </c>
      <c r="J257">
        <v>6.29</v>
      </c>
      <c r="K257">
        <v>1.2</v>
      </c>
      <c r="L257">
        <v>2</v>
      </c>
      <c r="M257" s="1" t="e">
        <f>#N/A</f>
        <v>#N/A</v>
      </c>
      <c r="N257">
        <v>941</v>
      </c>
      <c r="Q257" t="s">
        <v>73</v>
      </c>
    </row>
    <row r="258" spans="1:17" x14ac:dyDescent="0.35">
      <c r="A258">
        <v>257</v>
      </c>
      <c r="B258">
        <v>2017</v>
      </c>
      <c r="C258">
        <v>7</v>
      </c>
      <c r="D258" t="s">
        <v>35</v>
      </c>
      <c r="E258" t="s">
        <v>105</v>
      </c>
      <c r="F258" s="1">
        <v>82766</v>
      </c>
      <c r="G258" s="1">
        <v>123568</v>
      </c>
      <c r="H258">
        <v>51</v>
      </c>
      <c r="I258">
        <v>0.97</v>
      </c>
      <c r="J258">
        <v>6.29</v>
      </c>
      <c r="K258">
        <v>1.2</v>
      </c>
      <c r="L258">
        <v>10</v>
      </c>
      <c r="M258" s="1" t="e">
        <f>#N/A</f>
        <v>#N/A</v>
      </c>
      <c r="N258">
        <v>106</v>
      </c>
      <c r="Q258" t="s">
        <v>73</v>
      </c>
    </row>
    <row r="259" spans="1:17" x14ac:dyDescent="0.35">
      <c r="A259">
        <v>258</v>
      </c>
      <c r="B259">
        <v>2017</v>
      </c>
      <c r="C259">
        <v>7</v>
      </c>
      <c r="D259" t="s">
        <v>28</v>
      </c>
      <c r="E259" t="s">
        <v>137</v>
      </c>
      <c r="F259" s="1">
        <v>70398</v>
      </c>
      <c r="G259" s="1">
        <v>306323</v>
      </c>
      <c r="H259">
        <v>324</v>
      </c>
      <c r="I259">
        <v>0.97</v>
      </c>
      <c r="J259">
        <v>6.29</v>
      </c>
      <c r="K259">
        <v>1.2</v>
      </c>
      <c r="L259">
        <v>10</v>
      </c>
      <c r="M259" s="1" t="e">
        <f>#N/A</f>
        <v>#N/A</v>
      </c>
      <c r="N259">
        <v>951</v>
      </c>
      <c r="Q259" t="s">
        <v>73</v>
      </c>
    </row>
    <row r="260" spans="1:17" x14ac:dyDescent="0.35">
      <c r="A260">
        <v>259</v>
      </c>
      <c r="B260">
        <v>2017</v>
      </c>
      <c r="C260">
        <v>7</v>
      </c>
      <c r="D260" t="s">
        <v>38</v>
      </c>
      <c r="E260" t="s">
        <v>150</v>
      </c>
      <c r="F260" s="1">
        <v>116533</v>
      </c>
      <c r="G260" s="1">
        <v>400218</v>
      </c>
      <c r="H260">
        <v>346</v>
      </c>
      <c r="I260">
        <v>0.97</v>
      </c>
      <c r="J260">
        <v>6.29</v>
      </c>
      <c r="K260">
        <v>1.2</v>
      </c>
      <c r="L260">
        <v>2</v>
      </c>
      <c r="M260" s="1" t="e">
        <f>#N/A</f>
        <v>#N/A</v>
      </c>
      <c r="N260">
        <v>1019</v>
      </c>
      <c r="Q260" t="s">
        <v>73</v>
      </c>
    </row>
    <row r="261" spans="1:17" x14ac:dyDescent="0.35">
      <c r="A261">
        <v>260</v>
      </c>
      <c r="B261">
        <v>2017</v>
      </c>
      <c r="C261">
        <v>7</v>
      </c>
      <c r="D261" t="s">
        <v>30</v>
      </c>
      <c r="E261" t="s">
        <v>151</v>
      </c>
      <c r="F261" s="1">
        <v>41772</v>
      </c>
      <c r="G261" s="1">
        <v>61831</v>
      </c>
      <c r="H261">
        <v>54</v>
      </c>
      <c r="I261">
        <v>0.97</v>
      </c>
      <c r="J261">
        <v>6.29</v>
      </c>
      <c r="K261">
        <v>1.2</v>
      </c>
      <c r="L261">
        <v>5</v>
      </c>
      <c r="M261" s="1" t="e">
        <f>#N/A</f>
        <v>#N/A</v>
      </c>
      <c r="N261">
        <v>351</v>
      </c>
      <c r="Q261" t="s">
        <v>74</v>
      </c>
    </row>
    <row r="262" spans="1:17" x14ac:dyDescent="0.35">
      <c r="A262">
        <v>261</v>
      </c>
      <c r="B262">
        <v>2017</v>
      </c>
      <c r="C262">
        <v>7</v>
      </c>
      <c r="D262" t="s">
        <v>21</v>
      </c>
      <c r="E262" t="s">
        <v>155</v>
      </c>
      <c r="F262" s="1">
        <v>86272</v>
      </c>
      <c r="G262" s="1">
        <v>254354</v>
      </c>
      <c r="H262">
        <v>57</v>
      </c>
      <c r="I262">
        <v>0.97</v>
      </c>
      <c r="J262">
        <v>6.29</v>
      </c>
      <c r="K262">
        <v>1.2</v>
      </c>
      <c r="L262">
        <v>3</v>
      </c>
      <c r="M262" s="1" t="e">
        <f>#N/A</f>
        <v>#N/A</v>
      </c>
      <c r="N262">
        <v>150</v>
      </c>
      <c r="Q262" t="s">
        <v>74</v>
      </c>
    </row>
    <row r="263" spans="1:17" x14ac:dyDescent="0.35">
      <c r="A263">
        <v>262</v>
      </c>
      <c r="B263">
        <v>2017</v>
      </c>
      <c r="C263">
        <v>8</v>
      </c>
      <c r="D263" t="s">
        <v>38</v>
      </c>
      <c r="E263" t="s">
        <v>51</v>
      </c>
      <c r="F263" s="1">
        <v>65063</v>
      </c>
      <c r="G263" s="1">
        <v>208761</v>
      </c>
      <c r="H263">
        <v>65</v>
      </c>
      <c r="I263">
        <v>0.97</v>
      </c>
      <c r="J263">
        <v>6.29</v>
      </c>
      <c r="K263">
        <v>1.2</v>
      </c>
      <c r="L263">
        <v>8</v>
      </c>
      <c r="M263" s="1" t="e">
        <f>#N/A</f>
        <v>#N/A</v>
      </c>
      <c r="N263">
        <v>245</v>
      </c>
      <c r="Q263" t="s">
        <v>74</v>
      </c>
    </row>
    <row r="264" spans="1:17" x14ac:dyDescent="0.35">
      <c r="A264">
        <v>263</v>
      </c>
      <c r="B264">
        <v>2017</v>
      </c>
      <c r="C264">
        <v>8</v>
      </c>
      <c r="D264" t="s">
        <v>25</v>
      </c>
      <c r="E264" t="s">
        <v>66</v>
      </c>
      <c r="F264" s="1">
        <v>101985</v>
      </c>
      <c r="G264" s="1">
        <v>246292</v>
      </c>
      <c r="H264">
        <v>225</v>
      </c>
      <c r="I264">
        <v>0.97</v>
      </c>
      <c r="J264">
        <v>6.29</v>
      </c>
      <c r="K264">
        <v>1.2</v>
      </c>
      <c r="L264">
        <v>10</v>
      </c>
      <c r="M264" s="1" t="e">
        <f>#N/A</f>
        <v>#N/A</v>
      </c>
      <c r="N264">
        <v>453</v>
      </c>
      <c r="Q264" t="s">
        <v>74</v>
      </c>
    </row>
    <row r="265" spans="1:17" x14ac:dyDescent="0.35">
      <c r="A265">
        <v>264</v>
      </c>
      <c r="B265">
        <v>2017</v>
      </c>
      <c r="C265">
        <v>8</v>
      </c>
      <c r="D265" t="s">
        <v>38</v>
      </c>
      <c r="E265" t="s">
        <v>74</v>
      </c>
      <c r="F265" s="1">
        <v>103244</v>
      </c>
      <c r="G265" s="1">
        <v>349266</v>
      </c>
      <c r="H265">
        <v>211</v>
      </c>
      <c r="I265">
        <v>0.97</v>
      </c>
      <c r="J265">
        <v>6.29</v>
      </c>
      <c r="K265">
        <v>1.2</v>
      </c>
      <c r="L265">
        <v>10</v>
      </c>
      <c r="M265" s="1" t="e">
        <f>#N/A</f>
        <v>#N/A</v>
      </c>
      <c r="N265">
        <v>821</v>
      </c>
      <c r="Q265" t="s">
        <v>74</v>
      </c>
    </row>
    <row r="266" spans="1:17" x14ac:dyDescent="0.35">
      <c r="A266">
        <v>265</v>
      </c>
      <c r="B266">
        <v>2017</v>
      </c>
      <c r="C266">
        <v>8</v>
      </c>
      <c r="D266" t="s">
        <v>35</v>
      </c>
      <c r="E266" t="s">
        <v>85</v>
      </c>
      <c r="F266" s="1">
        <v>100066</v>
      </c>
      <c r="G266" s="1">
        <v>399903</v>
      </c>
      <c r="H266">
        <v>92</v>
      </c>
      <c r="I266">
        <v>0.97</v>
      </c>
      <c r="J266">
        <v>6.29</v>
      </c>
      <c r="K266">
        <v>1.2</v>
      </c>
      <c r="L266">
        <v>6</v>
      </c>
      <c r="M266" s="1" t="e">
        <f>#N/A</f>
        <v>#N/A</v>
      </c>
      <c r="N266">
        <v>436</v>
      </c>
      <c r="Q266" t="s">
        <v>74</v>
      </c>
    </row>
    <row r="267" spans="1:17" x14ac:dyDescent="0.35">
      <c r="A267">
        <v>266</v>
      </c>
      <c r="B267">
        <v>2017</v>
      </c>
      <c r="C267">
        <v>8</v>
      </c>
      <c r="D267" t="s">
        <v>32</v>
      </c>
      <c r="E267" t="s">
        <v>93</v>
      </c>
      <c r="F267" s="1">
        <v>108373</v>
      </c>
      <c r="G267" s="1">
        <v>276305</v>
      </c>
      <c r="H267">
        <v>301</v>
      </c>
      <c r="I267">
        <v>0.97</v>
      </c>
      <c r="J267">
        <v>6.29</v>
      </c>
      <c r="K267">
        <v>1.2</v>
      </c>
      <c r="L267">
        <v>6</v>
      </c>
      <c r="M267" s="1" t="e">
        <f>#N/A</f>
        <v>#N/A</v>
      </c>
      <c r="N267">
        <v>997</v>
      </c>
      <c r="Q267" t="s">
        <v>74</v>
      </c>
    </row>
    <row r="268" spans="1:17" x14ac:dyDescent="0.35">
      <c r="A268">
        <v>267</v>
      </c>
      <c r="B268">
        <v>2017</v>
      </c>
      <c r="C268">
        <v>8</v>
      </c>
      <c r="D268" t="s">
        <v>32</v>
      </c>
      <c r="E268" t="s">
        <v>111</v>
      </c>
      <c r="F268" s="1">
        <v>71993</v>
      </c>
      <c r="G268" s="1">
        <v>81556</v>
      </c>
      <c r="H268">
        <v>240</v>
      </c>
      <c r="I268">
        <v>0.97</v>
      </c>
      <c r="J268">
        <v>6.29</v>
      </c>
      <c r="K268">
        <v>1.2</v>
      </c>
      <c r="L268">
        <v>2</v>
      </c>
      <c r="M268" s="1" t="e">
        <f>#N/A</f>
        <v>#N/A</v>
      </c>
      <c r="N268">
        <v>766</v>
      </c>
      <c r="Q268" t="s">
        <v>74</v>
      </c>
    </row>
    <row r="269" spans="1:17" x14ac:dyDescent="0.35">
      <c r="A269">
        <v>268</v>
      </c>
      <c r="B269">
        <v>2017</v>
      </c>
      <c r="C269">
        <v>8</v>
      </c>
      <c r="D269" t="s">
        <v>35</v>
      </c>
      <c r="E269" t="s">
        <v>104</v>
      </c>
      <c r="F269" s="1">
        <v>76081</v>
      </c>
      <c r="G269" s="1">
        <v>265757</v>
      </c>
      <c r="H269">
        <v>339</v>
      </c>
      <c r="I269">
        <v>0.97</v>
      </c>
      <c r="J269">
        <v>6.29</v>
      </c>
      <c r="K269">
        <v>1.2</v>
      </c>
      <c r="L269">
        <v>5</v>
      </c>
      <c r="M269" s="1" t="e">
        <f>#N/A</f>
        <v>#N/A</v>
      </c>
      <c r="N269">
        <v>879</v>
      </c>
      <c r="Q269" t="s">
        <v>74</v>
      </c>
    </row>
    <row r="270" spans="1:17" x14ac:dyDescent="0.35">
      <c r="A270">
        <v>269</v>
      </c>
      <c r="B270">
        <v>2017</v>
      </c>
      <c r="C270">
        <v>8</v>
      </c>
      <c r="D270" t="s">
        <v>14</v>
      </c>
      <c r="E270" t="s">
        <v>119</v>
      </c>
      <c r="F270" s="1">
        <v>82975</v>
      </c>
      <c r="G270" s="1">
        <v>237646</v>
      </c>
      <c r="H270">
        <v>321</v>
      </c>
      <c r="I270">
        <v>0.97</v>
      </c>
      <c r="J270">
        <v>6.29</v>
      </c>
      <c r="K270">
        <v>1.2</v>
      </c>
      <c r="L270">
        <v>5</v>
      </c>
      <c r="M270" s="1" t="e">
        <f>#N/A</f>
        <v>#N/A</v>
      </c>
      <c r="N270">
        <v>652</v>
      </c>
      <c r="Q270" t="s">
        <v>74</v>
      </c>
    </row>
    <row r="271" spans="1:17" x14ac:dyDescent="0.35">
      <c r="A271">
        <v>270</v>
      </c>
      <c r="B271">
        <v>2017</v>
      </c>
      <c r="C271">
        <v>8</v>
      </c>
      <c r="D271" t="s">
        <v>30</v>
      </c>
      <c r="E271" t="s">
        <v>146</v>
      </c>
      <c r="F271" s="1">
        <v>41449</v>
      </c>
      <c r="G271" s="1">
        <v>323326</v>
      </c>
      <c r="H271">
        <v>388</v>
      </c>
      <c r="I271">
        <v>0.97</v>
      </c>
      <c r="J271">
        <v>6.29</v>
      </c>
      <c r="K271">
        <v>1.2</v>
      </c>
      <c r="L271">
        <v>6</v>
      </c>
      <c r="M271" s="1" t="e">
        <f>#N/A</f>
        <v>#N/A</v>
      </c>
      <c r="N271">
        <v>1119</v>
      </c>
      <c r="Q271" t="s">
        <v>75</v>
      </c>
    </row>
    <row r="272" spans="1:17" x14ac:dyDescent="0.35">
      <c r="A272">
        <v>271</v>
      </c>
      <c r="B272">
        <v>2017</v>
      </c>
      <c r="C272">
        <v>8</v>
      </c>
      <c r="D272" t="s">
        <v>35</v>
      </c>
      <c r="E272" t="s">
        <v>157</v>
      </c>
      <c r="F272" s="1">
        <v>90371</v>
      </c>
      <c r="G272" s="1">
        <v>277693</v>
      </c>
      <c r="H272">
        <v>132</v>
      </c>
      <c r="I272">
        <v>0.97</v>
      </c>
      <c r="J272">
        <v>6.29</v>
      </c>
      <c r="K272">
        <v>1.2</v>
      </c>
      <c r="L272">
        <v>2</v>
      </c>
      <c r="M272" s="1" t="e">
        <f>#N/A</f>
        <v>#N/A</v>
      </c>
      <c r="N272">
        <v>718</v>
      </c>
      <c r="Q272" t="s">
        <v>75</v>
      </c>
    </row>
    <row r="273" spans="1:17" x14ac:dyDescent="0.35">
      <c r="A273">
        <v>272</v>
      </c>
      <c r="B273">
        <v>2017</v>
      </c>
      <c r="C273">
        <v>9</v>
      </c>
      <c r="D273" t="s">
        <v>28</v>
      </c>
      <c r="E273" t="s">
        <v>53</v>
      </c>
      <c r="F273" s="1">
        <v>52174</v>
      </c>
      <c r="G273" s="1">
        <v>401770</v>
      </c>
      <c r="H273">
        <v>36</v>
      </c>
      <c r="I273">
        <v>0.97</v>
      </c>
      <c r="J273">
        <v>6.29</v>
      </c>
      <c r="K273">
        <v>1.2</v>
      </c>
      <c r="L273">
        <v>9</v>
      </c>
      <c r="M273" s="1" t="e">
        <f>#N/A</f>
        <v>#N/A</v>
      </c>
      <c r="N273">
        <v>149</v>
      </c>
      <c r="Q273" t="s">
        <v>75</v>
      </c>
    </row>
    <row r="274" spans="1:17" x14ac:dyDescent="0.35">
      <c r="A274">
        <v>273</v>
      </c>
      <c r="B274">
        <v>2017</v>
      </c>
      <c r="C274">
        <v>9</v>
      </c>
      <c r="D274" t="s">
        <v>37</v>
      </c>
      <c r="E274" t="s">
        <v>66</v>
      </c>
      <c r="F274" s="1">
        <v>119101</v>
      </c>
      <c r="G274" s="1">
        <v>336647</v>
      </c>
      <c r="H274">
        <v>112</v>
      </c>
      <c r="I274">
        <v>0.97</v>
      </c>
      <c r="J274">
        <v>6.29</v>
      </c>
      <c r="K274">
        <v>1.2</v>
      </c>
      <c r="L274">
        <v>8</v>
      </c>
      <c r="M274" s="1" t="e">
        <f>#N/A</f>
        <v>#N/A</v>
      </c>
      <c r="N274">
        <v>446</v>
      </c>
      <c r="Q274" t="s">
        <v>75</v>
      </c>
    </row>
    <row r="275" spans="1:17" x14ac:dyDescent="0.35">
      <c r="A275">
        <v>274</v>
      </c>
      <c r="B275">
        <v>2017</v>
      </c>
      <c r="C275">
        <v>9</v>
      </c>
      <c r="D275" t="s">
        <v>14</v>
      </c>
      <c r="E275" t="s">
        <v>76</v>
      </c>
      <c r="F275" s="1">
        <v>58488</v>
      </c>
      <c r="G275" s="1">
        <v>180193</v>
      </c>
      <c r="H275">
        <v>139</v>
      </c>
      <c r="I275">
        <v>0.97</v>
      </c>
      <c r="J275">
        <v>6.29</v>
      </c>
      <c r="K275">
        <v>1.2</v>
      </c>
      <c r="L275">
        <v>3</v>
      </c>
      <c r="M275" s="1" t="e">
        <f>#N/A</f>
        <v>#N/A</v>
      </c>
      <c r="N275">
        <v>426</v>
      </c>
      <c r="Q275" t="s">
        <v>75</v>
      </c>
    </row>
    <row r="276" spans="1:17" x14ac:dyDescent="0.35">
      <c r="A276">
        <v>275</v>
      </c>
      <c r="B276">
        <v>2017</v>
      </c>
      <c r="C276">
        <v>9</v>
      </c>
      <c r="D276" t="s">
        <v>25</v>
      </c>
      <c r="E276" t="s">
        <v>81</v>
      </c>
      <c r="F276" s="1">
        <v>112606</v>
      </c>
      <c r="G276" s="1">
        <v>160361</v>
      </c>
      <c r="H276">
        <v>225</v>
      </c>
      <c r="I276">
        <v>0.97</v>
      </c>
      <c r="J276">
        <v>6.29</v>
      </c>
      <c r="K276">
        <v>1.2</v>
      </c>
      <c r="L276">
        <v>3</v>
      </c>
      <c r="M276" s="1" t="e">
        <f>#N/A</f>
        <v>#N/A</v>
      </c>
      <c r="N276">
        <v>665</v>
      </c>
      <c r="Q276" t="s">
        <v>75</v>
      </c>
    </row>
    <row r="277" spans="1:17" x14ac:dyDescent="0.35">
      <c r="A277">
        <v>276</v>
      </c>
      <c r="B277">
        <v>2017</v>
      </c>
      <c r="C277">
        <v>9</v>
      </c>
      <c r="D277" t="s">
        <v>36</v>
      </c>
      <c r="E277" t="s">
        <v>94</v>
      </c>
      <c r="F277" s="1">
        <v>105411</v>
      </c>
      <c r="G277" s="1">
        <v>469543</v>
      </c>
      <c r="H277">
        <v>62</v>
      </c>
      <c r="I277">
        <v>0.97</v>
      </c>
      <c r="J277">
        <v>6.29</v>
      </c>
      <c r="K277">
        <v>1.2</v>
      </c>
      <c r="L277">
        <v>8</v>
      </c>
      <c r="M277" s="1" t="e">
        <f>#N/A</f>
        <v>#N/A</v>
      </c>
      <c r="N277">
        <v>179</v>
      </c>
      <c r="Q277" t="s">
        <v>75</v>
      </c>
    </row>
    <row r="278" spans="1:17" x14ac:dyDescent="0.35">
      <c r="A278">
        <v>277</v>
      </c>
      <c r="B278">
        <v>2017</v>
      </c>
      <c r="C278">
        <v>9</v>
      </c>
      <c r="D278" t="s">
        <v>28</v>
      </c>
      <c r="E278" t="s">
        <v>92</v>
      </c>
      <c r="F278" s="1">
        <v>84699</v>
      </c>
      <c r="G278" s="1">
        <v>239103</v>
      </c>
      <c r="H278">
        <v>297</v>
      </c>
      <c r="I278">
        <v>0.97</v>
      </c>
      <c r="J278">
        <v>6.29</v>
      </c>
      <c r="K278">
        <v>1.2</v>
      </c>
      <c r="L278">
        <v>3</v>
      </c>
      <c r="M278" s="1" t="e">
        <f>#N/A</f>
        <v>#N/A</v>
      </c>
      <c r="N278">
        <v>796</v>
      </c>
      <c r="Q278" t="s">
        <v>75</v>
      </c>
    </row>
    <row r="279" spans="1:17" x14ac:dyDescent="0.35">
      <c r="A279">
        <v>278</v>
      </c>
      <c r="B279">
        <v>2017</v>
      </c>
      <c r="C279">
        <v>9</v>
      </c>
      <c r="D279" t="s">
        <v>14</v>
      </c>
      <c r="E279" t="s">
        <v>105</v>
      </c>
      <c r="F279" s="1">
        <v>55470</v>
      </c>
      <c r="G279" s="1">
        <v>203857</v>
      </c>
      <c r="H279">
        <v>344</v>
      </c>
      <c r="I279">
        <v>0.97</v>
      </c>
      <c r="J279">
        <v>6.29</v>
      </c>
      <c r="K279">
        <v>1.2</v>
      </c>
      <c r="L279">
        <v>1</v>
      </c>
      <c r="M279" s="1" t="e">
        <f>#N/A</f>
        <v>#N/A</v>
      </c>
      <c r="N279">
        <v>1012</v>
      </c>
      <c r="Q279" t="s">
        <v>75</v>
      </c>
    </row>
    <row r="280" spans="1:17" x14ac:dyDescent="0.35">
      <c r="A280">
        <v>279</v>
      </c>
      <c r="B280">
        <v>2017</v>
      </c>
      <c r="C280">
        <v>9</v>
      </c>
      <c r="D280" t="s">
        <v>35</v>
      </c>
      <c r="E280" t="s">
        <v>137</v>
      </c>
      <c r="F280" s="1">
        <v>100497</v>
      </c>
      <c r="G280" s="1">
        <v>147493</v>
      </c>
      <c r="H280">
        <v>298</v>
      </c>
      <c r="I280">
        <v>0.97</v>
      </c>
      <c r="J280">
        <v>6.29</v>
      </c>
      <c r="K280">
        <v>1.2</v>
      </c>
      <c r="L280">
        <v>7</v>
      </c>
      <c r="M280" s="1" t="e">
        <f>#N/A</f>
        <v>#N/A</v>
      </c>
      <c r="N280">
        <v>622</v>
      </c>
      <c r="Q280" t="s">
        <v>75</v>
      </c>
    </row>
    <row r="281" spans="1:17" x14ac:dyDescent="0.35">
      <c r="A281">
        <v>280</v>
      </c>
      <c r="B281">
        <v>2017</v>
      </c>
      <c r="C281">
        <v>9</v>
      </c>
      <c r="D281" t="s">
        <v>35</v>
      </c>
      <c r="E281" t="s">
        <v>150</v>
      </c>
      <c r="F281" s="1">
        <v>37716</v>
      </c>
      <c r="G281" s="1">
        <v>453602</v>
      </c>
      <c r="H281">
        <v>140</v>
      </c>
      <c r="I281">
        <v>0.97</v>
      </c>
      <c r="J281">
        <v>6.29</v>
      </c>
      <c r="K281">
        <v>1.2</v>
      </c>
      <c r="L281">
        <v>8</v>
      </c>
      <c r="M281" s="1" t="e">
        <f>#N/A</f>
        <v>#N/A</v>
      </c>
      <c r="N281">
        <v>327</v>
      </c>
      <c r="Q281" t="s">
        <v>75</v>
      </c>
    </row>
    <row r="282" spans="1:17" x14ac:dyDescent="0.35">
      <c r="A282">
        <v>281</v>
      </c>
      <c r="B282">
        <v>2017</v>
      </c>
      <c r="C282">
        <v>9</v>
      </c>
      <c r="D282" t="s">
        <v>37</v>
      </c>
      <c r="E282" t="s">
        <v>153</v>
      </c>
      <c r="F282" s="1">
        <v>101727</v>
      </c>
      <c r="G282" s="1">
        <v>333817</v>
      </c>
      <c r="H282">
        <v>314</v>
      </c>
      <c r="I282">
        <v>0.97</v>
      </c>
      <c r="J282">
        <v>6.29</v>
      </c>
      <c r="K282">
        <v>1.2</v>
      </c>
      <c r="L282">
        <v>7</v>
      </c>
      <c r="M282" s="1" t="e">
        <f>#N/A</f>
        <v>#N/A</v>
      </c>
      <c r="N282">
        <v>889</v>
      </c>
      <c r="Q282" t="s">
        <v>75</v>
      </c>
    </row>
    <row r="283" spans="1:17" x14ac:dyDescent="0.35">
      <c r="A283">
        <v>282</v>
      </c>
      <c r="B283">
        <v>2017</v>
      </c>
      <c r="C283">
        <v>9</v>
      </c>
      <c r="D283" t="s">
        <v>36</v>
      </c>
      <c r="E283" t="s">
        <v>161</v>
      </c>
      <c r="F283" s="1">
        <v>117263</v>
      </c>
      <c r="G283" s="1">
        <v>274699</v>
      </c>
      <c r="H283">
        <v>373</v>
      </c>
      <c r="I283">
        <v>0.97</v>
      </c>
      <c r="J283">
        <v>6.29</v>
      </c>
      <c r="K283">
        <v>1.2</v>
      </c>
      <c r="L283">
        <v>4</v>
      </c>
      <c r="M283" s="1" t="e">
        <f>#N/A</f>
        <v>#N/A</v>
      </c>
      <c r="N283">
        <v>880</v>
      </c>
      <c r="Q283" t="s">
        <v>75</v>
      </c>
    </row>
    <row r="284" spans="1:17" x14ac:dyDescent="0.35">
      <c r="A284">
        <v>283</v>
      </c>
      <c r="B284">
        <v>2017</v>
      </c>
      <c r="C284">
        <v>10</v>
      </c>
      <c r="D284" t="s">
        <v>38</v>
      </c>
      <c r="E284" t="s">
        <v>49</v>
      </c>
      <c r="F284" s="1">
        <v>69678</v>
      </c>
      <c r="G284" s="1">
        <v>467230</v>
      </c>
      <c r="H284">
        <v>236</v>
      </c>
      <c r="I284">
        <v>0.97</v>
      </c>
      <c r="J284">
        <v>6.29</v>
      </c>
      <c r="K284">
        <v>1.2</v>
      </c>
      <c r="L284">
        <v>6</v>
      </c>
      <c r="M284" s="1" t="e">
        <f>#N/A</f>
        <v>#N/A</v>
      </c>
      <c r="N284">
        <v>889</v>
      </c>
      <c r="Q284" t="s">
        <v>76</v>
      </c>
    </row>
    <row r="285" spans="1:17" x14ac:dyDescent="0.35">
      <c r="A285">
        <v>284</v>
      </c>
      <c r="B285">
        <v>2017</v>
      </c>
      <c r="C285">
        <v>10</v>
      </c>
      <c r="D285" t="s">
        <v>30</v>
      </c>
      <c r="E285" t="s">
        <v>61</v>
      </c>
      <c r="F285" s="1">
        <v>118886</v>
      </c>
      <c r="G285" s="1">
        <v>186066</v>
      </c>
      <c r="H285">
        <v>106</v>
      </c>
      <c r="I285">
        <v>0.97</v>
      </c>
      <c r="J285">
        <v>6.29</v>
      </c>
      <c r="K285">
        <v>1.2</v>
      </c>
      <c r="L285">
        <v>3</v>
      </c>
      <c r="M285" s="1" t="e">
        <f>#N/A</f>
        <v>#N/A</v>
      </c>
      <c r="N285">
        <v>357</v>
      </c>
      <c r="Q285" t="s">
        <v>76</v>
      </c>
    </row>
    <row r="286" spans="1:17" x14ac:dyDescent="0.35">
      <c r="A286">
        <v>285</v>
      </c>
      <c r="B286">
        <v>2017</v>
      </c>
      <c r="C286">
        <v>10</v>
      </c>
      <c r="D286" t="s">
        <v>36</v>
      </c>
      <c r="E286" t="s">
        <v>68</v>
      </c>
      <c r="F286" s="1">
        <v>40033</v>
      </c>
      <c r="G286" s="1">
        <v>349479</v>
      </c>
      <c r="H286">
        <v>390</v>
      </c>
      <c r="I286">
        <v>0.97</v>
      </c>
      <c r="J286">
        <v>6.29</v>
      </c>
      <c r="K286">
        <v>1.2</v>
      </c>
      <c r="L286">
        <v>10</v>
      </c>
      <c r="M286" s="1" t="e">
        <f>#N/A</f>
        <v>#N/A</v>
      </c>
      <c r="N286">
        <v>1118</v>
      </c>
      <c r="Q286" t="s">
        <v>76</v>
      </c>
    </row>
    <row r="287" spans="1:17" x14ac:dyDescent="0.35">
      <c r="A287">
        <v>286</v>
      </c>
      <c r="B287">
        <v>2017</v>
      </c>
      <c r="C287">
        <v>10</v>
      </c>
      <c r="D287" t="s">
        <v>37</v>
      </c>
      <c r="E287" t="s">
        <v>88</v>
      </c>
      <c r="F287" s="1">
        <v>98927</v>
      </c>
      <c r="G287" s="1">
        <v>333353</v>
      </c>
      <c r="H287">
        <v>62</v>
      </c>
      <c r="I287">
        <v>0.97</v>
      </c>
      <c r="J287">
        <v>6.29</v>
      </c>
      <c r="K287">
        <v>1.2</v>
      </c>
      <c r="L287">
        <v>9</v>
      </c>
      <c r="M287" s="1" t="e">
        <f>#N/A</f>
        <v>#N/A</v>
      </c>
      <c r="N287">
        <v>523</v>
      </c>
      <c r="Q287" t="s">
        <v>76</v>
      </c>
    </row>
    <row r="288" spans="1:17" x14ac:dyDescent="0.35">
      <c r="A288">
        <v>287</v>
      </c>
      <c r="B288">
        <v>2017</v>
      </c>
      <c r="C288">
        <v>10</v>
      </c>
      <c r="D288" t="s">
        <v>32</v>
      </c>
      <c r="E288" t="s">
        <v>83</v>
      </c>
      <c r="F288" s="1">
        <v>97874</v>
      </c>
      <c r="G288" s="1">
        <v>248110</v>
      </c>
      <c r="H288">
        <v>225</v>
      </c>
      <c r="I288">
        <v>0.97</v>
      </c>
      <c r="J288">
        <v>6.29</v>
      </c>
      <c r="K288">
        <v>1.2</v>
      </c>
      <c r="L288">
        <v>4</v>
      </c>
      <c r="M288" s="1" t="e">
        <f>#N/A</f>
        <v>#N/A</v>
      </c>
      <c r="N288">
        <v>482</v>
      </c>
      <c r="Q288" t="s">
        <v>76</v>
      </c>
    </row>
    <row r="289" spans="1:17" x14ac:dyDescent="0.35">
      <c r="A289">
        <v>288</v>
      </c>
      <c r="B289">
        <v>2017</v>
      </c>
      <c r="C289">
        <v>10</v>
      </c>
      <c r="D289" t="s">
        <v>28</v>
      </c>
      <c r="E289" t="s">
        <v>138</v>
      </c>
      <c r="F289" s="1">
        <v>91652</v>
      </c>
      <c r="G289" s="1">
        <v>494503</v>
      </c>
      <c r="H289">
        <v>213</v>
      </c>
      <c r="I289">
        <v>0.97</v>
      </c>
      <c r="J289">
        <v>6.29</v>
      </c>
      <c r="K289">
        <v>1.2</v>
      </c>
      <c r="L289">
        <v>6</v>
      </c>
      <c r="M289" s="1" t="e">
        <f>#N/A</f>
        <v>#N/A</v>
      </c>
      <c r="N289">
        <v>725</v>
      </c>
      <c r="Q289" t="s">
        <v>76</v>
      </c>
    </row>
    <row r="290" spans="1:17" x14ac:dyDescent="0.35">
      <c r="A290">
        <v>289</v>
      </c>
      <c r="B290">
        <v>2017</v>
      </c>
      <c r="C290">
        <v>10</v>
      </c>
      <c r="D290" t="s">
        <v>28</v>
      </c>
      <c r="E290" t="s">
        <v>144</v>
      </c>
      <c r="F290" s="1">
        <v>98772</v>
      </c>
      <c r="G290" s="1">
        <v>385834</v>
      </c>
      <c r="H290">
        <v>149</v>
      </c>
      <c r="I290">
        <v>0.97</v>
      </c>
      <c r="J290">
        <v>6.29</v>
      </c>
      <c r="K290">
        <v>1.2</v>
      </c>
      <c r="L290">
        <v>2</v>
      </c>
      <c r="M290" s="1" t="e">
        <f>#N/A</f>
        <v>#N/A</v>
      </c>
      <c r="N290">
        <v>406</v>
      </c>
      <c r="Q290" t="s">
        <v>77</v>
      </c>
    </row>
    <row r="291" spans="1:17" x14ac:dyDescent="0.35">
      <c r="A291">
        <v>290</v>
      </c>
      <c r="B291">
        <v>2017</v>
      </c>
      <c r="C291">
        <v>10</v>
      </c>
      <c r="D291" t="s">
        <v>14</v>
      </c>
      <c r="E291" t="s">
        <v>143</v>
      </c>
      <c r="F291" s="1">
        <v>115440</v>
      </c>
      <c r="G291" s="1">
        <v>277544</v>
      </c>
      <c r="H291">
        <v>160</v>
      </c>
      <c r="I291">
        <v>0.97</v>
      </c>
      <c r="J291">
        <v>6.29</v>
      </c>
      <c r="K291">
        <v>1.2</v>
      </c>
      <c r="L291">
        <v>9</v>
      </c>
      <c r="M291" s="1" t="e">
        <f>#N/A</f>
        <v>#N/A</v>
      </c>
      <c r="N291">
        <v>527</v>
      </c>
      <c r="Q291" t="s">
        <v>77</v>
      </c>
    </row>
    <row r="292" spans="1:17" x14ac:dyDescent="0.35">
      <c r="A292">
        <v>291</v>
      </c>
      <c r="B292">
        <v>2017</v>
      </c>
      <c r="C292">
        <v>11</v>
      </c>
      <c r="D292" t="s">
        <v>28</v>
      </c>
      <c r="E292" t="s">
        <v>59</v>
      </c>
      <c r="F292" s="1">
        <v>118434</v>
      </c>
      <c r="G292" s="1">
        <v>442704</v>
      </c>
      <c r="H292">
        <v>64</v>
      </c>
      <c r="I292">
        <v>0.97</v>
      </c>
      <c r="J292">
        <v>6.29</v>
      </c>
      <c r="K292">
        <v>1.2</v>
      </c>
      <c r="L292">
        <v>4</v>
      </c>
      <c r="M292" s="1" t="e">
        <f>#N/A</f>
        <v>#N/A</v>
      </c>
      <c r="N292">
        <v>216</v>
      </c>
      <c r="Q292" t="s">
        <v>77</v>
      </c>
    </row>
    <row r="293" spans="1:17" x14ac:dyDescent="0.35">
      <c r="A293">
        <v>292</v>
      </c>
      <c r="B293">
        <v>2017</v>
      </c>
      <c r="C293">
        <v>11</v>
      </c>
      <c r="D293" t="s">
        <v>36</v>
      </c>
      <c r="E293" t="s">
        <v>72</v>
      </c>
      <c r="F293" s="1">
        <v>66658</v>
      </c>
      <c r="G293" s="1">
        <v>194233</v>
      </c>
      <c r="H293">
        <v>91</v>
      </c>
      <c r="I293">
        <v>0.97</v>
      </c>
      <c r="J293">
        <v>6.29</v>
      </c>
      <c r="K293">
        <v>1.2</v>
      </c>
      <c r="L293">
        <v>1</v>
      </c>
      <c r="M293" s="1" t="e">
        <f>#N/A</f>
        <v>#N/A</v>
      </c>
      <c r="N293">
        <v>499</v>
      </c>
      <c r="Q293" t="s">
        <v>77</v>
      </c>
    </row>
    <row r="294" spans="1:17" x14ac:dyDescent="0.35">
      <c r="A294">
        <v>293</v>
      </c>
      <c r="B294">
        <v>2017</v>
      </c>
      <c r="C294">
        <v>11</v>
      </c>
      <c r="D294" t="s">
        <v>32</v>
      </c>
      <c r="E294" t="s">
        <v>88</v>
      </c>
      <c r="F294" s="1">
        <v>116441</v>
      </c>
      <c r="G294" s="1">
        <v>339819</v>
      </c>
      <c r="H294">
        <v>392</v>
      </c>
      <c r="I294">
        <v>0.97</v>
      </c>
      <c r="J294">
        <v>6.29</v>
      </c>
      <c r="K294">
        <v>1.2</v>
      </c>
      <c r="L294">
        <v>6</v>
      </c>
      <c r="M294" s="1" t="e">
        <f>#N/A</f>
        <v>#N/A</v>
      </c>
      <c r="N294">
        <v>1027</v>
      </c>
      <c r="Q294" t="s">
        <v>77</v>
      </c>
    </row>
    <row r="295" spans="1:17" x14ac:dyDescent="0.35">
      <c r="A295">
        <v>294</v>
      </c>
      <c r="B295">
        <v>2017</v>
      </c>
      <c r="C295">
        <v>11</v>
      </c>
      <c r="D295" t="s">
        <v>30</v>
      </c>
      <c r="E295" t="s">
        <v>102</v>
      </c>
      <c r="F295" s="1">
        <v>89675</v>
      </c>
      <c r="G295" s="1">
        <v>300694</v>
      </c>
      <c r="H295">
        <v>315</v>
      </c>
      <c r="I295">
        <v>0.97</v>
      </c>
      <c r="J295">
        <v>6.29</v>
      </c>
      <c r="K295">
        <v>1.2</v>
      </c>
      <c r="L295">
        <v>3</v>
      </c>
      <c r="M295" s="1" t="e">
        <f>#N/A</f>
        <v>#N/A</v>
      </c>
      <c r="N295">
        <v>1029</v>
      </c>
      <c r="Q295" t="s">
        <v>77</v>
      </c>
    </row>
    <row r="296" spans="1:17" x14ac:dyDescent="0.35">
      <c r="A296">
        <v>295</v>
      </c>
      <c r="B296">
        <v>2017</v>
      </c>
      <c r="C296">
        <v>11</v>
      </c>
      <c r="D296" t="s">
        <v>28</v>
      </c>
      <c r="E296" t="s">
        <v>136</v>
      </c>
      <c r="F296" s="1">
        <v>44095</v>
      </c>
      <c r="G296" s="1">
        <v>275568</v>
      </c>
      <c r="H296">
        <v>202</v>
      </c>
      <c r="I296">
        <v>0.97</v>
      </c>
      <c r="J296">
        <v>6.29</v>
      </c>
      <c r="K296">
        <v>1.2</v>
      </c>
      <c r="L296">
        <v>1</v>
      </c>
      <c r="M296" s="1" t="e">
        <f>#N/A</f>
        <v>#N/A</v>
      </c>
      <c r="N296">
        <v>860</v>
      </c>
      <c r="Q296" t="s">
        <v>78</v>
      </c>
    </row>
    <row r="297" spans="1:17" x14ac:dyDescent="0.35">
      <c r="A297">
        <v>296</v>
      </c>
      <c r="B297">
        <v>2017</v>
      </c>
      <c r="C297">
        <v>11</v>
      </c>
      <c r="D297" t="s">
        <v>38</v>
      </c>
      <c r="E297" t="s">
        <v>132</v>
      </c>
      <c r="F297" s="1">
        <v>81751</v>
      </c>
      <c r="G297" s="1">
        <v>211297</v>
      </c>
      <c r="H297">
        <v>118</v>
      </c>
      <c r="I297">
        <v>0.97</v>
      </c>
      <c r="J297">
        <v>6.29</v>
      </c>
      <c r="K297">
        <v>1.2</v>
      </c>
      <c r="L297">
        <v>7</v>
      </c>
      <c r="M297" s="1" t="e">
        <f>#N/A</f>
        <v>#N/A</v>
      </c>
      <c r="N297">
        <v>355</v>
      </c>
      <c r="Q297" t="s">
        <v>78</v>
      </c>
    </row>
    <row r="298" spans="1:17" x14ac:dyDescent="0.35">
      <c r="A298">
        <v>297</v>
      </c>
      <c r="B298">
        <v>2017</v>
      </c>
      <c r="C298">
        <v>11</v>
      </c>
      <c r="D298" t="s">
        <v>25</v>
      </c>
      <c r="E298" t="s">
        <v>136</v>
      </c>
      <c r="F298" s="1">
        <v>65951</v>
      </c>
      <c r="G298" s="1">
        <v>408511</v>
      </c>
      <c r="H298">
        <v>366</v>
      </c>
      <c r="I298">
        <v>0.97</v>
      </c>
      <c r="J298">
        <v>6.29</v>
      </c>
      <c r="K298">
        <v>1.2</v>
      </c>
      <c r="L298">
        <v>10</v>
      </c>
      <c r="M298" s="1" t="e">
        <f>#N/A</f>
        <v>#N/A</v>
      </c>
      <c r="N298">
        <v>811</v>
      </c>
      <c r="Q298" t="s">
        <v>78</v>
      </c>
    </row>
    <row r="299" spans="1:17" x14ac:dyDescent="0.35">
      <c r="A299">
        <v>298</v>
      </c>
      <c r="B299">
        <v>2017</v>
      </c>
      <c r="C299">
        <v>11</v>
      </c>
      <c r="D299" t="s">
        <v>30</v>
      </c>
      <c r="E299" t="s">
        <v>131</v>
      </c>
      <c r="F299" s="1">
        <v>99384</v>
      </c>
      <c r="G299" s="1">
        <v>196025</v>
      </c>
      <c r="H299">
        <v>162</v>
      </c>
      <c r="I299">
        <v>0.97</v>
      </c>
      <c r="J299">
        <v>6.29</v>
      </c>
      <c r="K299">
        <v>1.2</v>
      </c>
      <c r="L299">
        <v>10</v>
      </c>
      <c r="M299" s="1" t="e">
        <f>#N/A</f>
        <v>#N/A</v>
      </c>
      <c r="N299">
        <v>515</v>
      </c>
      <c r="Q299" t="s">
        <v>78</v>
      </c>
    </row>
    <row r="300" spans="1:17" x14ac:dyDescent="0.35">
      <c r="A300">
        <v>299</v>
      </c>
      <c r="B300">
        <v>2017</v>
      </c>
      <c r="C300">
        <v>11</v>
      </c>
      <c r="D300" t="s">
        <v>35</v>
      </c>
      <c r="E300" t="s">
        <v>146</v>
      </c>
      <c r="F300" s="1">
        <v>61928</v>
      </c>
      <c r="G300" s="1">
        <v>260387</v>
      </c>
      <c r="H300">
        <v>378</v>
      </c>
      <c r="I300">
        <v>0.97</v>
      </c>
      <c r="J300">
        <v>6.29</v>
      </c>
      <c r="K300">
        <v>1.2</v>
      </c>
      <c r="L300">
        <v>9</v>
      </c>
      <c r="M300" s="1" t="e">
        <f>#N/A</f>
        <v>#N/A</v>
      </c>
      <c r="N300">
        <v>798</v>
      </c>
      <c r="Q300" t="s">
        <v>78</v>
      </c>
    </row>
    <row r="301" spans="1:17" x14ac:dyDescent="0.35">
      <c r="A301">
        <v>300</v>
      </c>
      <c r="B301">
        <v>2017</v>
      </c>
      <c r="C301">
        <v>11</v>
      </c>
      <c r="D301" t="s">
        <v>32</v>
      </c>
      <c r="E301" t="s">
        <v>155</v>
      </c>
      <c r="F301" s="1">
        <v>66973</v>
      </c>
      <c r="G301" s="1">
        <v>131515</v>
      </c>
      <c r="H301">
        <v>332</v>
      </c>
      <c r="I301">
        <v>0.97</v>
      </c>
      <c r="J301">
        <v>6.29</v>
      </c>
      <c r="K301">
        <v>1.2</v>
      </c>
      <c r="L301">
        <v>7</v>
      </c>
      <c r="M301" s="1" t="e">
        <f>#N/A</f>
        <v>#N/A</v>
      </c>
      <c r="N301">
        <v>737</v>
      </c>
      <c r="Q301" t="s">
        <v>78</v>
      </c>
    </row>
    <row r="302" spans="1:17" x14ac:dyDescent="0.35">
      <c r="A302">
        <v>301</v>
      </c>
      <c r="B302">
        <v>2017</v>
      </c>
      <c r="C302">
        <v>12</v>
      </c>
      <c r="D302" t="s">
        <v>28</v>
      </c>
      <c r="E302" t="s">
        <v>53</v>
      </c>
      <c r="F302" s="1">
        <v>117936</v>
      </c>
      <c r="G302" s="1">
        <v>291532</v>
      </c>
      <c r="H302">
        <v>58</v>
      </c>
      <c r="I302">
        <v>0.97</v>
      </c>
      <c r="J302">
        <v>6.29</v>
      </c>
      <c r="K302">
        <v>1.2</v>
      </c>
      <c r="L302">
        <v>9</v>
      </c>
      <c r="M302" s="1" t="e">
        <f>#N/A</f>
        <v>#N/A</v>
      </c>
      <c r="N302">
        <v>441</v>
      </c>
      <c r="Q302" t="s">
        <v>78</v>
      </c>
    </row>
    <row r="303" spans="1:17" x14ac:dyDescent="0.35">
      <c r="A303">
        <v>302</v>
      </c>
      <c r="B303">
        <v>2017</v>
      </c>
      <c r="C303">
        <v>12</v>
      </c>
      <c r="D303" t="s">
        <v>28</v>
      </c>
      <c r="E303" t="s">
        <v>87</v>
      </c>
      <c r="F303" s="1">
        <v>64001</v>
      </c>
      <c r="G303" s="1">
        <v>296231</v>
      </c>
      <c r="H303">
        <v>268</v>
      </c>
      <c r="I303">
        <v>0.97</v>
      </c>
      <c r="J303">
        <v>6.29</v>
      </c>
      <c r="K303">
        <v>1.2</v>
      </c>
      <c r="L303">
        <v>9</v>
      </c>
      <c r="M303" s="1" t="e">
        <f>#N/A</f>
        <v>#N/A</v>
      </c>
      <c r="N303">
        <v>709</v>
      </c>
      <c r="Q303" t="s">
        <v>78</v>
      </c>
    </row>
    <row r="304" spans="1:17" x14ac:dyDescent="0.35">
      <c r="A304">
        <v>303</v>
      </c>
      <c r="B304">
        <v>2017</v>
      </c>
      <c r="C304">
        <v>12</v>
      </c>
      <c r="D304" t="s">
        <v>30</v>
      </c>
      <c r="E304" t="s">
        <v>82</v>
      </c>
      <c r="F304" s="1">
        <v>96868</v>
      </c>
      <c r="G304" s="1">
        <v>451634</v>
      </c>
      <c r="H304">
        <v>116</v>
      </c>
      <c r="I304">
        <v>0.97</v>
      </c>
      <c r="J304">
        <v>6.29</v>
      </c>
      <c r="K304">
        <v>1.2</v>
      </c>
      <c r="L304">
        <v>8</v>
      </c>
      <c r="M304" s="1" t="e">
        <f>#N/A</f>
        <v>#N/A</v>
      </c>
      <c r="N304">
        <v>455</v>
      </c>
      <c r="Q304" t="s">
        <v>78</v>
      </c>
    </row>
    <row r="305" spans="1:17" x14ac:dyDescent="0.35">
      <c r="A305">
        <v>304</v>
      </c>
      <c r="B305">
        <v>2017</v>
      </c>
      <c r="C305">
        <v>12</v>
      </c>
      <c r="D305" t="s">
        <v>25</v>
      </c>
      <c r="E305" t="s">
        <v>108</v>
      </c>
      <c r="F305" s="1">
        <v>74884</v>
      </c>
      <c r="G305" s="1">
        <v>87860</v>
      </c>
      <c r="H305">
        <v>345</v>
      </c>
      <c r="I305">
        <v>0.97</v>
      </c>
      <c r="J305">
        <v>6.29</v>
      </c>
      <c r="K305">
        <v>1.2</v>
      </c>
      <c r="L305">
        <v>6</v>
      </c>
      <c r="M305" s="1" t="e">
        <f>#N/A</f>
        <v>#N/A</v>
      </c>
      <c r="N305">
        <v>836</v>
      </c>
      <c r="Q305" t="s">
        <v>78</v>
      </c>
    </row>
    <row r="306" spans="1:17" x14ac:dyDescent="0.35">
      <c r="A306">
        <v>305</v>
      </c>
      <c r="B306">
        <v>2017</v>
      </c>
      <c r="C306">
        <v>12</v>
      </c>
      <c r="D306" t="s">
        <v>38</v>
      </c>
      <c r="E306" t="s">
        <v>132</v>
      </c>
      <c r="F306" s="1">
        <v>40974</v>
      </c>
      <c r="G306" s="1">
        <v>236720</v>
      </c>
      <c r="H306">
        <v>279</v>
      </c>
      <c r="I306">
        <v>0.97</v>
      </c>
      <c r="J306">
        <v>6.29</v>
      </c>
      <c r="K306">
        <v>1.2</v>
      </c>
      <c r="L306">
        <v>4</v>
      </c>
      <c r="M306" s="1" t="e">
        <f>#N/A</f>
        <v>#N/A</v>
      </c>
      <c r="N306">
        <v>699</v>
      </c>
      <c r="Q306" t="s">
        <v>78</v>
      </c>
    </row>
    <row r="307" spans="1:17" x14ac:dyDescent="0.35">
      <c r="A307">
        <v>306</v>
      </c>
      <c r="B307">
        <v>2017</v>
      </c>
      <c r="C307">
        <v>12</v>
      </c>
      <c r="D307" t="s">
        <v>30</v>
      </c>
      <c r="E307" t="s">
        <v>131</v>
      </c>
      <c r="F307" s="1">
        <v>72344</v>
      </c>
      <c r="G307" s="1">
        <v>386643</v>
      </c>
      <c r="H307">
        <v>309</v>
      </c>
      <c r="I307">
        <v>0.97</v>
      </c>
      <c r="J307">
        <v>6.29</v>
      </c>
      <c r="K307">
        <v>1.2</v>
      </c>
      <c r="L307">
        <v>4</v>
      </c>
      <c r="M307" s="1" t="e">
        <f>#N/A</f>
        <v>#N/A</v>
      </c>
      <c r="N307">
        <v>931</v>
      </c>
      <c r="Q307" t="s">
        <v>79</v>
      </c>
    </row>
    <row r="308" spans="1:17" x14ac:dyDescent="0.35">
      <c r="A308">
        <v>307</v>
      </c>
      <c r="B308">
        <v>2017</v>
      </c>
      <c r="C308">
        <v>12</v>
      </c>
      <c r="D308" t="s">
        <v>21</v>
      </c>
      <c r="E308" t="s">
        <v>139</v>
      </c>
      <c r="F308" s="1">
        <v>100364</v>
      </c>
      <c r="G308" s="1">
        <v>152877</v>
      </c>
      <c r="H308">
        <v>179</v>
      </c>
      <c r="I308">
        <v>0.97</v>
      </c>
      <c r="J308">
        <v>6.29</v>
      </c>
      <c r="K308">
        <v>1.2</v>
      </c>
      <c r="L308">
        <v>6</v>
      </c>
      <c r="M308" s="1" t="e">
        <f>#N/A</f>
        <v>#N/A</v>
      </c>
      <c r="N308">
        <v>639</v>
      </c>
      <c r="Q308" t="s">
        <v>79</v>
      </c>
    </row>
    <row r="309" spans="1:17" x14ac:dyDescent="0.35">
      <c r="A309">
        <v>308</v>
      </c>
      <c r="B309">
        <v>2017</v>
      </c>
      <c r="C309">
        <v>12</v>
      </c>
      <c r="D309" t="s">
        <v>14</v>
      </c>
      <c r="E309" t="s">
        <v>144</v>
      </c>
      <c r="F309" s="1">
        <v>56164</v>
      </c>
      <c r="G309" s="1">
        <v>361438</v>
      </c>
      <c r="H309">
        <v>335</v>
      </c>
      <c r="I309">
        <v>0.97</v>
      </c>
      <c r="J309">
        <v>6.29</v>
      </c>
      <c r="K309">
        <v>1.2</v>
      </c>
      <c r="L309">
        <v>2</v>
      </c>
      <c r="M309" s="1" t="e">
        <f>#N/A</f>
        <v>#N/A</v>
      </c>
      <c r="N309">
        <v>822</v>
      </c>
      <c r="Q309" t="s">
        <v>79</v>
      </c>
    </row>
    <row r="310" spans="1:17" x14ac:dyDescent="0.35">
      <c r="A310">
        <v>309</v>
      </c>
      <c r="B310">
        <v>2017</v>
      </c>
      <c r="C310">
        <v>12</v>
      </c>
      <c r="D310" t="s">
        <v>25</v>
      </c>
      <c r="E310" t="s">
        <v>144</v>
      </c>
      <c r="F310" s="1">
        <v>40730</v>
      </c>
      <c r="G310" s="1">
        <v>414271</v>
      </c>
      <c r="H310">
        <v>398</v>
      </c>
      <c r="I310">
        <v>0.97</v>
      </c>
      <c r="J310">
        <v>6.29</v>
      </c>
      <c r="K310">
        <v>1.2</v>
      </c>
      <c r="L310">
        <v>2</v>
      </c>
      <c r="M310" s="1" t="e">
        <f>#N/A</f>
        <v>#N/A</v>
      </c>
      <c r="N310">
        <v>1096</v>
      </c>
      <c r="Q310" t="s">
        <v>79</v>
      </c>
    </row>
    <row r="311" spans="1:17" x14ac:dyDescent="0.35">
      <c r="A311">
        <v>310</v>
      </c>
      <c r="B311">
        <v>2017</v>
      </c>
      <c r="C311">
        <v>12</v>
      </c>
      <c r="D311" t="s">
        <v>28</v>
      </c>
      <c r="E311" t="s">
        <v>145</v>
      </c>
      <c r="F311" s="1">
        <v>49271</v>
      </c>
      <c r="G311" s="1">
        <v>488744</v>
      </c>
      <c r="H311">
        <v>356</v>
      </c>
      <c r="I311">
        <v>0.97</v>
      </c>
      <c r="J311">
        <v>6.29</v>
      </c>
      <c r="K311">
        <v>1.2</v>
      </c>
      <c r="L311">
        <v>3</v>
      </c>
      <c r="M311" s="1" t="e">
        <f>#N/A</f>
        <v>#N/A</v>
      </c>
      <c r="N311">
        <v>967</v>
      </c>
      <c r="Q311" t="s">
        <v>79</v>
      </c>
    </row>
    <row r="312" spans="1:17" x14ac:dyDescent="0.35">
      <c r="A312">
        <v>311</v>
      </c>
      <c r="B312">
        <v>2017</v>
      </c>
      <c r="C312">
        <v>12</v>
      </c>
      <c r="D312" t="s">
        <v>36</v>
      </c>
      <c r="E312" t="s">
        <v>140</v>
      </c>
      <c r="F312" s="1">
        <v>38720</v>
      </c>
      <c r="G312" s="1">
        <v>107836</v>
      </c>
      <c r="H312">
        <v>99</v>
      </c>
      <c r="I312">
        <v>0.97</v>
      </c>
      <c r="J312">
        <v>6.29</v>
      </c>
      <c r="K312">
        <v>1.2</v>
      </c>
      <c r="L312">
        <v>6</v>
      </c>
      <c r="M312" s="1" t="e">
        <f>#N/A</f>
        <v>#N/A</v>
      </c>
      <c r="N312">
        <v>349</v>
      </c>
      <c r="Q312" t="s">
        <v>79</v>
      </c>
    </row>
    <row r="313" spans="1:17" x14ac:dyDescent="0.35">
      <c r="A313">
        <v>312</v>
      </c>
      <c r="B313">
        <v>2018</v>
      </c>
      <c r="C313">
        <v>1</v>
      </c>
      <c r="D313" t="s">
        <v>38</v>
      </c>
      <c r="E313" t="s">
        <v>53</v>
      </c>
      <c r="F313" s="1">
        <v>95610</v>
      </c>
      <c r="G313" s="1">
        <v>73548</v>
      </c>
      <c r="H313">
        <v>224</v>
      </c>
      <c r="I313">
        <v>0.97</v>
      </c>
      <c r="J313">
        <v>6.29</v>
      </c>
      <c r="K313">
        <v>1.2</v>
      </c>
      <c r="L313">
        <v>8</v>
      </c>
      <c r="M313" s="1" t="e">
        <f>#N/A</f>
        <v>#N/A</v>
      </c>
      <c r="N313">
        <v>685</v>
      </c>
      <c r="Q313" t="s">
        <v>79</v>
      </c>
    </row>
    <row r="314" spans="1:17" x14ac:dyDescent="0.35">
      <c r="A314">
        <v>313</v>
      </c>
      <c r="B314">
        <v>2018</v>
      </c>
      <c r="C314">
        <v>1</v>
      </c>
      <c r="D314" t="s">
        <v>28</v>
      </c>
      <c r="E314" t="s">
        <v>46</v>
      </c>
      <c r="F314" s="1">
        <v>106792</v>
      </c>
      <c r="G314" s="1">
        <v>361714</v>
      </c>
      <c r="H314">
        <v>130</v>
      </c>
      <c r="I314">
        <v>0.97</v>
      </c>
      <c r="J314">
        <v>6.29</v>
      </c>
      <c r="K314">
        <v>1.2</v>
      </c>
      <c r="L314">
        <v>6</v>
      </c>
      <c r="M314" s="1" t="e">
        <f>#N/A</f>
        <v>#N/A</v>
      </c>
      <c r="N314">
        <v>496</v>
      </c>
      <c r="Q314" t="s">
        <v>79</v>
      </c>
    </row>
    <row r="315" spans="1:17" x14ac:dyDescent="0.35">
      <c r="A315">
        <v>314</v>
      </c>
      <c r="B315">
        <v>2018</v>
      </c>
      <c r="C315">
        <v>1</v>
      </c>
      <c r="D315" t="s">
        <v>35</v>
      </c>
      <c r="E315" t="s">
        <v>63</v>
      </c>
      <c r="F315" s="1">
        <v>45310</v>
      </c>
      <c r="G315" s="1">
        <v>463440</v>
      </c>
      <c r="H315">
        <v>183</v>
      </c>
      <c r="I315">
        <v>0.97</v>
      </c>
      <c r="J315">
        <v>6.29</v>
      </c>
      <c r="K315">
        <v>1.2</v>
      </c>
      <c r="L315">
        <v>8</v>
      </c>
      <c r="M315" s="1" t="e">
        <f>#N/A</f>
        <v>#N/A</v>
      </c>
      <c r="N315">
        <v>421</v>
      </c>
      <c r="Q315" t="s">
        <v>79</v>
      </c>
    </row>
    <row r="316" spans="1:17" x14ac:dyDescent="0.35">
      <c r="A316">
        <v>315</v>
      </c>
      <c r="B316">
        <v>2018</v>
      </c>
      <c r="C316">
        <v>1</v>
      </c>
      <c r="D316" t="s">
        <v>25</v>
      </c>
      <c r="E316" t="s">
        <v>74</v>
      </c>
      <c r="F316" s="1">
        <v>42211</v>
      </c>
      <c r="G316" s="1">
        <v>453708</v>
      </c>
      <c r="H316">
        <v>23</v>
      </c>
      <c r="I316">
        <v>0.97</v>
      </c>
      <c r="J316">
        <v>6.29</v>
      </c>
      <c r="K316">
        <v>1.2</v>
      </c>
      <c r="L316">
        <v>10</v>
      </c>
      <c r="M316" s="1" t="e">
        <f>#N/A</f>
        <v>#N/A</v>
      </c>
      <c r="N316">
        <v>121</v>
      </c>
      <c r="Q316" t="s">
        <v>80</v>
      </c>
    </row>
    <row r="317" spans="1:17" x14ac:dyDescent="0.35">
      <c r="A317">
        <v>316</v>
      </c>
      <c r="B317">
        <v>2018</v>
      </c>
      <c r="C317">
        <v>1</v>
      </c>
      <c r="D317" t="s">
        <v>28</v>
      </c>
      <c r="E317" t="s">
        <v>89</v>
      </c>
      <c r="F317" s="1">
        <v>90432</v>
      </c>
      <c r="G317" s="1">
        <v>398216</v>
      </c>
      <c r="H317">
        <v>381</v>
      </c>
      <c r="I317">
        <v>0.97</v>
      </c>
      <c r="J317">
        <v>6.29</v>
      </c>
      <c r="K317">
        <v>1.2</v>
      </c>
      <c r="L317">
        <v>9</v>
      </c>
      <c r="M317" s="1" t="e">
        <f>#N/A</f>
        <v>#N/A</v>
      </c>
      <c r="N317">
        <v>1195</v>
      </c>
      <c r="Q317" t="s">
        <v>80</v>
      </c>
    </row>
    <row r="318" spans="1:17" x14ac:dyDescent="0.35">
      <c r="A318">
        <v>317</v>
      </c>
      <c r="B318">
        <v>2018</v>
      </c>
      <c r="C318">
        <v>1</v>
      </c>
      <c r="D318" t="s">
        <v>37</v>
      </c>
      <c r="E318" t="s">
        <v>95</v>
      </c>
      <c r="F318" s="1">
        <v>57092</v>
      </c>
      <c r="G318" s="1">
        <v>276905</v>
      </c>
      <c r="H318">
        <v>240</v>
      </c>
      <c r="I318">
        <v>0.97</v>
      </c>
      <c r="J318">
        <v>6.29</v>
      </c>
      <c r="K318">
        <v>1.2</v>
      </c>
      <c r="L318">
        <v>8</v>
      </c>
      <c r="M318" s="1" t="e">
        <f>#N/A</f>
        <v>#N/A</v>
      </c>
      <c r="N318">
        <v>719</v>
      </c>
      <c r="Q318" t="s">
        <v>80</v>
      </c>
    </row>
    <row r="319" spans="1:17" x14ac:dyDescent="0.35">
      <c r="A319">
        <v>318</v>
      </c>
      <c r="B319">
        <v>2018</v>
      </c>
      <c r="C319">
        <v>2</v>
      </c>
      <c r="D319" t="s">
        <v>35</v>
      </c>
      <c r="E319" t="s">
        <v>47</v>
      </c>
      <c r="F319" s="1">
        <v>36893</v>
      </c>
      <c r="G319" s="1">
        <v>403791</v>
      </c>
      <c r="H319">
        <v>232</v>
      </c>
      <c r="I319">
        <v>0.97</v>
      </c>
      <c r="J319">
        <v>6.29</v>
      </c>
      <c r="K319">
        <v>1.2</v>
      </c>
      <c r="L319">
        <v>2</v>
      </c>
      <c r="M319" s="1" t="e">
        <f>#N/A</f>
        <v>#N/A</v>
      </c>
      <c r="N319">
        <v>534</v>
      </c>
      <c r="Q319" t="s">
        <v>80</v>
      </c>
    </row>
    <row r="320" spans="1:17" x14ac:dyDescent="0.35">
      <c r="A320">
        <v>319</v>
      </c>
      <c r="B320">
        <v>2018</v>
      </c>
      <c r="C320">
        <v>2</v>
      </c>
      <c r="D320" t="s">
        <v>25</v>
      </c>
      <c r="E320" t="s">
        <v>79</v>
      </c>
      <c r="F320" s="1">
        <v>65699</v>
      </c>
      <c r="G320" s="1">
        <v>463532</v>
      </c>
      <c r="H320">
        <v>267</v>
      </c>
      <c r="I320">
        <v>0.97</v>
      </c>
      <c r="J320">
        <v>6.29</v>
      </c>
      <c r="K320">
        <v>1.2</v>
      </c>
      <c r="L320">
        <v>9</v>
      </c>
      <c r="M320" s="1" t="e">
        <f>#N/A</f>
        <v>#N/A</v>
      </c>
      <c r="N320">
        <v>582</v>
      </c>
      <c r="Q320" t="s">
        <v>80</v>
      </c>
    </row>
    <row r="321" spans="1:17" x14ac:dyDescent="0.35">
      <c r="A321">
        <v>320</v>
      </c>
      <c r="B321">
        <v>2018</v>
      </c>
      <c r="C321">
        <v>2</v>
      </c>
      <c r="D321" t="s">
        <v>28</v>
      </c>
      <c r="E321" t="s">
        <v>91</v>
      </c>
      <c r="F321" s="1">
        <v>35066</v>
      </c>
      <c r="G321" s="1">
        <v>183501</v>
      </c>
      <c r="H321">
        <v>273</v>
      </c>
      <c r="I321">
        <v>0.97</v>
      </c>
      <c r="J321">
        <v>6.29</v>
      </c>
      <c r="K321">
        <v>1.2</v>
      </c>
      <c r="L321">
        <v>1</v>
      </c>
      <c r="M321" s="1" t="e">
        <f>#N/A</f>
        <v>#N/A</v>
      </c>
      <c r="N321">
        <v>878</v>
      </c>
      <c r="Q321" t="s">
        <v>80</v>
      </c>
    </row>
    <row r="322" spans="1:17" x14ac:dyDescent="0.35">
      <c r="A322">
        <v>321</v>
      </c>
      <c r="B322">
        <v>2018</v>
      </c>
      <c r="C322">
        <v>2</v>
      </c>
      <c r="D322" t="s">
        <v>14</v>
      </c>
      <c r="E322" t="s">
        <v>89</v>
      </c>
      <c r="F322" s="1">
        <v>117916</v>
      </c>
      <c r="G322" s="1">
        <v>269057</v>
      </c>
      <c r="H322">
        <v>110</v>
      </c>
      <c r="I322">
        <v>0.97</v>
      </c>
      <c r="J322">
        <v>6.29</v>
      </c>
      <c r="K322">
        <v>1.2</v>
      </c>
      <c r="L322">
        <v>6</v>
      </c>
      <c r="M322" s="1" t="e">
        <f>#N/A</f>
        <v>#N/A</v>
      </c>
      <c r="N322">
        <v>360</v>
      </c>
      <c r="Q322" t="s">
        <v>80</v>
      </c>
    </row>
    <row r="323" spans="1:17" x14ac:dyDescent="0.35">
      <c r="A323">
        <v>322</v>
      </c>
      <c r="B323">
        <v>2018</v>
      </c>
      <c r="C323">
        <v>2</v>
      </c>
      <c r="D323" t="s">
        <v>37</v>
      </c>
      <c r="E323" t="s">
        <v>92</v>
      </c>
      <c r="F323" s="1">
        <v>57499</v>
      </c>
      <c r="G323" s="1">
        <v>69403</v>
      </c>
      <c r="H323">
        <v>172</v>
      </c>
      <c r="I323">
        <v>0.97</v>
      </c>
      <c r="J323">
        <v>6.29</v>
      </c>
      <c r="K323">
        <v>1.2</v>
      </c>
      <c r="L323">
        <v>1</v>
      </c>
      <c r="M323" s="1" t="e">
        <f>#N/A</f>
        <v>#N/A</v>
      </c>
      <c r="N323">
        <v>765</v>
      </c>
      <c r="Q323" t="s">
        <v>81</v>
      </c>
    </row>
    <row r="324" spans="1:17" x14ac:dyDescent="0.35">
      <c r="A324">
        <v>323</v>
      </c>
      <c r="B324">
        <v>2018</v>
      </c>
      <c r="C324">
        <v>2</v>
      </c>
      <c r="D324" t="s">
        <v>38</v>
      </c>
      <c r="E324" t="s">
        <v>94</v>
      </c>
      <c r="F324" s="1">
        <v>90421</v>
      </c>
      <c r="G324" s="1">
        <v>239607</v>
      </c>
      <c r="H324">
        <v>233</v>
      </c>
      <c r="I324">
        <v>0.97</v>
      </c>
      <c r="J324">
        <v>6.29</v>
      </c>
      <c r="K324">
        <v>1.2</v>
      </c>
      <c r="L324">
        <v>3</v>
      </c>
      <c r="M324" s="1" t="e">
        <f>#N/A</f>
        <v>#N/A</v>
      </c>
      <c r="N324">
        <v>591</v>
      </c>
      <c r="Q324" t="s">
        <v>81</v>
      </c>
    </row>
    <row r="325" spans="1:17" x14ac:dyDescent="0.35">
      <c r="A325">
        <v>324</v>
      </c>
      <c r="B325">
        <v>2018</v>
      </c>
      <c r="C325">
        <v>2</v>
      </c>
      <c r="D325" t="s">
        <v>32</v>
      </c>
      <c r="E325" t="s">
        <v>106</v>
      </c>
      <c r="F325" s="1">
        <v>39368</v>
      </c>
      <c r="G325" s="1">
        <v>157669</v>
      </c>
      <c r="H325">
        <v>289</v>
      </c>
      <c r="I325">
        <v>0.97</v>
      </c>
      <c r="J325">
        <v>6.29</v>
      </c>
      <c r="K325">
        <v>1.2</v>
      </c>
      <c r="L325">
        <v>6</v>
      </c>
      <c r="M325" s="1" t="e">
        <f>#N/A</f>
        <v>#N/A</v>
      </c>
      <c r="N325">
        <v>971</v>
      </c>
      <c r="Q325" t="s">
        <v>81</v>
      </c>
    </row>
    <row r="326" spans="1:17" x14ac:dyDescent="0.35">
      <c r="A326">
        <v>325</v>
      </c>
      <c r="B326">
        <v>2018</v>
      </c>
      <c r="C326">
        <v>2</v>
      </c>
      <c r="D326" t="s">
        <v>36</v>
      </c>
      <c r="E326" t="s">
        <v>128</v>
      </c>
      <c r="F326" s="1">
        <v>98212</v>
      </c>
      <c r="G326" s="1">
        <v>341619</v>
      </c>
      <c r="H326">
        <v>240</v>
      </c>
      <c r="I326">
        <v>0.97</v>
      </c>
      <c r="J326">
        <v>6.29</v>
      </c>
      <c r="K326">
        <v>1.2</v>
      </c>
      <c r="L326">
        <v>9</v>
      </c>
      <c r="M326" s="1" t="e">
        <f>#N/A</f>
        <v>#N/A</v>
      </c>
      <c r="N326">
        <v>911</v>
      </c>
      <c r="Q326" t="s">
        <v>82</v>
      </c>
    </row>
    <row r="327" spans="1:17" x14ac:dyDescent="0.35">
      <c r="A327">
        <v>326</v>
      </c>
      <c r="B327">
        <v>2018</v>
      </c>
      <c r="C327">
        <v>2</v>
      </c>
      <c r="D327" t="s">
        <v>38</v>
      </c>
      <c r="E327" t="s">
        <v>149</v>
      </c>
      <c r="F327" s="1">
        <v>116384</v>
      </c>
      <c r="G327" s="1">
        <v>220635</v>
      </c>
      <c r="H327">
        <v>294</v>
      </c>
      <c r="I327">
        <v>0.97</v>
      </c>
      <c r="J327">
        <v>6.29</v>
      </c>
      <c r="K327">
        <v>1.2</v>
      </c>
      <c r="L327">
        <v>5</v>
      </c>
      <c r="M327" s="1" t="e">
        <f>#N/A</f>
        <v>#N/A</v>
      </c>
      <c r="N327">
        <v>769</v>
      </c>
      <c r="Q327" t="s">
        <v>82</v>
      </c>
    </row>
    <row r="328" spans="1:17" x14ac:dyDescent="0.35">
      <c r="A328">
        <v>327</v>
      </c>
      <c r="B328">
        <v>2018</v>
      </c>
      <c r="C328">
        <v>2</v>
      </c>
      <c r="D328" t="s">
        <v>30</v>
      </c>
      <c r="E328" t="s">
        <v>151</v>
      </c>
      <c r="F328" s="1">
        <v>114737</v>
      </c>
      <c r="G328" s="1">
        <v>192339</v>
      </c>
      <c r="H328">
        <v>162</v>
      </c>
      <c r="I328">
        <v>0.97</v>
      </c>
      <c r="J328">
        <v>6.29</v>
      </c>
      <c r="K328">
        <v>1.2</v>
      </c>
      <c r="L328">
        <v>4</v>
      </c>
      <c r="M328" s="1" t="e">
        <f>#N/A</f>
        <v>#N/A</v>
      </c>
      <c r="N328">
        <v>747</v>
      </c>
      <c r="Q328" t="s">
        <v>82</v>
      </c>
    </row>
    <row r="329" spans="1:17" x14ac:dyDescent="0.35">
      <c r="A329">
        <v>328</v>
      </c>
      <c r="B329">
        <v>2018</v>
      </c>
      <c r="C329">
        <v>2</v>
      </c>
      <c r="D329" t="s">
        <v>38</v>
      </c>
      <c r="E329" t="s">
        <v>155</v>
      </c>
      <c r="F329" s="1">
        <v>95758</v>
      </c>
      <c r="G329" s="1">
        <v>106116</v>
      </c>
      <c r="H329">
        <v>269</v>
      </c>
      <c r="I329">
        <v>0.97</v>
      </c>
      <c r="J329">
        <v>6.29</v>
      </c>
      <c r="K329">
        <v>1.2</v>
      </c>
      <c r="L329">
        <v>7</v>
      </c>
      <c r="M329" s="1" t="e">
        <f>#N/A</f>
        <v>#N/A</v>
      </c>
      <c r="N329">
        <v>725</v>
      </c>
      <c r="Q329" t="s">
        <v>82</v>
      </c>
    </row>
    <row r="330" spans="1:17" x14ac:dyDescent="0.35">
      <c r="A330">
        <v>329</v>
      </c>
      <c r="B330">
        <v>2018</v>
      </c>
      <c r="C330">
        <v>3</v>
      </c>
      <c r="D330" t="s">
        <v>25</v>
      </c>
      <c r="E330" t="s">
        <v>62</v>
      </c>
      <c r="F330" s="1">
        <v>73990</v>
      </c>
      <c r="G330" s="1">
        <v>423704</v>
      </c>
      <c r="H330">
        <v>287</v>
      </c>
      <c r="I330">
        <v>0.97</v>
      </c>
      <c r="J330">
        <v>6.29</v>
      </c>
      <c r="K330">
        <v>1.2</v>
      </c>
      <c r="L330">
        <v>9</v>
      </c>
      <c r="M330" s="1" t="e">
        <f>#N/A</f>
        <v>#N/A</v>
      </c>
      <c r="N330">
        <v>930</v>
      </c>
      <c r="Q330" t="s">
        <v>82</v>
      </c>
    </row>
    <row r="331" spans="1:17" x14ac:dyDescent="0.35">
      <c r="A331">
        <v>330</v>
      </c>
      <c r="B331">
        <v>2018</v>
      </c>
      <c r="C331">
        <v>3</v>
      </c>
      <c r="D331" t="s">
        <v>30</v>
      </c>
      <c r="E331" t="s">
        <v>80</v>
      </c>
      <c r="F331" s="1">
        <v>38956</v>
      </c>
      <c r="G331" s="1">
        <v>223501</v>
      </c>
      <c r="H331">
        <v>138</v>
      </c>
      <c r="I331">
        <v>0.97</v>
      </c>
      <c r="J331">
        <v>6.29</v>
      </c>
      <c r="K331">
        <v>1.2</v>
      </c>
      <c r="L331">
        <v>1</v>
      </c>
      <c r="M331" s="1" t="e">
        <f>#N/A</f>
        <v>#N/A</v>
      </c>
      <c r="N331">
        <v>457</v>
      </c>
      <c r="Q331" t="s">
        <v>82</v>
      </c>
    </row>
    <row r="332" spans="1:17" x14ac:dyDescent="0.35">
      <c r="A332">
        <v>331</v>
      </c>
      <c r="B332">
        <v>2018</v>
      </c>
      <c r="C332">
        <v>3</v>
      </c>
      <c r="D332" t="s">
        <v>14</v>
      </c>
      <c r="E332" t="s">
        <v>91</v>
      </c>
      <c r="F332" s="1">
        <v>93755</v>
      </c>
      <c r="G332" s="1">
        <v>303017</v>
      </c>
      <c r="H332">
        <v>20</v>
      </c>
      <c r="I332">
        <v>0.97</v>
      </c>
      <c r="J332">
        <v>6.29</v>
      </c>
      <c r="K332">
        <v>1.2</v>
      </c>
      <c r="L332">
        <v>8</v>
      </c>
      <c r="M332" s="1" t="e">
        <f>#N/A</f>
        <v>#N/A</v>
      </c>
      <c r="N332">
        <v>417</v>
      </c>
      <c r="Q332" t="s">
        <v>82</v>
      </c>
    </row>
    <row r="333" spans="1:17" x14ac:dyDescent="0.35">
      <c r="A333">
        <v>332</v>
      </c>
      <c r="B333">
        <v>2018</v>
      </c>
      <c r="C333">
        <v>3</v>
      </c>
      <c r="D333" t="s">
        <v>14</v>
      </c>
      <c r="E333" t="s">
        <v>84</v>
      </c>
      <c r="F333" s="1">
        <v>39011</v>
      </c>
      <c r="G333" s="1">
        <v>449346</v>
      </c>
      <c r="H333">
        <v>228</v>
      </c>
      <c r="I333">
        <v>0.97</v>
      </c>
      <c r="J333">
        <v>6.29</v>
      </c>
      <c r="K333">
        <v>1.2</v>
      </c>
      <c r="L333">
        <v>4</v>
      </c>
      <c r="M333" s="1" t="e">
        <f>#N/A</f>
        <v>#N/A</v>
      </c>
      <c r="N333">
        <v>951</v>
      </c>
      <c r="Q333" t="s">
        <v>82</v>
      </c>
    </row>
    <row r="334" spans="1:17" x14ac:dyDescent="0.35">
      <c r="A334">
        <v>333</v>
      </c>
      <c r="B334">
        <v>2018</v>
      </c>
      <c r="C334">
        <v>3</v>
      </c>
      <c r="D334" t="s">
        <v>30</v>
      </c>
      <c r="E334" t="s">
        <v>133</v>
      </c>
      <c r="F334" s="1">
        <v>109852</v>
      </c>
      <c r="G334" s="1">
        <v>375361</v>
      </c>
      <c r="H334">
        <v>258</v>
      </c>
      <c r="I334">
        <v>0.97</v>
      </c>
      <c r="J334">
        <v>6.29</v>
      </c>
      <c r="K334">
        <v>1.2</v>
      </c>
      <c r="L334">
        <v>9</v>
      </c>
      <c r="M334" s="1" t="e">
        <f>#N/A</f>
        <v>#N/A</v>
      </c>
      <c r="N334">
        <v>519</v>
      </c>
      <c r="Q334" t="s">
        <v>82</v>
      </c>
    </row>
    <row r="335" spans="1:17" x14ac:dyDescent="0.35">
      <c r="A335">
        <v>334</v>
      </c>
      <c r="B335">
        <v>2018</v>
      </c>
      <c r="C335">
        <v>3</v>
      </c>
      <c r="D335" t="s">
        <v>25</v>
      </c>
      <c r="E335" t="s">
        <v>138</v>
      </c>
      <c r="F335" s="1">
        <v>67966</v>
      </c>
      <c r="G335" s="1">
        <v>146952</v>
      </c>
      <c r="H335">
        <v>224</v>
      </c>
      <c r="I335">
        <v>0.97</v>
      </c>
      <c r="J335">
        <v>6.29</v>
      </c>
      <c r="K335">
        <v>1.2</v>
      </c>
      <c r="L335">
        <v>7</v>
      </c>
      <c r="M335" s="1" t="e">
        <f>#N/A</f>
        <v>#N/A</v>
      </c>
      <c r="N335">
        <v>480</v>
      </c>
      <c r="Q335" t="s">
        <v>82</v>
      </c>
    </row>
    <row r="336" spans="1:17" x14ac:dyDescent="0.35">
      <c r="A336">
        <v>335</v>
      </c>
      <c r="B336">
        <v>2018</v>
      </c>
      <c r="C336">
        <v>3</v>
      </c>
      <c r="D336" t="s">
        <v>21</v>
      </c>
      <c r="E336" t="s">
        <v>144</v>
      </c>
      <c r="F336" s="1">
        <v>47615</v>
      </c>
      <c r="G336" s="1">
        <v>343459</v>
      </c>
      <c r="H336">
        <v>38</v>
      </c>
      <c r="I336">
        <v>0.97</v>
      </c>
      <c r="J336">
        <v>6.29</v>
      </c>
      <c r="K336">
        <v>1.2</v>
      </c>
      <c r="L336">
        <v>4</v>
      </c>
      <c r="M336" s="1" t="e">
        <f>#N/A</f>
        <v>#N/A</v>
      </c>
      <c r="N336">
        <v>225</v>
      </c>
      <c r="Q336" t="s">
        <v>82</v>
      </c>
    </row>
    <row r="337" spans="1:17" x14ac:dyDescent="0.35">
      <c r="A337">
        <v>336</v>
      </c>
      <c r="B337">
        <v>2018</v>
      </c>
      <c r="C337">
        <v>3</v>
      </c>
      <c r="D337" t="s">
        <v>14</v>
      </c>
      <c r="E337" t="s">
        <v>151</v>
      </c>
      <c r="F337" s="1">
        <v>68139</v>
      </c>
      <c r="G337" s="1">
        <v>322869</v>
      </c>
      <c r="H337">
        <v>33</v>
      </c>
      <c r="I337">
        <v>0.97</v>
      </c>
      <c r="J337">
        <v>6.29</v>
      </c>
      <c r="K337">
        <v>1.2</v>
      </c>
      <c r="L337">
        <v>3</v>
      </c>
      <c r="M337" s="1" t="e">
        <f>#N/A</f>
        <v>#N/A</v>
      </c>
      <c r="N337">
        <v>459</v>
      </c>
      <c r="Q337" t="s">
        <v>82</v>
      </c>
    </row>
    <row r="338" spans="1:17" x14ac:dyDescent="0.35">
      <c r="A338">
        <v>337</v>
      </c>
      <c r="B338">
        <v>2018</v>
      </c>
      <c r="C338">
        <v>3</v>
      </c>
      <c r="D338" t="s">
        <v>35</v>
      </c>
      <c r="E338" t="s">
        <v>158</v>
      </c>
      <c r="F338" s="1">
        <v>84737</v>
      </c>
      <c r="G338" s="1">
        <v>153619</v>
      </c>
      <c r="H338">
        <v>27</v>
      </c>
      <c r="I338">
        <v>0.97</v>
      </c>
      <c r="J338">
        <v>6.29</v>
      </c>
      <c r="K338">
        <v>1.2</v>
      </c>
      <c r="L338">
        <v>5</v>
      </c>
      <c r="M338" s="1" t="e">
        <f>#N/A</f>
        <v>#N/A</v>
      </c>
      <c r="N338">
        <v>224</v>
      </c>
      <c r="Q338" t="s">
        <v>83</v>
      </c>
    </row>
    <row r="339" spans="1:17" x14ac:dyDescent="0.35">
      <c r="A339">
        <v>338</v>
      </c>
      <c r="B339">
        <v>2018</v>
      </c>
      <c r="C339">
        <v>4</v>
      </c>
      <c r="D339" t="s">
        <v>36</v>
      </c>
      <c r="E339" t="s">
        <v>60</v>
      </c>
      <c r="F339" s="1">
        <v>38174</v>
      </c>
      <c r="G339" s="1">
        <v>431186</v>
      </c>
      <c r="H339">
        <v>40</v>
      </c>
      <c r="I339">
        <v>0.97</v>
      </c>
      <c r="J339">
        <v>6.29</v>
      </c>
      <c r="K339">
        <v>1.2</v>
      </c>
      <c r="L339">
        <v>9</v>
      </c>
      <c r="M339" s="1" t="e">
        <f>#N/A</f>
        <v>#N/A</v>
      </c>
      <c r="N339">
        <v>420</v>
      </c>
      <c r="Q339" t="s">
        <v>83</v>
      </c>
    </row>
    <row r="340" spans="1:17" x14ac:dyDescent="0.35">
      <c r="A340">
        <v>339</v>
      </c>
      <c r="B340">
        <v>2018</v>
      </c>
      <c r="C340">
        <v>4</v>
      </c>
      <c r="D340" t="s">
        <v>37</v>
      </c>
      <c r="E340" t="s">
        <v>87</v>
      </c>
      <c r="F340" s="1">
        <v>38225</v>
      </c>
      <c r="G340" s="1">
        <v>498016</v>
      </c>
      <c r="H340">
        <v>326</v>
      </c>
      <c r="I340">
        <v>0.97</v>
      </c>
      <c r="J340">
        <v>6.29</v>
      </c>
      <c r="K340">
        <v>1.2</v>
      </c>
      <c r="L340">
        <v>2</v>
      </c>
      <c r="M340" s="1" t="e">
        <f>#N/A</f>
        <v>#N/A</v>
      </c>
      <c r="N340">
        <v>1118</v>
      </c>
      <c r="Q340" t="s">
        <v>83</v>
      </c>
    </row>
    <row r="341" spans="1:17" x14ac:dyDescent="0.35">
      <c r="A341">
        <v>340</v>
      </c>
      <c r="B341">
        <v>2018</v>
      </c>
      <c r="C341">
        <v>4</v>
      </c>
      <c r="D341" t="s">
        <v>38</v>
      </c>
      <c r="E341" t="s">
        <v>137</v>
      </c>
      <c r="F341" s="1">
        <v>71824</v>
      </c>
      <c r="G341" s="1">
        <v>411390</v>
      </c>
      <c r="H341">
        <v>37</v>
      </c>
      <c r="I341">
        <v>0.97</v>
      </c>
      <c r="J341">
        <v>6.29</v>
      </c>
      <c r="K341">
        <v>1.2</v>
      </c>
      <c r="L341">
        <v>4</v>
      </c>
      <c r="M341" s="1" t="e">
        <f>#N/A</f>
        <v>#N/A</v>
      </c>
      <c r="N341">
        <v>191</v>
      </c>
      <c r="Q341" t="s">
        <v>83</v>
      </c>
    </row>
    <row r="342" spans="1:17" x14ac:dyDescent="0.35">
      <c r="A342">
        <v>341</v>
      </c>
      <c r="B342">
        <v>2018</v>
      </c>
      <c r="C342">
        <v>4</v>
      </c>
      <c r="D342" t="s">
        <v>28</v>
      </c>
      <c r="E342" t="s">
        <v>130</v>
      </c>
      <c r="F342" s="1">
        <v>91398</v>
      </c>
      <c r="G342" s="1">
        <v>93539</v>
      </c>
      <c r="H342">
        <v>130</v>
      </c>
      <c r="I342">
        <v>0.97</v>
      </c>
      <c r="J342">
        <v>6.29</v>
      </c>
      <c r="K342">
        <v>1.2</v>
      </c>
      <c r="L342">
        <v>4</v>
      </c>
      <c r="M342" s="1" t="e">
        <f>#N/A</f>
        <v>#N/A</v>
      </c>
      <c r="N342">
        <v>559</v>
      </c>
      <c r="Q342" t="s">
        <v>83</v>
      </c>
    </row>
    <row r="343" spans="1:17" x14ac:dyDescent="0.35">
      <c r="A343">
        <v>342</v>
      </c>
      <c r="B343">
        <v>2018</v>
      </c>
      <c r="C343">
        <v>5</v>
      </c>
      <c r="D343" t="s">
        <v>32</v>
      </c>
      <c r="E343" t="s">
        <v>59</v>
      </c>
      <c r="F343" s="1">
        <v>92514</v>
      </c>
      <c r="G343" s="1">
        <v>228986</v>
      </c>
      <c r="H343">
        <v>178</v>
      </c>
      <c r="I343">
        <v>0.97</v>
      </c>
      <c r="J343">
        <v>6.29</v>
      </c>
      <c r="K343">
        <v>1.2</v>
      </c>
      <c r="L343">
        <v>2</v>
      </c>
      <c r="M343" s="1" t="e">
        <f>#N/A</f>
        <v>#N/A</v>
      </c>
      <c r="N343">
        <v>447</v>
      </c>
      <c r="Q343" t="s">
        <v>83</v>
      </c>
    </row>
    <row r="344" spans="1:17" x14ac:dyDescent="0.35">
      <c r="A344">
        <v>343</v>
      </c>
      <c r="B344">
        <v>2018</v>
      </c>
      <c r="C344">
        <v>5</v>
      </c>
      <c r="D344" t="s">
        <v>25</v>
      </c>
      <c r="E344" t="s">
        <v>66</v>
      </c>
      <c r="F344" s="1">
        <v>106154</v>
      </c>
      <c r="G344" s="1">
        <v>320561</v>
      </c>
      <c r="H344">
        <v>78</v>
      </c>
      <c r="I344">
        <v>0.97</v>
      </c>
      <c r="J344">
        <v>6.29</v>
      </c>
      <c r="K344">
        <v>1.2</v>
      </c>
      <c r="L344">
        <v>9</v>
      </c>
      <c r="M344" s="1" t="e">
        <f>#N/A</f>
        <v>#N/A</v>
      </c>
      <c r="N344">
        <v>305</v>
      </c>
      <c r="Q344" t="s">
        <v>83</v>
      </c>
    </row>
    <row r="345" spans="1:17" x14ac:dyDescent="0.35">
      <c r="A345">
        <v>344</v>
      </c>
      <c r="B345">
        <v>2018</v>
      </c>
      <c r="C345">
        <v>5</v>
      </c>
      <c r="D345" t="s">
        <v>37</v>
      </c>
      <c r="E345" t="s">
        <v>85</v>
      </c>
      <c r="F345" s="1">
        <v>95973</v>
      </c>
      <c r="G345" s="1">
        <v>395072</v>
      </c>
      <c r="H345">
        <v>71</v>
      </c>
      <c r="I345">
        <v>0.97</v>
      </c>
      <c r="J345">
        <v>6.29</v>
      </c>
      <c r="K345">
        <v>1.2</v>
      </c>
      <c r="L345">
        <v>1</v>
      </c>
      <c r="M345" s="1" t="e">
        <f>#N/A</f>
        <v>#N/A</v>
      </c>
      <c r="N345">
        <v>536</v>
      </c>
      <c r="Q345" t="s">
        <v>83</v>
      </c>
    </row>
    <row r="346" spans="1:17" x14ac:dyDescent="0.35">
      <c r="A346">
        <v>345</v>
      </c>
      <c r="B346">
        <v>2018</v>
      </c>
      <c r="C346">
        <v>5</v>
      </c>
      <c r="D346" t="s">
        <v>37</v>
      </c>
      <c r="E346" t="s">
        <v>95</v>
      </c>
      <c r="F346" s="1">
        <v>92174</v>
      </c>
      <c r="G346" s="1">
        <v>496242</v>
      </c>
      <c r="H346">
        <v>112</v>
      </c>
      <c r="I346">
        <v>0.97</v>
      </c>
      <c r="J346">
        <v>6.29</v>
      </c>
      <c r="K346">
        <v>1.2</v>
      </c>
      <c r="L346">
        <v>4</v>
      </c>
      <c r="M346" s="1" t="e">
        <f>#N/A</f>
        <v>#N/A</v>
      </c>
      <c r="N346">
        <v>543</v>
      </c>
      <c r="Q346" t="s">
        <v>83</v>
      </c>
    </row>
    <row r="347" spans="1:17" x14ac:dyDescent="0.35">
      <c r="A347">
        <v>346</v>
      </c>
      <c r="B347">
        <v>2018</v>
      </c>
      <c r="C347">
        <v>5</v>
      </c>
      <c r="D347" t="s">
        <v>38</v>
      </c>
      <c r="E347" t="s">
        <v>112</v>
      </c>
      <c r="F347" s="1">
        <v>106042</v>
      </c>
      <c r="G347" s="1">
        <v>411185</v>
      </c>
      <c r="H347">
        <v>44</v>
      </c>
      <c r="I347">
        <v>0.97</v>
      </c>
      <c r="J347">
        <v>6.29</v>
      </c>
      <c r="K347">
        <v>1.2</v>
      </c>
      <c r="L347">
        <v>6</v>
      </c>
      <c r="M347" s="1" t="e">
        <f>#N/A</f>
        <v>#N/A</v>
      </c>
      <c r="N347">
        <v>152</v>
      </c>
      <c r="Q347" t="s">
        <v>84</v>
      </c>
    </row>
    <row r="348" spans="1:17" x14ac:dyDescent="0.35">
      <c r="A348">
        <v>347</v>
      </c>
      <c r="B348">
        <v>2018</v>
      </c>
      <c r="C348">
        <v>5</v>
      </c>
      <c r="D348" t="s">
        <v>30</v>
      </c>
      <c r="E348" t="s">
        <v>135</v>
      </c>
      <c r="F348" s="1">
        <v>55039</v>
      </c>
      <c r="G348" s="1">
        <v>143944</v>
      </c>
      <c r="H348">
        <v>175</v>
      </c>
      <c r="I348">
        <v>0.97</v>
      </c>
      <c r="J348">
        <v>6.29</v>
      </c>
      <c r="K348">
        <v>1.2</v>
      </c>
      <c r="L348">
        <v>2</v>
      </c>
      <c r="M348" s="1" t="e">
        <f>#N/A</f>
        <v>#N/A</v>
      </c>
      <c r="N348">
        <v>668</v>
      </c>
      <c r="Q348" t="s">
        <v>84</v>
      </c>
    </row>
    <row r="349" spans="1:17" x14ac:dyDescent="0.35">
      <c r="A349">
        <v>348</v>
      </c>
      <c r="B349">
        <v>2018</v>
      </c>
      <c r="C349">
        <v>5</v>
      </c>
      <c r="D349" t="s">
        <v>25</v>
      </c>
      <c r="E349" t="s">
        <v>131</v>
      </c>
      <c r="F349" s="1">
        <v>115859</v>
      </c>
      <c r="G349" s="1">
        <v>326601</v>
      </c>
      <c r="H349">
        <v>298</v>
      </c>
      <c r="I349">
        <v>0.97</v>
      </c>
      <c r="J349">
        <v>6.29</v>
      </c>
      <c r="K349">
        <v>1.2</v>
      </c>
      <c r="L349">
        <v>8</v>
      </c>
      <c r="M349" s="1" t="e">
        <f>#N/A</f>
        <v>#N/A</v>
      </c>
      <c r="N349">
        <v>640</v>
      </c>
      <c r="Q349" t="s">
        <v>84</v>
      </c>
    </row>
    <row r="350" spans="1:17" x14ac:dyDescent="0.35">
      <c r="A350">
        <v>349</v>
      </c>
      <c r="B350">
        <v>2018</v>
      </c>
      <c r="C350">
        <v>5</v>
      </c>
      <c r="D350" t="s">
        <v>25</v>
      </c>
      <c r="E350" t="s">
        <v>150</v>
      </c>
      <c r="F350" s="1">
        <v>95197</v>
      </c>
      <c r="G350" s="1">
        <v>395665</v>
      </c>
      <c r="H350">
        <v>191</v>
      </c>
      <c r="I350">
        <v>0.97</v>
      </c>
      <c r="J350">
        <v>6.29</v>
      </c>
      <c r="K350">
        <v>1.2</v>
      </c>
      <c r="L350">
        <v>2</v>
      </c>
      <c r="M350" s="1" t="e">
        <f>#N/A</f>
        <v>#N/A</v>
      </c>
      <c r="N350">
        <v>805</v>
      </c>
      <c r="Q350" t="s">
        <v>84</v>
      </c>
    </row>
    <row r="351" spans="1:17" x14ac:dyDescent="0.35">
      <c r="A351">
        <v>350</v>
      </c>
      <c r="B351">
        <v>2018</v>
      </c>
      <c r="C351">
        <v>6</v>
      </c>
      <c r="D351" t="s">
        <v>14</v>
      </c>
      <c r="E351" t="s">
        <v>52</v>
      </c>
      <c r="F351" s="1">
        <v>74779</v>
      </c>
      <c r="G351" s="1">
        <v>321733</v>
      </c>
      <c r="H351">
        <v>347</v>
      </c>
      <c r="I351">
        <v>0.97</v>
      </c>
      <c r="J351">
        <v>6.29</v>
      </c>
      <c r="K351">
        <v>1.2</v>
      </c>
      <c r="L351">
        <v>6</v>
      </c>
      <c r="M351" s="1" t="e">
        <f>#N/A</f>
        <v>#N/A</v>
      </c>
      <c r="N351">
        <v>726</v>
      </c>
      <c r="Q351" t="s">
        <v>84</v>
      </c>
    </row>
    <row r="352" spans="1:17" x14ac:dyDescent="0.35">
      <c r="A352">
        <v>351</v>
      </c>
      <c r="B352">
        <v>2018</v>
      </c>
      <c r="C352">
        <v>6</v>
      </c>
      <c r="D352" t="s">
        <v>35</v>
      </c>
      <c r="E352" t="s">
        <v>61</v>
      </c>
      <c r="F352" s="1">
        <v>55746</v>
      </c>
      <c r="G352" s="1">
        <v>262235</v>
      </c>
      <c r="H352">
        <v>212</v>
      </c>
      <c r="I352">
        <v>0.97</v>
      </c>
      <c r="J352">
        <v>6.29</v>
      </c>
      <c r="K352">
        <v>1.2</v>
      </c>
      <c r="L352">
        <v>7</v>
      </c>
      <c r="M352" s="1" t="e">
        <f>#N/A</f>
        <v>#N/A</v>
      </c>
      <c r="N352">
        <v>679</v>
      </c>
      <c r="Q352" t="s">
        <v>84</v>
      </c>
    </row>
    <row r="353" spans="1:17" x14ac:dyDescent="0.35">
      <c r="A353">
        <v>352</v>
      </c>
      <c r="B353">
        <v>2018</v>
      </c>
      <c r="C353">
        <v>6</v>
      </c>
      <c r="D353" t="s">
        <v>21</v>
      </c>
      <c r="E353" t="s">
        <v>58</v>
      </c>
      <c r="F353" s="1">
        <v>85492</v>
      </c>
      <c r="G353" s="1">
        <v>391701</v>
      </c>
      <c r="H353">
        <v>38</v>
      </c>
      <c r="I353">
        <v>0.97</v>
      </c>
      <c r="J353">
        <v>6.29</v>
      </c>
      <c r="K353">
        <v>1.2</v>
      </c>
      <c r="L353">
        <v>10</v>
      </c>
      <c r="M353" s="1" t="e">
        <f>#N/A</f>
        <v>#N/A</v>
      </c>
      <c r="N353">
        <v>354</v>
      </c>
      <c r="Q353" t="s">
        <v>84</v>
      </c>
    </row>
    <row r="354" spans="1:17" x14ac:dyDescent="0.35">
      <c r="A354">
        <v>353</v>
      </c>
      <c r="B354">
        <v>2018</v>
      </c>
      <c r="C354">
        <v>6</v>
      </c>
      <c r="D354" t="s">
        <v>37</v>
      </c>
      <c r="E354" t="s">
        <v>77</v>
      </c>
      <c r="F354" s="1">
        <v>87248</v>
      </c>
      <c r="G354" s="1">
        <v>183851</v>
      </c>
      <c r="H354">
        <v>33</v>
      </c>
      <c r="I354">
        <v>0.97</v>
      </c>
      <c r="J354">
        <v>6.29</v>
      </c>
      <c r="K354">
        <v>1.2</v>
      </c>
      <c r="L354">
        <v>1</v>
      </c>
      <c r="M354" s="1" t="e">
        <f>#N/A</f>
        <v>#N/A</v>
      </c>
      <c r="N354">
        <v>477</v>
      </c>
      <c r="Q354" t="s">
        <v>84</v>
      </c>
    </row>
    <row r="355" spans="1:17" x14ac:dyDescent="0.35">
      <c r="A355">
        <v>354</v>
      </c>
      <c r="B355">
        <v>2018</v>
      </c>
      <c r="C355">
        <v>6</v>
      </c>
      <c r="D355" t="s">
        <v>37</v>
      </c>
      <c r="E355" t="s">
        <v>88</v>
      </c>
      <c r="F355" s="1">
        <v>98014</v>
      </c>
      <c r="G355" s="1">
        <v>65116</v>
      </c>
      <c r="H355">
        <v>47</v>
      </c>
      <c r="I355">
        <v>0.97</v>
      </c>
      <c r="J355">
        <v>6.29</v>
      </c>
      <c r="K355">
        <v>1.2</v>
      </c>
      <c r="L355">
        <v>2</v>
      </c>
      <c r="M355" s="1" t="e">
        <f>#N/A</f>
        <v>#N/A</v>
      </c>
      <c r="N355">
        <v>397</v>
      </c>
      <c r="Q355" t="s">
        <v>85</v>
      </c>
    </row>
    <row r="356" spans="1:17" x14ac:dyDescent="0.35">
      <c r="A356">
        <v>355</v>
      </c>
      <c r="B356">
        <v>2018</v>
      </c>
      <c r="C356">
        <v>6</v>
      </c>
      <c r="D356" t="s">
        <v>25</v>
      </c>
      <c r="E356" t="s">
        <v>84</v>
      </c>
      <c r="F356" s="1">
        <v>40269</v>
      </c>
      <c r="G356" s="1">
        <v>348162</v>
      </c>
      <c r="H356">
        <v>20</v>
      </c>
      <c r="I356">
        <v>0.97</v>
      </c>
      <c r="J356">
        <v>6.29</v>
      </c>
      <c r="K356">
        <v>1.2</v>
      </c>
      <c r="L356">
        <v>10</v>
      </c>
      <c r="M356" s="1" t="e">
        <f>#N/A</f>
        <v>#N/A</v>
      </c>
      <c r="N356">
        <v>476</v>
      </c>
      <c r="Q356" t="s">
        <v>85</v>
      </c>
    </row>
    <row r="357" spans="1:17" x14ac:dyDescent="0.35">
      <c r="A357">
        <v>356</v>
      </c>
      <c r="B357">
        <v>2018</v>
      </c>
      <c r="C357">
        <v>6</v>
      </c>
      <c r="D357" t="s">
        <v>30</v>
      </c>
      <c r="E357" t="s">
        <v>100</v>
      </c>
      <c r="F357" s="1">
        <v>42987</v>
      </c>
      <c r="G357" s="1">
        <v>149477</v>
      </c>
      <c r="H357">
        <v>109</v>
      </c>
      <c r="I357">
        <v>0.97</v>
      </c>
      <c r="J357">
        <v>6.29</v>
      </c>
      <c r="K357">
        <v>1.2</v>
      </c>
      <c r="L357">
        <v>4</v>
      </c>
      <c r="M357" s="1" t="e">
        <f>#N/A</f>
        <v>#N/A</v>
      </c>
      <c r="N357">
        <v>296</v>
      </c>
      <c r="Q357" t="s">
        <v>85</v>
      </c>
    </row>
    <row r="358" spans="1:17" x14ac:dyDescent="0.35">
      <c r="A358">
        <v>357</v>
      </c>
      <c r="B358">
        <v>2018</v>
      </c>
      <c r="C358">
        <v>6</v>
      </c>
      <c r="D358" t="s">
        <v>14</v>
      </c>
      <c r="E358" t="s">
        <v>139</v>
      </c>
      <c r="F358" s="1">
        <v>78129</v>
      </c>
      <c r="G358" s="1">
        <v>390497</v>
      </c>
      <c r="H358">
        <v>227</v>
      </c>
      <c r="I358">
        <v>0.97</v>
      </c>
      <c r="J358">
        <v>6.29</v>
      </c>
      <c r="K358">
        <v>1.2</v>
      </c>
      <c r="L358">
        <v>10</v>
      </c>
      <c r="M358" s="1" t="e">
        <f>#N/A</f>
        <v>#N/A</v>
      </c>
      <c r="N358">
        <v>538</v>
      </c>
      <c r="Q358" t="s">
        <v>85</v>
      </c>
    </row>
    <row r="359" spans="1:17" x14ac:dyDescent="0.35">
      <c r="A359">
        <v>358</v>
      </c>
      <c r="B359">
        <v>2018</v>
      </c>
      <c r="C359">
        <v>6</v>
      </c>
      <c r="D359" t="s">
        <v>25</v>
      </c>
      <c r="E359" t="s">
        <v>139</v>
      </c>
      <c r="F359" s="1">
        <v>49130</v>
      </c>
      <c r="G359" s="1">
        <v>335291</v>
      </c>
      <c r="H359">
        <v>200</v>
      </c>
      <c r="I359">
        <v>0.97</v>
      </c>
      <c r="J359">
        <v>6.29</v>
      </c>
      <c r="K359">
        <v>1.2</v>
      </c>
      <c r="L359">
        <v>9</v>
      </c>
      <c r="M359" s="1" t="e">
        <f>#N/A</f>
        <v>#N/A</v>
      </c>
      <c r="N359">
        <v>533</v>
      </c>
      <c r="Q359" t="s">
        <v>85</v>
      </c>
    </row>
    <row r="360" spans="1:17" x14ac:dyDescent="0.35">
      <c r="A360">
        <v>359</v>
      </c>
      <c r="B360">
        <v>2018</v>
      </c>
      <c r="C360">
        <v>6</v>
      </c>
      <c r="D360" t="s">
        <v>30</v>
      </c>
      <c r="E360" t="s">
        <v>151</v>
      </c>
      <c r="F360" s="1">
        <v>36577</v>
      </c>
      <c r="G360" s="1">
        <v>316294</v>
      </c>
      <c r="H360">
        <v>81</v>
      </c>
      <c r="I360">
        <v>0.97</v>
      </c>
      <c r="J360">
        <v>6.29</v>
      </c>
      <c r="K360">
        <v>1.2</v>
      </c>
      <c r="L360">
        <v>3</v>
      </c>
      <c r="M360" s="1" t="e">
        <f>#N/A</f>
        <v>#N/A</v>
      </c>
      <c r="N360">
        <v>626</v>
      </c>
      <c r="Q360" t="s">
        <v>85</v>
      </c>
    </row>
    <row r="361" spans="1:17" x14ac:dyDescent="0.35">
      <c r="A361">
        <v>360</v>
      </c>
      <c r="B361">
        <v>2018</v>
      </c>
      <c r="C361">
        <v>6</v>
      </c>
      <c r="D361" t="s">
        <v>14</v>
      </c>
      <c r="E361" t="s">
        <v>143</v>
      </c>
      <c r="F361" s="1">
        <v>68686</v>
      </c>
      <c r="G361" s="1">
        <v>246243</v>
      </c>
      <c r="H361">
        <v>316</v>
      </c>
      <c r="I361">
        <v>0.97</v>
      </c>
      <c r="J361">
        <v>6.29</v>
      </c>
      <c r="K361">
        <v>1.2</v>
      </c>
      <c r="L361">
        <v>4</v>
      </c>
      <c r="M361" s="1" t="e">
        <f>#N/A</f>
        <v>#N/A</v>
      </c>
      <c r="N361">
        <v>834</v>
      </c>
      <c r="Q361" t="s">
        <v>85</v>
      </c>
    </row>
    <row r="362" spans="1:17" x14ac:dyDescent="0.35">
      <c r="A362">
        <v>361</v>
      </c>
      <c r="B362">
        <v>2018</v>
      </c>
      <c r="C362">
        <v>6</v>
      </c>
      <c r="D362" t="s">
        <v>21</v>
      </c>
      <c r="E362" t="s">
        <v>156</v>
      </c>
      <c r="F362" s="1">
        <v>94470</v>
      </c>
      <c r="G362" s="1">
        <v>153475</v>
      </c>
      <c r="H362">
        <v>268</v>
      </c>
      <c r="I362">
        <v>0.97</v>
      </c>
      <c r="J362">
        <v>6.29</v>
      </c>
      <c r="K362">
        <v>1.2</v>
      </c>
      <c r="L362">
        <v>9</v>
      </c>
      <c r="M362" s="1" t="e">
        <f>#N/A</f>
        <v>#N/A</v>
      </c>
      <c r="N362">
        <v>733</v>
      </c>
      <c r="Q362" t="s">
        <v>85</v>
      </c>
    </row>
    <row r="363" spans="1:17" x14ac:dyDescent="0.35">
      <c r="A363">
        <v>362</v>
      </c>
      <c r="B363">
        <v>2018</v>
      </c>
      <c r="C363">
        <v>7</v>
      </c>
      <c r="D363" t="s">
        <v>14</v>
      </c>
      <c r="E363" t="s">
        <v>53</v>
      </c>
      <c r="F363" s="1">
        <v>55085</v>
      </c>
      <c r="G363" s="1">
        <v>469972</v>
      </c>
      <c r="H363">
        <v>380</v>
      </c>
      <c r="I363">
        <v>0.97</v>
      </c>
      <c r="J363">
        <v>6.29</v>
      </c>
      <c r="K363">
        <v>1.2</v>
      </c>
      <c r="L363">
        <v>1</v>
      </c>
      <c r="M363" s="1" t="e">
        <f>#N/A</f>
        <v>#N/A</v>
      </c>
      <c r="N363">
        <v>880</v>
      </c>
      <c r="Q363" t="s">
        <v>86</v>
      </c>
    </row>
    <row r="364" spans="1:17" x14ac:dyDescent="0.35">
      <c r="A364">
        <v>363</v>
      </c>
      <c r="B364">
        <v>2018</v>
      </c>
      <c r="C364">
        <v>7</v>
      </c>
      <c r="D364" t="s">
        <v>37</v>
      </c>
      <c r="E364" t="s">
        <v>87</v>
      </c>
      <c r="F364" s="1">
        <v>39758</v>
      </c>
      <c r="G364" s="1">
        <v>439187</v>
      </c>
      <c r="H364">
        <v>344</v>
      </c>
      <c r="I364">
        <v>0.97</v>
      </c>
      <c r="J364">
        <v>6.29</v>
      </c>
      <c r="K364">
        <v>1.2</v>
      </c>
      <c r="L364">
        <v>10</v>
      </c>
      <c r="M364" s="1" t="e">
        <f>#N/A</f>
        <v>#N/A</v>
      </c>
      <c r="N364">
        <v>934</v>
      </c>
      <c r="Q364" t="s">
        <v>86</v>
      </c>
    </row>
    <row r="365" spans="1:17" x14ac:dyDescent="0.35">
      <c r="A365">
        <v>364</v>
      </c>
      <c r="B365">
        <v>2018</v>
      </c>
      <c r="C365">
        <v>7</v>
      </c>
      <c r="D365" t="s">
        <v>35</v>
      </c>
      <c r="E365" t="s">
        <v>83</v>
      </c>
      <c r="F365" s="1">
        <v>35786</v>
      </c>
      <c r="G365" s="1">
        <v>266398</v>
      </c>
      <c r="H365">
        <v>246</v>
      </c>
      <c r="I365">
        <v>0.97</v>
      </c>
      <c r="J365">
        <v>6.29</v>
      </c>
      <c r="K365">
        <v>1.2</v>
      </c>
      <c r="L365">
        <v>9</v>
      </c>
      <c r="M365" s="1" t="e">
        <f>#N/A</f>
        <v>#N/A</v>
      </c>
      <c r="N365">
        <v>575</v>
      </c>
      <c r="Q365" t="s">
        <v>86</v>
      </c>
    </row>
    <row r="366" spans="1:17" x14ac:dyDescent="0.35">
      <c r="A366">
        <v>365</v>
      </c>
      <c r="B366">
        <v>2018</v>
      </c>
      <c r="C366">
        <v>7</v>
      </c>
      <c r="D366" t="s">
        <v>35</v>
      </c>
      <c r="E366" t="s">
        <v>104</v>
      </c>
      <c r="F366" s="1">
        <v>36462</v>
      </c>
      <c r="G366" s="1">
        <v>69122</v>
      </c>
      <c r="H366">
        <v>60</v>
      </c>
      <c r="I366">
        <v>0.97</v>
      </c>
      <c r="J366">
        <v>6.29</v>
      </c>
      <c r="K366">
        <v>1.2</v>
      </c>
      <c r="L366">
        <v>8</v>
      </c>
      <c r="M366" s="1" t="e">
        <f>#N/A</f>
        <v>#N/A</v>
      </c>
      <c r="N366">
        <v>182</v>
      </c>
      <c r="Q366" t="s">
        <v>86</v>
      </c>
    </row>
    <row r="367" spans="1:17" x14ac:dyDescent="0.35">
      <c r="A367">
        <v>366</v>
      </c>
      <c r="B367">
        <v>2018</v>
      </c>
      <c r="C367">
        <v>7</v>
      </c>
      <c r="D367" t="s">
        <v>14</v>
      </c>
      <c r="E367" t="s">
        <v>116</v>
      </c>
      <c r="F367" s="1">
        <v>98965</v>
      </c>
      <c r="G367" s="1">
        <v>417371</v>
      </c>
      <c r="H367">
        <v>226</v>
      </c>
      <c r="I367">
        <v>0.97</v>
      </c>
      <c r="J367">
        <v>6.29</v>
      </c>
      <c r="K367">
        <v>1.2</v>
      </c>
      <c r="L367">
        <v>2</v>
      </c>
      <c r="M367" s="1" t="e">
        <f>#N/A</f>
        <v>#N/A</v>
      </c>
      <c r="N367">
        <v>551</v>
      </c>
      <c r="Q367" t="s">
        <v>86</v>
      </c>
    </row>
    <row r="368" spans="1:17" x14ac:dyDescent="0.35">
      <c r="A368">
        <v>367</v>
      </c>
      <c r="B368">
        <v>2018</v>
      </c>
      <c r="C368">
        <v>7</v>
      </c>
      <c r="D368" t="s">
        <v>14</v>
      </c>
      <c r="E368" t="s">
        <v>132</v>
      </c>
      <c r="F368" s="1">
        <v>43947</v>
      </c>
      <c r="G368" s="1">
        <v>474041</v>
      </c>
      <c r="H368">
        <v>208</v>
      </c>
      <c r="I368">
        <v>0.97</v>
      </c>
      <c r="J368">
        <v>6.29</v>
      </c>
      <c r="K368">
        <v>1.2</v>
      </c>
      <c r="L368">
        <v>3</v>
      </c>
      <c r="M368" s="1" t="e">
        <f>#N/A</f>
        <v>#N/A</v>
      </c>
      <c r="N368">
        <v>837</v>
      </c>
      <c r="Q368" t="s">
        <v>86</v>
      </c>
    </row>
    <row r="369" spans="1:17" x14ac:dyDescent="0.35">
      <c r="A369">
        <v>368</v>
      </c>
      <c r="B369">
        <v>2018</v>
      </c>
      <c r="C369">
        <v>8</v>
      </c>
      <c r="D369" t="s">
        <v>30</v>
      </c>
      <c r="E369" t="s">
        <v>49</v>
      </c>
      <c r="F369" s="1">
        <v>74516</v>
      </c>
      <c r="G369" s="1">
        <v>477991</v>
      </c>
      <c r="H369">
        <v>11</v>
      </c>
      <c r="I369">
        <v>0.97</v>
      </c>
      <c r="J369">
        <v>6.29</v>
      </c>
      <c r="K369">
        <v>1.2</v>
      </c>
      <c r="L369">
        <v>8</v>
      </c>
      <c r="M369" s="1" t="e">
        <f>#N/A</f>
        <v>#N/A</v>
      </c>
      <c r="N369">
        <v>142</v>
      </c>
      <c r="Q369" t="s">
        <v>86</v>
      </c>
    </row>
    <row r="370" spans="1:17" x14ac:dyDescent="0.35">
      <c r="A370">
        <v>369</v>
      </c>
      <c r="B370">
        <v>2018</v>
      </c>
      <c r="C370">
        <v>8</v>
      </c>
      <c r="D370" t="s">
        <v>30</v>
      </c>
      <c r="E370" t="s">
        <v>51</v>
      </c>
      <c r="F370" s="1">
        <v>87349</v>
      </c>
      <c r="G370" s="1">
        <v>175851</v>
      </c>
      <c r="H370">
        <v>279</v>
      </c>
      <c r="I370">
        <v>0.97</v>
      </c>
      <c r="J370">
        <v>6.29</v>
      </c>
      <c r="K370">
        <v>1.2</v>
      </c>
      <c r="L370">
        <v>5</v>
      </c>
      <c r="M370" s="1" t="e">
        <f>#N/A</f>
        <v>#N/A</v>
      </c>
      <c r="N370">
        <v>701</v>
      </c>
      <c r="Q370" t="s">
        <v>86</v>
      </c>
    </row>
    <row r="371" spans="1:17" x14ac:dyDescent="0.35">
      <c r="A371">
        <v>370</v>
      </c>
      <c r="B371">
        <v>2018</v>
      </c>
      <c r="C371">
        <v>8</v>
      </c>
      <c r="D371" t="s">
        <v>37</v>
      </c>
      <c r="E371" t="s">
        <v>52</v>
      </c>
      <c r="F371" s="1">
        <v>81854</v>
      </c>
      <c r="G371" s="1">
        <v>372534</v>
      </c>
      <c r="H371">
        <v>353</v>
      </c>
      <c r="I371">
        <v>0.97</v>
      </c>
      <c r="J371">
        <v>6.29</v>
      </c>
      <c r="K371">
        <v>1.2</v>
      </c>
      <c r="L371">
        <v>6</v>
      </c>
      <c r="M371" s="1" t="e">
        <f>#N/A</f>
        <v>#N/A</v>
      </c>
      <c r="N371">
        <v>887</v>
      </c>
      <c r="Q371" t="s">
        <v>86</v>
      </c>
    </row>
    <row r="372" spans="1:17" x14ac:dyDescent="0.35">
      <c r="A372">
        <v>371</v>
      </c>
      <c r="B372">
        <v>2018</v>
      </c>
      <c r="C372">
        <v>8</v>
      </c>
      <c r="D372" t="s">
        <v>14</v>
      </c>
      <c r="E372" t="s">
        <v>56</v>
      </c>
      <c r="F372" s="1">
        <v>80264</v>
      </c>
      <c r="G372" s="1">
        <v>198790</v>
      </c>
      <c r="H372">
        <v>361</v>
      </c>
      <c r="I372">
        <v>0.97</v>
      </c>
      <c r="J372">
        <v>6.29</v>
      </c>
      <c r="K372">
        <v>1.2</v>
      </c>
      <c r="L372">
        <v>6</v>
      </c>
      <c r="M372" s="1" t="e">
        <f>#N/A</f>
        <v>#N/A</v>
      </c>
      <c r="N372">
        <v>936</v>
      </c>
      <c r="Q372" t="s">
        <v>87</v>
      </c>
    </row>
    <row r="373" spans="1:17" x14ac:dyDescent="0.35">
      <c r="A373">
        <v>372</v>
      </c>
      <c r="B373">
        <v>2018</v>
      </c>
      <c r="C373">
        <v>8</v>
      </c>
      <c r="D373" t="s">
        <v>25</v>
      </c>
      <c r="E373" t="s">
        <v>66</v>
      </c>
      <c r="F373" s="1">
        <v>68896</v>
      </c>
      <c r="G373" s="1">
        <v>464336</v>
      </c>
      <c r="H373">
        <v>189</v>
      </c>
      <c r="I373">
        <v>0.97</v>
      </c>
      <c r="J373">
        <v>6.29</v>
      </c>
      <c r="K373">
        <v>1.2</v>
      </c>
      <c r="L373">
        <v>7</v>
      </c>
      <c r="M373" s="1" t="e">
        <f>#N/A</f>
        <v>#N/A</v>
      </c>
      <c r="N373">
        <v>708</v>
      </c>
      <c r="Q373" t="s">
        <v>87</v>
      </c>
    </row>
    <row r="374" spans="1:17" x14ac:dyDescent="0.35">
      <c r="A374">
        <v>373</v>
      </c>
      <c r="B374">
        <v>2018</v>
      </c>
      <c r="C374">
        <v>8</v>
      </c>
      <c r="D374" t="s">
        <v>30</v>
      </c>
      <c r="E374" t="s">
        <v>70</v>
      </c>
      <c r="F374" s="1">
        <v>79237</v>
      </c>
      <c r="G374" s="1">
        <v>443922</v>
      </c>
      <c r="H374">
        <v>178</v>
      </c>
      <c r="I374">
        <v>0.97</v>
      </c>
      <c r="J374">
        <v>6.29</v>
      </c>
      <c r="K374">
        <v>1.2</v>
      </c>
      <c r="L374">
        <v>7</v>
      </c>
      <c r="M374" s="1" t="e">
        <f>#N/A</f>
        <v>#N/A</v>
      </c>
      <c r="N374">
        <v>807</v>
      </c>
      <c r="Q374" t="s">
        <v>87</v>
      </c>
    </row>
    <row r="375" spans="1:17" x14ac:dyDescent="0.35">
      <c r="A375">
        <v>374</v>
      </c>
      <c r="B375">
        <v>2018</v>
      </c>
      <c r="C375">
        <v>8</v>
      </c>
      <c r="D375" t="s">
        <v>38</v>
      </c>
      <c r="E375" t="s">
        <v>75</v>
      </c>
      <c r="F375" s="1">
        <v>73762</v>
      </c>
      <c r="G375" s="1">
        <v>243587</v>
      </c>
      <c r="H375">
        <v>165</v>
      </c>
      <c r="I375">
        <v>0.97</v>
      </c>
      <c r="J375">
        <v>6.29</v>
      </c>
      <c r="K375">
        <v>1.2</v>
      </c>
      <c r="L375">
        <v>9</v>
      </c>
      <c r="M375" s="1" t="e">
        <f>#N/A</f>
        <v>#N/A</v>
      </c>
      <c r="N375">
        <v>332</v>
      </c>
      <c r="Q375" t="s">
        <v>87</v>
      </c>
    </row>
    <row r="376" spans="1:17" x14ac:dyDescent="0.35">
      <c r="A376">
        <v>375</v>
      </c>
      <c r="B376">
        <v>2018</v>
      </c>
      <c r="C376">
        <v>8</v>
      </c>
      <c r="D376" t="s">
        <v>14</v>
      </c>
      <c r="E376" t="s">
        <v>84</v>
      </c>
      <c r="F376" s="1">
        <v>82291</v>
      </c>
      <c r="G376" s="1">
        <v>447798</v>
      </c>
      <c r="H376">
        <v>234</v>
      </c>
      <c r="I376">
        <v>0.97</v>
      </c>
      <c r="J376">
        <v>6.29</v>
      </c>
      <c r="K376">
        <v>1.2</v>
      </c>
      <c r="L376">
        <v>7</v>
      </c>
      <c r="M376" s="1" t="e">
        <f>#N/A</f>
        <v>#N/A</v>
      </c>
      <c r="N376">
        <v>556</v>
      </c>
      <c r="Q376" t="s">
        <v>87</v>
      </c>
    </row>
    <row r="377" spans="1:17" x14ac:dyDescent="0.35">
      <c r="A377">
        <v>376</v>
      </c>
      <c r="B377">
        <v>2018</v>
      </c>
      <c r="C377">
        <v>8</v>
      </c>
      <c r="D377" t="s">
        <v>25</v>
      </c>
      <c r="E377" t="s">
        <v>86</v>
      </c>
      <c r="F377" s="1">
        <v>44290</v>
      </c>
      <c r="G377" s="1">
        <v>301071</v>
      </c>
      <c r="H377">
        <v>300</v>
      </c>
      <c r="I377">
        <v>0.97</v>
      </c>
      <c r="J377">
        <v>6.29</v>
      </c>
      <c r="K377">
        <v>1.2</v>
      </c>
      <c r="L377">
        <v>9</v>
      </c>
      <c r="M377" s="1" t="e">
        <f>#N/A</f>
        <v>#N/A</v>
      </c>
      <c r="N377">
        <v>951</v>
      </c>
      <c r="Q377" t="s">
        <v>87</v>
      </c>
    </row>
    <row r="378" spans="1:17" x14ac:dyDescent="0.35">
      <c r="A378">
        <v>377</v>
      </c>
      <c r="B378">
        <v>2018</v>
      </c>
      <c r="C378">
        <v>8</v>
      </c>
      <c r="D378" t="s">
        <v>30</v>
      </c>
      <c r="E378" t="s">
        <v>92</v>
      </c>
      <c r="F378" s="1">
        <v>57504</v>
      </c>
      <c r="G378" s="1">
        <v>304043</v>
      </c>
      <c r="H378">
        <v>21</v>
      </c>
      <c r="I378">
        <v>0.97</v>
      </c>
      <c r="J378">
        <v>6.29</v>
      </c>
      <c r="K378">
        <v>1.2</v>
      </c>
      <c r="L378">
        <v>3</v>
      </c>
      <c r="M378" s="1" t="e">
        <f>#N/A</f>
        <v>#N/A</v>
      </c>
      <c r="N378">
        <v>387</v>
      </c>
      <c r="Q378" t="s">
        <v>87</v>
      </c>
    </row>
    <row r="379" spans="1:17" x14ac:dyDescent="0.35">
      <c r="A379">
        <v>378</v>
      </c>
      <c r="B379">
        <v>2018</v>
      </c>
      <c r="C379">
        <v>8</v>
      </c>
      <c r="D379" t="s">
        <v>21</v>
      </c>
      <c r="E379" t="s">
        <v>118</v>
      </c>
      <c r="F379" s="1">
        <v>98382</v>
      </c>
      <c r="G379" s="1">
        <v>283378</v>
      </c>
      <c r="H379">
        <v>56</v>
      </c>
      <c r="I379">
        <v>0.97</v>
      </c>
      <c r="J379">
        <v>6.29</v>
      </c>
      <c r="K379">
        <v>1.2</v>
      </c>
      <c r="L379">
        <v>4</v>
      </c>
      <c r="M379" s="1" t="e">
        <f>#N/A</f>
        <v>#N/A</v>
      </c>
      <c r="N379">
        <v>400</v>
      </c>
      <c r="Q379" t="s">
        <v>87</v>
      </c>
    </row>
    <row r="380" spans="1:17" x14ac:dyDescent="0.35">
      <c r="A380">
        <v>379</v>
      </c>
      <c r="B380">
        <v>2018</v>
      </c>
      <c r="C380">
        <v>8</v>
      </c>
      <c r="D380" t="s">
        <v>28</v>
      </c>
      <c r="E380" t="s">
        <v>153</v>
      </c>
      <c r="F380" s="1">
        <v>51122</v>
      </c>
      <c r="G380" s="1">
        <v>320665</v>
      </c>
      <c r="H380">
        <v>67</v>
      </c>
      <c r="I380">
        <v>0.97</v>
      </c>
      <c r="J380">
        <v>6.29</v>
      </c>
      <c r="K380">
        <v>1.2</v>
      </c>
      <c r="L380">
        <v>1</v>
      </c>
      <c r="M380" s="1" t="e">
        <f>#N/A</f>
        <v>#N/A</v>
      </c>
      <c r="N380">
        <v>530</v>
      </c>
      <c r="Q380" t="s">
        <v>87</v>
      </c>
    </row>
    <row r="381" spans="1:17" x14ac:dyDescent="0.35">
      <c r="A381">
        <v>380</v>
      </c>
      <c r="B381">
        <v>2018</v>
      </c>
      <c r="C381">
        <v>8</v>
      </c>
      <c r="D381" t="s">
        <v>32</v>
      </c>
      <c r="E381" t="s">
        <v>155</v>
      </c>
      <c r="F381" s="1">
        <v>108779</v>
      </c>
      <c r="G381" s="1">
        <v>188266</v>
      </c>
      <c r="H381">
        <v>194</v>
      </c>
      <c r="I381">
        <v>0.97</v>
      </c>
      <c r="J381">
        <v>6.29</v>
      </c>
      <c r="K381">
        <v>1.2</v>
      </c>
      <c r="L381">
        <v>2</v>
      </c>
      <c r="M381" s="1" t="e">
        <f>#N/A</f>
        <v>#N/A</v>
      </c>
      <c r="N381">
        <v>827</v>
      </c>
      <c r="Q381" t="s">
        <v>87</v>
      </c>
    </row>
    <row r="382" spans="1:17" x14ac:dyDescent="0.35">
      <c r="A382">
        <v>381</v>
      </c>
      <c r="B382">
        <v>2018</v>
      </c>
      <c r="C382">
        <v>9</v>
      </c>
      <c r="D382" t="s">
        <v>36</v>
      </c>
      <c r="E382" t="s">
        <v>53</v>
      </c>
      <c r="F382" s="1">
        <v>64793</v>
      </c>
      <c r="G382" s="1">
        <v>289654</v>
      </c>
      <c r="H382">
        <v>96</v>
      </c>
      <c r="I382">
        <v>0.97</v>
      </c>
      <c r="J382">
        <v>6.29</v>
      </c>
      <c r="K382">
        <v>1.2</v>
      </c>
      <c r="L382">
        <v>9</v>
      </c>
      <c r="M382" s="1" t="e">
        <f>#N/A</f>
        <v>#N/A</v>
      </c>
      <c r="N382">
        <v>500</v>
      </c>
      <c r="Q382" t="s">
        <v>87</v>
      </c>
    </row>
    <row r="383" spans="1:17" x14ac:dyDescent="0.35">
      <c r="A383">
        <v>382</v>
      </c>
      <c r="B383">
        <v>2018</v>
      </c>
      <c r="C383">
        <v>9</v>
      </c>
      <c r="D383" t="s">
        <v>25</v>
      </c>
      <c r="E383" t="s">
        <v>47</v>
      </c>
      <c r="F383" s="1">
        <v>105832</v>
      </c>
      <c r="G383" s="1">
        <v>79087</v>
      </c>
      <c r="H383">
        <v>256</v>
      </c>
      <c r="I383">
        <v>0.97</v>
      </c>
      <c r="J383">
        <v>6.29</v>
      </c>
      <c r="K383">
        <v>1.2</v>
      </c>
      <c r="L383">
        <v>8</v>
      </c>
      <c r="M383" s="1" t="e">
        <f>#N/A</f>
        <v>#N/A</v>
      </c>
      <c r="N383">
        <v>657</v>
      </c>
      <c r="Q383" t="s">
        <v>87</v>
      </c>
    </row>
    <row r="384" spans="1:17" x14ac:dyDescent="0.35">
      <c r="A384">
        <v>383</v>
      </c>
      <c r="B384">
        <v>2018</v>
      </c>
      <c r="C384">
        <v>9</v>
      </c>
      <c r="D384" t="s">
        <v>32</v>
      </c>
      <c r="E384" t="s">
        <v>96</v>
      </c>
      <c r="F384" s="1">
        <v>94199</v>
      </c>
      <c r="G384" s="1">
        <v>196895</v>
      </c>
      <c r="H384">
        <v>92</v>
      </c>
      <c r="I384">
        <v>0.97</v>
      </c>
      <c r="J384">
        <v>6.29</v>
      </c>
      <c r="K384">
        <v>1.2</v>
      </c>
      <c r="L384">
        <v>10</v>
      </c>
      <c r="M384" s="1" t="e">
        <f>#N/A</f>
        <v>#N/A</v>
      </c>
      <c r="N384">
        <v>512</v>
      </c>
      <c r="Q384" t="s">
        <v>87</v>
      </c>
    </row>
    <row r="385" spans="1:17" x14ac:dyDescent="0.35">
      <c r="A385">
        <v>384</v>
      </c>
      <c r="B385">
        <v>2018</v>
      </c>
      <c r="C385">
        <v>9</v>
      </c>
      <c r="D385" t="s">
        <v>37</v>
      </c>
      <c r="E385" t="s">
        <v>123</v>
      </c>
      <c r="F385" s="1">
        <v>48854</v>
      </c>
      <c r="G385" s="1">
        <v>392424</v>
      </c>
      <c r="H385">
        <v>334</v>
      </c>
      <c r="I385">
        <v>0.97</v>
      </c>
      <c r="J385">
        <v>6.29</v>
      </c>
      <c r="K385">
        <v>1.2</v>
      </c>
      <c r="L385">
        <v>10</v>
      </c>
      <c r="M385" s="1" t="e">
        <f>#N/A</f>
        <v>#N/A</v>
      </c>
      <c r="N385">
        <v>966</v>
      </c>
      <c r="Q385" t="s">
        <v>88</v>
      </c>
    </row>
    <row r="386" spans="1:17" x14ac:dyDescent="0.35">
      <c r="A386">
        <v>385</v>
      </c>
      <c r="B386">
        <v>2018</v>
      </c>
      <c r="C386">
        <v>9</v>
      </c>
      <c r="D386" t="s">
        <v>36</v>
      </c>
      <c r="E386" t="s">
        <v>136</v>
      </c>
      <c r="F386" s="1">
        <v>40622</v>
      </c>
      <c r="G386" s="1">
        <v>349189</v>
      </c>
      <c r="H386">
        <v>295</v>
      </c>
      <c r="I386">
        <v>0.97</v>
      </c>
      <c r="J386">
        <v>6.29</v>
      </c>
      <c r="K386">
        <v>1.2</v>
      </c>
      <c r="L386">
        <v>4</v>
      </c>
      <c r="M386" s="1" t="e">
        <f>#N/A</f>
        <v>#N/A</v>
      </c>
      <c r="N386">
        <v>664</v>
      </c>
      <c r="Q386" t="s">
        <v>88</v>
      </c>
    </row>
    <row r="387" spans="1:17" x14ac:dyDescent="0.35">
      <c r="A387">
        <v>386</v>
      </c>
      <c r="B387">
        <v>2018</v>
      </c>
      <c r="C387">
        <v>9</v>
      </c>
      <c r="D387" t="s">
        <v>14</v>
      </c>
      <c r="E387" t="s">
        <v>161</v>
      </c>
      <c r="F387" s="1">
        <v>77137</v>
      </c>
      <c r="G387" s="1">
        <v>484044</v>
      </c>
      <c r="H387">
        <v>52</v>
      </c>
      <c r="I387">
        <v>0.97</v>
      </c>
      <c r="J387">
        <v>6.29</v>
      </c>
      <c r="K387">
        <v>1.2</v>
      </c>
      <c r="L387">
        <v>8</v>
      </c>
      <c r="M387" s="1" t="e">
        <f>#N/A</f>
        <v>#N/A</v>
      </c>
      <c r="N387">
        <v>243</v>
      </c>
      <c r="Q387" t="s">
        <v>88</v>
      </c>
    </row>
    <row r="388" spans="1:17" x14ac:dyDescent="0.35">
      <c r="A388">
        <v>387</v>
      </c>
      <c r="B388">
        <v>2018</v>
      </c>
      <c r="C388">
        <v>10</v>
      </c>
      <c r="D388" t="s">
        <v>25</v>
      </c>
      <c r="E388" t="s">
        <v>64</v>
      </c>
      <c r="F388" s="1">
        <v>70081</v>
      </c>
      <c r="G388" s="1">
        <v>164881</v>
      </c>
      <c r="H388">
        <v>141</v>
      </c>
      <c r="I388">
        <v>0.97</v>
      </c>
      <c r="J388">
        <v>6.29</v>
      </c>
      <c r="K388">
        <v>1.2</v>
      </c>
      <c r="L388">
        <v>9</v>
      </c>
      <c r="M388" s="1" t="e">
        <f>#N/A</f>
        <v>#N/A</v>
      </c>
      <c r="N388">
        <v>529</v>
      </c>
      <c r="Q388" t="s">
        <v>88</v>
      </c>
    </row>
    <row r="389" spans="1:17" x14ac:dyDescent="0.35">
      <c r="A389">
        <v>388</v>
      </c>
      <c r="B389">
        <v>2018</v>
      </c>
      <c r="C389">
        <v>10</v>
      </c>
      <c r="D389" t="s">
        <v>37</v>
      </c>
      <c r="E389" t="s">
        <v>97</v>
      </c>
      <c r="F389" s="1">
        <v>70929</v>
      </c>
      <c r="G389" s="1">
        <v>401224</v>
      </c>
      <c r="H389">
        <v>294</v>
      </c>
      <c r="I389">
        <v>0.97</v>
      </c>
      <c r="J389">
        <v>6.29</v>
      </c>
      <c r="K389">
        <v>1.2</v>
      </c>
      <c r="L389">
        <v>7</v>
      </c>
      <c r="M389" s="1" t="e">
        <f>#N/A</f>
        <v>#N/A</v>
      </c>
      <c r="N389">
        <v>869</v>
      </c>
      <c r="Q389" t="s">
        <v>88</v>
      </c>
    </row>
    <row r="390" spans="1:17" x14ac:dyDescent="0.35">
      <c r="A390">
        <v>389</v>
      </c>
      <c r="B390">
        <v>2018</v>
      </c>
      <c r="C390">
        <v>10</v>
      </c>
      <c r="D390" t="s">
        <v>28</v>
      </c>
      <c r="E390" t="s">
        <v>110</v>
      </c>
      <c r="F390" s="1">
        <v>50240</v>
      </c>
      <c r="G390" s="1">
        <v>80270</v>
      </c>
      <c r="H390">
        <v>239</v>
      </c>
      <c r="I390">
        <v>0.97</v>
      </c>
      <c r="J390">
        <v>6.29</v>
      </c>
      <c r="K390">
        <v>1.2</v>
      </c>
      <c r="L390">
        <v>5</v>
      </c>
      <c r="M390" s="1" t="e">
        <f>#N/A</f>
        <v>#N/A</v>
      </c>
      <c r="N390">
        <v>703</v>
      </c>
      <c r="Q390" t="s">
        <v>88</v>
      </c>
    </row>
    <row r="391" spans="1:17" x14ac:dyDescent="0.35">
      <c r="A391">
        <v>390</v>
      </c>
      <c r="B391">
        <v>2018</v>
      </c>
      <c r="C391">
        <v>10</v>
      </c>
      <c r="D391" t="s">
        <v>28</v>
      </c>
      <c r="E391" t="s">
        <v>158</v>
      </c>
      <c r="F391" s="1">
        <v>98851</v>
      </c>
      <c r="G391" s="1">
        <v>375897</v>
      </c>
      <c r="H391">
        <v>15</v>
      </c>
      <c r="I391">
        <v>0.97</v>
      </c>
      <c r="J391">
        <v>6.29</v>
      </c>
      <c r="K391">
        <v>1.2</v>
      </c>
      <c r="L391">
        <v>10</v>
      </c>
      <c r="M391" s="1" t="e">
        <f>#N/A</f>
        <v>#N/A</v>
      </c>
      <c r="N391">
        <v>173</v>
      </c>
      <c r="Q391" t="s">
        <v>88</v>
      </c>
    </row>
    <row r="392" spans="1:17" x14ac:dyDescent="0.35">
      <c r="A392">
        <v>391</v>
      </c>
      <c r="B392">
        <v>2018</v>
      </c>
      <c r="C392">
        <v>11</v>
      </c>
      <c r="D392" t="s">
        <v>38</v>
      </c>
      <c r="E392" t="s">
        <v>52</v>
      </c>
      <c r="F392" s="1">
        <v>79116</v>
      </c>
      <c r="G392" s="1">
        <v>181827</v>
      </c>
      <c r="H392">
        <v>221</v>
      </c>
      <c r="I392">
        <v>0.97</v>
      </c>
      <c r="J392">
        <v>6.29</v>
      </c>
      <c r="K392">
        <v>1.2</v>
      </c>
      <c r="L392">
        <v>10</v>
      </c>
      <c r="M392" s="1" t="e">
        <f>#N/A</f>
        <v>#N/A</v>
      </c>
      <c r="N392">
        <v>781</v>
      </c>
      <c r="Q392" t="s">
        <v>88</v>
      </c>
    </row>
    <row r="393" spans="1:17" x14ac:dyDescent="0.35">
      <c r="A393">
        <v>392</v>
      </c>
      <c r="B393">
        <v>2018</v>
      </c>
      <c r="C393">
        <v>11</v>
      </c>
      <c r="D393" t="s">
        <v>21</v>
      </c>
      <c r="E393" t="s">
        <v>105</v>
      </c>
      <c r="F393" s="1">
        <v>85383</v>
      </c>
      <c r="G393" s="1">
        <v>327721</v>
      </c>
      <c r="H393">
        <v>126</v>
      </c>
      <c r="I393">
        <v>0.97</v>
      </c>
      <c r="J393">
        <v>6.29</v>
      </c>
      <c r="K393">
        <v>1.2</v>
      </c>
      <c r="L393">
        <v>2</v>
      </c>
      <c r="M393" s="1" t="e">
        <f>#N/A</f>
        <v>#N/A</v>
      </c>
      <c r="N393">
        <v>634</v>
      </c>
      <c r="Q393" t="s">
        <v>88</v>
      </c>
    </row>
    <row r="394" spans="1:17" x14ac:dyDescent="0.35">
      <c r="A394">
        <v>393</v>
      </c>
      <c r="B394">
        <v>2018</v>
      </c>
      <c r="C394">
        <v>11</v>
      </c>
      <c r="D394" t="s">
        <v>14</v>
      </c>
      <c r="E394" t="s">
        <v>126</v>
      </c>
      <c r="F394" s="1">
        <v>50696</v>
      </c>
      <c r="G394" s="1">
        <v>305095</v>
      </c>
      <c r="H394">
        <v>340</v>
      </c>
      <c r="I394">
        <v>0.97</v>
      </c>
      <c r="J394">
        <v>6.29</v>
      </c>
      <c r="K394">
        <v>1.2</v>
      </c>
      <c r="L394">
        <v>7</v>
      </c>
      <c r="M394" s="1" t="e">
        <f>#N/A</f>
        <v>#N/A</v>
      </c>
      <c r="N394">
        <v>898</v>
      </c>
      <c r="Q394" t="s">
        <v>89</v>
      </c>
    </row>
    <row r="395" spans="1:17" x14ac:dyDescent="0.35">
      <c r="A395">
        <v>394</v>
      </c>
      <c r="B395">
        <v>2018</v>
      </c>
      <c r="C395">
        <v>11</v>
      </c>
      <c r="D395" t="s">
        <v>37</v>
      </c>
      <c r="E395" t="s">
        <v>129</v>
      </c>
      <c r="F395" s="1">
        <v>75644</v>
      </c>
      <c r="G395" s="1">
        <v>446875</v>
      </c>
      <c r="H395">
        <v>393</v>
      </c>
      <c r="I395">
        <v>0.97</v>
      </c>
      <c r="J395">
        <v>6.29</v>
      </c>
      <c r="K395">
        <v>1.2</v>
      </c>
      <c r="L395">
        <v>6</v>
      </c>
      <c r="M395" s="1" t="e">
        <f>#N/A</f>
        <v>#N/A</v>
      </c>
      <c r="N395">
        <v>887</v>
      </c>
      <c r="Q395" t="s">
        <v>89</v>
      </c>
    </row>
    <row r="396" spans="1:17" x14ac:dyDescent="0.35">
      <c r="A396">
        <v>395</v>
      </c>
      <c r="B396">
        <v>2018</v>
      </c>
      <c r="C396">
        <v>11</v>
      </c>
      <c r="D396" t="s">
        <v>35</v>
      </c>
      <c r="E396" t="s">
        <v>142</v>
      </c>
      <c r="F396" s="1">
        <v>56199</v>
      </c>
      <c r="G396" s="1">
        <v>429553</v>
      </c>
      <c r="H396">
        <v>173</v>
      </c>
      <c r="I396">
        <v>0.97</v>
      </c>
      <c r="J396">
        <v>6.29</v>
      </c>
      <c r="K396">
        <v>1.2</v>
      </c>
      <c r="L396">
        <v>3</v>
      </c>
      <c r="M396" s="1" t="e">
        <f>#N/A</f>
        <v>#N/A</v>
      </c>
      <c r="N396">
        <v>534</v>
      </c>
      <c r="Q396" t="s">
        <v>89</v>
      </c>
    </row>
    <row r="397" spans="1:17" x14ac:dyDescent="0.35">
      <c r="A397">
        <v>396</v>
      </c>
      <c r="B397">
        <v>2018</v>
      </c>
      <c r="C397">
        <v>12</v>
      </c>
      <c r="D397" t="s">
        <v>25</v>
      </c>
      <c r="E397" t="s">
        <v>90</v>
      </c>
      <c r="F397" s="1">
        <v>86448</v>
      </c>
      <c r="G397" s="1">
        <v>154824</v>
      </c>
      <c r="H397">
        <v>123</v>
      </c>
      <c r="I397">
        <v>0.97</v>
      </c>
      <c r="J397">
        <v>6.29</v>
      </c>
      <c r="K397">
        <v>1.2</v>
      </c>
      <c r="L397">
        <v>7</v>
      </c>
      <c r="M397" s="1" t="e">
        <f>#N/A</f>
        <v>#N/A</v>
      </c>
      <c r="N397">
        <v>581</v>
      </c>
      <c r="Q397" t="s">
        <v>89</v>
      </c>
    </row>
    <row r="398" spans="1:17" x14ac:dyDescent="0.35">
      <c r="A398">
        <v>397</v>
      </c>
      <c r="B398">
        <v>2018</v>
      </c>
      <c r="C398">
        <v>12</v>
      </c>
      <c r="D398" t="s">
        <v>38</v>
      </c>
      <c r="E398" t="s">
        <v>88</v>
      </c>
      <c r="F398" s="1">
        <v>40529</v>
      </c>
      <c r="G398" s="1">
        <v>308121</v>
      </c>
      <c r="H398">
        <v>250</v>
      </c>
      <c r="I398">
        <v>0.97</v>
      </c>
      <c r="J398">
        <v>6.29</v>
      </c>
      <c r="K398">
        <v>1.2</v>
      </c>
      <c r="L398">
        <v>7</v>
      </c>
      <c r="M398" s="1" t="e">
        <f>#N/A</f>
        <v>#N/A</v>
      </c>
      <c r="N398">
        <v>662</v>
      </c>
      <c r="Q398" t="s">
        <v>89</v>
      </c>
    </row>
    <row r="399" spans="1:17" x14ac:dyDescent="0.35">
      <c r="A399">
        <v>398</v>
      </c>
      <c r="B399">
        <v>2018</v>
      </c>
      <c r="C399">
        <v>12</v>
      </c>
      <c r="D399" t="s">
        <v>32</v>
      </c>
      <c r="E399" t="s">
        <v>101</v>
      </c>
      <c r="F399" s="1">
        <v>60363</v>
      </c>
      <c r="G399" s="1">
        <v>171648</v>
      </c>
      <c r="H399">
        <v>144</v>
      </c>
      <c r="I399">
        <v>0.97</v>
      </c>
      <c r="J399">
        <v>6.29</v>
      </c>
      <c r="K399">
        <v>1.2</v>
      </c>
      <c r="L399">
        <v>6</v>
      </c>
      <c r="M399" s="1" t="e">
        <f>#N/A</f>
        <v>#N/A</v>
      </c>
      <c r="N399">
        <v>561</v>
      </c>
      <c r="Q399" t="s">
        <v>89</v>
      </c>
    </row>
    <row r="400" spans="1:17" x14ac:dyDescent="0.35">
      <c r="A400">
        <v>399</v>
      </c>
      <c r="B400">
        <v>2018</v>
      </c>
      <c r="C400">
        <v>12</v>
      </c>
      <c r="D400" t="s">
        <v>36</v>
      </c>
      <c r="E400" t="s">
        <v>95</v>
      </c>
      <c r="F400" s="1">
        <v>107902</v>
      </c>
      <c r="G400" s="1">
        <v>497728</v>
      </c>
      <c r="H400">
        <v>337</v>
      </c>
      <c r="I400">
        <v>0.97</v>
      </c>
      <c r="J400">
        <v>6.29</v>
      </c>
      <c r="K400">
        <v>1.2</v>
      </c>
      <c r="L400">
        <v>3</v>
      </c>
      <c r="M400" s="1" t="e">
        <f>#N/A</f>
        <v>#N/A</v>
      </c>
      <c r="N400">
        <v>719</v>
      </c>
      <c r="Q400" t="s">
        <v>89</v>
      </c>
    </row>
    <row r="401" spans="1:17" x14ac:dyDescent="0.35">
      <c r="A401">
        <v>400</v>
      </c>
      <c r="B401">
        <v>2018</v>
      </c>
      <c r="C401">
        <v>12</v>
      </c>
      <c r="D401" t="s">
        <v>37</v>
      </c>
      <c r="E401" t="s">
        <v>113</v>
      </c>
      <c r="F401" s="1">
        <v>118255</v>
      </c>
      <c r="G401" s="1">
        <v>245889</v>
      </c>
      <c r="H401">
        <v>335</v>
      </c>
      <c r="I401">
        <v>0.97</v>
      </c>
      <c r="J401">
        <v>6.29</v>
      </c>
      <c r="K401">
        <v>1.2</v>
      </c>
      <c r="L401">
        <v>6</v>
      </c>
      <c r="M401" s="1" t="e">
        <f>#N/A</f>
        <v>#N/A</v>
      </c>
      <c r="N401">
        <v>1069</v>
      </c>
      <c r="Q401" t="s">
        <v>89</v>
      </c>
    </row>
    <row r="402" spans="1:17" x14ac:dyDescent="0.35">
      <c r="A402">
        <v>401</v>
      </c>
      <c r="B402">
        <v>2018</v>
      </c>
      <c r="C402">
        <v>12</v>
      </c>
      <c r="D402" t="s">
        <v>37</v>
      </c>
      <c r="E402" t="s">
        <v>132</v>
      </c>
      <c r="F402" s="1">
        <v>107013</v>
      </c>
      <c r="G402" s="1">
        <v>483917</v>
      </c>
      <c r="H402">
        <v>268</v>
      </c>
      <c r="I402">
        <v>0.97</v>
      </c>
      <c r="J402">
        <v>6.29</v>
      </c>
      <c r="K402">
        <v>1.2</v>
      </c>
      <c r="L402">
        <v>6</v>
      </c>
      <c r="M402" s="1" t="e">
        <f>#N/A</f>
        <v>#N/A</v>
      </c>
      <c r="N402">
        <v>840</v>
      </c>
      <c r="Q402" t="s">
        <v>89</v>
      </c>
    </row>
    <row r="403" spans="1:17" x14ac:dyDescent="0.35">
      <c r="A403">
        <v>402</v>
      </c>
      <c r="B403">
        <v>2018</v>
      </c>
      <c r="C403">
        <v>12</v>
      </c>
      <c r="D403" t="s">
        <v>35</v>
      </c>
      <c r="E403" t="s">
        <v>139</v>
      </c>
      <c r="F403" s="1">
        <v>66875</v>
      </c>
      <c r="G403" s="1">
        <v>308470</v>
      </c>
      <c r="H403">
        <v>213</v>
      </c>
      <c r="I403">
        <v>0.97</v>
      </c>
      <c r="J403">
        <v>6.29</v>
      </c>
      <c r="K403">
        <v>1.2</v>
      </c>
      <c r="L403">
        <v>9</v>
      </c>
      <c r="M403" s="1" t="e">
        <f>#N/A</f>
        <v>#N/A</v>
      </c>
      <c r="N403">
        <v>434</v>
      </c>
      <c r="Q403" t="s">
        <v>89</v>
      </c>
    </row>
    <row r="404" spans="1:17" x14ac:dyDescent="0.35">
      <c r="A404">
        <v>403</v>
      </c>
      <c r="B404">
        <v>2018</v>
      </c>
      <c r="C404">
        <v>12</v>
      </c>
      <c r="D404" t="s">
        <v>14</v>
      </c>
      <c r="E404" t="s">
        <v>137</v>
      </c>
      <c r="F404" s="1">
        <v>98752</v>
      </c>
      <c r="G404" s="1">
        <v>486670</v>
      </c>
      <c r="H404">
        <v>343</v>
      </c>
      <c r="I404">
        <v>0.97</v>
      </c>
      <c r="J404">
        <v>6.29</v>
      </c>
      <c r="K404">
        <v>1.2</v>
      </c>
      <c r="L404">
        <v>1</v>
      </c>
      <c r="M404" s="1" t="e">
        <f>#N/A</f>
        <v>#N/A</v>
      </c>
      <c r="N404">
        <v>1116</v>
      </c>
      <c r="Q404" t="s">
        <v>89</v>
      </c>
    </row>
    <row r="405" spans="1:17" x14ac:dyDescent="0.35">
      <c r="A405">
        <v>404</v>
      </c>
      <c r="B405">
        <v>2018</v>
      </c>
      <c r="C405">
        <v>12</v>
      </c>
      <c r="D405" t="s">
        <v>35</v>
      </c>
      <c r="E405" t="s">
        <v>145</v>
      </c>
      <c r="F405" s="1">
        <v>63350</v>
      </c>
      <c r="G405" s="1">
        <v>423513</v>
      </c>
      <c r="H405">
        <v>339</v>
      </c>
      <c r="I405">
        <v>0.97</v>
      </c>
      <c r="J405">
        <v>6.29</v>
      </c>
      <c r="K405">
        <v>1.2</v>
      </c>
      <c r="L405">
        <v>8</v>
      </c>
      <c r="M405" s="1" t="e">
        <f>#N/A</f>
        <v>#N/A</v>
      </c>
      <c r="N405">
        <v>1033</v>
      </c>
      <c r="Q405" t="s">
        <v>89</v>
      </c>
    </row>
    <row r="406" spans="1:17" x14ac:dyDescent="0.35">
      <c r="A406">
        <v>405</v>
      </c>
      <c r="B406">
        <v>2018</v>
      </c>
      <c r="C406">
        <v>12</v>
      </c>
      <c r="D406" t="s">
        <v>38</v>
      </c>
      <c r="E406" t="s">
        <v>140</v>
      </c>
      <c r="F406" s="1">
        <v>102946</v>
      </c>
      <c r="G406" s="1">
        <v>171361</v>
      </c>
      <c r="H406">
        <v>396</v>
      </c>
      <c r="I406">
        <v>0.97</v>
      </c>
      <c r="J406">
        <v>6.29</v>
      </c>
      <c r="K406">
        <v>1.2</v>
      </c>
      <c r="L406">
        <v>10</v>
      </c>
      <c r="M406" s="1" t="e">
        <f>#N/A</f>
        <v>#N/A</v>
      </c>
      <c r="N406">
        <v>869</v>
      </c>
      <c r="Q406" t="s">
        <v>89</v>
      </c>
    </row>
    <row r="407" spans="1:17" x14ac:dyDescent="0.35">
      <c r="A407">
        <v>406</v>
      </c>
      <c r="B407">
        <v>2019</v>
      </c>
      <c r="C407">
        <v>1</v>
      </c>
      <c r="D407" t="s">
        <v>30</v>
      </c>
      <c r="E407" t="s">
        <v>63</v>
      </c>
      <c r="F407" s="1">
        <v>46516</v>
      </c>
      <c r="G407" s="1">
        <v>395876</v>
      </c>
      <c r="H407">
        <v>183</v>
      </c>
      <c r="I407">
        <v>0.97</v>
      </c>
      <c r="J407">
        <v>6.29</v>
      </c>
      <c r="K407">
        <v>1.2</v>
      </c>
      <c r="L407">
        <v>10</v>
      </c>
      <c r="M407" s="1" t="e">
        <f>#N/A</f>
        <v>#N/A</v>
      </c>
      <c r="N407">
        <v>496</v>
      </c>
      <c r="Q407" t="s">
        <v>89</v>
      </c>
    </row>
    <row r="408" spans="1:17" x14ac:dyDescent="0.35">
      <c r="A408">
        <v>407</v>
      </c>
      <c r="B408">
        <v>2019</v>
      </c>
      <c r="C408">
        <v>1</v>
      </c>
      <c r="D408" t="s">
        <v>25</v>
      </c>
      <c r="E408" t="s">
        <v>75</v>
      </c>
      <c r="F408" s="1">
        <v>89478</v>
      </c>
      <c r="G408" s="1">
        <v>85709</v>
      </c>
      <c r="H408">
        <v>233</v>
      </c>
      <c r="I408">
        <v>0.97</v>
      </c>
      <c r="J408">
        <v>6.29</v>
      </c>
      <c r="K408">
        <v>1.2</v>
      </c>
      <c r="L408">
        <v>7</v>
      </c>
      <c r="M408" s="1" t="e">
        <f>#N/A</f>
        <v>#N/A</v>
      </c>
      <c r="N408">
        <v>652</v>
      </c>
      <c r="Q408" t="s">
        <v>89</v>
      </c>
    </row>
    <row r="409" spans="1:17" x14ac:dyDescent="0.35">
      <c r="A409">
        <v>408</v>
      </c>
      <c r="B409">
        <v>2019</v>
      </c>
      <c r="C409">
        <v>1</v>
      </c>
      <c r="D409" t="s">
        <v>28</v>
      </c>
      <c r="E409" t="s">
        <v>74</v>
      </c>
      <c r="F409" s="1">
        <v>38332</v>
      </c>
      <c r="G409" s="1">
        <v>255232</v>
      </c>
      <c r="H409">
        <v>55</v>
      </c>
      <c r="I409">
        <v>0.97</v>
      </c>
      <c r="J409">
        <v>6.29</v>
      </c>
      <c r="K409">
        <v>1.2</v>
      </c>
      <c r="L409">
        <v>8</v>
      </c>
      <c r="M409" s="1" t="e">
        <f>#N/A</f>
        <v>#N/A</v>
      </c>
      <c r="N409">
        <v>418</v>
      </c>
      <c r="Q409" t="s">
        <v>89</v>
      </c>
    </row>
    <row r="410" spans="1:17" x14ac:dyDescent="0.35">
      <c r="A410">
        <v>409</v>
      </c>
      <c r="B410">
        <v>2019</v>
      </c>
      <c r="C410">
        <v>1</v>
      </c>
      <c r="D410" t="s">
        <v>36</v>
      </c>
      <c r="E410" t="s">
        <v>91</v>
      </c>
      <c r="F410" s="1">
        <v>75475</v>
      </c>
      <c r="G410" s="1">
        <v>131268</v>
      </c>
      <c r="H410">
        <v>200</v>
      </c>
      <c r="I410">
        <v>0.97</v>
      </c>
      <c r="J410">
        <v>6.29</v>
      </c>
      <c r="K410">
        <v>1.2</v>
      </c>
      <c r="L410">
        <v>3</v>
      </c>
      <c r="M410" s="1" t="e">
        <f>#N/A</f>
        <v>#N/A</v>
      </c>
      <c r="N410">
        <v>610</v>
      </c>
      <c r="Q410" t="s">
        <v>89</v>
      </c>
    </row>
    <row r="411" spans="1:17" x14ac:dyDescent="0.35">
      <c r="A411">
        <v>410</v>
      </c>
      <c r="B411">
        <v>2019</v>
      </c>
      <c r="C411">
        <v>1</v>
      </c>
      <c r="D411" t="s">
        <v>35</v>
      </c>
      <c r="E411" t="s">
        <v>89</v>
      </c>
      <c r="F411" s="1">
        <v>100449</v>
      </c>
      <c r="G411" s="1">
        <v>387201</v>
      </c>
      <c r="H411">
        <v>314</v>
      </c>
      <c r="I411">
        <v>0.97</v>
      </c>
      <c r="J411">
        <v>6.29</v>
      </c>
      <c r="K411">
        <v>1.2</v>
      </c>
      <c r="L411">
        <v>10</v>
      </c>
      <c r="M411" s="1" t="e">
        <f>#N/A</f>
        <v>#N/A</v>
      </c>
      <c r="N411">
        <v>844</v>
      </c>
      <c r="Q411" t="s">
        <v>90</v>
      </c>
    </row>
    <row r="412" spans="1:17" x14ac:dyDescent="0.35">
      <c r="A412">
        <v>411</v>
      </c>
      <c r="B412">
        <v>2019</v>
      </c>
      <c r="C412">
        <v>1</v>
      </c>
      <c r="D412" t="s">
        <v>38</v>
      </c>
      <c r="E412" t="s">
        <v>87</v>
      </c>
      <c r="F412" s="1">
        <v>84056</v>
      </c>
      <c r="G412" s="1">
        <v>153986</v>
      </c>
      <c r="H412">
        <v>76</v>
      </c>
      <c r="I412">
        <v>0.97</v>
      </c>
      <c r="J412">
        <v>6.29</v>
      </c>
      <c r="K412">
        <v>1.2</v>
      </c>
      <c r="L412">
        <v>10</v>
      </c>
      <c r="M412" s="1" t="e">
        <f>#N/A</f>
        <v>#N/A</v>
      </c>
      <c r="N412">
        <v>419</v>
      </c>
      <c r="Q412" t="s">
        <v>90</v>
      </c>
    </row>
    <row r="413" spans="1:17" x14ac:dyDescent="0.35">
      <c r="A413">
        <v>412</v>
      </c>
      <c r="B413">
        <v>2019</v>
      </c>
      <c r="C413">
        <v>1</v>
      </c>
      <c r="D413" t="s">
        <v>28</v>
      </c>
      <c r="E413" t="s">
        <v>92</v>
      </c>
      <c r="F413" s="1">
        <v>49327</v>
      </c>
      <c r="G413" s="1">
        <v>215250</v>
      </c>
      <c r="H413">
        <v>396</v>
      </c>
      <c r="I413">
        <v>0.97</v>
      </c>
      <c r="J413">
        <v>6.29</v>
      </c>
      <c r="K413">
        <v>1.2</v>
      </c>
      <c r="L413">
        <v>10</v>
      </c>
      <c r="M413" s="1" t="e">
        <f>#N/A</f>
        <v>#N/A</v>
      </c>
      <c r="N413">
        <v>1066</v>
      </c>
      <c r="Q413" t="s">
        <v>90</v>
      </c>
    </row>
    <row r="414" spans="1:17" x14ac:dyDescent="0.35">
      <c r="A414">
        <v>413</v>
      </c>
      <c r="B414">
        <v>2019</v>
      </c>
      <c r="C414">
        <v>1</v>
      </c>
      <c r="D414" t="s">
        <v>32</v>
      </c>
      <c r="E414" t="s">
        <v>101</v>
      </c>
      <c r="F414" s="1">
        <v>64265</v>
      </c>
      <c r="G414" s="1">
        <v>356259</v>
      </c>
      <c r="H414">
        <v>31</v>
      </c>
      <c r="I414">
        <v>0.97</v>
      </c>
      <c r="J414">
        <v>6.29</v>
      </c>
      <c r="K414">
        <v>1.2</v>
      </c>
      <c r="L414">
        <v>6</v>
      </c>
      <c r="M414" s="1" t="e">
        <f>#N/A</f>
        <v>#N/A</v>
      </c>
      <c r="N414">
        <v>231</v>
      </c>
      <c r="Q414" t="s">
        <v>90</v>
      </c>
    </row>
    <row r="415" spans="1:17" x14ac:dyDescent="0.35">
      <c r="A415">
        <v>414</v>
      </c>
      <c r="B415">
        <v>2019</v>
      </c>
      <c r="C415">
        <v>1</v>
      </c>
      <c r="D415" t="s">
        <v>21</v>
      </c>
      <c r="E415" t="s">
        <v>95</v>
      </c>
      <c r="F415" s="1">
        <v>55028</v>
      </c>
      <c r="G415" s="1">
        <v>119123</v>
      </c>
      <c r="H415">
        <v>208</v>
      </c>
      <c r="I415">
        <v>0.97</v>
      </c>
      <c r="J415">
        <v>6.29</v>
      </c>
      <c r="K415">
        <v>1.2</v>
      </c>
      <c r="L415">
        <v>10</v>
      </c>
      <c r="M415" s="1" t="e">
        <f>#N/A</f>
        <v>#N/A</v>
      </c>
      <c r="N415">
        <v>685</v>
      </c>
      <c r="Q415" t="s">
        <v>90</v>
      </c>
    </row>
    <row r="416" spans="1:17" x14ac:dyDescent="0.35">
      <c r="A416">
        <v>415</v>
      </c>
      <c r="B416">
        <v>2019</v>
      </c>
      <c r="C416">
        <v>1</v>
      </c>
      <c r="D416" t="s">
        <v>14</v>
      </c>
      <c r="E416" t="s">
        <v>112</v>
      </c>
      <c r="F416" s="1">
        <v>57490</v>
      </c>
      <c r="G416" s="1">
        <v>50363</v>
      </c>
      <c r="H416">
        <v>320</v>
      </c>
      <c r="I416">
        <v>0.97</v>
      </c>
      <c r="J416">
        <v>6.29</v>
      </c>
      <c r="K416">
        <v>1.2</v>
      </c>
      <c r="L416">
        <v>3</v>
      </c>
      <c r="M416" s="1" t="e">
        <f>#N/A</f>
        <v>#N/A</v>
      </c>
      <c r="N416">
        <v>1049</v>
      </c>
      <c r="Q416" t="s">
        <v>90</v>
      </c>
    </row>
    <row r="417" spans="1:17" x14ac:dyDescent="0.35">
      <c r="A417">
        <v>416</v>
      </c>
      <c r="B417">
        <v>2019</v>
      </c>
      <c r="C417">
        <v>1</v>
      </c>
      <c r="D417" t="s">
        <v>25</v>
      </c>
      <c r="E417" t="s">
        <v>132</v>
      </c>
      <c r="F417" s="1">
        <v>67230</v>
      </c>
      <c r="G417" s="1">
        <v>359945</v>
      </c>
      <c r="H417">
        <v>75</v>
      </c>
      <c r="I417">
        <v>0.97</v>
      </c>
      <c r="J417">
        <v>6.29</v>
      </c>
      <c r="K417">
        <v>1.2</v>
      </c>
      <c r="L417">
        <v>6</v>
      </c>
      <c r="M417" s="1" t="e">
        <f>#N/A</f>
        <v>#N/A</v>
      </c>
      <c r="N417">
        <v>424</v>
      </c>
      <c r="Q417" t="s">
        <v>90</v>
      </c>
    </row>
    <row r="418" spans="1:17" x14ac:dyDescent="0.35">
      <c r="A418">
        <v>417</v>
      </c>
      <c r="B418">
        <v>2019</v>
      </c>
      <c r="C418">
        <v>1</v>
      </c>
      <c r="D418" t="s">
        <v>14</v>
      </c>
      <c r="E418" t="s">
        <v>131</v>
      </c>
      <c r="F418" s="1">
        <v>40586</v>
      </c>
      <c r="G418" s="1">
        <v>77043</v>
      </c>
      <c r="H418">
        <v>250</v>
      </c>
      <c r="I418">
        <v>0.97</v>
      </c>
      <c r="J418">
        <v>6.29</v>
      </c>
      <c r="K418">
        <v>1.2</v>
      </c>
      <c r="L418">
        <v>8</v>
      </c>
      <c r="M418" s="1" t="e">
        <f>#N/A</f>
        <v>#N/A</v>
      </c>
      <c r="N418">
        <v>930</v>
      </c>
      <c r="Q418" t="s">
        <v>91</v>
      </c>
    </row>
    <row r="419" spans="1:17" x14ac:dyDescent="0.35">
      <c r="A419">
        <v>418</v>
      </c>
      <c r="B419">
        <v>2019</v>
      </c>
      <c r="C419">
        <v>1</v>
      </c>
      <c r="D419" t="s">
        <v>35</v>
      </c>
      <c r="E419" t="s">
        <v>152</v>
      </c>
      <c r="F419" s="1">
        <v>96497</v>
      </c>
      <c r="G419" s="1">
        <v>438681</v>
      </c>
      <c r="H419">
        <v>76</v>
      </c>
      <c r="I419">
        <v>0.97</v>
      </c>
      <c r="J419">
        <v>6.29</v>
      </c>
      <c r="K419">
        <v>1.2</v>
      </c>
      <c r="L419">
        <v>7</v>
      </c>
      <c r="M419" s="1" t="e">
        <f>#N/A</f>
        <v>#N/A</v>
      </c>
      <c r="N419">
        <v>369</v>
      </c>
      <c r="Q419" t="s">
        <v>91</v>
      </c>
    </row>
    <row r="420" spans="1:17" x14ac:dyDescent="0.35">
      <c r="A420">
        <v>419</v>
      </c>
      <c r="B420">
        <v>2019</v>
      </c>
      <c r="C420">
        <v>1</v>
      </c>
      <c r="D420" t="s">
        <v>38</v>
      </c>
      <c r="E420" t="s">
        <v>152</v>
      </c>
      <c r="F420" s="1">
        <v>109417</v>
      </c>
      <c r="G420" s="1">
        <v>54025</v>
      </c>
      <c r="H420">
        <v>72</v>
      </c>
      <c r="I420">
        <v>0.97</v>
      </c>
      <c r="J420">
        <v>6.29</v>
      </c>
      <c r="K420">
        <v>1.2</v>
      </c>
      <c r="L420">
        <v>1</v>
      </c>
      <c r="M420" s="1" t="e">
        <f>#N/A</f>
        <v>#N/A</v>
      </c>
      <c r="N420">
        <v>250</v>
      </c>
      <c r="Q420" t="s">
        <v>91</v>
      </c>
    </row>
    <row r="421" spans="1:17" x14ac:dyDescent="0.35">
      <c r="A421">
        <v>420</v>
      </c>
      <c r="B421">
        <v>2019</v>
      </c>
      <c r="C421">
        <v>2</v>
      </c>
      <c r="D421" t="s">
        <v>35</v>
      </c>
      <c r="E421" t="s">
        <v>60</v>
      </c>
      <c r="F421" s="1">
        <v>114436</v>
      </c>
      <c r="G421" s="1">
        <v>354169</v>
      </c>
      <c r="H421">
        <v>309</v>
      </c>
      <c r="I421">
        <v>0.97</v>
      </c>
      <c r="J421">
        <v>6.29</v>
      </c>
      <c r="K421">
        <v>1.2</v>
      </c>
      <c r="L421">
        <v>1</v>
      </c>
      <c r="M421" s="1" t="e">
        <f>#N/A</f>
        <v>#N/A</v>
      </c>
      <c r="N421">
        <v>730</v>
      </c>
      <c r="Q421" t="s">
        <v>91</v>
      </c>
    </row>
    <row r="422" spans="1:17" x14ac:dyDescent="0.35">
      <c r="A422">
        <v>421</v>
      </c>
      <c r="B422">
        <v>2019</v>
      </c>
      <c r="C422">
        <v>2</v>
      </c>
      <c r="D422" t="s">
        <v>32</v>
      </c>
      <c r="E422" t="s">
        <v>56</v>
      </c>
      <c r="F422" s="1">
        <v>44130</v>
      </c>
      <c r="G422" s="1">
        <v>212403</v>
      </c>
      <c r="H422">
        <v>253</v>
      </c>
      <c r="I422">
        <v>0.97</v>
      </c>
      <c r="J422">
        <v>6.29</v>
      </c>
      <c r="K422">
        <v>1.2</v>
      </c>
      <c r="L422">
        <v>1</v>
      </c>
      <c r="M422" s="1" t="e">
        <f>#N/A</f>
        <v>#N/A</v>
      </c>
      <c r="N422">
        <v>744</v>
      </c>
      <c r="Q422" t="s">
        <v>91</v>
      </c>
    </row>
    <row r="423" spans="1:17" x14ac:dyDescent="0.35">
      <c r="A423">
        <v>422</v>
      </c>
      <c r="B423">
        <v>2019</v>
      </c>
      <c r="C423">
        <v>2</v>
      </c>
      <c r="D423" t="s">
        <v>37</v>
      </c>
      <c r="E423" t="s">
        <v>72</v>
      </c>
      <c r="F423" s="1">
        <v>50792</v>
      </c>
      <c r="G423" s="1">
        <v>231413</v>
      </c>
      <c r="H423">
        <v>223</v>
      </c>
      <c r="I423">
        <v>0.97</v>
      </c>
      <c r="J423">
        <v>6.29</v>
      </c>
      <c r="K423">
        <v>1.2</v>
      </c>
      <c r="L423">
        <v>6</v>
      </c>
      <c r="M423" s="1" t="e">
        <f>#N/A</f>
        <v>#N/A</v>
      </c>
      <c r="N423">
        <v>804</v>
      </c>
      <c r="Q423" t="s">
        <v>92</v>
      </c>
    </row>
    <row r="424" spans="1:17" x14ac:dyDescent="0.35">
      <c r="A424">
        <v>423</v>
      </c>
      <c r="B424">
        <v>2019</v>
      </c>
      <c r="C424">
        <v>2</v>
      </c>
      <c r="D424" t="s">
        <v>21</v>
      </c>
      <c r="E424" t="s">
        <v>102</v>
      </c>
      <c r="F424" s="1">
        <v>114795</v>
      </c>
      <c r="G424" s="1">
        <v>98784</v>
      </c>
      <c r="H424">
        <v>252</v>
      </c>
      <c r="I424">
        <v>0.97</v>
      </c>
      <c r="J424">
        <v>6.29</v>
      </c>
      <c r="K424">
        <v>1.2</v>
      </c>
      <c r="L424">
        <v>9</v>
      </c>
      <c r="M424" s="1" t="e">
        <f>#N/A</f>
        <v>#N/A</v>
      </c>
      <c r="N424">
        <v>724</v>
      </c>
      <c r="Q424" t="s">
        <v>92</v>
      </c>
    </row>
    <row r="425" spans="1:17" x14ac:dyDescent="0.35">
      <c r="A425">
        <v>424</v>
      </c>
      <c r="B425">
        <v>2019</v>
      </c>
      <c r="C425">
        <v>2</v>
      </c>
      <c r="D425" t="s">
        <v>38</v>
      </c>
      <c r="E425" t="s">
        <v>107</v>
      </c>
      <c r="F425" s="1">
        <v>45304</v>
      </c>
      <c r="G425" s="1">
        <v>128012</v>
      </c>
      <c r="H425">
        <v>179</v>
      </c>
      <c r="I425">
        <v>0.97</v>
      </c>
      <c r="J425">
        <v>6.29</v>
      </c>
      <c r="K425">
        <v>1.2</v>
      </c>
      <c r="L425">
        <v>9</v>
      </c>
      <c r="M425" s="1" t="e">
        <f>#N/A</f>
        <v>#N/A</v>
      </c>
      <c r="N425">
        <v>613</v>
      </c>
      <c r="Q425" t="s">
        <v>92</v>
      </c>
    </row>
    <row r="426" spans="1:17" x14ac:dyDescent="0.35">
      <c r="A426">
        <v>425</v>
      </c>
      <c r="B426">
        <v>2019</v>
      </c>
      <c r="C426">
        <v>2</v>
      </c>
      <c r="D426" t="s">
        <v>37</v>
      </c>
      <c r="E426" t="s">
        <v>104</v>
      </c>
      <c r="F426" s="1">
        <v>56045</v>
      </c>
      <c r="G426" s="1">
        <v>364941</v>
      </c>
      <c r="H426">
        <v>395</v>
      </c>
      <c r="I426">
        <v>0.97</v>
      </c>
      <c r="J426">
        <v>6.29</v>
      </c>
      <c r="K426">
        <v>1.2</v>
      </c>
      <c r="L426">
        <v>8</v>
      </c>
      <c r="M426" s="1" t="e">
        <f>#N/A</f>
        <v>#N/A</v>
      </c>
      <c r="N426">
        <v>1114</v>
      </c>
      <c r="Q426" t="s">
        <v>92</v>
      </c>
    </row>
    <row r="427" spans="1:17" x14ac:dyDescent="0.35">
      <c r="A427">
        <v>426</v>
      </c>
      <c r="B427">
        <v>2019</v>
      </c>
      <c r="C427">
        <v>2</v>
      </c>
      <c r="D427" t="s">
        <v>30</v>
      </c>
      <c r="E427" t="s">
        <v>119</v>
      </c>
      <c r="F427" s="1">
        <v>50804</v>
      </c>
      <c r="G427" s="1">
        <v>430457</v>
      </c>
      <c r="H427">
        <v>365</v>
      </c>
      <c r="I427">
        <v>0.97</v>
      </c>
      <c r="J427">
        <v>6.29</v>
      </c>
      <c r="K427">
        <v>1.2</v>
      </c>
      <c r="L427">
        <v>6</v>
      </c>
      <c r="M427" s="1" t="e">
        <f>#N/A</f>
        <v>#N/A</v>
      </c>
      <c r="N427">
        <v>1193</v>
      </c>
      <c r="Q427" t="s">
        <v>92</v>
      </c>
    </row>
    <row r="428" spans="1:17" x14ac:dyDescent="0.35">
      <c r="A428">
        <v>427</v>
      </c>
      <c r="B428">
        <v>2019</v>
      </c>
      <c r="C428">
        <v>2</v>
      </c>
      <c r="D428" t="s">
        <v>38</v>
      </c>
      <c r="E428" t="s">
        <v>118</v>
      </c>
      <c r="F428" s="1">
        <v>96382</v>
      </c>
      <c r="G428" s="1">
        <v>216280</v>
      </c>
      <c r="H428">
        <v>265</v>
      </c>
      <c r="I428">
        <v>0.97</v>
      </c>
      <c r="J428">
        <v>6.29</v>
      </c>
      <c r="K428">
        <v>1.2</v>
      </c>
      <c r="L428">
        <v>6</v>
      </c>
      <c r="M428" s="1" t="e">
        <f>#N/A</f>
        <v>#N/A</v>
      </c>
      <c r="N428">
        <v>596</v>
      </c>
      <c r="Q428" t="s">
        <v>92</v>
      </c>
    </row>
    <row r="429" spans="1:17" x14ac:dyDescent="0.35">
      <c r="A429">
        <v>428</v>
      </c>
      <c r="B429">
        <v>2019</v>
      </c>
      <c r="C429">
        <v>3</v>
      </c>
      <c r="D429" t="s">
        <v>28</v>
      </c>
      <c r="E429" t="s">
        <v>54</v>
      </c>
      <c r="F429" s="1">
        <v>87949</v>
      </c>
      <c r="G429" s="1">
        <v>80373</v>
      </c>
      <c r="H429">
        <v>43</v>
      </c>
      <c r="I429">
        <v>0.97</v>
      </c>
      <c r="J429">
        <v>6.29</v>
      </c>
      <c r="K429">
        <v>1.2</v>
      </c>
      <c r="L429">
        <v>4</v>
      </c>
      <c r="M429" s="1" t="e">
        <f>#N/A</f>
        <v>#N/A</v>
      </c>
      <c r="N429">
        <v>265</v>
      </c>
      <c r="Q429" t="s">
        <v>92</v>
      </c>
    </row>
    <row r="430" spans="1:17" x14ac:dyDescent="0.35">
      <c r="A430">
        <v>429</v>
      </c>
      <c r="B430">
        <v>2019</v>
      </c>
      <c r="C430">
        <v>3</v>
      </c>
      <c r="D430" t="s">
        <v>28</v>
      </c>
      <c r="E430" t="s">
        <v>55</v>
      </c>
      <c r="F430" s="1">
        <v>115356</v>
      </c>
      <c r="G430" s="1">
        <v>209788</v>
      </c>
      <c r="H430">
        <v>353</v>
      </c>
      <c r="I430">
        <v>0.97</v>
      </c>
      <c r="J430">
        <v>6.29</v>
      </c>
      <c r="K430">
        <v>1.2</v>
      </c>
      <c r="L430">
        <v>9</v>
      </c>
      <c r="M430" s="1" t="e">
        <f>#N/A</f>
        <v>#N/A</v>
      </c>
      <c r="N430">
        <v>980</v>
      </c>
      <c r="Q430" t="s">
        <v>92</v>
      </c>
    </row>
    <row r="431" spans="1:17" x14ac:dyDescent="0.35">
      <c r="A431">
        <v>430</v>
      </c>
      <c r="B431">
        <v>2019</v>
      </c>
      <c r="C431">
        <v>3</v>
      </c>
      <c r="D431" t="s">
        <v>30</v>
      </c>
      <c r="E431" t="s">
        <v>48</v>
      </c>
      <c r="F431" s="1">
        <v>80156</v>
      </c>
      <c r="G431" s="1">
        <v>125118</v>
      </c>
      <c r="H431">
        <v>110</v>
      </c>
      <c r="I431">
        <v>0.97</v>
      </c>
      <c r="J431">
        <v>6.29</v>
      </c>
      <c r="K431">
        <v>1.2</v>
      </c>
      <c r="L431">
        <v>4</v>
      </c>
      <c r="M431" s="1" t="e">
        <f>#N/A</f>
        <v>#N/A</v>
      </c>
      <c r="N431">
        <v>455</v>
      </c>
      <c r="Q431" t="s">
        <v>92</v>
      </c>
    </row>
    <row r="432" spans="1:17" x14ac:dyDescent="0.35">
      <c r="A432">
        <v>431</v>
      </c>
      <c r="B432">
        <v>2019</v>
      </c>
      <c r="C432">
        <v>3</v>
      </c>
      <c r="D432" t="s">
        <v>35</v>
      </c>
      <c r="E432" t="s">
        <v>71</v>
      </c>
      <c r="F432" s="1">
        <v>77832</v>
      </c>
      <c r="G432" s="1">
        <v>247780</v>
      </c>
      <c r="H432">
        <v>132</v>
      </c>
      <c r="I432">
        <v>0.97</v>
      </c>
      <c r="J432">
        <v>6.29</v>
      </c>
      <c r="K432">
        <v>1.2</v>
      </c>
      <c r="L432">
        <v>8</v>
      </c>
      <c r="M432" s="1" t="e">
        <f>#N/A</f>
        <v>#N/A</v>
      </c>
      <c r="N432">
        <v>658</v>
      </c>
      <c r="Q432" t="s">
        <v>92</v>
      </c>
    </row>
    <row r="433" spans="1:17" x14ac:dyDescent="0.35">
      <c r="A433">
        <v>432</v>
      </c>
      <c r="B433">
        <v>2019</v>
      </c>
      <c r="C433">
        <v>3</v>
      </c>
      <c r="D433" t="s">
        <v>21</v>
      </c>
      <c r="E433" t="s">
        <v>102</v>
      </c>
      <c r="F433" s="1">
        <v>66105</v>
      </c>
      <c r="G433" s="1">
        <v>112785</v>
      </c>
      <c r="H433">
        <v>330</v>
      </c>
      <c r="I433">
        <v>0.97</v>
      </c>
      <c r="J433">
        <v>6.29</v>
      </c>
      <c r="K433">
        <v>1.2</v>
      </c>
      <c r="L433">
        <v>5</v>
      </c>
      <c r="M433" s="1" t="e">
        <f>#N/A</f>
        <v>#N/A</v>
      </c>
      <c r="N433">
        <v>1062</v>
      </c>
      <c r="Q433" t="s">
        <v>93</v>
      </c>
    </row>
    <row r="434" spans="1:17" x14ac:dyDescent="0.35">
      <c r="A434">
        <v>433</v>
      </c>
      <c r="B434">
        <v>2019</v>
      </c>
      <c r="C434">
        <v>3</v>
      </c>
      <c r="D434" t="s">
        <v>32</v>
      </c>
      <c r="E434" t="s">
        <v>119</v>
      </c>
      <c r="F434" s="1">
        <v>77771</v>
      </c>
      <c r="G434" s="1">
        <v>315660</v>
      </c>
      <c r="H434">
        <v>60</v>
      </c>
      <c r="I434">
        <v>0.97</v>
      </c>
      <c r="J434">
        <v>6.29</v>
      </c>
      <c r="K434">
        <v>1.2</v>
      </c>
      <c r="L434">
        <v>2</v>
      </c>
      <c r="M434" s="1" t="e">
        <f>#N/A</f>
        <v>#N/A</v>
      </c>
      <c r="N434">
        <v>225</v>
      </c>
      <c r="Q434" t="s">
        <v>93</v>
      </c>
    </row>
    <row r="435" spans="1:17" x14ac:dyDescent="0.35">
      <c r="A435">
        <v>434</v>
      </c>
      <c r="B435">
        <v>2019</v>
      </c>
      <c r="C435">
        <v>3</v>
      </c>
      <c r="D435" t="s">
        <v>35</v>
      </c>
      <c r="E435" t="s">
        <v>125</v>
      </c>
      <c r="F435" s="1">
        <v>49626</v>
      </c>
      <c r="G435" s="1">
        <v>277369</v>
      </c>
      <c r="H435">
        <v>37</v>
      </c>
      <c r="I435">
        <v>0.97</v>
      </c>
      <c r="J435">
        <v>6.29</v>
      </c>
      <c r="K435">
        <v>1.2</v>
      </c>
      <c r="L435">
        <v>5</v>
      </c>
      <c r="M435" s="1" t="e">
        <f>#N/A</f>
        <v>#N/A</v>
      </c>
      <c r="N435">
        <v>226</v>
      </c>
      <c r="Q435" t="s">
        <v>93</v>
      </c>
    </row>
    <row r="436" spans="1:17" x14ac:dyDescent="0.35">
      <c r="A436">
        <v>435</v>
      </c>
      <c r="B436">
        <v>2019</v>
      </c>
      <c r="C436">
        <v>3</v>
      </c>
      <c r="D436" t="s">
        <v>32</v>
      </c>
      <c r="E436" t="s">
        <v>125</v>
      </c>
      <c r="F436" s="1">
        <v>55056</v>
      </c>
      <c r="G436" s="1">
        <v>166712</v>
      </c>
      <c r="H436">
        <v>371</v>
      </c>
      <c r="I436">
        <v>0.97</v>
      </c>
      <c r="J436">
        <v>6.29</v>
      </c>
      <c r="K436">
        <v>1.2</v>
      </c>
      <c r="L436">
        <v>8</v>
      </c>
      <c r="M436" s="1" t="e">
        <f>#N/A</f>
        <v>#N/A</v>
      </c>
      <c r="N436">
        <v>913</v>
      </c>
      <c r="Q436" t="s">
        <v>93</v>
      </c>
    </row>
    <row r="437" spans="1:17" x14ac:dyDescent="0.35">
      <c r="A437">
        <v>436</v>
      </c>
      <c r="B437">
        <v>2019</v>
      </c>
      <c r="C437">
        <v>3</v>
      </c>
      <c r="D437" t="s">
        <v>21</v>
      </c>
      <c r="E437" t="s">
        <v>144</v>
      </c>
      <c r="F437" s="1">
        <v>63621</v>
      </c>
      <c r="G437" s="1">
        <v>253675</v>
      </c>
      <c r="H437">
        <v>360</v>
      </c>
      <c r="I437">
        <v>0.97</v>
      </c>
      <c r="J437">
        <v>6.29</v>
      </c>
      <c r="K437">
        <v>1.2</v>
      </c>
      <c r="L437">
        <v>2</v>
      </c>
      <c r="M437" s="1" t="e">
        <f>#N/A</f>
        <v>#N/A</v>
      </c>
      <c r="N437">
        <v>945</v>
      </c>
      <c r="Q437" t="s">
        <v>93</v>
      </c>
    </row>
    <row r="438" spans="1:17" x14ac:dyDescent="0.35">
      <c r="A438">
        <v>437</v>
      </c>
      <c r="B438">
        <v>2019</v>
      </c>
      <c r="C438">
        <v>4</v>
      </c>
      <c r="D438" t="s">
        <v>35</v>
      </c>
      <c r="E438" t="s">
        <v>54</v>
      </c>
      <c r="F438" s="1">
        <v>118168</v>
      </c>
      <c r="G438" s="1">
        <v>252123</v>
      </c>
      <c r="H438">
        <v>71</v>
      </c>
      <c r="I438">
        <v>0.97</v>
      </c>
      <c r="J438">
        <v>6.29</v>
      </c>
      <c r="K438">
        <v>1.2</v>
      </c>
      <c r="L438">
        <v>6</v>
      </c>
      <c r="M438" s="1" t="e">
        <f>#N/A</f>
        <v>#N/A</v>
      </c>
      <c r="N438">
        <v>187</v>
      </c>
      <c r="Q438" t="s">
        <v>93</v>
      </c>
    </row>
    <row r="439" spans="1:17" x14ac:dyDescent="0.35">
      <c r="A439">
        <v>438</v>
      </c>
      <c r="B439">
        <v>2019</v>
      </c>
      <c r="C439">
        <v>4</v>
      </c>
      <c r="D439" t="s">
        <v>37</v>
      </c>
      <c r="E439" t="s">
        <v>79</v>
      </c>
      <c r="F439" s="1">
        <v>91597</v>
      </c>
      <c r="G439" s="1">
        <v>462375</v>
      </c>
      <c r="H439">
        <v>174</v>
      </c>
      <c r="I439">
        <v>0.97</v>
      </c>
      <c r="J439">
        <v>6.29</v>
      </c>
      <c r="K439">
        <v>1.2</v>
      </c>
      <c r="L439">
        <v>9</v>
      </c>
      <c r="M439" s="1" t="e">
        <f>#N/A</f>
        <v>#N/A</v>
      </c>
      <c r="N439">
        <v>769</v>
      </c>
      <c r="Q439" t="s">
        <v>93</v>
      </c>
    </row>
    <row r="440" spans="1:17" x14ac:dyDescent="0.35">
      <c r="A440">
        <v>439</v>
      </c>
      <c r="B440">
        <v>2019</v>
      </c>
      <c r="C440">
        <v>4</v>
      </c>
      <c r="D440" t="s">
        <v>14</v>
      </c>
      <c r="E440" t="s">
        <v>78</v>
      </c>
      <c r="F440" s="1">
        <v>92233</v>
      </c>
      <c r="G440" s="1">
        <v>192692</v>
      </c>
      <c r="H440">
        <v>16</v>
      </c>
      <c r="I440">
        <v>0.97</v>
      </c>
      <c r="J440">
        <v>6.29</v>
      </c>
      <c r="K440">
        <v>1.2</v>
      </c>
      <c r="L440">
        <v>3</v>
      </c>
      <c r="M440" s="1" t="e">
        <f>#N/A</f>
        <v>#N/A</v>
      </c>
      <c r="N440">
        <v>70</v>
      </c>
      <c r="Q440" t="s">
        <v>93</v>
      </c>
    </row>
    <row r="441" spans="1:17" x14ac:dyDescent="0.35">
      <c r="A441">
        <v>440</v>
      </c>
      <c r="B441">
        <v>2019</v>
      </c>
      <c r="C441">
        <v>4</v>
      </c>
      <c r="D441" t="s">
        <v>28</v>
      </c>
      <c r="E441" t="s">
        <v>83</v>
      </c>
      <c r="F441" s="1">
        <v>77543</v>
      </c>
      <c r="G441" s="1">
        <v>446659</v>
      </c>
      <c r="H441">
        <v>182</v>
      </c>
      <c r="I441">
        <v>0.97</v>
      </c>
      <c r="J441">
        <v>6.29</v>
      </c>
      <c r="K441">
        <v>1.2</v>
      </c>
      <c r="L441">
        <v>7</v>
      </c>
      <c r="M441" s="1" t="e">
        <f>#N/A</f>
        <v>#N/A</v>
      </c>
      <c r="N441">
        <v>797</v>
      </c>
      <c r="Q441" t="s">
        <v>94</v>
      </c>
    </row>
    <row r="442" spans="1:17" x14ac:dyDescent="0.35">
      <c r="A442">
        <v>441</v>
      </c>
      <c r="B442">
        <v>2019</v>
      </c>
      <c r="C442">
        <v>4</v>
      </c>
      <c r="D442" t="s">
        <v>28</v>
      </c>
      <c r="E442" t="s">
        <v>101</v>
      </c>
      <c r="F442" s="1">
        <v>44824</v>
      </c>
      <c r="G442" s="1">
        <v>152413</v>
      </c>
      <c r="H442">
        <v>352</v>
      </c>
      <c r="I442">
        <v>0.97</v>
      </c>
      <c r="J442">
        <v>6.29</v>
      </c>
      <c r="K442">
        <v>1.2</v>
      </c>
      <c r="L442">
        <v>5</v>
      </c>
      <c r="M442" s="1" t="e">
        <f>#N/A</f>
        <v>#N/A</v>
      </c>
      <c r="N442">
        <v>1007</v>
      </c>
      <c r="Q442" t="s">
        <v>94</v>
      </c>
    </row>
    <row r="443" spans="1:17" x14ac:dyDescent="0.35">
      <c r="A443">
        <v>442</v>
      </c>
      <c r="B443">
        <v>2019</v>
      </c>
      <c r="C443">
        <v>4</v>
      </c>
      <c r="D443" t="s">
        <v>28</v>
      </c>
      <c r="E443" t="s">
        <v>96</v>
      </c>
      <c r="F443" s="1">
        <v>49380</v>
      </c>
      <c r="G443" s="1">
        <v>473327</v>
      </c>
      <c r="H443">
        <v>236</v>
      </c>
      <c r="I443">
        <v>0.97</v>
      </c>
      <c r="J443">
        <v>6.29</v>
      </c>
      <c r="K443">
        <v>1.2</v>
      </c>
      <c r="L443">
        <v>1</v>
      </c>
      <c r="M443" s="1" t="e">
        <f>#N/A</f>
        <v>#N/A</v>
      </c>
      <c r="N443">
        <v>584</v>
      </c>
      <c r="Q443" t="s">
        <v>94</v>
      </c>
    </row>
    <row r="444" spans="1:17" x14ac:dyDescent="0.35">
      <c r="A444">
        <v>443</v>
      </c>
      <c r="B444">
        <v>2019</v>
      </c>
      <c r="C444">
        <v>4</v>
      </c>
      <c r="D444" t="s">
        <v>36</v>
      </c>
      <c r="E444" t="s">
        <v>96</v>
      </c>
      <c r="F444" s="1">
        <v>74895</v>
      </c>
      <c r="G444" s="1">
        <v>421380</v>
      </c>
      <c r="H444">
        <v>68</v>
      </c>
      <c r="I444">
        <v>0.97</v>
      </c>
      <c r="J444">
        <v>6.29</v>
      </c>
      <c r="K444">
        <v>1.2</v>
      </c>
      <c r="L444">
        <v>10</v>
      </c>
      <c r="M444" s="1" t="e">
        <f>#N/A</f>
        <v>#N/A</v>
      </c>
      <c r="N444">
        <v>547</v>
      </c>
      <c r="Q444" t="s">
        <v>94</v>
      </c>
    </row>
    <row r="445" spans="1:17" x14ac:dyDescent="0.35">
      <c r="A445">
        <v>444</v>
      </c>
      <c r="B445">
        <v>2019</v>
      </c>
      <c r="C445">
        <v>4</v>
      </c>
      <c r="D445" t="s">
        <v>14</v>
      </c>
      <c r="E445" t="s">
        <v>111</v>
      </c>
      <c r="F445" s="1">
        <v>63091</v>
      </c>
      <c r="G445" s="1">
        <v>345457</v>
      </c>
      <c r="H445">
        <v>316</v>
      </c>
      <c r="I445">
        <v>0.97</v>
      </c>
      <c r="J445">
        <v>6.29</v>
      </c>
      <c r="K445">
        <v>1.2</v>
      </c>
      <c r="L445">
        <v>5</v>
      </c>
      <c r="M445" s="1" t="e">
        <f>#N/A</f>
        <v>#N/A</v>
      </c>
      <c r="N445">
        <v>1081</v>
      </c>
      <c r="Q445" t="s">
        <v>94</v>
      </c>
    </row>
    <row r="446" spans="1:17" x14ac:dyDescent="0.35">
      <c r="A446">
        <v>445</v>
      </c>
      <c r="B446">
        <v>2019</v>
      </c>
      <c r="C446">
        <v>4</v>
      </c>
      <c r="D446" t="s">
        <v>32</v>
      </c>
      <c r="E446" t="s">
        <v>106</v>
      </c>
      <c r="F446" s="1">
        <v>68324</v>
      </c>
      <c r="G446" s="1">
        <v>86713</v>
      </c>
      <c r="H446">
        <v>180</v>
      </c>
      <c r="I446">
        <v>0.97</v>
      </c>
      <c r="J446">
        <v>6.29</v>
      </c>
      <c r="K446">
        <v>1.2</v>
      </c>
      <c r="L446">
        <v>1</v>
      </c>
      <c r="M446" s="1" t="e">
        <f>#N/A</f>
        <v>#N/A</v>
      </c>
      <c r="N446">
        <v>636</v>
      </c>
      <c r="Q446" t="s">
        <v>94</v>
      </c>
    </row>
    <row r="447" spans="1:17" x14ac:dyDescent="0.35">
      <c r="A447">
        <v>446</v>
      </c>
      <c r="B447">
        <v>2019</v>
      </c>
      <c r="C447">
        <v>4</v>
      </c>
      <c r="D447" t="s">
        <v>25</v>
      </c>
      <c r="E447" t="s">
        <v>118</v>
      </c>
      <c r="F447" s="1">
        <v>62388</v>
      </c>
      <c r="G447" s="1">
        <v>278300</v>
      </c>
      <c r="H447">
        <v>355</v>
      </c>
      <c r="I447">
        <v>0.97</v>
      </c>
      <c r="J447">
        <v>6.29</v>
      </c>
      <c r="K447">
        <v>1.2</v>
      </c>
      <c r="L447">
        <v>7</v>
      </c>
      <c r="M447" s="1" t="e">
        <f>#N/A</f>
        <v>#N/A</v>
      </c>
      <c r="N447">
        <v>886</v>
      </c>
      <c r="Q447" t="s">
        <v>94</v>
      </c>
    </row>
    <row r="448" spans="1:17" x14ac:dyDescent="0.35">
      <c r="A448">
        <v>447</v>
      </c>
      <c r="B448">
        <v>2019</v>
      </c>
      <c r="C448">
        <v>4</v>
      </c>
      <c r="D448" t="s">
        <v>37</v>
      </c>
      <c r="E448" t="s">
        <v>137</v>
      </c>
      <c r="F448" s="1">
        <v>101151</v>
      </c>
      <c r="G448" s="1">
        <v>53626</v>
      </c>
      <c r="H448">
        <v>338</v>
      </c>
      <c r="I448">
        <v>0.97</v>
      </c>
      <c r="J448">
        <v>6.29</v>
      </c>
      <c r="K448">
        <v>1.2</v>
      </c>
      <c r="L448">
        <v>4</v>
      </c>
      <c r="M448" s="1" t="e">
        <f>#N/A</f>
        <v>#N/A</v>
      </c>
      <c r="N448">
        <v>976</v>
      </c>
      <c r="Q448" t="s">
        <v>95</v>
      </c>
    </row>
    <row r="449" spans="1:17" x14ac:dyDescent="0.35">
      <c r="A449">
        <v>448</v>
      </c>
      <c r="B449">
        <v>2019</v>
      </c>
      <c r="C449">
        <v>4</v>
      </c>
      <c r="D449" t="s">
        <v>30</v>
      </c>
      <c r="E449" t="s">
        <v>159</v>
      </c>
      <c r="F449" s="1">
        <v>36079</v>
      </c>
      <c r="G449" s="1">
        <v>215767</v>
      </c>
      <c r="H449">
        <v>116</v>
      </c>
      <c r="I449">
        <v>0.97</v>
      </c>
      <c r="J449">
        <v>6.29</v>
      </c>
      <c r="K449">
        <v>1.2</v>
      </c>
      <c r="L449">
        <v>5</v>
      </c>
      <c r="M449" s="1" t="e">
        <f>#N/A</f>
        <v>#N/A</v>
      </c>
      <c r="N449">
        <v>351</v>
      </c>
      <c r="Q449" t="s">
        <v>95</v>
      </c>
    </row>
    <row r="450" spans="1:17" x14ac:dyDescent="0.35">
      <c r="A450">
        <v>449</v>
      </c>
      <c r="B450">
        <v>2019</v>
      </c>
      <c r="C450">
        <v>5</v>
      </c>
      <c r="D450" t="s">
        <v>38</v>
      </c>
      <c r="E450" t="s">
        <v>49</v>
      </c>
      <c r="F450" s="1">
        <v>65133</v>
      </c>
      <c r="G450" s="1">
        <v>357322</v>
      </c>
      <c r="H450">
        <v>52</v>
      </c>
      <c r="I450">
        <v>0.97</v>
      </c>
      <c r="J450">
        <v>6.29</v>
      </c>
      <c r="K450">
        <v>1.2</v>
      </c>
      <c r="L450">
        <v>10</v>
      </c>
      <c r="M450" s="1" t="e">
        <f>#N/A</f>
        <v>#N/A</v>
      </c>
      <c r="N450">
        <v>117</v>
      </c>
      <c r="Q450" t="s">
        <v>95</v>
      </c>
    </row>
    <row r="451" spans="1:17" x14ac:dyDescent="0.35">
      <c r="A451">
        <v>450</v>
      </c>
      <c r="B451">
        <v>2019</v>
      </c>
      <c r="C451">
        <v>5</v>
      </c>
      <c r="D451" t="s">
        <v>14</v>
      </c>
      <c r="E451" t="s">
        <v>86</v>
      </c>
      <c r="F451" s="1">
        <v>70897</v>
      </c>
      <c r="G451" s="1">
        <v>395165</v>
      </c>
      <c r="H451">
        <v>392</v>
      </c>
      <c r="I451">
        <v>0.97</v>
      </c>
      <c r="J451">
        <v>6.29</v>
      </c>
      <c r="K451">
        <v>1.2</v>
      </c>
      <c r="L451">
        <v>10</v>
      </c>
      <c r="M451" s="1" t="e">
        <f>#N/A</f>
        <v>#N/A</v>
      </c>
      <c r="N451">
        <v>985</v>
      </c>
      <c r="Q451" t="s">
        <v>95</v>
      </c>
    </row>
    <row r="452" spans="1:17" x14ac:dyDescent="0.35">
      <c r="A452">
        <v>451</v>
      </c>
      <c r="B452">
        <v>2019</v>
      </c>
      <c r="C452">
        <v>5</v>
      </c>
      <c r="D452" t="s">
        <v>30</v>
      </c>
      <c r="E452" t="s">
        <v>92</v>
      </c>
      <c r="F452" s="1">
        <v>49645</v>
      </c>
      <c r="G452" s="1">
        <v>453964</v>
      </c>
      <c r="H452">
        <v>258</v>
      </c>
      <c r="I452">
        <v>0.97</v>
      </c>
      <c r="J452">
        <v>6.29</v>
      </c>
      <c r="K452">
        <v>1.2</v>
      </c>
      <c r="L452">
        <v>7</v>
      </c>
      <c r="M452" s="1" t="e">
        <f>#N/A</f>
        <v>#N/A</v>
      </c>
      <c r="N452">
        <v>739</v>
      </c>
      <c r="Q452" t="s">
        <v>95</v>
      </c>
    </row>
    <row r="453" spans="1:17" x14ac:dyDescent="0.35">
      <c r="A453">
        <v>452</v>
      </c>
      <c r="B453">
        <v>2019</v>
      </c>
      <c r="C453">
        <v>5</v>
      </c>
      <c r="D453" t="s">
        <v>38</v>
      </c>
      <c r="E453" t="s">
        <v>133</v>
      </c>
      <c r="F453" s="1">
        <v>35692</v>
      </c>
      <c r="G453" s="1">
        <v>159876</v>
      </c>
      <c r="H453">
        <v>351</v>
      </c>
      <c r="I453">
        <v>0.97</v>
      </c>
      <c r="J453">
        <v>6.29</v>
      </c>
      <c r="K453">
        <v>1.2</v>
      </c>
      <c r="L453">
        <v>4</v>
      </c>
      <c r="M453" s="1" t="e">
        <f>#N/A</f>
        <v>#N/A</v>
      </c>
      <c r="N453">
        <v>916</v>
      </c>
      <c r="Q453" t="s">
        <v>95</v>
      </c>
    </row>
    <row r="454" spans="1:17" x14ac:dyDescent="0.35">
      <c r="A454">
        <v>453</v>
      </c>
      <c r="B454">
        <v>2019</v>
      </c>
      <c r="C454">
        <v>5</v>
      </c>
      <c r="D454" t="s">
        <v>28</v>
      </c>
      <c r="E454" t="s">
        <v>137</v>
      </c>
      <c r="F454" s="1">
        <v>119269</v>
      </c>
      <c r="G454" s="1">
        <v>251893</v>
      </c>
      <c r="H454">
        <v>292</v>
      </c>
      <c r="I454">
        <v>0.97</v>
      </c>
      <c r="J454">
        <v>6.29</v>
      </c>
      <c r="K454">
        <v>1.2</v>
      </c>
      <c r="L454">
        <v>6</v>
      </c>
      <c r="M454" s="1" t="e">
        <f>#N/A</f>
        <v>#N/A</v>
      </c>
      <c r="N454">
        <v>910</v>
      </c>
      <c r="Q454" t="s">
        <v>95</v>
      </c>
    </row>
    <row r="455" spans="1:17" x14ac:dyDescent="0.35">
      <c r="A455">
        <v>454</v>
      </c>
      <c r="B455">
        <v>2019</v>
      </c>
      <c r="C455">
        <v>5</v>
      </c>
      <c r="D455" t="s">
        <v>38</v>
      </c>
      <c r="E455" t="s">
        <v>143</v>
      </c>
      <c r="F455" s="1">
        <v>73106</v>
      </c>
      <c r="G455" s="1">
        <v>78481</v>
      </c>
      <c r="H455">
        <v>292</v>
      </c>
      <c r="I455">
        <v>0.97</v>
      </c>
      <c r="J455">
        <v>6.29</v>
      </c>
      <c r="K455">
        <v>1.2</v>
      </c>
      <c r="L455">
        <v>9</v>
      </c>
      <c r="M455" s="1" t="e">
        <f>#N/A</f>
        <v>#N/A</v>
      </c>
      <c r="N455">
        <v>977</v>
      </c>
      <c r="Q455" t="s">
        <v>95</v>
      </c>
    </row>
    <row r="456" spans="1:17" x14ac:dyDescent="0.35">
      <c r="A456">
        <v>455</v>
      </c>
      <c r="B456">
        <v>2019</v>
      </c>
      <c r="C456">
        <v>6</v>
      </c>
      <c r="D456" t="s">
        <v>38</v>
      </c>
      <c r="E456" t="s">
        <v>54</v>
      </c>
      <c r="F456" s="1">
        <v>80436</v>
      </c>
      <c r="G456" s="1">
        <v>336198</v>
      </c>
      <c r="H456">
        <v>22</v>
      </c>
      <c r="I456">
        <v>0.97</v>
      </c>
      <c r="J456">
        <v>6.29</v>
      </c>
      <c r="K456">
        <v>1.2</v>
      </c>
      <c r="L456">
        <v>9</v>
      </c>
      <c r="M456" s="1" t="e">
        <f>#N/A</f>
        <v>#N/A</v>
      </c>
      <c r="N456">
        <v>193</v>
      </c>
      <c r="Q456" t="s">
        <v>95</v>
      </c>
    </row>
    <row r="457" spans="1:17" x14ac:dyDescent="0.35">
      <c r="A457">
        <v>456</v>
      </c>
      <c r="B457">
        <v>2019</v>
      </c>
      <c r="C457">
        <v>6</v>
      </c>
      <c r="D457" t="s">
        <v>37</v>
      </c>
      <c r="E457" t="s">
        <v>58</v>
      </c>
      <c r="F457" s="1">
        <v>36129</v>
      </c>
      <c r="G457" s="1">
        <v>114926</v>
      </c>
      <c r="H457">
        <v>229</v>
      </c>
      <c r="I457">
        <v>0.97</v>
      </c>
      <c r="J457">
        <v>6.29</v>
      </c>
      <c r="K457">
        <v>1.2</v>
      </c>
      <c r="L457">
        <v>8</v>
      </c>
      <c r="M457" s="1" t="e">
        <f>#N/A</f>
        <v>#N/A</v>
      </c>
      <c r="N457">
        <v>717</v>
      </c>
      <c r="Q457" t="s">
        <v>95</v>
      </c>
    </row>
    <row r="458" spans="1:17" x14ac:dyDescent="0.35">
      <c r="A458">
        <v>457</v>
      </c>
      <c r="B458">
        <v>2019</v>
      </c>
      <c r="C458">
        <v>6</v>
      </c>
      <c r="D458" t="s">
        <v>32</v>
      </c>
      <c r="E458" t="s">
        <v>79</v>
      </c>
      <c r="F458" s="1">
        <v>37795</v>
      </c>
      <c r="G458" s="1">
        <v>337307</v>
      </c>
      <c r="H458">
        <v>35</v>
      </c>
      <c r="I458">
        <v>0.97</v>
      </c>
      <c r="J458">
        <v>6.29</v>
      </c>
      <c r="K458">
        <v>1.2</v>
      </c>
      <c r="L458">
        <v>2</v>
      </c>
      <c r="M458" s="1" t="e">
        <f>#N/A</f>
        <v>#N/A</v>
      </c>
      <c r="N458">
        <v>192</v>
      </c>
      <c r="Q458" t="s">
        <v>95</v>
      </c>
    </row>
    <row r="459" spans="1:17" x14ac:dyDescent="0.35">
      <c r="A459">
        <v>458</v>
      </c>
      <c r="B459">
        <v>2019</v>
      </c>
      <c r="C459">
        <v>6</v>
      </c>
      <c r="D459" t="s">
        <v>28</v>
      </c>
      <c r="E459" t="s">
        <v>99</v>
      </c>
      <c r="F459" s="1">
        <v>110069</v>
      </c>
      <c r="G459" s="1">
        <v>244360</v>
      </c>
      <c r="H459">
        <v>288</v>
      </c>
      <c r="I459">
        <v>0.97</v>
      </c>
      <c r="J459">
        <v>6.29</v>
      </c>
      <c r="K459">
        <v>1.2</v>
      </c>
      <c r="L459">
        <v>9</v>
      </c>
      <c r="M459" s="1" t="e">
        <f>#N/A</f>
        <v>#N/A</v>
      </c>
      <c r="N459">
        <v>791</v>
      </c>
      <c r="Q459" t="s">
        <v>95</v>
      </c>
    </row>
    <row r="460" spans="1:17" x14ac:dyDescent="0.35">
      <c r="A460">
        <v>459</v>
      </c>
      <c r="B460">
        <v>2019</v>
      </c>
      <c r="C460">
        <v>6</v>
      </c>
      <c r="D460" t="s">
        <v>32</v>
      </c>
      <c r="E460" t="s">
        <v>136</v>
      </c>
      <c r="F460" s="1">
        <v>86796</v>
      </c>
      <c r="G460" s="1">
        <v>353806</v>
      </c>
      <c r="H460">
        <v>53</v>
      </c>
      <c r="I460">
        <v>0.97</v>
      </c>
      <c r="J460">
        <v>6.29</v>
      </c>
      <c r="K460">
        <v>1.2</v>
      </c>
      <c r="L460">
        <v>3</v>
      </c>
      <c r="M460" s="1" t="e">
        <f>#N/A</f>
        <v>#N/A</v>
      </c>
      <c r="N460">
        <v>203</v>
      </c>
      <c r="Q460" t="s">
        <v>95</v>
      </c>
    </row>
    <row r="461" spans="1:17" x14ac:dyDescent="0.35">
      <c r="A461">
        <v>460</v>
      </c>
      <c r="B461">
        <v>2019</v>
      </c>
      <c r="C461">
        <v>6</v>
      </c>
      <c r="D461" t="s">
        <v>25</v>
      </c>
      <c r="E461" t="s">
        <v>141</v>
      </c>
      <c r="F461" s="1">
        <v>108870</v>
      </c>
      <c r="G461" s="1">
        <v>383245</v>
      </c>
      <c r="H461">
        <v>363</v>
      </c>
      <c r="I461">
        <v>0.97</v>
      </c>
      <c r="J461">
        <v>6.29</v>
      </c>
      <c r="K461">
        <v>1.2</v>
      </c>
      <c r="L461">
        <v>1</v>
      </c>
      <c r="M461" s="1" t="e">
        <f>#N/A</f>
        <v>#N/A</v>
      </c>
      <c r="N461">
        <v>951</v>
      </c>
      <c r="Q461" t="s">
        <v>96</v>
      </c>
    </row>
    <row r="462" spans="1:17" x14ac:dyDescent="0.35">
      <c r="A462">
        <v>461</v>
      </c>
      <c r="B462">
        <v>2019</v>
      </c>
      <c r="C462">
        <v>6</v>
      </c>
      <c r="D462" t="s">
        <v>25</v>
      </c>
      <c r="E462" t="s">
        <v>155</v>
      </c>
      <c r="F462" s="1">
        <v>112733</v>
      </c>
      <c r="G462" s="1">
        <v>399345</v>
      </c>
      <c r="H462">
        <v>221</v>
      </c>
      <c r="I462">
        <v>0.97</v>
      </c>
      <c r="J462">
        <v>6.29</v>
      </c>
      <c r="K462">
        <v>1.2</v>
      </c>
      <c r="L462">
        <v>10</v>
      </c>
      <c r="M462" s="1" t="e">
        <f>#N/A</f>
        <v>#N/A</v>
      </c>
      <c r="N462">
        <v>861</v>
      </c>
      <c r="Q462" t="s">
        <v>96</v>
      </c>
    </row>
    <row r="463" spans="1:17" x14ac:dyDescent="0.35">
      <c r="A463">
        <v>462</v>
      </c>
      <c r="B463">
        <v>2019</v>
      </c>
      <c r="C463">
        <v>7</v>
      </c>
      <c r="D463" t="s">
        <v>35</v>
      </c>
      <c r="E463" t="s">
        <v>51</v>
      </c>
      <c r="F463" s="1">
        <v>104922</v>
      </c>
      <c r="G463" s="1">
        <v>304822</v>
      </c>
      <c r="H463">
        <v>273</v>
      </c>
      <c r="I463">
        <v>0.97</v>
      </c>
      <c r="J463">
        <v>6.29</v>
      </c>
      <c r="K463">
        <v>1.2</v>
      </c>
      <c r="L463">
        <v>6</v>
      </c>
      <c r="M463" s="1" t="e">
        <f>#N/A</f>
        <v>#N/A</v>
      </c>
      <c r="N463">
        <v>941</v>
      </c>
      <c r="Q463" t="s">
        <v>96</v>
      </c>
    </row>
    <row r="464" spans="1:17" x14ac:dyDescent="0.35">
      <c r="A464">
        <v>463</v>
      </c>
      <c r="B464">
        <v>2019</v>
      </c>
      <c r="C464">
        <v>7</v>
      </c>
      <c r="D464" t="s">
        <v>25</v>
      </c>
      <c r="E464" t="s">
        <v>65</v>
      </c>
      <c r="F464" s="1">
        <v>64511</v>
      </c>
      <c r="G464" s="1">
        <v>459414</v>
      </c>
      <c r="H464">
        <v>25</v>
      </c>
      <c r="I464">
        <v>0.97</v>
      </c>
      <c r="J464">
        <v>6.29</v>
      </c>
      <c r="K464">
        <v>1.2</v>
      </c>
      <c r="L464">
        <v>7</v>
      </c>
      <c r="M464" s="1" t="e">
        <f>#N/A</f>
        <v>#N/A</v>
      </c>
      <c r="N464">
        <v>193</v>
      </c>
      <c r="Q464" t="s">
        <v>96</v>
      </c>
    </row>
    <row r="465" spans="1:17" x14ac:dyDescent="0.35">
      <c r="A465">
        <v>464</v>
      </c>
      <c r="B465">
        <v>2019</v>
      </c>
      <c r="C465">
        <v>7</v>
      </c>
      <c r="D465" t="s">
        <v>14</v>
      </c>
      <c r="E465" t="s">
        <v>71</v>
      </c>
      <c r="F465" s="1">
        <v>46618</v>
      </c>
      <c r="G465" s="1">
        <v>380763</v>
      </c>
      <c r="H465">
        <v>285</v>
      </c>
      <c r="I465">
        <v>0.97</v>
      </c>
      <c r="J465">
        <v>6.29</v>
      </c>
      <c r="K465">
        <v>1.2</v>
      </c>
      <c r="L465">
        <v>2</v>
      </c>
      <c r="M465" s="1" t="e">
        <f>#N/A</f>
        <v>#N/A</v>
      </c>
      <c r="N465">
        <v>848</v>
      </c>
      <c r="Q465" t="s">
        <v>96</v>
      </c>
    </row>
    <row r="466" spans="1:17" x14ac:dyDescent="0.35">
      <c r="A466">
        <v>465</v>
      </c>
      <c r="B466">
        <v>2019</v>
      </c>
      <c r="C466">
        <v>7</v>
      </c>
      <c r="D466" t="s">
        <v>28</v>
      </c>
      <c r="E466" t="s">
        <v>77</v>
      </c>
      <c r="F466" s="1">
        <v>41464</v>
      </c>
      <c r="G466" s="1">
        <v>141493</v>
      </c>
      <c r="H466">
        <v>195</v>
      </c>
      <c r="I466">
        <v>0.97</v>
      </c>
      <c r="J466">
        <v>6.29</v>
      </c>
      <c r="K466">
        <v>1.2</v>
      </c>
      <c r="L466">
        <v>6</v>
      </c>
      <c r="M466" s="1" t="e">
        <f>#N/A</f>
        <v>#N/A</v>
      </c>
      <c r="N466">
        <v>524</v>
      </c>
      <c r="Q466" t="s">
        <v>96</v>
      </c>
    </row>
    <row r="467" spans="1:17" x14ac:dyDescent="0.35">
      <c r="A467">
        <v>466</v>
      </c>
      <c r="B467">
        <v>2019</v>
      </c>
      <c r="C467">
        <v>7</v>
      </c>
      <c r="D467" t="s">
        <v>25</v>
      </c>
      <c r="E467" t="s">
        <v>72</v>
      </c>
      <c r="F467" s="1">
        <v>92986</v>
      </c>
      <c r="G467" s="1">
        <v>74624</v>
      </c>
      <c r="H467">
        <v>231</v>
      </c>
      <c r="I467">
        <v>0.97</v>
      </c>
      <c r="J467">
        <v>6.29</v>
      </c>
      <c r="K467">
        <v>1.2</v>
      </c>
      <c r="L467">
        <v>7</v>
      </c>
      <c r="M467" s="1" t="e">
        <f>#N/A</f>
        <v>#N/A</v>
      </c>
      <c r="N467">
        <v>704</v>
      </c>
      <c r="Q467" t="s">
        <v>96</v>
      </c>
    </row>
    <row r="468" spans="1:17" x14ac:dyDescent="0.35">
      <c r="A468">
        <v>467</v>
      </c>
      <c r="B468">
        <v>2019</v>
      </c>
      <c r="C468">
        <v>7</v>
      </c>
      <c r="D468" t="s">
        <v>37</v>
      </c>
      <c r="E468" t="s">
        <v>90</v>
      </c>
      <c r="F468" s="1">
        <v>106576</v>
      </c>
      <c r="G468" s="1">
        <v>345901</v>
      </c>
      <c r="H468">
        <v>129</v>
      </c>
      <c r="I468">
        <v>0.97</v>
      </c>
      <c r="J468">
        <v>6.29</v>
      </c>
      <c r="K468">
        <v>1.2</v>
      </c>
      <c r="L468">
        <v>7</v>
      </c>
      <c r="M468" s="1" t="e">
        <f>#N/A</f>
        <v>#N/A</v>
      </c>
      <c r="N468">
        <v>539</v>
      </c>
      <c r="Q468" t="s">
        <v>96</v>
      </c>
    </row>
    <row r="469" spans="1:17" x14ac:dyDescent="0.35">
      <c r="A469">
        <v>468</v>
      </c>
      <c r="B469">
        <v>2019</v>
      </c>
      <c r="C469">
        <v>7</v>
      </c>
      <c r="D469" t="s">
        <v>32</v>
      </c>
      <c r="E469" t="s">
        <v>80</v>
      </c>
      <c r="F469" s="1">
        <v>36073</v>
      </c>
      <c r="G469" s="1">
        <v>132018</v>
      </c>
      <c r="H469">
        <v>264</v>
      </c>
      <c r="I469">
        <v>0.97</v>
      </c>
      <c r="J469">
        <v>6.29</v>
      </c>
      <c r="K469">
        <v>1.2</v>
      </c>
      <c r="L469">
        <v>1</v>
      </c>
      <c r="M469" s="1" t="e">
        <f>#N/A</f>
        <v>#N/A</v>
      </c>
      <c r="N469">
        <v>880</v>
      </c>
      <c r="Q469" t="s">
        <v>96</v>
      </c>
    </row>
    <row r="470" spans="1:17" x14ac:dyDescent="0.35">
      <c r="A470">
        <v>469</v>
      </c>
      <c r="B470">
        <v>2019</v>
      </c>
      <c r="C470">
        <v>7</v>
      </c>
      <c r="D470" t="s">
        <v>28</v>
      </c>
      <c r="E470" t="s">
        <v>82</v>
      </c>
      <c r="F470" s="1">
        <v>105714</v>
      </c>
      <c r="G470" s="1">
        <v>172026</v>
      </c>
      <c r="H470">
        <v>300</v>
      </c>
      <c r="I470">
        <v>0.97</v>
      </c>
      <c r="J470">
        <v>6.29</v>
      </c>
      <c r="K470">
        <v>1.2</v>
      </c>
      <c r="L470">
        <v>7</v>
      </c>
      <c r="M470" s="1" t="e">
        <f>#N/A</f>
        <v>#N/A</v>
      </c>
      <c r="N470">
        <v>609</v>
      </c>
      <c r="Q470" t="s">
        <v>96</v>
      </c>
    </row>
    <row r="471" spans="1:17" x14ac:dyDescent="0.35">
      <c r="A471">
        <v>470</v>
      </c>
      <c r="B471">
        <v>2019</v>
      </c>
      <c r="C471">
        <v>7</v>
      </c>
      <c r="D471" t="s">
        <v>28</v>
      </c>
      <c r="E471" t="s">
        <v>105</v>
      </c>
      <c r="F471" s="1">
        <v>106376</v>
      </c>
      <c r="G471" s="1">
        <v>149468</v>
      </c>
      <c r="H471">
        <v>375</v>
      </c>
      <c r="I471">
        <v>0.97</v>
      </c>
      <c r="J471">
        <v>6.29</v>
      </c>
      <c r="K471">
        <v>1.2</v>
      </c>
      <c r="L471">
        <v>10</v>
      </c>
      <c r="M471" s="1" t="e">
        <f>#N/A</f>
        <v>#N/A</v>
      </c>
      <c r="N471">
        <v>749</v>
      </c>
      <c r="Q471" t="s">
        <v>97</v>
      </c>
    </row>
    <row r="472" spans="1:17" x14ac:dyDescent="0.35">
      <c r="A472">
        <v>471</v>
      </c>
      <c r="B472">
        <v>2019</v>
      </c>
      <c r="C472">
        <v>7</v>
      </c>
      <c r="D472" t="s">
        <v>38</v>
      </c>
      <c r="E472" t="s">
        <v>145</v>
      </c>
      <c r="F472" s="1">
        <v>46781</v>
      </c>
      <c r="G472" s="1">
        <v>353446</v>
      </c>
      <c r="H472">
        <v>252</v>
      </c>
      <c r="I472">
        <v>0.97</v>
      </c>
      <c r="J472">
        <v>6.29</v>
      </c>
      <c r="K472">
        <v>1.2</v>
      </c>
      <c r="L472">
        <v>2</v>
      </c>
      <c r="M472" s="1" t="e">
        <f>#N/A</f>
        <v>#N/A</v>
      </c>
      <c r="N472">
        <v>644</v>
      </c>
      <c r="Q472" t="s">
        <v>97</v>
      </c>
    </row>
    <row r="473" spans="1:17" x14ac:dyDescent="0.35">
      <c r="A473">
        <v>472</v>
      </c>
      <c r="B473">
        <v>2019</v>
      </c>
      <c r="C473">
        <v>8</v>
      </c>
      <c r="D473" t="s">
        <v>21</v>
      </c>
      <c r="E473" t="s">
        <v>46</v>
      </c>
      <c r="F473" s="1">
        <v>83664</v>
      </c>
      <c r="G473" s="1">
        <v>208666</v>
      </c>
      <c r="H473">
        <v>309</v>
      </c>
      <c r="I473">
        <v>0.97</v>
      </c>
      <c r="J473">
        <v>6.29</v>
      </c>
      <c r="K473">
        <v>1.2</v>
      </c>
      <c r="L473">
        <v>2</v>
      </c>
      <c r="M473" s="1" t="e">
        <f>#N/A</f>
        <v>#N/A</v>
      </c>
      <c r="N473">
        <v>687</v>
      </c>
      <c r="Q473" t="s">
        <v>97</v>
      </c>
    </row>
    <row r="474" spans="1:17" x14ac:dyDescent="0.35">
      <c r="A474">
        <v>473</v>
      </c>
      <c r="B474">
        <v>2019</v>
      </c>
      <c r="C474">
        <v>8</v>
      </c>
      <c r="D474" t="s">
        <v>32</v>
      </c>
      <c r="E474" t="s">
        <v>62</v>
      </c>
      <c r="F474" s="1">
        <v>64320</v>
      </c>
      <c r="G474" s="1">
        <v>444093</v>
      </c>
      <c r="H474">
        <v>121</v>
      </c>
      <c r="I474">
        <v>0.97</v>
      </c>
      <c r="J474">
        <v>6.29</v>
      </c>
      <c r="K474">
        <v>1.2</v>
      </c>
      <c r="L474">
        <v>2</v>
      </c>
      <c r="M474" s="1" t="e">
        <f>#N/A</f>
        <v>#N/A</v>
      </c>
      <c r="N474">
        <v>620</v>
      </c>
      <c r="Q474" t="s">
        <v>97</v>
      </c>
    </row>
    <row r="475" spans="1:17" x14ac:dyDescent="0.35">
      <c r="A475">
        <v>474</v>
      </c>
      <c r="B475">
        <v>2019</v>
      </c>
      <c r="C475">
        <v>8</v>
      </c>
      <c r="D475" t="s">
        <v>32</v>
      </c>
      <c r="E475" t="s">
        <v>79</v>
      </c>
      <c r="F475" s="1">
        <v>41828</v>
      </c>
      <c r="G475" s="1">
        <v>92317</v>
      </c>
      <c r="H475">
        <v>359</v>
      </c>
      <c r="I475">
        <v>0.97</v>
      </c>
      <c r="J475">
        <v>6.29</v>
      </c>
      <c r="K475">
        <v>1.2</v>
      </c>
      <c r="L475">
        <v>10</v>
      </c>
      <c r="M475" s="1" t="e">
        <f>#N/A</f>
        <v>#N/A</v>
      </c>
      <c r="N475">
        <v>1080</v>
      </c>
      <c r="Q475" t="s">
        <v>97</v>
      </c>
    </row>
    <row r="476" spans="1:17" x14ac:dyDescent="0.35">
      <c r="A476">
        <v>475</v>
      </c>
      <c r="B476">
        <v>2019</v>
      </c>
      <c r="C476">
        <v>8</v>
      </c>
      <c r="D476" t="s">
        <v>28</v>
      </c>
      <c r="E476" t="s">
        <v>69</v>
      </c>
      <c r="F476" s="1">
        <v>86413</v>
      </c>
      <c r="G476" s="1">
        <v>497126</v>
      </c>
      <c r="H476">
        <v>123</v>
      </c>
      <c r="I476">
        <v>0.97</v>
      </c>
      <c r="J476">
        <v>6.29</v>
      </c>
      <c r="K476">
        <v>1.2</v>
      </c>
      <c r="L476">
        <v>5</v>
      </c>
      <c r="M476" s="1" t="e">
        <f>#N/A</f>
        <v>#N/A</v>
      </c>
      <c r="N476">
        <v>453</v>
      </c>
      <c r="Q476" t="s">
        <v>97</v>
      </c>
    </row>
    <row r="477" spans="1:17" x14ac:dyDescent="0.35">
      <c r="A477">
        <v>476</v>
      </c>
      <c r="B477">
        <v>2019</v>
      </c>
      <c r="C477">
        <v>8</v>
      </c>
      <c r="D477" t="s">
        <v>38</v>
      </c>
      <c r="E477" t="s">
        <v>73</v>
      </c>
      <c r="F477" s="1">
        <v>74255</v>
      </c>
      <c r="G477" s="1">
        <v>156471</v>
      </c>
      <c r="H477">
        <v>150</v>
      </c>
      <c r="I477">
        <v>0.97</v>
      </c>
      <c r="J477">
        <v>6.29</v>
      </c>
      <c r="K477">
        <v>1.2</v>
      </c>
      <c r="L477">
        <v>9</v>
      </c>
      <c r="M477" s="1" t="e">
        <f>#N/A</f>
        <v>#N/A</v>
      </c>
      <c r="N477">
        <v>552</v>
      </c>
      <c r="Q477" t="s">
        <v>97</v>
      </c>
    </row>
    <row r="478" spans="1:17" x14ac:dyDescent="0.35">
      <c r="A478">
        <v>477</v>
      </c>
      <c r="B478">
        <v>2019</v>
      </c>
      <c r="C478">
        <v>8</v>
      </c>
      <c r="D478" t="s">
        <v>14</v>
      </c>
      <c r="E478" t="s">
        <v>95</v>
      </c>
      <c r="F478" s="1">
        <v>98261</v>
      </c>
      <c r="G478" s="1">
        <v>69156</v>
      </c>
      <c r="H478">
        <v>22</v>
      </c>
      <c r="I478">
        <v>0.97</v>
      </c>
      <c r="J478">
        <v>6.29</v>
      </c>
      <c r="K478">
        <v>1.2</v>
      </c>
      <c r="L478">
        <v>8</v>
      </c>
      <c r="M478" s="1" t="e">
        <f>#N/A</f>
        <v>#N/A</v>
      </c>
      <c r="N478">
        <v>155</v>
      </c>
      <c r="Q478" t="s">
        <v>98</v>
      </c>
    </row>
    <row r="479" spans="1:17" x14ac:dyDescent="0.35">
      <c r="A479">
        <v>478</v>
      </c>
      <c r="B479">
        <v>2019</v>
      </c>
      <c r="C479">
        <v>8</v>
      </c>
      <c r="D479" t="s">
        <v>35</v>
      </c>
      <c r="E479" t="s">
        <v>112</v>
      </c>
      <c r="F479" s="1">
        <v>73498</v>
      </c>
      <c r="G479" s="1">
        <v>249215</v>
      </c>
      <c r="H479">
        <v>285</v>
      </c>
      <c r="I479">
        <v>0.97</v>
      </c>
      <c r="J479">
        <v>6.29</v>
      </c>
      <c r="K479">
        <v>1.2</v>
      </c>
      <c r="L479">
        <v>3</v>
      </c>
      <c r="M479" s="1" t="e">
        <f>#N/A</f>
        <v>#N/A</v>
      </c>
      <c r="N479">
        <v>929</v>
      </c>
      <c r="Q479" t="s">
        <v>98</v>
      </c>
    </row>
    <row r="480" spans="1:17" x14ac:dyDescent="0.35">
      <c r="A480">
        <v>479</v>
      </c>
      <c r="B480">
        <v>2019</v>
      </c>
      <c r="C480">
        <v>8</v>
      </c>
      <c r="D480" t="s">
        <v>21</v>
      </c>
      <c r="E480" t="s">
        <v>157</v>
      </c>
      <c r="F480" s="1">
        <v>36462</v>
      </c>
      <c r="G480" s="1">
        <v>309278</v>
      </c>
      <c r="H480">
        <v>180</v>
      </c>
      <c r="I480">
        <v>0.97</v>
      </c>
      <c r="J480">
        <v>6.29</v>
      </c>
      <c r="K480">
        <v>1.2</v>
      </c>
      <c r="L480">
        <v>1</v>
      </c>
      <c r="M480" s="1" t="e">
        <f>#N/A</f>
        <v>#N/A</v>
      </c>
      <c r="N480">
        <v>573</v>
      </c>
      <c r="Q480" t="s">
        <v>98</v>
      </c>
    </row>
    <row r="481" spans="1:17" x14ac:dyDescent="0.35">
      <c r="A481">
        <v>480</v>
      </c>
      <c r="B481">
        <v>2019</v>
      </c>
      <c r="C481">
        <v>9</v>
      </c>
      <c r="D481" t="s">
        <v>28</v>
      </c>
      <c r="E481" t="s">
        <v>67</v>
      </c>
      <c r="F481" s="1">
        <v>56473</v>
      </c>
      <c r="G481" s="1">
        <v>497746</v>
      </c>
      <c r="H481">
        <v>190</v>
      </c>
      <c r="I481">
        <v>0.97</v>
      </c>
      <c r="J481">
        <v>6.29</v>
      </c>
      <c r="K481">
        <v>1.2</v>
      </c>
      <c r="L481">
        <v>5</v>
      </c>
      <c r="M481" s="1" t="e">
        <f>#N/A</f>
        <v>#N/A</v>
      </c>
      <c r="N481">
        <v>773</v>
      </c>
      <c r="Q481" t="s">
        <v>98</v>
      </c>
    </row>
    <row r="482" spans="1:17" x14ac:dyDescent="0.35">
      <c r="A482">
        <v>481</v>
      </c>
      <c r="B482">
        <v>2019</v>
      </c>
      <c r="C482">
        <v>9</v>
      </c>
      <c r="D482" t="s">
        <v>21</v>
      </c>
      <c r="E482" t="s">
        <v>65</v>
      </c>
      <c r="F482" s="1">
        <v>88634</v>
      </c>
      <c r="G482" s="1">
        <v>276024</v>
      </c>
      <c r="H482">
        <v>252</v>
      </c>
      <c r="I482">
        <v>0.97</v>
      </c>
      <c r="J482">
        <v>6.29</v>
      </c>
      <c r="K482">
        <v>1.2</v>
      </c>
      <c r="L482">
        <v>4</v>
      </c>
      <c r="M482" s="1" t="e">
        <f>#N/A</f>
        <v>#N/A</v>
      </c>
      <c r="N482">
        <v>663</v>
      </c>
      <c r="Q482" t="s">
        <v>98</v>
      </c>
    </row>
    <row r="483" spans="1:17" x14ac:dyDescent="0.35">
      <c r="A483">
        <v>482</v>
      </c>
      <c r="B483">
        <v>2019</v>
      </c>
      <c r="C483">
        <v>9</v>
      </c>
      <c r="D483" t="s">
        <v>21</v>
      </c>
      <c r="E483" t="s">
        <v>58</v>
      </c>
      <c r="F483" s="1">
        <v>61619</v>
      </c>
      <c r="G483" s="1">
        <v>322168</v>
      </c>
      <c r="H483">
        <v>175</v>
      </c>
      <c r="I483">
        <v>0.97</v>
      </c>
      <c r="J483">
        <v>6.29</v>
      </c>
      <c r="K483">
        <v>1.2</v>
      </c>
      <c r="L483">
        <v>4</v>
      </c>
      <c r="M483" s="1" t="e">
        <f>#N/A</f>
        <v>#N/A</v>
      </c>
      <c r="N483">
        <v>606</v>
      </c>
      <c r="Q483" t="s">
        <v>99</v>
      </c>
    </row>
    <row r="484" spans="1:17" x14ac:dyDescent="0.35">
      <c r="A484">
        <v>483</v>
      </c>
      <c r="B484">
        <v>2019</v>
      </c>
      <c r="C484">
        <v>9</v>
      </c>
      <c r="D484" t="s">
        <v>14</v>
      </c>
      <c r="E484" t="s">
        <v>75</v>
      </c>
      <c r="F484" s="1">
        <v>79148</v>
      </c>
      <c r="G484" s="1">
        <v>390053</v>
      </c>
      <c r="H484">
        <v>331</v>
      </c>
      <c r="I484">
        <v>0.97</v>
      </c>
      <c r="J484">
        <v>6.29</v>
      </c>
      <c r="K484">
        <v>1.2</v>
      </c>
      <c r="L484">
        <v>4</v>
      </c>
      <c r="M484" s="1" t="e">
        <f>#N/A</f>
        <v>#N/A</v>
      </c>
      <c r="N484">
        <v>744</v>
      </c>
      <c r="Q484" t="s">
        <v>99</v>
      </c>
    </row>
    <row r="485" spans="1:17" x14ac:dyDescent="0.35">
      <c r="A485">
        <v>484</v>
      </c>
      <c r="B485">
        <v>2019</v>
      </c>
      <c r="C485">
        <v>9</v>
      </c>
      <c r="D485" t="s">
        <v>25</v>
      </c>
      <c r="E485" t="s">
        <v>101</v>
      </c>
      <c r="F485" s="1">
        <v>52241</v>
      </c>
      <c r="G485" s="1">
        <v>209484</v>
      </c>
      <c r="H485">
        <v>198</v>
      </c>
      <c r="I485">
        <v>0.97</v>
      </c>
      <c r="J485">
        <v>6.29</v>
      </c>
      <c r="K485">
        <v>1.2</v>
      </c>
      <c r="L485">
        <v>5</v>
      </c>
      <c r="M485" s="1" t="e">
        <f>#N/A</f>
        <v>#N/A</v>
      </c>
      <c r="N485">
        <v>544</v>
      </c>
      <c r="Q485" t="s">
        <v>99</v>
      </c>
    </row>
    <row r="486" spans="1:17" x14ac:dyDescent="0.35">
      <c r="A486">
        <v>485</v>
      </c>
      <c r="B486">
        <v>2019</v>
      </c>
      <c r="C486">
        <v>9</v>
      </c>
      <c r="D486" t="s">
        <v>32</v>
      </c>
      <c r="E486" t="s">
        <v>105</v>
      </c>
      <c r="F486" s="1">
        <v>81994</v>
      </c>
      <c r="G486" s="1">
        <v>155386</v>
      </c>
      <c r="H486">
        <v>40</v>
      </c>
      <c r="I486">
        <v>0.97</v>
      </c>
      <c r="J486">
        <v>6.29</v>
      </c>
      <c r="K486">
        <v>1.2</v>
      </c>
      <c r="L486">
        <v>5</v>
      </c>
      <c r="M486" s="1" t="e">
        <f>#N/A</f>
        <v>#N/A</v>
      </c>
      <c r="N486">
        <v>192</v>
      </c>
      <c r="Q486" t="s">
        <v>99</v>
      </c>
    </row>
    <row r="487" spans="1:17" x14ac:dyDescent="0.35">
      <c r="A487">
        <v>486</v>
      </c>
      <c r="B487">
        <v>2019</v>
      </c>
      <c r="C487">
        <v>9</v>
      </c>
      <c r="D487" t="s">
        <v>36</v>
      </c>
      <c r="E487" t="s">
        <v>122</v>
      </c>
      <c r="F487" s="1">
        <v>94872</v>
      </c>
      <c r="G487" s="1">
        <v>137453</v>
      </c>
      <c r="H487">
        <v>173</v>
      </c>
      <c r="I487">
        <v>0.97</v>
      </c>
      <c r="J487">
        <v>6.29</v>
      </c>
      <c r="K487">
        <v>1.2</v>
      </c>
      <c r="L487">
        <v>8</v>
      </c>
      <c r="M487" s="1" t="e">
        <f>#N/A</f>
        <v>#N/A</v>
      </c>
      <c r="N487">
        <v>505</v>
      </c>
      <c r="Q487" t="s">
        <v>99</v>
      </c>
    </row>
    <row r="488" spans="1:17" x14ac:dyDescent="0.35">
      <c r="A488">
        <v>487</v>
      </c>
      <c r="B488">
        <v>2019</v>
      </c>
      <c r="C488">
        <v>9</v>
      </c>
      <c r="D488" t="s">
        <v>32</v>
      </c>
      <c r="E488" t="s">
        <v>121</v>
      </c>
      <c r="F488" s="1">
        <v>48329</v>
      </c>
      <c r="G488" s="1">
        <v>346956</v>
      </c>
      <c r="H488">
        <v>395</v>
      </c>
      <c r="I488">
        <v>0.97</v>
      </c>
      <c r="J488">
        <v>6.29</v>
      </c>
      <c r="K488">
        <v>1.2</v>
      </c>
      <c r="L488">
        <v>3</v>
      </c>
      <c r="M488" s="1" t="e">
        <f>#N/A</f>
        <v>#N/A</v>
      </c>
      <c r="N488">
        <v>1088</v>
      </c>
      <c r="Q488" t="s">
        <v>99</v>
      </c>
    </row>
    <row r="489" spans="1:17" x14ac:dyDescent="0.35">
      <c r="A489">
        <v>488</v>
      </c>
      <c r="B489">
        <v>2019</v>
      </c>
      <c r="C489">
        <v>9</v>
      </c>
      <c r="D489" t="s">
        <v>25</v>
      </c>
      <c r="E489" t="s">
        <v>143</v>
      </c>
      <c r="F489" s="1">
        <v>37881</v>
      </c>
      <c r="G489" s="1">
        <v>386092</v>
      </c>
      <c r="H489">
        <v>194</v>
      </c>
      <c r="I489">
        <v>0.97</v>
      </c>
      <c r="J489">
        <v>6.29</v>
      </c>
      <c r="K489">
        <v>1.2</v>
      </c>
      <c r="L489">
        <v>2</v>
      </c>
      <c r="M489" s="1" t="e">
        <f>#N/A</f>
        <v>#N/A</v>
      </c>
      <c r="N489">
        <v>775</v>
      </c>
      <c r="Q489" t="s">
        <v>99</v>
      </c>
    </row>
    <row r="490" spans="1:17" x14ac:dyDescent="0.35">
      <c r="A490">
        <v>489</v>
      </c>
      <c r="B490">
        <v>2019</v>
      </c>
      <c r="C490">
        <v>9</v>
      </c>
      <c r="D490" t="s">
        <v>28</v>
      </c>
      <c r="E490" t="s">
        <v>144</v>
      </c>
      <c r="F490" s="1">
        <v>40801</v>
      </c>
      <c r="G490" s="1">
        <v>446343</v>
      </c>
      <c r="H490">
        <v>118</v>
      </c>
      <c r="I490">
        <v>0.97</v>
      </c>
      <c r="J490">
        <v>6.29</v>
      </c>
      <c r="K490">
        <v>1.2</v>
      </c>
      <c r="L490">
        <v>2</v>
      </c>
      <c r="M490" s="1" t="e">
        <f>#N/A</f>
        <v>#N/A</v>
      </c>
      <c r="N490">
        <v>716</v>
      </c>
      <c r="Q490" t="s">
        <v>99</v>
      </c>
    </row>
    <row r="491" spans="1:17" x14ac:dyDescent="0.35">
      <c r="A491">
        <v>490</v>
      </c>
      <c r="B491">
        <v>2019</v>
      </c>
      <c r="C491">
        <v>9</v>
      </c>
      <c r="D491" t="s">
        <v>21</v>
      </c>
      <c r="E491" t="s">
        <v>161</v>
      </c>
      <c r="F491" s="1">
        <v>119517</v>
      </c>
      <c r="G491" s="1">
        <v>138741</v>
      </c>
      <c r="H491">
        <v>213</v>
      </c>
      <c r="I491">
        <v>0.97</v>
      </c>
      <c r="J491">
        <v>6.29</v>
      </c>
      <c r="K491">
        <v>1.2</v>
      </c>
      <c r="L491">
        <v>3</v>
      </c>
      <c r="M491" s="1" t="e">
        <f>#N/A</f>
        <v>#N/A</v>
      </c>
      <c r="N491">
        <v>517</v>
      </c>
      <c r="Q491" t="s">
        <v>99</v>
      </c>
    </row>
    <row r="492" spans="1:17" x14ac:dyDescent="0.35">
      <c r="A492">
        <v>491</v>
      </c>
      <c r="B492">
        <v>2019</v>
      </c>
      <c r="C492">
        <v>10</v>
      </c>
      <c r="D492" t="s">
        <v>21</v>
      </c>
      <c r="E492" t="s">
        <v>47</v>
      </c>
      <c r="F492" s="1">
        <v>46357</v>
      </c>
      <c r="G492" s="1">
        <v>124231</v>
      </c>
      <c r="H492">
        <v>388</v>
      </c>
      <c r="I492">
        <v>0.97</v>
      </c>
      <c r="J492">
        <v>6.29</v>
      </c>
      <c r="K492">
        <v>1.2</v>
      </c>
      <c r="L492">
        <v>5</v>
      </c>
      <c r="M492" s="1" t="e">
        <f>#N/A</f>
        <v>#N/A</v>
      </c>
      <c r="N492">
        <v>895</v>
      </c>
      <c r="Q492" t="s">
        <v>100</v>
      </c>
    </row>
    <row r="493" spans="1:17" x14ac:dyDescent="0.35">
      <c r="A493">
        <v>492</v>
      </c>
      <c r="B493">
        <v>2019</v>
      </c>
      <c r="C493">
        <v>10</v>
      </c>
      <c r="D493" t="s">
        <v>35</v>
      </c>
      <c r="E493" t="s">
        <v>74</v>
      </c>
      <c r="F493" s="1">
        <v>52065</v>
      </c>
      <c r="G493" s="1">
        <v>447595</v>
      </c>
      <c r="H493">
        <v>371</v>
      </c>
      <c r="I493">
        <v>0.97</v>
      </c>
      <c r="J493">
        <v>6.29</v>
      </c>
      <c r="K493">
        <v>1.2</v>
      </c>
      <c r="L493">
        <v>7</v>
      </c>
      <c r="M493" s="1" t="e">
        <f>#N/A</f>
        <v>#N/A</v>
      </c>
      <c r="N493">
        <v>977</v>
      </c>
      <c r="Q493" t="s">
        <v>100</v>
      </c>
    </row>
    <row r="494" spans="1:17" x14ac:dyDescent="0.35">
      <c r="A494">
        <v>493</v>
      </c>
      <c r="B494">
        <v>2019</v>
      </c>
      <c r="C494">
        <v>10</v>
      </c>
      <c r="D494" t="s">
        <v>37</v>
      </c>
      <c r="E494" t="s">
        <v>89</v>
      </c>
      <c r="F494" s="1">
        <v>73737</v>
      </c>
      <c r="G494" s="1">
        <v>108560</v>
      </c>
      <c r="H494">
        <v>308</v>
      </c>
      <c r="I494">
        <v>0.97</v>
      </c>
      <c r="J494">
        <v>6.29</v>
      </c>
      <c r="K494">
        <v>1.2</v>
      </c>
      <c r="L494">
        <v>10</v>
      </c>
      <c r="M494" s="1" t="e">
        <f>#N/A</f>
        <v>#N/A</v>
      </c>
      <c r="N494">
        <v>720</v>
      </c>
      <c r="Q494" t="s">
        <v>100</v>
      </c>
    </row>
    <row r="495" spans="1:17" x14ac:dyDescent="0.35">
      <c r="A495">
        <v>494</v>
      </c>
      <c r="B495">
        <v>2019</v>
      </c>
      <c r="C495">
        <v>10</v>
      </c>
      <c r="D495" t="s">
        <v>25</v>
      </c>
      <c r="E495" t="s">
        <v>119</v>
      </c>
      <c r="F495" s="1">
        <v>117542</v>
      </c>
      <c r="G495" s="1">
        <v>330790</v>
      </c>
      <c r="H495">
        <v>196</v>
      </c>
      <c r="I495">
        <v>0.97</v>
      </c>
      <c r="J495">
        <v>6.29</v>
      </c>
      <c r="K495">
        <v>1.2</v>
      </c>
      <c r="L495">
        <v>1</v>
      </c>
      <c r="M495" s="1" t="e">
        <f>#N/A</f>
        <v>#N/A</v>
      </c>
      <c r="N495">
        <v>538</v>
      </c>
      <c r="Q495" t="s">
        <v>100</v>
      </c>
    </row>
    <row r="496" spans="1:17" x14ac:dyDescent="0.35">
      <c r="A496">
        <v>495</v>
      </c>
      <c r="B496">
        <v>2019</v>
      </c>
      <c r="C496">
        <v>10</v>
      </c>
      <c r="D496" t="s">
        <v>37</v>
      </c>
      <c r="E496" t="s">
        <v>137</v>
      </c>
      <c r="F496" s="1">
        <v>77932</v>
      </c>
      <c r="G496" s="1">
        <v>365929</v>
      </c>
      <c r="H496">
        <v>190</v>
      </c>
      <c r="I496">
        <v>0.97</v>
      </c>
      <c r="J496">
        <v>6.29</v>
      </c>
      <c r="K496">
        <v>1.2</v>
      </c>
      <c r="L496">
        <v>6</v>
      </c>
      <c r="M496" s="1" t="e">
        <f>#N/A</f>
        <v>#N/A</v>
      </c>
      <c r="N496">
        <v>725</v>
      </c>
      <c r="Q496" t="s">
        <v>100</v>
      </c>
    </row>
    <row r="497" spans="1:17" x14ac:dyDescent="0.35">
      <c r="A497">
        <v>496</v>
      </c>
      <c r="B497">
        <v>2019</v>
      </c>
      <c r="C497">
        <v>10</v>
      </c>
      <c r="D497" t="s">
        <v>30</v>
      </c>
      <c r="E497" t="s">
        <v>162</v>
      </c>
      <c r="F497" s="1">
        <v>83994</v>
      </c>
      <c r="G497" s="1">
        <v>55499</v>
      </c>
      <c r="H497">
        <v>12</v>
      </c>
      <c r="I497">
        <v>0.97</v>
      </c>
      <c r="J497">
        <v>6.29</v>
      </c>
      <c r="K497">
        <v>1.2</v>
      </c>
      <c r="L497">
        <v>10</v>
      </c>
      <c r="M497" s="1" t="e">
        <f>#N/A</f>
        <v>#N/A</v>
      </c>
      <c r="N497">
        <v>413</v>
      </c>
      <c r="Q497" t="s">
        <v>100</v>
      </c>
    </row>
    <row r="498" spans="1:17" x14ac:dyDescent="0.35">
      <c r="A498">
        <v>497</v>
      </c>
      <c r="B498">
        <v>2019</v>
      </c>
      <c r="C498">
        <v>10</v>
      </c>
      <c r="D498" t="s">
        <v>28</v>
      </c>
      <c r="E498" t="s">
        <v>158</v>
      </c>
      <c r="F498" s="1">
        <v>96075</v>
      </c>
      <c r="G498" s="1">
        <v>411652</v>
      </c>
      <c r="H498">
        <v>398</v>
      </c>
      <c r="I498">
        <v>0.97</v>
      </c>
      <c r="J498">
        <v>6.29</v>
      </c>
      <c r="K498">
        <v>1.2</v>
      </c>
      <c r="L498">
        <v>7</v>
      </c>
      <c r="M498" s="1" t="e">
        <f>#N/A</f>
        <v>#N/A</v>
      </c>
      <c r="N498">
        <v>1083</v>
      </c>
      <c r="Q498" t="s">
        <v>101</v>
      </c>
    </row>
    <row r="499" spans="1:17" x14ac:dyDescent="0.35">
      <c r="A499">
        <v>498</v>
      </c>
      <c r="B499">
        <v>2019</v>
      </c>
      <c r="C499">
        <v>10</v>
      </c>
      <c r="D499" t="s">
        <v>28</v>
      </c>
      <c r="E499" t="e">
        <v>#N/A</v>
      </c>
      <c r="F499" s="1">
        <v>105167</v>
      </c>
      <c r="G499" s="1">
        <v>112501</v>
      </c>
      <c r="H499">
        <v>374</v>
      </c>
      <c r="I499">
        <v>0.97</v>
      </c>
      <c r="J499">
        <v>6.29</v>
      </c>
      <c r="K499">
        <v>1.2</v>
      </c>
      <c r="L499">
        <v>2</v>
      </c>
      <c r="M499" s="1" t="e">
        <f>#N/A</f>
        <v>#N/A</v>
      </c>
      <c r="N499">
        <v>824</v>
      </c>
      <c r="Q499" t="s">
        <v>101</v>
      </c>
    </row>
    <row r="500" spans="1:17" x14ac:dyDescent="0.35">
      <c r="A500">
        <v>499</v>
      </c>
      <c r="B500">
        <v>2019</v>
      </c>
      <c r="C500">
        <v>11</v>
      </c>
      <c r="D500" t="s">
        <v>38</v>
      </c>
      <c r="E500" t="s">
        <v>45</v>
      </c>
      <c r="F500" s="1">
        <v>52118</v>
      </c>
      <c r="G500" s="1">
        <v>450213</v>
      </c>
      <c r="H500">
        <v>106</v>
      </c>
      <c r="I500">
        <v>0.97</v>
      </c>
      <c r="J500">
        <v>6.29</v>
      </c>
      <c r="K500">
        <v>1.2</v>
      </c>
      <c r="L500">
        <v>9</v>
      </c>
      <c r="M500" s="1" t="e">
        <f>#N/A</f>
        <v>#N/A</v>
      </c>
      <c r="N500">
        <v>667</v>
      </c>
      <c r="Q500" t="s">
        <v>101</v>
      </c>
    </row>
    <row r="501" spans="1:17" x14ac:dyDescent="0.35">
      <c r="A501">
        <v>500</v>
      </c>
      <c r="B501">
        <v>2019</v>
      </c>
      <c r="C501">
        <v>11</v>
      </c>
      <c r="D501" t="s">
        <v>14</v>
      </c>
      <c r="E501" t="s">
        <v>76</v>
      </c>
      <c r="F501" s="1">
        <v>107833</v>
      </c>
      <c r="G501" s="1">
        <v>137508</v>
      </c>
      <c r="H501">
        <v>21</v>
      </c>
      <c r="I501">
        <v>0.97</v>
      </c>
      <c r="J501">
        <v>6.29</v>
      </c>
      <c r="K501">
        <v>1.2</v>
      </c>
      <c r="L501">
        <v>9</v>
      </c>
      <c r="M501" s="1" t="e">
        <f>#N/A</f>
        <v>#N/A</v>
      </c>
      <c r="N501">
        <v>395</v>
      </c>
      <c r="Q501" t="s">
        <v>101</v>
      </c>
    </row>
    <row r="502" spans="1:17" x14ac:dyDescent="0.35">
      <c r="A502">
        <v>501</v>
      </c>
      <c r="B502">
        <v>2019</v>
      </c>
      <c r="C502">
        <v>11</v>
      </c>
      <c r="D502" t="s">
        <v>21</v>
      </c>
      <c r="E502" t="s">
        <v>68</v>
      </c>
      <c r="F502" s="1">
        <v>102657</v>
      </c>
      <c r="G502" s="1">
        <v>93481</v>
      </c>
      <c r="H502">
        <v>96</v>
      </c>
      <c r="I502">
        <v>0.97</v>
      </c>
      <c r="J502">
        <v>6.29</v>
      </c>
      <c r="K502">
        <v>1.2</v>
      </c>
      <c r="L502">
        <v>5</v>
      </c>
      <c r="M502" s="1" t="e">
        <f>#N/A</f>
        <v>#N/A</v>
      </c>
      <c r="N502">
        <v>186</v>
      </c>
      <c r="Q502" t="s">
        <v>101</v>
      </c>
    </row>
    <row r="503" spans="1:17" x14ac:dyDescent="0.35">
      <c r="A503">
        <v>502</v>
      </c>
      <c r="B503">
        <v>2019</v>
      </c>
      <c r="C503">
        <v>11</v>
      </c>
      <c r="D503" t="s">
        <v>14</v>
      </c>
      <c r="E503" t="s">
        <v>97</v>
      </c>
      <c r="F503" s="1">
        <v>42371</v>
      </c>
      <c r="G503" s="1">
        <v>323541</v>
      </c>
      <c r="H503">
        <v>319</v>
      </c>
      <c r="I503">
        <v>0.97</v>
      </c>
      <c r="J503">
        <v>6.29</v>
      </c>
      <c r="K503">
        <v>1.2</v>
      </c>
      <c r="L503">
        <v>5</v>
      </c>
      <c r="M503" s="1" t="e">
        <f>#N/A</f>
        <v>#N/A</v>
      </c>
      <c r="N503">
        <v>730</v>
      </c>
      <c r="Q503" t="s">
        <v>101</v>
      </c>
    </row>
    <row r="504" spans="1:17" x14ac:dyDescent="0.35">
      <c r="A504">
        <v>503</v>
      </c>
      <c r="B504">
        <v>2019</v>
      </c>
      <c r="C504">
        <v>11</v>
      </c>
      <c r="D504" t="s">
        <v>37</v>
      </c>
      <c r="E504" t="s">
        <v>106</v>
      </c>
      <c r="F504" s="1">
        <v>58464</v>
      </c>
      <c r="G504" s="1">
        <v>397236</v>
      </c>
      <c r="H504">
        <v>41</v>
      </c>
      <c r="I504">
        <v>0.97</v>
      </c>
      <c r="J504">
        <v>6.29</v>
      </c>
      <c r="K504">
        <v>1.2</v>
      </c>
      <c r="L504">
        <v>8</v>
      </c>
      <c r="M504" s="1" t="e">
        <f>#N/A</f>
        <v>#N/A</v>
      </c>
      <c r="N504">
        <v>147</v>
      </c>
      <c r="Q504" t="s">
        <v>101</v>
      </c>
    </row>
    <row r="505" spans="1:17" x14ac:dyDescent="0.35">
      <c r="A505">
        <v>504</v>
      </c>
      <c r="B505">
        <v>2019</v>
      </c>
      <c r="C505">
        <v>11</v>
      </c>
      <c r="D505" t="s">
        <v>21</v>
      </c>
      <c r="E505" t="s">
        <v>108</v>
      </c>
      <c r="F505" s="1">
        <v>76505</v>
      </c>
      <c r="G505" s="1">
        <v>268547</v>
      </c>
      <c r="H505">
        <v>241</v>
      </c>
      <c r="I505">
        <v>0.97</v>
      </c>
      <c r="J505">
        <v>6.29</v>
      </c>
      <c r="K505">
        <v>1.2</v>
      </c>
      <c r="L505">
        <v>5</v>
      </c>
      <c r="M505" s="1" t="e">
        <f>#N/A</f>
        <v>#N/A</v>
      </c>
      <c r="N505">
        <v>557</v>
      </c>
      <c r="Q505" t="s">
        <v>101</v>
      </c>
    </row>
    <row r="506" spans="1:17" x14ac:dyDescent="0.35">
      <c r="A506">
        <v>505</v>
      </c>
      <c r="B506">
        <v>2019</v>
      </c>
      <c r="C506">
        <v>11</v>
      </c>
      <c r="D506" t="s">
        <v>28</v>
      </c>
      <c r="E506" t="s">
        <v>136</v>
      </c>
      <c r="F506" s="1">
        <v>87151</v>
      </c>
      <c r="G506" s="1">
        <v>161776</v>
      </c>
      <c r="H506">
        <v>297</v>
      </c>
      <c r="I506">
        <v>0.97</v>
      </c>
      <c r="J506">
        <v>6.29</v>
      </c>
      <c r="K506">
        <v>1.2</v>
      </c>
      <c r="L506">
        <v>10</v>
      </c>
      <c r="M506" s="1" t="e">
        <f>#N/A</f>
        <v>#N/A</v>
      </c>
      <c r="N506">
        <v>1001</v>
      </c>
      <c r="Q506" t="s">
        <v>101</v>
      </c>
    </row>
    <row r="507" spans="1:17" x14ac:dyDescent="0.35">
      <c r="A507">
        <v>506</v>
      </c>
      <c r="B507">
        <v>2019</v>
      </c>
      <c r="C507">
        <v>11</v>
      </c>
      <c r="D507" t="s">
        <v>21</v>
      </c>
      <c r="E507" t="s">
        <v>130</v>
      </c>
      <c r="F507" s="1">
        <v>57616</v>
      </c>
      <c r="G507" s="1">
        <v>241480</v>
      </c>
      <c r="H507">
        <v>376</v>
      </c>
      <c r="I507">
        <v>0.97</v>
      </c>
      <c r="J507">
        <v>6.29</v>
      </c>
      <c r="K507">
        <v>1.2</v>
      </c>
      <c r="L507">
        <v>5</v>
      </c>
      <c r="M507" s="1" t="e">
        <f>#N/A</f>
        <v>#N/A</v>
      </c>
      <c r="N507">
        <v>1202</v>
      </c>
      <c r="Q507" t="s">
        <v>101</v>
      </c>
    </row>
    <row r="508" spans="1:17" x14ac:dyDescent="0.35">
      <c r="A508">
        <v>507</v>
      </c>
      <c r="B508">
        <v>2019</v>
      </c>
      <c r="C508">
        <v>12</v>
      </c>
      <c r="D508" t="s">
        <v>30</v>
      </c>
      <c r="E508" t="s">
        <v>58</v>
      </c>
      <c r="F508" s="1">
        <v>108762</v>
      </c>
      <c r="G508" s="1">
        <v>297677</v>
      </c>
      <c r="H508">
        <v>68</v>
      </c>
      <c r="I508">
        <v>0.97</v>
      </c>
      <c r="J508">
        <v>6.29</v>
      </c>
      <c r="K508">
        <v>1.2</v>
      </c>
      <c r="L508">
        <v>7</v>
      </c>
      <c r="M508" s="1" t="e">
        <f>#N/A</f>
        <v>#N/A</v>
      </c>
      <c r="N508">
        <v>367</v>
      </c>
      <c r="Q508" t="s">
        <v>101</v>
      </c>
    </row>
    <row r="509" spans="1:17" x14ac:dyDescent="0.35">
      <c r="A509">
        <v>508</v>
      </c>
      <c r="B509">
        <v>2019</v>
      </c>
      <c r="C509">
        <v>12</v>
      </c>
      <c r="D509" t="s">
        <v>35</v>
      </c>
      <c r="E509" t="s">
        <v>101</v>
      </c>
      <c r="F509" s="1">
        <v>52653</v>
      </c>
      <c r="G509" s="1">
        <v>423145</v>
      </c>
      <c r="H509">
        <v>173</v>
      </c>
      <c r="I509">
        <v>0.97</v>
      </c>
      <c r="J509">
        <v>6.29</v>
      </c>
      <c r="K509">
        <v>1.2</v>
      </c>
      <c r="L509">
        <v>3</v>
      </c>
      <c r="M509" s="1" t="e">
        <f>#N/A</f>
        <v>#N/A</v>
      </c>
      <c r="N509">
        <v>599</v>
      </c>
      <c r="Q509" t="s">
        <v>101</v>
      </c>
    </row>
    <row r="510" spans="1:17" x14ac:dyDescent="0.35">
      <c r="A510">
        <v>509</v>
      </c>
      <c r="B510">
        <v>2019</v>
      </c>
      <c r="C510">
        <v>12</v>
      </c>
      <c r="D510" t="s">
        <v>32</v>
      </c>
      <c r="E510" t="s">
        <v>102</v>
      </c>
      <c r="F510" s="1">
        <v>54585</v>
      </c>
      <c r="G510" s="1">
        <v>323958</v>
      </c>
      <c r="H510">
        <v>223</v>
      </c>
      <c r="I510">
        <v>0.97</v>
      </c>
      <c r="J510">
        <v>6.29</v>
      </c>
      <c r="K510">
        <v>1.2</v>
      </c>
      <c r="L510">
        <v>4</v>
      </c>
      <c r="M510" s="1" t="e">
        <f>#N/A</f>
        <v>#N/A</v>
      </c>
      <c r="N510">
        <v>861</v>
      </c>
      <c r="Q510" t="s">
        <v>101</v>
      </c>
    </row>
    <row r="511" spans="1:17" x14ac:dyDescent="0.35">
      <c r="A511">
        <v>510</v>
      </c>
      <c r="B511">
        <v>2019</v>
      </c>
      <c r="C511">
        <v>12</v>
      </c>
      <c r="D511" t="s">
        <v>35</v>
      </c>
      <c r="E511" t="s">
        <v>126</v>
      </c>
      <c r="F511" s="1">
        <v>71547</v>
      </c>
      <c r="G511" s="1">
        <v>281226</v>
      </c>
      <c r="H511">
        <v>380</v>
      </c>
      <c r="I511">
        <v>0.97</v>
      </c>
      <c r="J511">
        <v>6.29</v>
      </c>
      <c r="K511">
        <v>1.2</v>
      </c>
      <c r="L511">
        <v>5</v>
      </c>
      <c r="M511" s="1" t="e">
        <f>#N/A</f>
        <v>#N/A</v>
      </c>
      <c r="N511">
        <v>1087</v>
      </c>
      <c r="Q511" t="s">
        <v>101</v>
      </c>
    </row>
    <row r="512" spans="1:17" x14ac:dyDescent="0.35">
      <c r="A512">
        <v>511</v>
      </c>
      <c r="B512">
        <v>2019</v>
      </c>
      <c r="C512">
        <v>12</v>
      </c>
      <c r="D512" t="s">
        <v>25</v>
      </c>
      <c r="E512" t="s">
        <v>128</v>
      </c>
      <c r="F512" s="1">
        <v>70693</v>
      </c>
      <c r="G512" s="1">
        <v>418946</v>
      </c>
      <c r="H512">
        <v>20</v>
      </c>
      <c r="I512">
        <v>0.97</v>
      </c>
      <c r="J512">
        <v>6.29</v>
      </c>
      <c r="K512">
        <v>1.2</v>
      </c>
      <c r="L512">
        <v>10</v>
      </c>
      <c r="M512" s="1" t="e">
        <f>#N/A</f>
        <v>#N/A</v>
      </c>
      <c r="N512">
        <v>429</v>
      </c>
      <c r="Q512" t="s">
        <v>102</v>
      </c>
    </row>
    <row r="513" spans="1:17" x14ac:dyDescent="0.35">
      <c r="A513">
        <v>512</v>
      </c>
      <c r="B513">
        <v>2019</v>
      </c>
      <c r="C513">
        <v>12</v>
      </c>
      <c r="D513" t="s">
        <v>32</v>
      </c>
      <c r="E513" t="s">
        <v>146</v>
      </c>
      <c r="F513" s="1">
        <v>91240</v>
      </c>
      <c r="G513" s="1">
        <v>234381</v>
      </c>
      <c r="H513">
        <v>185</v>
      </c>
      <c r="I513">
        <v>0.97</v>
      </c>
      <c r="J513">
        <v>6.29</v>
      </c>
      <c r="K513">
        <v>1.2</v>
      </c>
      <c r="L513">
        <v>10</v>
      </c>
      <c r="M513" s="1" t="e">
        <f>#N/A</f>
        <v>#N/A</v>
      </c>
      <c r="N513">
        <v>750</v>
      </c>
      <c r="Q513" t="s">
        <v>102</v>
      </c>
    </row>
    <row r="514" spans="1:17" x14ac:dyDescent="0.35">
      <c r="A514">
        <v>513</v>
      </c>
      <c r="B514">
        <v>2020</v>
      </c>
      <c r="C514">
        <v>1</v>
      </c>
      <c r="D514" t="s">
        <v>28</v>
      </c>
      <c r="E514" t="s">
        <v>58</v>
      </c>
      <c r="F514" s="1">
        <v>75025</v>
      </c>
      <c r="G514" s="1">
        <v>494783</v>
      </c>
      <c r="H514">
        <v>61</v>
      </c>
      <c r="I514">
        <v>0.97</v>
      </c>
      <c r="J514">
        <v>6.29</v>
      </c>
      <c r="K514">
        <v>1.2</v>
      </c>
      <c r="L514">
        <v>2</v>
      </c>
      <c r="M514" s="1" t="e">
        <f>#N/A</f>
        <v>#N/A</v>
      </c>
      <c r="N514">
        <v>567</v>
      </c>
      <c r="Q514" t="s">
        <v>102</v>
      </c>
    </row>
    <row r="515" spans="1:17" x14ac:dyDescent="0.35">
      <c r="A515">
        <v>514</v>
      </c>
      <c r="B515">
        <v>2020</v>
      </c>
      <c r="C515">
        <v>1</v>
      </c>
      <c r="D515" t="s">
        <v>28</v>
      </c>
      <c r="E515" t="s">
        <v>78</v>
      </c>
      <c r="F515" s="1">
        <v>60464</v>
      </c>
      <c r="G515" s="1">
        <v>275121</v>
      </c>
      <c r="H515">
        <v>204</v>
      </c>
      <c r="I515">
        <v>0.97</v>
      </c>
      <c r="J515">
        <v>6.29</v>
      </c>
      <c r="K515">
        <v>1.2</v>
      </c>
      <c r="L515">
        <v>8</v>
      </c>
      <c r="M515" s="1" t="e">
        <f>#N/A</f>
        <v>#N/A</v>
      </c>
      <c r="N515">
        <v>842</v>
      </c>
      <c r="Q515" t="s">
        <v>102</v>
      </c>
    </row>
    <row r="516" spans="1:17" x14ac:dyDescent="0.35">
      <c r="A516">
        <v>515</v>
      </c>
      <c r="B516">
        <v>2020</v>
      </c>
      <c r="C516">
        <v>1</v>
      </c>
      <c r="D516" t="s">
        <v>32</v>
      </c>
      <c r="E516" t="s">
        <v>87</v>
      </c>
      <c r="F516" s="1">
        <v>51576</v>
      </c>
      <c r="G516" s="1">
        <v>262909</v>
      </c>
      <c r="H516">
        <v>368</v>
      </c>
      <c r="I516">
        <v>0.97</v>
      </c>
      <c r="J516">
        <v>6.29</v>
      </c>
      <c r="K516">
        <v>1.2</v>
      </c>
      <c r="L516">
        <v>10</v>
      </c>
      <c r="M516" s="1" t="e">
        <f>#N/A</f>
        <v>#N/A</v>
      </c>
      <c r="N516">
        <v>1073</v>
      </c>
      <c r="Q516" t="s">
        <v>102</v>
      </c>
    </row>
    <row r="517" spans="1:17" x14ac:dyDescent="0.35">
      <c r="A517">
        <v>516</v>
      </c>
      <c r="B517">
        <v>2020</v>
      </c>
      <c r="C517">
        <v>1</v>
      </c>
      <c r="D517" t="s">
        <v>30</v>
      </c>
      <c r="E517" t="s">
        <v>83</v>
      </c>
      <c r="F517" s="1">
        <v>111276</v>
      </c>
      <c r="G517" s="1">
        <v>291422</v>
      </c>
      <c r="H517">
        <v>231</v>
      </c>
      <c r="I517">
        <v>0.97</v>
      </c>
      <c r="J517">
        <v>6.29</v>
      </c>
      <c r="K517">
        <v>1.2</v>
      </c>
      <c r="L517">
        <v>4</v>
      </c>
      <c r="M517" s="1" t="e">
        <f>#N/A</f>
        <v>#N/A</v>
      </c>
      <c r="N517">
        <v>789</v>
      </c>
      <c r="Q517" t="s">
        <v>102</v>
      </c>
    </row>
    <row r="518" spans="1:17" x14ac:dyDescent="0.35">
      <c r="A518">
        <v>517</v>
      </c>
      <c r="B518">
        <v>2020</v>
      </c>
      <c r="C518">
        <v>1</v>
      </c>
      <c r="D518" t="s">
        <v>32</v>
      </c>
      <c r="E518" t="s">
        <v>110</v>
      </c>
      <c r="F518" s="1">
        <v>76785</v>
      </c>
      <c r="G518" s="1">
        <v>199001</v>
      </c>
      <c r="H518">
        <v>322</v>
      </c>
      <c r="I518">
        <v>0.97</v>
      </c>
      <c r="J518">
        <v>6.29</v>
      </c>
      <c r="K518">
        <v>1.2</v>
      </c>
      <c r="L518">
        <v>4</v>
      </c>
      <c r="M518" s="1" t="e">
        <f>#N/A</f>
        <v>#N/A</v>
      </c>
      <c r="N518">
        <v>744</v>
      </c>
      <c r="Q518" t="s">
        <v>102</v>
      </c>
    </row>
    <row r="519" spans="1:17" x14ac:dyDescent="0.35">
      <c r="A519">
        <v>518</v>
      </c>
      <c r="B519">
        <v>2020</v>
      </c>
      <c r="C519">
        <v>1</v>
      </c>
      <c r="D519" t="s">
        <v>25</v>
      </c>
      <c r="E519" t="s">
        <v>136</v>
      </c>
      <c r="F519" s="1">
        <v>63229</v>
      </c>
      <c r="G519" s="1">
        <v>108655</v>
      </c>
      <c r="H519">
        <v>358</v>
      </c>
      <c r="I519">
        <v>0.97</v>
      </c>
      <c r="J519">
        <v>6.29</v>
      </c>
      <c r="K519">
        <v>1.2</v>
      </c>
      <c r="L519">
        <v>9</v>
      </c>
      <c r="M519" s="1" t="e">
        <f>#N/A</f>
        <v>#N/A</v>
      </c>
      <c r="N519">
        <v>749</v>
      </c>
      <c r="Q519" t="s">
        <v>103</v>
      </c>
    </row>
    <row r="520" spans="1:17" x14ac:dyDescent="0.35">
      <c r="A520">
        <v>519</v>
      </c>
      <c r="B520">
        <v>2020</v>
      </c>
      <c r="C520">
        <v>1</v>
      </c>
      <c r="D520" t="s">
        <v>37</v>
      </c>
      <c r="E520" t="s">
        <v>141</v>
      </c>
      <c r="F520" s="1">
        <v>94213</v>
      </c>
      <c r="G520" s="1">
        <v>249488</v>
      </c>
      <c r="H520">
        <v>74</v>
      </c>
      <c r="I520">
        <v>0.97</v>
      </c>
      <c r="J520">
        <v>6.29</v>
      </c>
      <c r="K520">
        <v>1.2</v>
      </c>
      <c r="L520">
        <v>10</v>
      </c>
      <c r="M520" s="1" t="e">
        <f>#N/A</f>
        <v>#N/A</v>
      </c>
      <c r="N520">
        <v>197</v>
      </c>
      <c r="Q520" t="s">
        <v>103</v>
      </c>
    </row>
    <row r="521" spans="1:17" x14ac:dyDescent="0.35">
      <c r="A521">
        <v>520</v>
      </c>
      <c r="B521">
        <v>2020</v>
      </c>
      <c r="C521">
        <v>2</v>
      </c>
      <c r="D521" t="s">
        <v>36</v>
      </c>
      <c r="E521" t="s">
        <v>56</v>
      </c>
      <c r="F521" s="1">
        <v>82204</v>
      </c>
      <c r="G521" s="1">
        <v>132464</v>
      </c>
      <c r="H521">
        <v>383</v>
      </c>
      <c r="I521">
        <v>0.97</v>
      </c>
      <c r="J521">
        <v>6.29</v>
      </c>
      <c r="K521">
        <v>1.2</v>
      </c>
      <c r="L521">
        <v>6</v>
      </c>
      <c r="M521" s="1" t="e">
        <f>#N/A</f>
        <v>#N/A</v>
      </c>
      <c r="N521">
        <v>978</v>
      </c>
      <c r="Q521" t="s">
        <v>103</v>
      </c>
    </row>
    <row r="522" spans="1:17" x14ac:dyDescent="0.35">
      <c r="A522">
        <v>521</v>
      </c>
      <c r="B522">
        <v>2020</v>
      </c>
      <c r="C522">
        <v>2</v>
      </c>
      <c r="D522" t="s">
        <v>21</v>
      </c>
      <c r="E522" t="s">
        <v>61</v>
      </c>
      <c r="F522" s="1">
        <v>54773</v>
      </c>
      <c r="G522" s="1">
        <v>249665</v>
      </c>
      <c r="H522">
        <v>251</v>
      </c>
      <c r="I522">
        <v>0.97</v>
      </c>
      <c r="J522">
        <v>6.29</v>
      </c>
      <c r="K522">
        <v>1.2</v>
      </c>
      <c r="L522">
        <v>2</v>
      </c>
      <c r="M522" s="1" t="e">
        <f>#N/A</f>
        <v>#N/A</v>
      </c>
      <c r="N522">
        <v>982</v>
      </c>
      <c r="Q522" t="s">
        <v>103</v>
      </c>
    </row>
    <row r="523" spans="1:17" x14ac:dyDescent="0.35">
      <c r="A523">
        <v>522</v>
      </c>
      <c r="B523">
        <v>2020</v>
      </c>
      <c r="C523">
        <v>2</v>
      </c>
      <c r="D523" t="s">
        <v>14</v>
      </c>
      <c r="E523" t="s">
        <v>92</v>
      </c>
      <c r="F523" s="1">
        <v>85906</v>
      </c>
      <c r="G523" s="1">
        <v>135936</v>
      </c>
      <c r="H523">
        <v>381</v>
      </c>
      <c r="I523">
        <v>0.97</v>
      </c>
      <c r="J523">
        <v>6.29</v>
      </c>
      <c r="K523">
        <v>1.2</v>
      </c>
      <c r="L523">
        <v>5</v>
      </c>
      <c r="M523" s="1" t="e">
        <f>#N/A</f>
        <v>#N/A</v>
      </c>
      <c r="N523">
        <v>802</v>
      </c>
      <c r="Q523" t="s">
        <v>103</v>
      </c>
    </row>
    <row r="524" spans="1:17" x14ac:dyDescent="0.35">
      <c r="A524">
        <v>523</v>
      </c>
      <c r="B524">
        <v>2020</v>
      </c>
      <c r="C524">
        <v>2</v>
      </c>
      <c r="D524" t="s">
        <v>36</v>
      </c>
      <c r="E524" t="s">
        <v>95</v>
      </c>
      <c r="F524" s="1">
        <v>43997</v>
      </c>
      <c r="G524" s="1">
        <v>286774</v>
      </c>
      <c r="H524">
        <v>146</v>
      </c>
      <c r="I524">
        <v>0.97</v>
      </c>
      <c r="J524">
        <v>6.29</v>
      </c>
      <c r="K524">
        <v>1.2</v>
      </c>
      <c r="L524">
        <v>9</v>
      </c>
      <c r="M524" s="1" t="e">
        <f>#N/A</f>
        <v>#N/A</v>
      </c>
      <c r="N524">
        <v>389</v>
      </c>
      <c r="Q524" t="s">
        <v>103</v>
      </c>
    </row>
    <row r="525" spans="1:17" x14ac:dyDescent="0.35">
      <c r="A525">
        <v>524</v>
      </c>
      <c r="B525">
        <v>2020</v>
      </c>
      <c r="C525">
        <v>2</v>
      </c>
      <c r="D525" t="s">
        <v>25</v>
      </c>
      <c r="E525" t="s">
        <v>154</v>
      </c>
      <c r="F525" s="1">
        <v>75874</v>
      </c>
      <c r="G525" s="1">
        <v>385949</v>
      </c>
      <c r="H525">
        <v>55</v>
      </c>
      <c r="I525">
        <v>0.97</v>
      </c>
      <c r="J525">
        <v>6.29</v>
      </c>
      <c r="K525">
        <v>1.2</v>
      </c>
      <c r="L525">
        <v>3</v>
      </c>
      <c r="M525" s="1" t="e">
        <f>#N/A</f>
        <v>#N/A</v>
      </c>
      <c r="N525">
        <v>292</v>
      </c>
      <c r="Q525" t="s">
        <v>104</v>
      </c>
    </row>
    <row r="526" spans="1:17" x14ac:dyDescent="0.35">
      <c r="A526">
        <v>525</v>
      </c>
      <c r="B526">
        <v>2020</v>
      </c>
      <c r="C526">
        <v>3</v>
      </c>
      <c r="D526" t="s">
        <v>38</v>
      </c>
      <c r="E526" t="s">
        <v>68</v>
      </c>
      <c r="F526" s="1">
        <v>111427</v>
      </c>
      <c r="G526" s="1">
        <v>390281</v>
      </c>
      <c r="H526">
        <v>350</v>
      </c>
      <c r="I526">
        <v>0.97</v>
      </c>
      <c r="J526">
        <v>6.29</v>
      </c>
      <c r="K526">
        <v>1.2</v>
      </c>
      <c r="L526">
        <v>3</v>
      </c>
      <c r="M526" s="1" t="e">
        <f>#N/A</f>
        <v>#N/A</v>
      </c>
      <c r="N526">
        <v>1075</v>
      </c>
      <c r="Q526" t="s">
        <v>104</v>
      </c>
    </row>
    <row r="527" spans="1:17" x14ac:dyDescent="0.35">
      <c r="A527">
        <v>526</v>
      </c>
      <c r="B527">
        <v>2020</v>
      </c>
      <c r="C527">
        <v>3</v>
      </c>
      <c r="D527" t="s">
        <v>35</v>
      </c>
      <c r="E527" t="s">
        <v>88</v>
      </c>
      <c r="F527" s="1">
        <v>118981</v>
      </c>
      <c r="G527" s="1">
        <v>262566</v>
      </c>
      <c r="H527">
        <v>96</v>
      </c>
      <c r="I527">
        <v>0.97</v>
      </c>
      <c r="J527">
        <v>6.29</v>
      </c>
      <c r="K527">
        <v>1.2</v>
      </c>
      <c r="L527">
        <v>6</v>
      </c>
      <c r="M527" s="1" t="e">
        <f>#N/A</f>
        <v>#N/A</v>
      </c>
      <c r="N527">
        <v>622</v>
      </c>
      <c r="Q527" t="s">
        <v>104</v>
      </c>
    </row>
    <row r="528" spans="1:17" x14ac:dyDescent="0.35">
      <c r="A528">
        <v>527</v>
      </c>
      <c r="B528">
        <v>2020</v>
      </c>
      <c r="C528">
        <v>3</v>
      </c>
      <c r="D528" t="s">
        <v>32</v>
      </c>
      <c r="E528" t="s">
        <v>93</v>
      </c>
      <c r="F528" s="1">
        <v>77422</v>
      </c>
      <c r="G528" s="1">
        <v>363804</v>
      </c>
      <c r="H528">
        <v>390</v>
      </c>
      <c r="I528">
        <v>0.97</v>
      </c>
      <c r="J528">
        <v>6.29</v>
      </c>
      <c r="K528">
        <v>1.2</v>
      </c>
      <c r="L528">
        <v>5</v>
      </c>
      <c r="M528" s="1" t="e">
        <f>#N/A</f>
        <v>#N/A</v>
      </c>
      <c r="N528">
        <v>1135</v>
      </c>
      <c r="Q528" t="s">
        <v>104</v>
      </c>
    </row>
    <row r="529" spans="1:17" x14ac:dyDescent="0.35">
      <c r="A529">
        <v>528</v>
      </c>
      <c r="B529">
        <v>2020</v>
      </c>
      <c r="C529">
        <v>3</v>
      </c>
      <c r="D529" t="s">
        <v>25</v>
      </c>
      <c r="E529" t="s">
        <v>121</v>
      </c>
      <c r="F529" s="1">
        <v>66551</v>
      </c>
      <c r="G529" s="1">
        <v>228371</v>
      </c>
      <c r="H529">
        <v>183</v>
      </c>
      <c r="I529">
        <v>0.97</v>
      </c>
      <c r="J529">
        <v>6.29</v>
      </c>
      <c r="K529">
        <v>1.2</v>
      </c>
      <c r="L529">
        <v>3</v>
      </c>
      <c r="M529" s="1" t="e">
        <f>#N/A</f>
        <v>#N/A</v>
      </c>
      <c r="N529">
        <v>400</v>
      </c>
      <c r="Q529" t="s">
        <v>104</v>
      </c>
    </row>
    <row r="530" spans="1:17" x14ac:dyDescent="0.35">
      <c r="A530">
        <v>529</v>
      </c>
      <c r="B530">
        <v>2020</v>
      </c>
      <c r="C530">
        <v>3</v>
      </c>
      <c r="D530" t="s">
        <v>25</v>
      </c>
      <c r="E530" t="s">
        <v>135</v>
      </c>
      <c r="F530" s="1">
        <v>37035</v>
      </c>
      <c r="G530" s="1">
        <v>432526</v>
      </c>
      <c r="H530">
        <v>157</v>
      </c>
      <c r="I530">
        <v>0.97</v>
      </c>
      <c r="J530">
        <v>6.29</v>
      </c>
      <c r="K530">
        <v>1.2</v>
      </c>
      <c r="L530">
        <v>4</v>
      </c>
      <c r="M530" s="1" t="e">
        <f>#N/A</f>
        <v>#N/A</v>
      </c>
      <c r="N530">
        <v>534</v>
      </c>
      <c r="Q530" t="s">
        <v>104</v>
      </c>
    </row>
    <row r="531" spans="1:17" x14ac:dyDescent="0.35">
      <c r="A531">
        <v>530</v>
      </c>
      <c r="B531">
        <v>2020</v>
      </c>
      <c r="C531">
        <v>3</v>
      </c>
      <c r="D531" t="s">
        <v>37</v>
      </c>
      <c r="E531" t="s">
        <v>139</v>
      </c>
      <c r="F531" s="1">
        <v>62843</v>
      </c>
      <c r="G531" s="1">
        <v>482184</v>
      </c>
      <c r="H531">
        <v>323</v>
      </c>
      <c r="I531">
        <v>0.97</v>
      </c>
      <c r="J531">
        <v>6.29</v>
      </c>
      <c r="K531">
        <v>1.2</v>
      </c>
      <c r="L531">
        <v>7</v>
      </c>
      <c r="M531" s="1" t="e">
        <f>#N/A</f>
        <v>#N/A</v>
      </c>
      <c r="N531">
        <v>975</v>
      </c>
      <c r="Q531" t="s">
        <v>104</v>
      </c>
    </row>
    <row r="532" spans="1:17" x14ac:dyDescent="0.35">
      <c r="A532">
        <v>531</v>
      </c>
      <c r="B532">
        <v>2020</v>
      </c>
      <c r="C532">
        <v>3</v>
      </c>
      <c r="D532" t="s">
        <v>32</v>
      </c>
      <c r="E532" t="s">
        <v>130</v>
      </c>
      <c r="F532" s="1">
        <v>107572</v>
      </c>
      <c r="G532" s="1">
        <v>381665</v>
      </c>
      <c r="H532">
        <v>188</v>
      </c>
      <c r="I532">
        <v>0.97</v>
      </c>
      <c r="J532">
        <v>6.29</v>
      </c>
      <c r="K532">
        <v>1.2</v>
      </c>
      <c r="L532">
        <v>7</v>
      </c>
      <c r="M532" s="1" t="e">
        <f>#N/A</f>
        <v>#N/A</v>
      </c>
      <c r="N532">
        <v>813</v>
      </c>
      <c r="Q532" t="s">
        <v>104</v>
      </c>
    </row>
    <row r="533" spans="1:17" x14ac:dyDescent="0.35">
      <c r="A533">
        <v>532</v>
      </c>
      <c r="B533">
        <v>2020</v>
      </c>
      <c r="C533">
        <v>3</v>
      </c>
      <c r="D533" t="s">
        <v>38</v>
      </c>
      <c r="E533" t="s">
        <v>130</v>
      </c>
      <c r="F533" s="1">
        <v>90565</v>
      </c>
      <c r="G533" s="1">
        <v>66535</v>
      </c>
      <c r="H533">
        <v>311</v>
      </c>
      <c r="I533">
        <v>0.97</v>
      </c>
      <c r="J533">
        <v>6.29</v>
      </c>
      <c r="K533">
        <v>1.2</v>
      </c>
      <c r="L533">
        <v>5</v>
      </c>
      <c r="M533" s="1" t="e">
        <f>#N/A</f>
        <v>#N/A</v>
      </c>
      <c r="N533">
        <v>1051</v>
      </c>
      <c r="Q533" t="s">
        <v>105</v>
      </c>
    </row>
    <row r="534" spans="1:17" x14ac:dyDescent="0.35">
      <c r="A534">
        <v>533</v>
      </c>
      <c r="B534">
        <v>2020</v>
      </c>
      <c r="C534">
        <v>3</v>
      </c>
      <c r="D534" t="s">
        <v>32</v>
      </c>
      <c r="E534" t="s">
        <v>152</v>
      </c>
      <c r="F534" s="1">
        <v>52010</v>
      </c>
      <c r="G534" s="1">
        <v>474606</v>
      </c>
      <c r="H534">
        <v>358</v>
      </c>
      <c r="I534">
        <v>0.97</v>
      </c>
      <c r="J534">
        <v>6.29</v>
      </c>
      <c r="K534">
        <v>1.2</v>
      </c>
      <c r="L534">
        <v>1</v>
      </c>
      <c r="M534" s="1" t="e">
        <f>#N/A</f>
        <v>#N/A</v>
      </c>
      <c r="N534">
        <v>980</v>
      </c>
      <c r="Q534" t="s">
        <v>105</v>
      </c>
    </row>
    <row r="535" spans="1:17" x14ac:dyDescent="0.35">
      <c r="A535">
        <v>534</v>
      </c>
      <c r="B535">
        <v>2020</v>
      </c>
      <c r="C535">
        <v>4</v>
      </c>
      <c r="D535" t="s">
        <v>38</v>
      </c>
      <c r="E535" t="s">
        <v>47</v>
      </c>
      <c r="F535" s="1">
        <v>35463</v>
      </c>
      <c r="G535" s="1">
        <v>284873</v>
      </c>
      <c r="H535">
        <v>142</v>
      </c>
      <c r="I535">
        <v>0.97</v>
      </c>
      <c r="J535">
        <v>6.29</v>
      </c>
      <c r="K535">
        <v>1.2</v>
      </c>
      <c r="L535">
        <v>8</v>
      </c>
      <c r="M535" s="1" t="e">
        <f>#N/A</f>
        <v>#N/A</v>
      </c>
      <c r="N535">
        <v>644</v>
      </c>
      <c r="Q535" t="s">
        <v>105</v>
      </c>
    </row>
    <row r="536" spans="1:17" x14ac:dyDescent="0.35">
      <c r="A536">
        <v>535</v>
      </c>
      <c r="B536">
        <v>2020</v>
      </c>
      <c r="C536">
        <v>4</v>
      </c>
      <c r="D536" t="s">
        <v>28</v>
      </c>
      <c r="E536" t="s">
        <v>110</v>
      </c>
      <c r="F536" s="1">
        <v>50581</v>
      </c>
      <c r="G536" s="1">
        <v>431164</v>
      </c>
      <c r="H536">
        <v>331</v>
      </c>
      <c r="I536">
        <v>0.97</v>
      </c>
      <c r="J536">
        <v>6.29</v>
      </c>
      <c r="K536">
        <v>1.2</v>
      </c>
      <c r="L536">
        <v>1</v>
      </c>
      <c r="M536" s="1" t="e">
        <f>#N/A</f>
        <v>#N/A</v>
      </c>
      <c r="N536">
        <v>877</v>
      </c>
      <c r="Q536" t="s">
        <v>105</v>
      </c>
    </row>
    <row r="537" spans="1:17" x14ac:dyDescent="0.35">
      <c r="A537">
        <v>536</v>
      </c>
      <c r="B537">
        <v>2020</v>
      </c>
      <c r="C537">
        <v>4</v>
      </c>
      <c r="D537" t="s">
        <v>14</v>
      </c>
      <c r="E537" t="s">
        <v>125</v>
      </c>
      <c r="F537" s="1">
        <v>43802</v>
      </c>
      <c r="G537" s="1">
        <v>83461</v>
      </c>
      <c r="H537">
        <v>108</v>
      </c>
      <c r="I537">
        <v>0.97</v>
      </c>
      <c r="J537">
        <v>6.29</v>
      </c>
      <c r="K537">
        <v>1.2</v>
      </c>
      <c r="L537">
        <v>4</v>
      </c>
      <c r="M537" s="1" t="e">
        <f>#N/A</f>
        <v>#N/A</v>
      </c>
      <c r="N537">
        <v>637</v>
      </c>
      <c r="Q537" t="s">
        <v>105</v>
      </c>
    </row>
    <row r="538" spans="1:17" x14ac:dyDescent="0.35">
      <c r="A538">
        <v>537</v>
      </c>
      <c r="B538">
        <v>2020</v>
      </c>
      <c r="C538">
        <v>4</v>
      </c>
      <c r="D538" t="s">
        <v>36</v>
      </c>
      <c r="E538" t="s">
        <v>121</v>
      </c>
      <c r="F538" s="1">
        <v>81040</v>
      </c>
      <c r="G538" s="1">
        <v>208998</v>
      </c>
      <c r="H538">
        <v>155</v>
      </c>
      <c r="I538">
        <v>0.97</v>
      </c>
      <c r="J538">
        <v>6.29</v>
      </c>
      <c r="K538">
        <v>1.2</v>
      </c>
      <c r="L538">
        <v>4</v>
      </c>
      <c r="M538" s="1" t="e">
        <f>#N/A</f>
        <v>#N/A</v>
      </c>
      <c r="N538">
        <v>707</v>
      </c>
      <c r="Q538" t="s">
        <v>105</v>
      </c>
    </row>
    <row r="539" spans="1:17" x14ac:dyDescent="0.35">
      <c r="A539">
        <v>538</v>
      </c>
      <c r="B539">
        <v>2020</v>
      </c>
      <c r="C539">
        <v>4</v>
      </c>
      <c r="D539" t="s">
        <v>38</v>
      </c>
      <c r="E539" t="s">
        <v>156</v>
      </c>
      <c r="F539" s="1">
        <v>66376</v>
      </c>
      <c r="G539" s="1">
        <v>435751</v>
      </c>
      <c r="H539">
        <v>280</v>
      </c>
      <c r="I539">
        <v>0.97</v>
      </c>
      <c r="J539">
        <v>6.29</v>
      </c>
      <c r="K539">
        <v>1.2</v>
      </c>
      <c r="L539">
        <v>5</v>
      </c>
      <c r="M539" s="1" t="e">
        <f>#N/A</f>
        <v>#N/A</v>
      </c>
      <c r="N539">
        <v>610</v>
      </c>
      <c r="Q539" t="s">
        <v>105</v>
      </c>
    </row>
    <row r="540" spans="1:17" x14ac:dyDescent="0.35">
      <c r="A540">
        <v>539</v>
      </c>
      <c r="B540">
        <v>2020</v>
      </c>
      <c r="C540">
        <v>4</v>
      </c>
      <c r="D540" t="s">
        <v>30</v>
      </c>
      <c r="E540" t="s">
        <v>153</v>
      </c>
      <c r="F540" s="1">
        <v>46049</v>
      </c>
      <c r="G540" s="1">
        <v>369064</v>
      </c>
      <c r="H540">
        <v>21</v>
      </c>
      <c r="I540">
        <v>0.97</v>
      </c>
      <c r="J540">
        <v>6.29</v>
      </c>
      <c r="K540">
        <v>1.2</v>
      </c>
      <c r="L540">
        <v>9</v>
      </c>
      <c r="M540" s="1" t="e">
        <f>#N/A</f>
        <v>#N/A</v>
      </c>
      <c r="N540">
        <v>96</v>
      </c>
      <c r="Q540" t="s">
        <v>105</v>
      </c>
    </row>
    <row r="541" spans="1:17" x14ac:dyDescent="0.35">
      <c r="A541">
        <v>540</v>
      </c>
      <c r="B541">
        <v>2020</v>
      </c>
      <c r="C541">
        <v>5</v>
      </c>
      <c r="D541" t="s">
        <v>14</v>
      </c>
      <c r="E541" t="s">
        <v>50</v>
      </c>
      <c r="F541" s="1">
        <v>61312</v>
      </c>
      <c r="G541" s="1">
        <v>365288</v>
      </c>
      <c r="H541">
        <v>356</v>
      </c>
      <c r="I541">
        <v>0.97</v>
      </c>
      <c r="J541">
        <v>6.29</v>
      </c>
      <c r="K541">
        <v>1.2</v>
      </c>
      <c r="L541">
        <v>1</v>
      </c>
      <c r="M541" s="1" t="e">
        <f>#N/A</f>
        <v>#N/A</v>
      </c>
      <c r="N541">
        <v>964</v>
      </c>
      <c r="Q541" t="s">
        <v>105</v>
      </c>
    </row>
    <row r="542" spans="1:17" x14ac:dyDescent="0.35">
      <c r="A542">
        <v>541</v>
      </c>
      <c r="B542">
        <v>2020</v>
      </c>
      <c r="C542">
        <v>5</v>
      </c>
      <c r="D542" t="s">
        <v>21</v>
      </c>
      <c r="E542" t="s">
        <v>66</v>
      </c>
      <c r="F542" s="1">
        <v>87413</v>
      </c>
      <c r="G542" s="1">
        <v>299141</v>
      </c>
      <c r="H542">
        <v>323</v>
      </c>
      <c r="I542">
        <v>0.97</v>
      </c>
      <c r="J542">
        <v>6.29</v>
      </c>
      <c r="K542">
        <v>1.2</v>
      </c>
      <c r="L542">
        <v>4</v>
      </c>
      <c r="M542" s="1" t="e">
        <f>#N/A</f>
        <v>#N/A</v>
      </c>
      <c r="N542">
        <v>1051</v>
      </c>
      <c r="Q542" t="s">
        <v>105</v>
      </c>
    </row>
    <row r="543" spans="1:17" x14ac:dyDescent="0.35">
      <c r="A543">
        <v>542</v>
      </c>
      <c r="B543">
        <v>2020</v>
      </c>
      <c r="C543">
        <v>5</v>
      </c>
      <c r="D543" t="s">
        <v>25</v>
      </c>
      <c r="E543" t="s">
        <v>63</v>
      </c>
      <c r="F543" s="1">
        <v>117821</v>
      </c>
      <c r="G543" s="1">
        <v>58177</v>
      </c>
      <c r="H543">
        <v>281</v>
      </c>
      <c r="I543">
        <v>0.97</v>
      </c>
      <c r="J543">
        <v>6.29</v>
      </c>
      <c r="K543">
        <v>1.2</v>
      </c>
      <c r="L543">
        <v>3</v>
      </c>
      <c r="M543" s="1" t="e">
        <f>#N/A</f>
        <v>#N/A</v>
      </c>
      <c r="N543">
        <v>654</v>
      </c>
      <c r="Q543" t="s">
        <v>105</v>
      </c>
    </row>
    <row r="544" spans="1:17" x14ac:dyDescent="0.35">
      <c r="A544">
        <v>543</v>
      </c>
      <c r="B544">
        <v>2020</v>
      </c>
      <c r="C544">
        <v>5</v>
      </c>
      <c r="D544" t="s">
        <v>25</v>
      </c>
      <c r="E544" t="s">
        <v>70</v>
      </c>
      <c r="F544" s="1">
        <v>54880</v>
      </c>
      <c r="G544" s="1">
        <v>337062</v>
      </c>
      <c r="H544">
        <v>88</v>
      </c>
      <c r="I544">
        <v>0.97</v>
      </c>
      <c r="J544">
        <v>6.29</v>
      </c>
      <c r="K544">
        <v>1.2</v>
      </c>
      <c r="L544">
        <v>9</v>
      </c>
      <c r="M544" s="1" t="e">
        <f>#N/A</f>
        <v>#N/A</v>
      </c>
      <c r="N544">
        <v>457</v>
      </c>
      <c r="Q544" t="s">
        <v>105</v>
      </c>
    </row>
    <row r="545" spans="1:17" x14ac:dyDescent="0.35">
      <c r="A545">
        <v>544</v>
      </c>
      <c r="B545">
        <v>2020</v>
      </c>
      <c r="C545">
        <v>5</v>
      </c>
      <c r="D545" t="s">
        <v>25</v>
      </c>
      <c r="E545" t="s">
        <v>78</v>
      </c>
      <c r="F545" s="1">
        <v>105219</v>
      </c>
      <c r="G545" s="1">
        <v>63569</v>
      </c>
      <c r="H545">
        <v>94</v>
      </c>
      <c r="I545">
        <v>0.97</v>
      </c>
      <c r="J545">
        <v>6.29</v>
      </c>
      <c r="K545">
        <v>1.2</v>
      </c>
      <c r="L545">
        <v>8</v>
      </c>
      <c r="M545" s="1" t="e">
        <f>#N/A</f>
        <v>#N/A</v>
      </c>
      <c r="N545">
        <v>176</v>
      </c>
      <c r="Q545" t="s">
        <v>106</v>
      </c>
    </row>
    <row r="546" spans="1:17" x14ac:dyDescent="0.35">
      <c r="A546">
        <v>545</v>
      </c>
      <c r="B546">
        <v>2020</v>
      </c>
      <c r="C546">
        <v>5</v>
      </c>
      <c r="D546" t="s">
        <v>30</v>
      </c>
      <c r="E546" t="s">
        <v>72</v>
      </c>
      <c r="F546" s="1">
        <v>109462</v>
      </c>
      <c r="G546" s="1">
        <v>352666</v>
      </c>
      <c r="H546">
        <v>197</v>
      </c>
      <c r="I546">
        <v>0.97</v>
      </c>
      <c r="J546">
        <v>6.29</v>
      </c>
      <c r="K546">
        <v>1.2</v>
      </c>
      <c r="L546">
        <v>1</v>
      </c>
      <c r="M546" s="1" t="e">
        <f>#N/A</f>
        <v>#N/A</v>
      </c>
      <c r="N546">
        <v>744</v>
      </c>
      <c r="Q546" t="s">
        <v>106</v>
      </c>
    </row>
    <row r="547" spans="1:17" x14ac:dyDescent="0.35">
      <c r="A547">
        <v>546</v>
      </c>
      <c r="B547">
        <v>2020</v>
      </c>
      <c r="C547">
        <v>5</v>
      </c>
      <c r="D547" t="s">
        <v>21</v>
      </c>
      <c r="E547" t="s">
        <v>99</v>
      </c>
      <c r="F547" s="1">
        <v>57195</v>
      </c>
      <c r="G547" s="1">
        <v>219801</v>
      </c>
      <c r="H547">
        <v>82</v>
      </c>
      <c r="I547">
        <v>0.97</v>
      </c>
      <c r="J547">
        <v>6.29</v>
      </c>
      <c r="K547">
        <v>1.2</v>
      </c>
      <c r="L547">
        <v>6</v>
      </c>
      <c r="M547" s="1" t="e">
        <f>#N/A</f>
        <v>#N/A</v>
      </c>
      <c r="N547">
        <v>511</v>
      </c>
      <c r="Q547" t="s">
        <v>106</v>
      </c>
    </row>
    <row r="548" spans="1:17" x14ac:dyDescent="0.35">
      <c r="A548">
        <v>547</v>
      </c>
      <c r="B548">
        <v>2020</v>
      </c>
      <c r="C548">
        <v>5</v>
      </c>
      <c r="D548" t="s">
        <v>36</v>
      </c>
      <c r="E548" t="s">
        <v>148</v>
      </c>
      <c r="F548" s="1">
        <v>58889</v>
      </c>
      <c r="G548" s="1">
        <v>262204</v>
      </c>
      <c r="H548">
        <v>381</v>
      </c>
      <c r="I548">
        <v>0.97</v>
      </c>
      <c r="J548">
        <v>6.29</v>
      </c>
      <c r="K548">
        <v>1.2</v>
      </c>
      <c r="L548">
        <v>1</v>
      </c>
      <c r="M548" s="1" t="e">
        <f>#N/A</f>
        <v>#N/A</v>
      </c>
      <c r="N548">
        <v>819</v>
      </c>
      <c r="Q548" t="s">
        <v>106</v>
      </c>
    </row>
    <row r="549" spans="1:17" x14ac:dyDescent="0.35">
      <c r="A549">
        <v>548</v>
      </c>
      <c r="B549">
        <v>2020</v>
      </c>
      <c r="C549">
        <v>6</v>
      </c>
      <c r="D549" t="s">
        <v>28</v>
      </c>
      <c r="E549" t="s">
        <v>53</v>
      </c>
      <c r="F549" s="1">
        <v>62672</v>
      </c>
      <c r="G549" s="1">
        <v>419942</v>
      </c>
      <c r="H549">
        <v>226</v>
      </c>
      <c r="I549">
        <v>0.97</v>
      </c>
      <c r="J549">
        <v>6.29</v>
      </c>
      <c r="K549">
        <v>1.2</v>
      </c>
      <c r="L549">
        <v>9</v>
      </c>
      <c r="M549" s="1" t="e">
        <f>#N/A</f>
        <v>#N/A</v>
      </c>
      <c r="N549">
        <v>848</v>
      </c>
      <c r="Q549" t="s">
        <v>106</v>
      </c>
    </row>
    <row r="550" spans="1:17" x14ac:dyDescent="0.35">
      <c r="A550">
        <v>549</v>
      </c>
      <c r="B550">
        <v>2020</v>
      </c>
      <c r="C550">
        <v>6</v>
      </c>
      <c r="D550" t="s">
        <v>28</v>
      </c>
      <c r="E550" t="s">
        <v>68</v>
      </c>
      <c r="F550" s="1">
        <v>52576</v>
      </c>
      <c r="G550" s="1">
        <v>84409</v>
      </c>
      <c r="H550">
        <v>153</v>
      </c>
      <c r="I550">
        <v>0.97</v>
      </c>
      <c r="J550">
        <v>6.29</v>
      </c>
      <c r="K550">
        <v>1.2</v>
      </c>
      <c r="L550">
        <v>8</v>
      </c>
      <c r="M550" s="1" t="e">
        <f>#N/A</f>
        <v>#N/A</v>
      </c>
      <c r="N550">
        <v>728</v>
      </c>
      <c r="Q550" t="s">
        <v>106</v>
      </c>
    </row>
    <row r="551" spans="1:17" x14ac:dyDescent="0.35">
      <c r="A551">
        <v>550</v>
      </c>
      <c r="B551">
        <v>2020</v>
      </c>
      <c r="C551">
        <v>6</v>
      </c>
      <c r="D551" t="s">
        <v>35</v>
      </c>
      <c r="E551" t="s">
        <v>70</v>
      </c>
      <c r="F551" s="1">
        <v>73417</v>
      </c>
      <c r="G551" s="1">
        <v>358474</v>
      </c>
      <c r="H551">
        <v>89</v>
      </c>
      <c r="I551">
        <v>0.97</v>
      </c>
      <c r="J551">
        <v>6.29</v>
      </c>
      <c r="K551">
        <v>1.2</v>
      </c>
      <c r="L551">
        <v>10</v>
      </c>
      <c r="M551" s="1" t="e">
        <f>#N/A</f>
        <v>#N/A</v>
      </c>
      <c r="N551">
        <v>447</v>
      </c>
      <c r="Q551" t="s">
        <v>106</v>
      </c>
    </row>
    <row r="552" spans="1:17" x14ac:dyDescent="0.35">
      <c r="A552">
        <v>551</v>
      </c>
      <c r="B552">
        <v>2020</v>
      </c>
      <c r="C552">
        <v>6</v>
      </c>
      <c r="D552" t="s">
        <v>21</v>
      </c>
      <c r="E552" t="s">
        <v>83</v>
      </c>
      <c r="F552" s="1">
        <v>45313</v>
      </c>
      <c r="G552" s="1">
        <v>354606</v>
      </c>
      <c r="H552">
        <v>33</v>
      </c>
      <c r="I552">
        <v>0.97</v>
      </c>
      <c r="J552">
        <v>6.29</v>
      </c>
      <c r="K552">
        <v>1.2</v>
      </c>
      <c r="L552">
        <v>3</v>
      </c>
      <c r="M552" s="1" t="e">
        <f>#N/A</f>
        <v>#N/A</v>
      </c>
      <c r="N552">
        <v>530</v>
      </c>
      <c r="Q552" t="s">
        <v>106</v>
      </c>
    </row>
    <row r="553" spans="1:17" x14ac:dyDescent="0.35">
      <c r="A553">
        <v>552</v>
      </c>
      <c r="B553">
        <v>2020</v>
      </c>
      <c r="C553">
        <v>6</v>
      </c>
      <c r="D553" t="s">
        <v>30</v>
      </c>
      <c r="E553" t="s">
        <v>86</v>
      </c>
      <c r="F553" s="1">
        <v>98456</v>
      </c>
      <c r="G553" s="1">
        <v>326693</v>
      </c>
      <c r="H553">
        <v>109</v>
      </c>
      <c r="I553">
        <v>0.97</v>
      </c>
      <c r="J553">
        <v>6.29</v>
      </c>
      <c r="K553">
        <v>1.2</v>
      </c>
      <c r="L553">
        <v>8</v>
      </c>
      <c r="M553" s="1" t="e">
        <f>#N/A</f>
        <v>#N/A</v>
      </c>
      <c r="N553">
        <v>565</v>
      </c>
      <c r="Q553" t="s">
        <v>107</v>
      </c>
    </row>
    <row r="554" spans="1:17" x14ac:dyDescent="0.35">
      <c r="A554">
        <v>553</v>
      </c>
      <c r="B554">
        <v>2020</v>
      </c>
      <c r="C554">
        <v>6</v>
      </c>
      <c r="D554" t="s">
        <v>30</v>
      </c>
      <c r="E554" t="s">
        <v>92</v>
      </c>
      <c r="F554" s="1">
        <v>54782</v>
      </c>
      <c r="G554" s="1">
        <v>155723</v>
      </c>
      <c r="H554">
        <v>335</v>
      </c>
      <c r="I554">
        <v>0.97</v>
      </c>
      <c r="J554">
        <v>6.29</v>
      </c>
      <c r="K554">
        <v>1.2</v>
      </c>
      <c r="L554">
        <v>4</v>
      </c>
      <c r="M554" s="1" t="e">
        <f>#N/A</f>
        <v>#N/A</v>
      </c>
      <c r="N554">
        <v>1066</v>
      </c>
      <c r="Q554" t="s">
        <v>107</v>
      </c>
    </row>
    <row r="555" spans="1:17" x14ac:dyDescent="0.35">
      <c r="A555">
        <v>554</v>
      </c>
      <c r="B555">
        <v>2020</v>
      </c>
      <c r="C555">
        <v>6</v>
      </c>
      <c r="D555" t="s">
        <v>30</v>
      </c>
      <c r="E555" t="s">
        <v>142</v>
      </c>
      <c r="F555" s="1">
        <v>103689</v>
      </c>
      <c r="G555" s="1">
        <v>161825</v>
      </c>
      <c r="H555">
        <v>11</v>
      </c>
      <c r="I555">
        <v>0.97</v>
      </c>
      <c r="J555">
        <v>6.29</v>
      </c>
      <c r="K555">
        <v>1.2</v>
      </c>
      <c r="L555">
        <v>10</v>
      </c>
      <c r="M555" s="1" t="e">
        <f>#N/A</f>
        <v>#N/A</v>
      </c>
      <c r="N555">
        <v>92</v>
      </c>
      <c r="Q555" t="s">
        <v>107</v>
      </c>
    </row>
    <row r="556" spans="1:17" x14ac:dyDescent="0.35">
      <c r="A556">
        <v>555</v>
      </c>
      <c r="B556">
        <v>2020</v>
      </c>
      <c r="C556">
        <v>6</v>
      </c>
      <c r="D556" t="s">
        <v>35</v>
      </c>
      <c r="E556" t="s">
        <v>154</v>
      </c>
      <c r="F556" s="1">
        <v>87335</v>
      </c>
      <c r="G556" s="1">
        <v>200823</v>
      </c>
      <c r="H556">
        <v>195</v>
      </c>
      <c r="I556">
        <v>0.97</v>
      </c>
      <c r="J556">
        <v>6.29</v>
      </c>
      <c r="K556">
        <v>1.2</v>
      </c>
      <c r="L556">
        <v>5</v>
      </c>
      <c r="M556" s="1" t="e">
        <f>#N/A</f>
        <v>#N/A</v>
      </c>
      <c r="N556">
        <v>451</v>
      </c>
      <c r="Q556" t="s">
        <v>107</v>
      </c>
    </row>
    <row r="557" spans="1:17" x14ac:dyDescent="0.35">
      <c r="A557">
        <v>556</v>
      </c>
      <c r="B557">
        <v>2020</v>
      </c>
      <c r="C557">
        <v>7</v>
      </c>
      <c r="D557" t="s">
        <v>28</v>
      </c>
      <c r="E557" t="s">
        <v>45</v>
      </c>
      <c r="F557" s="1">
        <v>60625</v>
      </c>
      <c r="G557" s="1">
        <v>492765</v>
      </c>
      <c r="H557">
        <v>323</v>
      </c>
      <c r="I557">
        <v>0.97</v>
      </c>
      <c r="J557">
        <v>6.29</v>
      </c>
      <c r="K557">
        <v>1.2</v>
      </c>
      <c r="L557">
        <v>2</v>
      </c>
      <c r="M557" s="1" t="e">
        <f>#N/A</f>
        <v>#N/A</v>
      </c>
      <c r="N557">
        <v>954</v>
      </c>
      <c r="Q557" t="s">
        <v>107</v>
      </c>
    </row>
    <row r="558" spans="1:17" x14ac:dyDescent="0.35">
      <c r="A558">
        <v>557</v>
      </c>
      <c r="B558">
        <v>2020</v>
      </c>
      <c r="C558">
        <v>7</v>
      </c>
      <c r="D558" t="s">
        <v>30</v>
      </c>
      <c r="E558" t="s">
        <v>58</v>
      </c>
      <c r="F558" s="1">
        <v>110609</v>
      </c>
      <c r="G558" s="1">
        <v>73004</v>
      </c>
      <c r="H558">
        <v>111</v>
      </c>
      <c r="I558">
        <v>0.97</v>
      </c>
      <c r="J558">
        <v>6.29</v>
      </c>
      <c r="K558">
        <v>1.2</v>
      </c>
      <c r="L558">
        <v>1</v>
      </c>
      <c r="M558" s="1" t="e">
        <f>#N/A</f>
        <v>#N/A</v>
      </c>
      <c r="N558">
        <v>628</v>
      </c>
      <c r="Q558" t="s">
        <v>107</v>
      </c>
    </row>
    <row r="559" spans="1:17" x14ac:dyDescent="0.35">
      <c r="A559">
        <v>558</v>
      </c>
      <c r="B559">
        <v>2020</v>
      </c>
      <c r="C559">
        <v>7</v>
      </c>
      <c r="D559" t="s">
        <v>35</v>
      </c>
      <c r="E559" t="s">
        <v>59</v>
      </c>
      <c r="F559" s="1">
        <v>35153</v>
      </c>
      <c r="G559" s="1">
        <v>250598</v>
      </c>
      <c r="H559">
        <v>104</v>
      </c>
      <c r="I559">
        <v>0.97</v>
      </c>
      <c r="J559">
        <v>6.29</v>
      </c>
      <c r="K559">
        <v>1.2</v>
      </c>
      <c r="L559">
        <v>9</v>
      </c>
      <c r="M559" s="1" t="e">
        <f>#N/A</f>
        <v>#N/A</v>
      </c>
      <c r="N559">
        <v>630</v>
      </c>
      <c r="Q559" t="s">
        <v>107</v>
      </c>
    </row>
    <row r="560" spans="1:17" x14ac:dyDescent="0.35">
      <c r="A560">
        <v>559</v>
      </c>
      <c r="B560">
        <v>2020</v>
      </c>
      <c r="C560">
        <v>7</v>
      </c>
      <c r="D560" t="s">
        <v>30</v>
      </c>
      <c r="E560" t="s">
        <v>75</v>
      </c>
      <c r="F560" s="1">
        <v>43346</v>
      </c>
      <c r="G560" s="1">
        <v>212696</v>
      </c>
      <c r="H560">
        <v>144</v>
      </c>
      <c r="I560">
        <v>0.97</v>
      </c>
      <c r="J560">
        <v>6.29</v>
      </c>
      <c r="K560">
        <v>1.2</v>
      </c>
      <c r="L560">
        <v>4</v>
      </c>
      <c r="M560" s="1" t="e">
        <f>#N/A</f>
        <v>#N/A</v>
      </c>
      <c r="N560">
        <v>386</v>
      </c>
      <c r="Q560" t="s">
        <v>107</v>
      </c>
    </row>
    <row r="561" spans="1:17" x14ac:dyDescent="0.35">
      <c r="A561">
        <v>560</v>
      </c>
      <c r="B561">
        <v>2020</v>
      </c>
      <c r="C561">
        <v>7</v>
      </c>
      <c r="D561" t="s">
        <v>30</v>
      </c>
      <c r="E561" t="s">
        <v>73</v>
      </c>
      <c r="F561" s="1">
        <v>78894</v>
      </c>
      <c r="G561" s="1">
        <v>311578</v>
      </c>
      <c r="H561">
        <v>368</v>
      </c>
      <c r="I561">
        <v>0.97</v>
      </c>
      <c r="J561">
        <v>6.29</v>
      </c>
      <c r="K561">
        <v>1.2</v>
      </c>
      <c r="L561">
        <v>7</v>
      </c>
      <c r="M561" s="1" t="e">
        <f>#N/A</f>
        <v>#N/A</v>
      </c>
      <c r="N561">
        <v>1150</v>
      </c>
      <c r="Q561" t="s">
        <v>108</v>
      </c>
    </row>
    <row r="562" spans="1:17" x14ac:dyDescent="0.35">
      <c r="A562">
        <v>561</v>
      </c>
      <c r="B562">
        <v>2020</v>
      </c>
      <c r="C562">
        <v>7</v>
      </c>
      <c r="D562" t="s">
        <v>35</v>
      </c>
      <c r="E562" t="s">
        <v>81</v>
      </c>
      <c r="F562" s="1">
        <v>86137</v>
      </c>
      <c r="G562" s="1">
        <v>403023</v>
      </c>
      <c r="H562">
        <v>298</v>
      </c>
      <c r="I562">
        <v>0.97</v>
      </c>
      <c r="J562">
        <v>6.29</v>
      </c>
      <c r="K562">
        <v>1.2</v>
      </c>
      <c r="L562">
        <v>6</v>
      </c>
      <c r="M562" s="1" t="e">
        <f>#N/A</f>
        <v>#N/A</v>
      </c>
      <c r="N562">
        <v>886</v>
      </c>
      <c r="Q562" t="s">
        <v>108</v>
      </c>
    </row>
    <row r="563" spans="1:17" x14ac:dyDescent="0.35">
      <c r="A563">
        <v>562</v>
      </c>
      <c r="B563">
        <v>2020</v>
      </c>
      <c r="C563">
        <v>7</v>
      </c>
      <c r="D563" t="s">
        <v>35</v>
      </c>
      <c r="E563" t="s">
        <v>90</v>
      </c>
      <c r="F563" s="1">
        <v>53984</v>
      </c>
      <c r="G563" s="1">
        <v>294172</v>
      </c>
      <c r="H563">
        <v>196</v>
      </c>
      <c r="I563">
        <v>0.97</v>
      </c>
      <c r="J563">
        <v>6.29</v>
      </c>
      <c r="K563">
        <v>1.2</v>
      </c>
      <c r="L563">
        <v>4</v>
      </c>
      <c r="M563" s="1" t="e">
        <f>#N/A</f>
        <v>#N/A</v>
      </c>
      <c r="N563">
        <v>545</v>
      </c>
      <c r="Q563" t="s">
        <v>108</v>
      </c>
    </row>
    <row r="564" spans="1:17" x14ac:dyDescent="0.35">
      <c r="A564">
        <v>563</v>
      </c>
      <c r="B564">
        <v>2020</v>
      </c>
      <c r="C564">
        <v>7</v>
      </c>
      <c r="D564" t="s">
        <v>32</v>
      </c>
      <c r="E564" t="s">
        <v>103</v>
      </c>
      <c r="F564" s="1">
        <v>100776</v>
      </c>
      <c r="G564" s="1">
        <v>328011</v>
      </c>
      <c r="H564">
        <v>214</v>
      </c>
      <c r="I564">
        <v>0.97</v>
      </c>
      <c r="J564">
        <v>6.29</v>
      </c>
      <c r="K564">
        <v>1.2</v>
      </c>
      <c r="L564">
        <v>1</v>
      </c>
      <c r="M564" s="1" t="e">
        <f>#N/A</f>
        <v>#N/A</v>
      </c>
      <c r="N564">
        <v>714</v>
      </c>
      <c r="Q564" t="s">
        <v>109</v>
      </c>
    </row>
    <row r="565" spans="1:17" x14ac:dyDescent="0.35">
      <c r="A565">
        <v>564</v>
      </c>
      <c r="B565">
        <v>2020</v>
      </c>
      <c r="C565">
        <v>7</v>
      </c>
      <c r="D565" t="s">
        <v>14</v>
      </c>
      <c r="E565" t="s">
        <v>101</v>
      </c>
      <c r="F565" s="1">
        <v>49141</v>
      </c>
      <c r="G565" s="1">
        <v>225858</v>
      </c>
      <c r="H565">
        <v>289</v>
      </c>
      <c r="I565">
        <v>0.97</v>
      </c>
      <c r="J565">
        <v>6.29</v>
      </c>
      <c r="K565">
        <v>1.2</v>
      </c>
      <c r="L565">
        <v>2</v>
      </c>
      <c r="M565" s="1" t="e">
        <f>#N/A</f>
        <v>#N/A</v>
      </c>
      <c r="N565">
        <v>648</v>
      </c>
      <c r="Q565" t="s">
        <v>109</v>
      </c>
    </row>
    <row r="566" spans="1:17" x14ac:dyDescent="0.35">
      <c r="A566">
        <v>565</v>
      </c>
      <c r="B566">
        <v>2020</v>
      </c>
      <c r="C566">
        <v>7</v>
      </c>
      <c r="D566" t="s">
        <v>36</v>
      </c>
      <c r="E566" t="s">
        <v>111</v>
      </c>
      <c r="F566" s="1">
        <v>68798</v>
      </c>
      <c r="G566" s="1">
        <v>331567</v>
      </c>
      <c r="H566">
        <v>282</v>
      </c>
      <c r="I566">
        <v>0.97</v>
      </c>
      <c r="J566">
        <v>6.29</v>
      </c>
      <c r="K566">
        <v>1.2</v>
      </c>
      <c r="L566">
        <v>4</v>
      </c>
      <c r="M566" s="1" t="e">
        <f>#N/A</f>
        <v>#N/A</v>
      </c>
      <c r="N566">
        <v>730</v>
      </c>
      <c r="Q566" t="s">
        <v>110</v>
      </c>
    </row>
    <row r="567" spans="1:17" x14ac:dyDescent="0.35">
      <c r="A567">
        <v>566</v>
      </c>
      <c r="B567">
        <v>2020</v>
      </c>
      <c r="C567">
        <v>7</v>
      </c>
      <c r="D567" t="s">
        <v>37</v>
      </c>
      <c r="E567" t="s">
        <v>117</v>
      </c>
      <c r="F567" s="1">
        <v>114854</v>
      </c>
      <c r="G567" s="1">
        <v>409698</v>
      </c>
      <c r="H567">
        <v>319</v>
      </c>
      <c r="I567">
        <v>0.97</v>
      </c>
      <c r="J567">
        <v>6.29</v>
      </c>
      <c r="K567">
        <v>1.2</v>
      </c>
      <c r="L567">
        <v>2</v>
      </c>
      <c r="M567" s="1" t="e">
        <f>#N/A</f>
        <v>#N/A</v>
      </c>
      <c r="N567">
        <v>807</v>
      </c>
      <c r="Q567" t="s">
        <v>110</v>
      </c>
    </row>
    <row r="568" spans="1:17" x14ac:dyDescent="0.35">
      <c r="A568">
        <v>567</v>
      </c>
      <c r="B568">
        <v>2020</v>
      </c>
      <c r="C568">
        <v>7</v>
      </c>
      <c r="D568" t="s">
        <v>32</v>
      </c>
      <c r="E568" t="s">
        <v>138</v>
      </c>
      <c r="F568" s="1">
        <v>105211</v>
      </c>
      <c r="G568" s="1">
        <v>333895</v>
      </c>
      <c r="H568">
        <v>335</v>
      </c>
      <c r="I568">
        <v>0.97</v>
      </c>
      <c r="J568">
        <v>6.29</v>
      </c>
      <c r="K568">
        <v>1.2</v>
      </c>
      <c r="L568">
        <v>9</v>
      </c>
      <c r="M568" s="1" t="e">
        <f>#N/A</f>
        <v>#N/A</v>
      </c>
      <c r="N568">
        <v>773</v>
      </c>
      <c r="Q568" t="s">
        <v>110</v>
      </c>
    </row>
    <row r="569" spans="1:17" x14ac:dyDescent="0.35">
      <c r="A569">
        <v>568</v>
      </c>
      <c r="B569">
        <v>2020</v>
      </c>
      <c r="C569">
        <v>7</v>
      </c>
      <c r="D569" t="s">
        <v>21</v>
      </c>
      <c r="E569" t="s">
        <v>128</v>
      </c>
      <c r="F569" s="1">
        <v>91117</v>
      </c>
      <c r="G569" s="1">
        <v>385325</v>
      </c>
      <c r="H569">
        <v>385</v>
      </c>
      <c r="I569">
        <v>0.97</v>
      </c>
      <c r="J569">
        <v>6.29</v>
      </c>
      <c r="K569">
        <v>1.2</v>
      </c>
      <c r="L569">
        <v>9</v>
      </c>
      <c r="M569" s="1" t="e">
        <f>#N/A</f>
        <v>#N/A</v>
      </c>
      <c r="N569">
        <v>1036</v>
      </c>
      <c r="Q569" t="s">
        <v>110</v>
      </c>
    </row>
    <row r="570" spans="1:17" x14ac:dyDescent="0.35">
      <c r="A570">
        <v>569</v>
      </c>
      <c r="B570">
        <v>2020</v>
      </c>
      <c r="C570">
        <v>7</v>
      </c>
      <c r="D570" t="s">
        <v>14</v>
      </c>
      <c r="E570" t="s">
        <v>156</v>
      </c>
      <c r="F570" s="1">
        <v>44269</v>
      </c>
      <c r="G570" s="1">
        <v>95641</v>
      </c>
      <c r="H570">
        <v>368</v>
      </c>
      <c r="I570">
        <v>0.97</v>
      </c>
      <c r="J570">
        <v>6.29</v>
      </c>
      <c r="K570">
        <v>1.2</v>
      </c>
      <c r="L570">
        <v>5</v>
      </c>
      <c r="M570" s="1" t="e">
        <f>#N/A</f>
        <v>#N/A</v>
      </c>
      <c r="N570">
        <v>994</v>
      </c>
      <c r="Q570" t="s">
        <v>110</v>
      </c>
    </row>
    <row r="571" spans="1:17" x14ac:dyDescent="0.35">
      <c r="A571">
        <v>570</v>
      </c>
      <c r="B571">
        <v>2020</v>
      </c>
      <c r="C571">
        <v>7</v>
      </c>
      <c r="D571" t="s">
        <v>21</v>
      </c>
      <c r="E571" t="s">
        <v>161</v>
      </c>
      <c r="F571" s="1">
        <v>98656</v>
      </c>
      <c r="G571" s="1">
        <v>229845</v>
      </c>
      <c r="H571">
        <v>112</v>
      </c>
      <c r="I571">
        <v>0.97</v>
      </c>
      <c r="J571">
        <v>6.29</v>
      </c>
      <c r="K571">
        <v>1.2</v>
      </c>
      <c r="L571">
        <v>3</v>
      </c>
      <c r="M571" s="1" t="e">
        <f>#N/A</f>
        <v>#N/A</v>
      </c>
      <c r="N571">
        <v>479</v>
      </c>
      <c r="Q571" t="s">
        <v>110</v>
      </c>
    </row>
    <row r="572" spans="1:17" x14ac:dyDescent="0.35">
      <c r="A572">
        <v>571</v>
      </c>
      <c r="B572">
        <v>2020</v>
      </c>
      <c r="C572">
        <v>8</v>
      </c>
      <c r="D572" t="s">
        <v>30</v>
      </c>
      <c r="E572" t="s">
        <v>78</v>
      </c>
      <c r="F572" s="1">
        <v>61870</v>
      </c>
      <c r="G572" s="1">
        <v>64799</v>
      </c>
      <c r="H572">
        <v>158</v>
      </c>
      <c r="I572">
        <v>0.97</v>
      </c>
      <c r="J572">
        <v>6.29</v>
      </c>
      <c r="K572">
        <v>1.2</v>
      </c>
      <c r="L572">
        <v>8</v>
      </c>
      <c r="M572" s="1" t="e">
        <f>#N/A</f>
        <v>#N/A</v>
      </c>
      <c r="N572">
        <v>740</v>
      </c>
      <c r="Q572" t="s">
        <v>110</v>
      </c>
    </row>
    <row r="573" spans="1:17" x14ac:dyDescent="0.35">
      <c r="A573">
        <v>572</v>
      </c>
      <c r="B573">
        <v>2020</v>
      </c>
      <c r="C573">
        <v>8</v>
      </c>
      <c r="D573" t="s">
        <v>38</v>
      </c>
      <c r="E573" t="s">
        <v>112</v>
      </c>
      <c r="F573" s="1">
        <v>58474</v>
      </c>
      <c r="G573" s="1">
        <v>196104</v>
      </c>
      <c r="H573">
        <v>61</v>
      </c>
      <c r="I573">
        <v>0.97</v>
      </c>
      <c r="J573">
        <v>6.29</v>
      </c>
      <c r="K573">
        <v>1.2</v>
      </c>
      <c r="L573">
        <v>2</v>
      </c>
      <c r="M573" s="1" t="e">
        <f>#N/A</f>
        <v>#N/A</v>
      </c>
      <c r="N573">
        <v>245</v>
      </c>
      <c r="Q573" t="s">
        <v>110</v>
      </c>
    </row>
    <row r="574" spans="1:17" x14ac:dyDescent="0.35">
      <c r="A574">
        <v>573</v>
      </c>
      <c r="B574">
        <v>2020</v>
      </c>
      <c r="C574">
        <v>8</v>
      </c>
      <c r="D574" t="s">
        <v>32</v>
      </c>
      <c r="E574" t="s">
        <v>105</v>
      </c>
      <c r="F574" s="1">
        <v>70333</v>
      </c>
      <c r="G574" s="1">
        <v>96562</v>
      </c>
      <c r="H574">
        <v>131</v>
      </c>
      <c r="I574">
        <v>0.97</v>
      </c>
      <c r="J574">
        <v>6.29</v>
      </c>
      <c r="K574">
        <v>1.2</v>
      </c>
      <c r="L574">
        <v>1</v>
      </c>
      <c r="M574" s="1" t="e">
        <f>#N/A</f>
        <v>#N/A</v>
      </c>
      <c r="N574">
        <v>376</v>
      </c>
      <c r="Q574" t="s">
        <v>110</v>
      </c>
    </row>
    <row r="575" spans="1:17" x14ac:dyDescent="0.35">
      <c r="A575">
        <v>574</v>
      </c>
      <c r="B575">
        <v>2020</v>
      </c>
      <c r="C575">
        <v>8</v>
      </c>
      <c r="D575" t="s">
        <v>25</v>
      </c>
      <c r="E575" t="s">
        <v>157</v>
      </c>
      <c r="F575" s="1">
        <v>72038</v>
      </c>
      <c r="G575" s="1">
        <v>401136</v>
      </c>
      <c r="H575">
        <v>77</v>
      </c>
      <c r="I575">
        <v>0.97</v>
      </c>
      <c r="J575">
        <v>6.29</v>
      </c>
      <c r="K575">
        <v>1.2</v>
      </c>
      <c r="L575">
        <v>7</v>
      </c>
      <c r="M575" s="1" t="e">
        <f>#N/A</f>
        <v>#N/A</v>
      </c>
      <c r="N575">
        <v>407</v>
      </c>
      <c r="Q575" t="s">
        <v>110</v>
      </c>
    </row>
    <row r="576" spans="1:17" x14ac:dyDescent="0.35">
      <c r="A576">
        <v>575</v>
      </c>
      <c r="B576">
        <v>2020</v>
      </c>
      <c r="C576">
        <v>9</v>
      </c>
      <c r="D576" t="s">
        <v>36</v>
      </c>
      <c r="E576" t="s">
        <v>89</v>
      </c>
      <c r="F576" s="1">
        <v>98723</v>
      </c>
      <c r="G576" s="1">
        <v>485686</v>
      </c>
      <c r="H576">
        <v>38</v>
      </c>
      <c r="I576">
        <v>0.97</v>
      </c>
      <c r="J576">
        <v>6.29</v>
      </c>
      <c r="K576">
        <v>1.2</v>
      </c>
      <c r="L576">
        <v>4</v>
      </c>
      <c r="M576" s="1" t="e">
        <f>#N/A</f>
        <v>#N/A</v>
      </c>
      <c r="N576">
        <v>206</v>
      </c>
      <c r="Q576" t="s">
        <v>111</v>
      </c>
    </row>
    <row r="577" spans="1:17" x14ac:dyDescent="0.35">
      <c r="A577">
        <v>576</v>
      </c>
      <c r="B577">
        <v>2020</v>
      </c>
      <c r="C577">
        <v>9</v>
      </c>
      <c r="D577" t="s">
        <v>35</v>
      </c>
      <c r="E577" t="s">
        <v>119</v>
      </c>
      <c r="F577" s="1">
        <v>83785</v>
      </c>
      <c r="G577" s="1">
        <v>446419</v>
      </c>
      <c r="H577">
        <v>209</v>
      </c>
      <c r="I577">
        <v>0.97</v>
      </c>
      <c r="J577">
        <v>6.29</v>
      </c>
      <c r="K577">
        <v>1.2</v>
      </c>
      <c r="L577">
        <v>8</v>
      </c>
      <c r="M577" s="1" t="e">
        <f>#N/A</f>
        <v>#N/A</v>
      </c>
      <c r="N577">
        <v>753</v>
      </c>
      <c r="Q577" t="s">
        <v>111</v>
      </c>
    </row>
    <row r="578" spans="1:17" x14ac:dyDescent="0.35">
      <c r="A578">
        <v>577</v>
      </c>
      <c r="B578">
        <v>2020</v>
      </c>
      <c r="C578">
        <v>9</v>
      </c>
      <c r="D578" t="s">
        <v>32</v>
      </c>
      <c r="E578" t="s">
        <v>126</v>
      </c>
      <c r="F578" s="1">
        <v>89962</v>
      </c>
      <c r="G578" s="1">
        <v>327510</v>
      </c>
      <c r="H578">
        <v>59</v>
      </c>
      <c r="I578">
        <v>0.97</v>
      </c>
      <c r="J578">
        <v>6.29</v>
      </c>
      <c r="K578">
        <v>1.2</v>
      </c>
      <c r="L578">
        <v>10</v>
      </c>
      <c r="M578" s="1" t="e">
        <f>#N/A</f>
        <v>#N/A</v>
      </c>
      <c r="N578">
        <v>282</v>
      </c>
      <c r="Q578" t="s">
        <v>111</v>
      </c>
    </row>
    <row r="579" spans="1:17" x14ac:dyDescent="0.35">
      <c r="A579">
        <v>578</v>
      </c>
      <c r="B579">
        <v>2020</v>
      </c>
      <c r="C579">
        <v>9</v>
      </c>
      <c r="D579" t="s">
        <v>37</v>
      </c>
      <c r="E579" t="s">
        <v>124</v>
      </c>
      <c r="F579" s="1">
        <v>93866</v>
      </c>
      <c r="G579" s="1">
        <v>306157</v>
      </c>
      <c r="H579">
        <v>197</v>
      </c>
      <c r="I579">
        <v>0.97</v>
      </c>
      <c r="J579">
        <v>6.29</v>
      </c>
      <c r="K579">
        <v>1.2</v>
      </c>
      <c r="L579">
        <v>10</v>
      </c>
      <c r="M579" s="1" t="e">
        <f>#N/A</f>
        <v>#N/A</v>
      </c>
      <c r="N579">
        <v>377</v>
      </c>
      <c r="Q579" t="s">
        <v>111</v>
      </c>
    </row>
    <row r="580" spans="1:17" x14ac:dyDescent="0.35">
      <c r="A580">
        <v>579</v>
      </c>
      <c r="B580">
        <v>2020</v>
      </c>
      <c r="C580">
        <v>9</v>
      </c>
      <c r="D580" t="s">
        <v>37</v>
      </c>
      <c r="E580" t="s">
        <v>156</v>
      </c>
      <c r="F580" s="1">
        <v>46523</v>
      </c>
      <c r="G580" s="1">
        <v>198178</v>
      </c>
      <c r="H580">
        <v>36</v>
      </c>
      <c r="I580">
        <v>0.97</v>
      </c>
      <c r="J580">
        <v>6.29</v>
      </c>
      <c r="K580">
        <v>1.2</v>
      </c>
      <c r="L580">
        <v>5</v>
      </c>
      <c r="M580" s="1" t="e">
        <f>#N/A</f>
        <v>#N/A</v>
      </c>
      <c r="N580">
        <v>298</v>
      </c>
      <c r="Q580" t="s">
        <v>111</v>
      </c>
    </row>
    <row r="581" spans="1:17" x14ac:dyDescent="0.35">
      <c r="A581">
        <v>580</v>
      </c>
      <c r="B581">
        <v>2020</v>
      </c>
      <c r="C581">
        <v>10</v>
      </c>
      <c r="D581" t="s">
        <v>35</v>
      </c>
      <c r="E581" t="s">
        <v>51</v>
      </c>
      <c r="F581" s="1">
        <v>110135</v>
      </c>
      <c r="G581" s="1">
        <v>195338</v>
      </c>
      <c r="H581">
        <v>48</v>
      </c>
      <c r="I581">
        <v>0.97</v>
      </c>
      <c r="J581">
        <v>6.29</v>
      </c>
      <c r="K581">
        <v>1.2</v>
      </c>
      <c r="L581">
        <v>7</v>
      </c>
      <c r="M581" s="1" t="e">
        <f>#N/A</f>
        <v>#N/A</v>
      </c>
      <c r="N581">
        <v>347</v>
      </c>
      <c r="Q581" t="s">
        <v>111</v>
      </c>
    </row>
    <row r="582" spans="1:17" x14ac:dyDescent="0.35">
      <c r="A582">
        <v>581</v>
      </c>
      <c r="B582">
        <v>2020</v>
      </c>
      <c r="C582">
        <v>10</v>
      </c>
      <c r="D582" t="s">
        <v>28</v>
      </c>
      <c r="E582" t="s">
        <v>67</v>
      </c>
      <c r="F582" s="1">
        <v>55923</v>
      </c>
      <c r="G582" s="1">
        <v>432188</v>
      </c>
      <c r="H582">
        <v>155</v>
      </c>
      <c r="I582">
        <v>0.97</v>
      </c>
      <c r="J582">
        <v>6.29</v>
      </c>
      <c r="K582">
        <v>1.2</v>
      </c>
      <c r="L582">
        <v>7</v>
      </c>
      <c r="M582" s="1" t="e">
        <f>#N/A</f>
        <v>#N/A</v>
      </c>
      <c r="N582">
        <v>395</v>
      </c>
      <c r="Q582" t="s">
        <v>111</v>
      </c>
    </row>
    <row r="583" spans="1:17" x14ac:dyDescent="0.35">
      <c r="A583">
        <v>582</v>
      </c>
      <c r="B583">
        <v>2020</v>
      </c>
      <c r="C583">
        <v>10</v>
      </c>
      <c r="D583" t="s">
        <v>32</v>
      </c>
      <c r="E583" t="s">
        <v>78</v>
      </c>
      <c r="F583" s="1">
        <v>91633</v>
      </c>
      <c r="G583" s="1">
        <v>340696</v>
      </c>
      <c r="H583">
        <v>207</v>
      </c>
      <c r="I583">
        <v>0.97</v>
      </c>
      <c r="J583">
        <v>6.29</v>
      </c>
      <c r="K583">
        <v>1.2</v>
      </c>
      <c r="L583">
        <v>2</v>
      </c>
      <c r="M583" s="1" t="e">
        <f>#N/A</f>
        <v>#N/A</v>
      </c>
      <c r="N583">
        <v>502</v>
      </c>
      <c r="Q583" t="s">
        <v>111</v>
      </c>
    </row>
    <row r="584" spans="1:17" x14ac:dyDescent="0.35">
      <c r="A584">
        <v>583</v>
      </c>
      <c r="B584">
        <v>2020</v>
      </c>
      <c r="C584">
        <v>10</v>
      </c>
      <c r="D584" t="s">
        <v>32</v>
      </c>
      <c r="E584" t="s">
        <v>112</v>
      </c>
      <c r="F584" s="1">
        <v>57837</v>
      </c>
      <c r="G584" s="1">
        <v>168422</v>
      </c>
      <c r="H584">
        <v>371</v>
      </c>
      <c r="I584">
        <v>0.97</v>
      </c>
      <c r="J584">
        <v>6.29</v>
      </c>
      <c r="K584">
        <v>1.2</v>
      </c>
      <c r="L584">
        <v>1</v>
      </c>
      <c r="M584" s="1" t="e">
        <f>#N/A</f>
        <v>#N/A</v>
      </c>
      <c r="N584">
        <v>811</v>
      </c>
      <c r="Q584" t="s">
        <v>112</v>
      </c>
    </row>
    <row r="585" spans="1:17" x14ac:dyDescent="0.35">
      <c r="A585">
        <v>584</v>
      </c>
      <c r="B585">
        <v>2020</v>
      </c>
      <c r="C585">
        <v>10</v>
      </c>
      <c r="D585" t="s">
        <v>30</v>
      </c>
      <c r="E585" t="s">
        <v>116</v>
      </c>
      <c r="F585" s="1">
        <v>53300</v>
      </c>
      <c r="G585" s="1">
        <v>277467</v>
      </c>
      <c r="H585">
        <v>298</v>
      </c>
      <c r="I585">
        <v>0.97</v>
      </c>
      <c r="J585">
        <v>6.29</v>
      </c>
      <c r="K585">
        <v>1.2</v>
      </c>
      <c r="L585">
        <v>7</v>
      </c>
      <c r="M585" s="1" t="e">
        <f>#N/A</f>
        <v>#N/A</v>
      </c>
      <c r="N585">
        <v>782</v>
      </c>
      <c r="Q585" t="s">
        <v>112</v>
      </c>
    </row>
    <row r="586" spans="1:17" x14ac:dyDescent="0.35">
      <c r="A586">
        <v>585</v>
      </c>
      <c r="B586">
        <v>2020</v>
      </c>
      <c r="C586">
        <v>10</v>
      </c>
      <c r="D586" t="s">
        <v>28</v>
      </c>
      <c r="E586" t="s">
        <v>131</v>
      </c>
      <c r="F586" s="1">
        <v>105474</v>
      </c>
      <c r="G586" s="1">
        <v>104144</v>
      </c>
      <c r="H586">
        <v>100</v>
      </c>
      <c r="I586">
        <v>0.97</v>
      </c>
      <c r="J586">
        <v>6.29</v>
      </c>
      <c r="K586">
        <v>1.2</v>
      </c>
      <c r="L586">
        <v>2</v>
      </c>
      <c r="M586" s="1" t="e">
        <f>#N/A</f>
        <v>#N/A</v>
      </c>
      <c r="N586">
        <v>355</v>
      </c>
      <c r="Q586" t="s">
        <v>112</v>
      </c>
    </row>
    <row r="587" spans="1:17" x14ac:dyDescent="0.35">
      <c r="A587">
        <v>586</v>
      </c>
      <c r="B587">
        <v>2020</v>
      </c>
      <c r="C587">
        <v>10</v>
      </c>
      <c r="D587" t="s">
        <v>21</v>
      </c>
      <c r="E587" t="s">
        <v>148</v>
      </c>
      <c r="F587" s="1">
        <v>87719</v>
      </c>
      <c r="G587" s="1">
        <v>480481</v>
      </c>
      <c r="H587">
        <v>324</v>
      </c>
      <c r="I587">
        <v>0.97</v>
      </c>
      <c r="J587">
        <v>6.29</v>
      </c>
      <c r="K587">
        <v>1.2</v>
      </c>
      <c r="L587">
        <v>8</v>
      </c>
      <c r="M587" s="1" t="e">
        <f>#N/A</f>
        <v>#N/A</v>
      </c>
      <c r="N587">
        <v>847</v>
      </c>
      <c r="Q587" t="s">
        <v>112</v>
      </c>
    </row>
    <row r="588" spans="1:17" x14ac:dyDescent="0.35">
      <c r="A588">
        <v>587</v>
      </c>
      <c r="B588">
        <v>2020</v>
      </c>
      <c r="C588">
        <v>10</v>
      </c>
      <c r="D588" t="s">
        <v>36</v>
      </c>
      <c r="E588" t="s">
        <v>150</v>
      </c>
      <c r="F588" s="1">
        <v>42235</v>
      </c>
      <c r="G588" s="1">
        <v>208901</v>
      </c>
      <c r="H588">
        <v>77</v>
      </c>
      <c r="I588">
        <v>0.97</v>
      </c>
      <c r="J588">
        <v>6.29</v>
      </c>
      <c r="K588">
        <v>1.2</v>
      </c>
      <c r="L588">
        <v>4</v>
      </c>
      <c r="M588" s="1" t="e">
        <f>#N/A</f>
        <v>#N/A</v>
      </c>
      <c r="N588">
        <v>369</v>
      </c>
      <c r="Q588" t="s">
        <v>112</v>
      </c>
    </row>
    <row r="589" spans="1:17" x14ac:dyDescent="0.35">
      <c r="A589">
        <v>588</v>
      </c>
      <c r="B589">
        <v>2020</v>
      </c>
      <c r="C589">
        <v>10</v>
      </c>
      <c r="D589" t="s">
        <v>28</v>
      </c>
      <c r="E589" t="s">
        <v>145</v>
      </c>
      <c r="F589" s="1">
        <v>80349</v>
      </c>
      <c r="G589" s="1">
        <v>276179</v>
      </c>
      <c r="H589">
        <v>180</v>
      </c>
      <c r="I589">
        <v>0.97</v>
      </c>
      <c r="J589">
        <v>6.29</v>
      </c>
      <c r="K589">
        <v>1.2</v>
      </c>
      <c r="L589">
        <v>8</v>
      </c>
      <c r="M589" s="1" t="e">
        <f>#N/A</f>
        <v>#N/A</v>
      </c>
      <c r="N589">
        <v>521</v>
      </c>
      <c r="Q589" t="s">
        <v>112</v>
      </c>
    </row>
    <row r="590" spans="1:17" x14ac:dyDescent="0.35">
      <c r="A590">
        <v>589</v>
      </c>
      <c r="B590">
        <v>2020</v>
      </c>
      <c r="C590">
        <v>10</v>
      </c>
      <c r="D590" t="s">
        <v>38</v>
      </c>
      <c r="E590" t="s">
        <v>141</v>
      </c>
      <c r="F590" s="1">
        <v>86880</v>
      </c>
      <c r="G590" s="1">
        <v>369186</v>
      </c>
      <c r="H590">
        <v>64</v>
      </c>
      <c r="I590">
        <v>0.97</v>
      </c>
      <c r="J590">
        <v>6.29</v>
      </c>
      <c r="K590">
        <v>1.2</v>
      </c>
      <c r="L590">
        <v>9</v>
      </c>
      <c r="M590" s="1" t="e">
        <f>#N/A</f>
        <v>#N/A</v>
      </c>
      <c r="N590">
        <v>194</v>
      </c>
      <c r="Q590" t="s">
        <v>112</v>
      </c>
    </row>
    <row r="591" spans="1:17" x14ac:dyDescent="0.35">
      <c r="A591">
        <v>590</v>
      </c>
      <c r="B591">
        <v>2020</v>
      </c>
      <c r="C591">
        <v>11</v>
      </c>
      <c r="D591" t="s">
        <v>37</v>
      </c>
      <c r="E591" t="s">
        <v>61</v>
      </c>
      <c r="F591" s="1">
        <v>48668</v>
      </c>
      <c r="G591" s="1">
        <v>126050</v>
      </c>
      <c r="H591">
        <v>292</v>
      </c>
      <c r="I591">
        <v>0.97</v>
      </c>
      <c r="J591">
        <v>6.29</v>
      </c>
      <c r="K591">
        <v>1.2</v>
      </c>
      <c r="L591">
        <v>1</v>
      </c>
      <c r="M591" s="1" t="e">
        <f>#N/A</f>
        <v>#N/A</v>
      </c>
      <c r="N591">
        <v>995</v>
      </c>
      <c r="Q591" t="s">
        <v>112</v>
      </c>
    </row>
    <row r="592" spans="1:17" x14ac:dyDescent="0.35">
      <c r="A592">
        <v>591</v>
      </c>
      <c r="B592">
        <v>2020</v>
      </c>
      <c r="C592">
        <v>11</v>
      </c>
      <c r="D592" t="s">
        <v>30</v>
      </c>
      <c r="E592" t="s">
        <v>70</v>
      </c>
      <c r="F592" s="1">
        <v>42370</v>
      </c>
      <c r="G592" s="1">
        <v>459337</v>
      </c>
      <c r="H592">
        <v>374</v>
      </c>
      <c r="I592">
        <v>0.97</v>
      </c>
      <c r="J592">
        <v>6.29</v>
      </c>
      <c r="K592">
        <v>1.2</v>
      </c>
      <c r="L592">
        <v>3</v>
      </c>
      <c r="M592" s="1" t="e">
        <f>#N/A</f>
        <v>#N/A</v>
      </c>
      <c r="N592">
        <v>1043</v>
      </c>
      <c r="Q592" t="s">
        <v>113</v>
      </c>
    </row>
    <row r="593" spans="1:17" x14ac:dyDescent="0.35">
      <c r="A593">
        <v>592</v>
      </c>
      <c r="B593">
        <v>2020</v>
      </c>
      <c r="C593">
        <v>11</v>
      </c>
      <c r="D593" t="s">
        <v>36</v>
      </c>
      <c r="E593" t="s">
        <v>83</v>
      </c>
      <c r="F593" s="1">
        <v>116418</v>
      </c>
      <c r="G593" s="1">
        <v>261655</v>
      </c>
      <c r="H593">
        <v>323</v>
      </c>
      <c r="I593">
        <v>0.97</v>
      </c>
      <c r="J593">
        <v>6.29</v>
      </c>
      <c r="K593">
        <v>1.2</v>
      </c>
      <c r="L593">
        <v>9</v>
      </c>
      <c r="M593" s="1" t="e">
        <f>#N/A</f>
        <v>#N/A</v>
      </c>
      <c r="N593">
        <v>654</v>
      </c>
      <c r="Q593" t="s">
        <v>113</v>
      </c>
    </row>
    <row r="594" spans="1:17" x14ac:dyDescent="0.35">
      <c r="A594">
        <v>593</v>
      </c>
      <c r="B594">
        <v>2020</v>
      </c>
      <c r="C594">
        <v>11</v>
      </c>
      <c r="D594" t="s">
        <v>35</v>
      </c>
      <c r="E594" t="s">
        <v>89</v>
      </c>
      <c r="F594" s="1">
        <v>66186</v>
      </c>
      <c r="G594" s="1">
        <v>83635</v>
      </c>
      <c r="H594">
        <v>395</v>
      </c>
      <c r="I594">
        <v>0.97</v>
      </c>
      <c r="J594">
        <v>6.29</v>
      </c>
      <c r="K594">
        <v>1.2</v>
      </c>
      <c r="L594">
        <v>8</v>
      </c>
      <c r="M594" s="1" t="e">
        <f>#N/A</f>
        <v>#N/A</v>
      </c>
      <c r="N594">
        <v>905</v>
      </c>
      <c r="Q594" t="s">
        <v>113</v>
      </c>
    </row>
    <row r="595" spans="1:17" x14ac:dyDescent="0.35">
      <c r="A595">
        <v>594</v>
      </c>
      <c r="B595">
        <v>2020</v>
      </c>
      <c r="C595">
        <v>11</v>
      </c>
      <c r="D595" t="s">
        <v>14</v>
      </c>
      <c r="E595" t="s">
        <v>95</v>
      </c>
      <c r="F595" s="1">
        <v>109328</v>
      </c>
      <c r="G595" s="1">
        <v>389499</v>
      </c>
      <c r="H595">
        <v>120</v>
      </c>
      <c r="I595">
        <v>0.97</v>
      </c>
      <c r="J595">
        <v>6.29</v>
      </c>
      <c r="K595">
        <v>1.2</v>
      </c>
      <c r="L595">
        <v>2</v>
      </c>
      <c r="M595" s="1" t="e">
        <f>#N/A</f>
        <v>#N/A</v>
      </c>
      <c r="N595">
        <v>453</v>
      </c>
      <c r="Q595" t="s">
        <v>113</v>
      </c>
    </row>
    <row r="596" spans="1:17" x14ac:dyDescent="0.35">
      <c r="A596">
        <v>595</v>
      </c>
      <c r="B596">
        <v>2020</v>
      </c>
      <c r="C596">
        <v>11</v>
      </c>
      <c r="D596" t="s">
        <v>30</v>
      </c>
      <c r="E596" t="s">
        <v>102</v>
      </c>
      <c r="F596" s="1">
        <v>109286</v>
      </c>
      <c r="G596" s="1">
        <v>71584</v>
      </c>
      <c r="H596">
        <v>273</v>
      </c>
      <c r="I596">
        <v>0.97</v>
      </c>
      <c r="J596">
        <v>6.29</v>
      </c>
      <c r="K596">
        <v>1.2</v>
      </c>
      <c r="L596">
        <v>1</v>
      </c>
      <c r="M596" s="1" t="e">
        <f>#N/A</f>
        <v>#N/A</v>
      </c>
      <c r="N596">
        <v>911</v>
      </c>
      <c r="Q596" t="s">
        <v>113</v>
      </c>
    </row>
    <row r="597" spans="1:17" x14ac:dyDescent="0.35">
      <c r="A597">
        <v>596</v>
      </c>
      <c r="B597">
        <v>2020</v>
      </c>
      <c r="C597">
        <v>11</v>
      </c>
      <c r="D597" t="s">
        <v>37</v>
      </c>
      <c r="E597" t="s">
        <v>111</v>
      </c>
      <c r="F597" s="1">
        <v>65480</v>
      </c>
      <c r="G597" s="1">
        <v>209762</v>
      </c>
      <c r="H597">
        <v>325</v>
      </c>
      <c r="I597">
        <v>0.97</v>
      </c>
      <c r="J597">
        <v>6.29</v>
      </c>
      <c r="K597">
        <v>1.2</v>
      </c>
      <c r="L597">
        <v>1</v>
      </c>
      <c r="M597" s="1" t="e">
        <f>#N/A</f>
        <v>#N/A</v>
      </c>
      <c r="N597">
        <v>984</v>
      </c>
      <c r="Q597" t="s">
        <v>114</v>
      </c>
    </row>
    <row r="598" spans="1:17" x14ac:dyDescent="0.35">
      <c r="A598">
        <v>597</v>
      </c>
      <c r="B598">
        <v>2020</v>
      </c>
      <c r="C598">
        <v>11</v>
      </c>
      <c r="D598" t="s">
        <v>35</v>
      </c>
      <c r="E598" t="s">
        <v>134</v>
      </c>
      <c r="F598" s="1">
        <v>45785</v>
      </c>
      <c r="G598" s="1">
        <v>79992</v>
      </c>
      <c r="H598">
        <v>195</v>
      </c>
      <c r="I598">
        <v>0.97</v>
      </c>
      <c r="J598">
        <v>6.29</v>
      </c>
      <c r="K598">
        <v>1.2</v>
      </c>
      <c r="L598">
        <v>6</v>
      </c>
      <c r="M598" s="1" t="e">
        <f>#N/A</f>
        <v>#N/A</v>
      </c>
      <c r="N598">
        <v>542</v>
      </c>
      <c r="Q598" t="s">
        <v>114</v>
      </c>
    </row>
    <row r="599" spans="1:17" x14ac:dyDescent="0.35">
      <c r="A599">
        <v>598</v>
      </c>
      <c r="B599">
        <v>2020</v>
      </c>
      <c r="C599">
        <v>11</v>
      </c>
      <c r="D599" t="s">
        <v>30</v>
      </c>
      <c r="E599" t="s">
        <v>141</v>
      </c>
      <c r="F599" s="1">
        <v>112362</v>
      </c>
      <c r="G599" s="1">
        <v>380511</v>
      </c>
      <c r="H599">
        <v>75</v>
      </c>
      <c r="I599">
        <v>0.97</v>
      </c>
      <c r="J599">
        <v>6.29</v>
      </c>
      <c r="K599">
        <v>1.2</v>
      </c>
      <c r="L599">
        <v>10</v>
      </c>
      <c r="M599" s="1" t="e">
        <f>#N/A</f>
        <v>#N/A</v>
      </c>
      <c r="N599">
        <v>495</v>
      </c>
      <c r="Q599" t="s">
        <v>114</v>
      </c>
    </row>
    <row r="600" spans="1:17" x14ac:dyDescent="0.35">
      <c r="A600">
        <v>599</v>
      </c>
      <c r="B600">
        <v>2020</v>
      </c>
      <c r="C600">
        <v>12</v>
      </c>
      <c r="D600" t="s">
        <v>21</v>
      </c>
      <c r="E600" t="s">
        <v>46</v>
      </c>
      <c r="F600" s="1">
        <v>114335</v>
      </c>
      <c r="G600" s="1">
        <v>219957</v>
      </c>
      <c r="H600">
        <v>108</v>
      </c>
      <c r="I600">
        <v>0.97</v>
      </c>
      <c r="J600">
        <v>6.29</v>
      </c>
      <c r="K600">
        <v>1.2</v>
      </c>
      <c r="L600">
        <v>2</v>
      </c>
      <c r="M600" s="1" t="e">
        <f>#N/A</f>
        <v>#N/A</v>
      </c>
      <c r="N600">
        <v>461</v>
      </c>
      <c r="Q600" t="s">
        <v>114</v>
      </c>
    </row>
    <row r="601" spans="1:17" x14ac:dyDescent="0.35">
      <c r="A601">
        <v>600</v>
      </c>
      <c r="B601">
        <v>2020</v>
      </c>
      <c r="C601">
        <v>12</v>
      </c>
      <c r="D601" t="s">
        <v>32</v>
      </c>
      <c r="E601" t="s">
        <v>49</v>
      </c>
      <c r="F601" s="1">
        <v>111896</v>
      </c>
      <c r="G601" s="1">
        <v>301842</v>
      </c>
      <c r="H601">
        <v>25</v>
      </c>
      <c r="I601">
        <v>0.97</v>
      </c>
      <c r="J601">
        <v>6.29</v>
      </c>
      <c r="K601">
        <v>1.2</v>
      </c>
      <c r="L601">
        <v>6</v>
      </c>
      <c r="M601" s="1" t="e">
        <f>#N/A</f>
        <v>#N/A</v>
      </c>
      <c r="N601">
        <v>396</v>
      </c>
      <c r="Q601" t="s">
        <v>114</v>
      </c>
    </row>
    <row r="602" spans="1:17" x14ac:dyDescent="0.35">
      <c r="A602">
        <v>601</v>
      </c>
      <c r="B602">
        <v>2020</v>
      </c>
      <c r="C602">
        <v>12</v>
      </c>
      <c r="D602" t="s">
        <v>37</v>
      </c>
      <c r="E602" t="s">
        <v>82</v>
      </c>
      <c r="F602" s="1">
        <v>67567</v>
      </c>
      <c r="G602" s="1">
        <v>383260</v>
      </c>
      <c r="H602">
        <v>35</v>
      </c>
      <c r="I602">
        <v>0.97</v>
      </c>
      <c r="J602">
        <v>6.29</v>
      </c>
      <c r="K602">
        <v>1.2</v>
      </c>
      <c r="L602">
        <v>9</v>
      </c>
      <c r="M602" s="1" t="e">
        <f>#N/A</f>
        <v>#N/A</v>
      </c>
      <c r="N602">
        <v>488</v>
      </c>
      <c r="Q602" t="s">
        <v>115</v>
      </c>
    </row>
    <row r="603" spans="1:17" x14ac:dyDescent="0.35">
      <c r="A603">
        <v>602</v>
      </c>
      <c r="B603">
        <v>2020</v>
      </c>
      <c r="C603">
        <v>12</v>
      </c>
      <c r="D603" t="s">
        <v>32</v>
      </c>
      <c r="E603" t="s">
        <v>107</v>
      </c>
      <c r="F603" s="1">
        <v>73196</v>
      </c>
      <c r="G603" s="1">
        <v>194587</v>
      </c>
      <c r="H603">
        <v>82</v>
      </c>
      <c r="I603">
        <v>0.97</v>
      </c>
      <c r="J603">
        <v>6.29</v>
      </c>
      <c r="K603">
        <v>1.2</v>
      </c>
      <c r="L603">
        <v>4</v>
      </c>
      <c r="M603" s="1" t="e">
        <f>#N/A</f>
        <v>#N/A</v>
      </c>
      <c r="N603">
        <v>531</v>
      </c>
      <c r="Q603" t="s">
        <v>115</v>
      </c>
    </row>
    <row r="604" spans="1:17" x14ac:dyDescent="0.35">
      <c r="A604">
        <v>603</v>
      </c>
      <c r="B604">
        <v>2020</v>
      </c>
      <c r="C604">
        <v>12</v>
      </c>
      <c r="D604" t="s">
        <v>30</v>
      </c>
      <c r="E604" t="s">
        <v>113</v>
      </c>
      <c r="F604" s="1">
        <v>100425</v>
      </c>
      <c r="G604" s="1">
        <v>430791</v>
      </c>
      <c r="H604">
        <v>200</v>
      </c>
      <c r="I604">
        <v>0.97</v>
      </c>
      <c r="J604">
        <v>6.29</v>
      </c>
      <c r="K604">
        <v>1.2</v>
      </c>
      <c r="L604">
        <v>6</v>
      </c>
      <c r="M604" s="1" t="e">
        <f>#N/A</f>
        <v>#N/A</v>
      </c>
      <c r="N604">
        <v>827</v>
      </c>
      <c r="Q604" t="s">
        <v>115</v>
      </c>
    </row>
    <row r="605" spans="1:17" x14ac:dyDescent="0.35">
      <c r="A605">
        <v>604</v>
      </c>
      <c r="B605">
        <v>2020</v>
      </c>
      <c r="C605">
        <v>12</v>
      </c>
      <c r="D605" t="s">
        <v>36</v>
      </c>
      <c r="E605" t="s">
        <v>125</v>
      </c>
      <c r="F605" s="1">
        <v>119078</v>
      </c>
      <c r="G605" s="1">
        <v>352240</v>
      </c>
      <c r="H605">
        <v>101</v>
      </c>
      <c r="I605">
        <v>0.97</v>
      </c>
      <c r="J605">
        <v>6.29</v>
      </c>
      <c r="K605">
        <v>1.2</v>
      </c>
      <c r="L605">
        <v>10</v>
      </c>
      <c r="M605" s="1" t="e">
        <f>#N/A</f>
        <v>#N/A</v>
      </c>
      <c r="N605">
        <v>307</v>
      </c>
      <c r="Q605" t="s">
        <v>115</v>
      </c>
    </row>
    <row r="606" spans="1:17" x14ac:dyDescent="0.35">
      <c r="A606">
        <v>605</v>
      </c>
      <c r="B606">
        <v>2020</v>
      </c>
      <c r="C606">
        <v>12</v>
      </c>
      <c r="D606" t="s">
        <v>37</v>
      </c>
      <c r="E606" t="s">
        <v>126</v>
      </c>
      <c r="F606" s="1">
        <v>83849</v>
      </c>
      <c r="G606" s="1">
        <v>320577</v>
      </c>
      <c r="H606">
        <v>191</v>
      </c>
      <c r="I606">
        <v>0.97</v>
      </c>
      <c r="J606">
        <v>6.29</v>
      </c>
      <c r="K606">
        <v>1.2</v>
      </c>
      <c r="L606">
        <v>7</v>
      </c>
      <c r="M606" s="1" t="e">
        <f>#N/A</f>
        <v>#N/A</v>
      </c>
      <c r="N606">
        <v>396</v>
      </c>
      <c r="Q606" t="s">
        <v>116</v>
      </c>
    </row>
    <row r="607" spans="1:17" x14ac:dyDescent="0.35">
      <c r="A607">
        <v>606</v>
      </c>
      <c r="B607">
        <v>2020</v>
      </c>
      <c r="C607">
        <v>12</v>
      </c>
      <c r="D607" t="s">
        <v>14</v>
      </c>
      <c r="E607" t="s">
        <v>146</v>
      </c>
      <c r="F607" s="1">
        <v>39922</v>
      </c>
      <c r="G607" s="1">
        <v>347438</v>
      </c>
      <c r="H607">
        <v>278</v>
      </c>
      <c r="I607">
        <v>0.97</v>
      </c>
      <c r="J607">
        <v>6.29</v>
      </c>
      <c r="K607">
        <v>1.2</v>
      </c>
      <c r="L607">
        <v>1</v>
      </c>
      <c r="M607" s="1" t="e">
        <f>#N/A</f>
        <v>#N/A</v>
      </c>
      <c r="N607">
        <v>641</v>
      </c>
      <c r="Q607" t="s">
        <v>116</v>
      </c>
    </row>
    <row r="608" spans="1:17" x14ac:dyDescent="0.35">
      <c r="A608">
        <v>607</v>
      </c>
      <c r="B608">
        <v>2020</v>
      </c>
      <c r="C608">
        <v>12</v>
      </c>
      <c r="D608" t="s">
        <v>35</v>
      </c>
      <c r="E608" t="s">
        <v>142</v>
      </c>
      <c r="F608" s="1">
        <v>94838</v>
      </c>
      <c r="G608" s="1">
        <v>91025</v>
      </c>
      <c r="H608">
        <v>244</v>
      </c>
      <c r="I608">
        <v>0.97</v>
      </c>
      <c r="J608">
        <v>6.29</v>
      </c>
      <c r="K608">
        <v>1.2</v>
      </c>
      <c r="L608">
        <v>4</v>
      </c>
      <c r="M608" s="1" t="e">
        <f>#N/A</f>
        <v>#N/A</v>
      </c>
      <c r="N608">
        <v>560</v>
      </c>
      <c r="Q608" t="s">
        <v>116</v>
      </c>
    </row>
    <row r="609" spans="1:17" x14ac:dyDescent="0.35">
      <c r="A609">
        <v>608</v>
      </c>
      <c r="B609">
        <v>2020</v>
      </c>
      <c r="C609">
        <v>12</v>
      </c>
      <c r="D609" t="s">
        <v>32</v>
      </c>
      <c r="E609" t="s">
        <v>154</v>
      </c>
      <c r="F609" s="1">
        <v>105934</v>
      </c>
      <c r="G609" s="1">
        <v>400722</v>
      </c>
      <c r="H609">
        <v>21</v>
      </c>
      <c r="I609">
        <v>0.97</v>
      </c>
      <c r="J609">
        <v>6.29</v>
      </c>
      <c r="K609">
        <v>1.2</v>
      </c>
      <c r="L609">
        <v>9</v>
      </c>
      <c r="M609" s="1" t="e">
        <f>#N/A</f>
        <v>#N/A</v>
      </c>
      <c r="N609">
        <v>238</v>
      </c>
      <c r="Q609" t="s">
        <v>116</v>
      </c>
    </row>
    <row r="610" spans="1:17" x14ac:dyDescent="0.35">
      <c r="A610">
        <v>609</v>
      </c>
      <c r="B610">
        <v>2021</v>
      </c>
      <c r="C610">
        <v>1</v>
      </c>
      <c r="D610" t="s">
        <v>14</v>
      </c>
      <c r="E610" t="s">
        <v>101</v>
      </c>
      <c r="F610" s="1">
        <v>78258</v>
      </c>
      <c r="G610" s="1">
        <v>298003</v>
      </c>
      <c r="H610">
        <v>40</v>
      </c>
      <c r="I610">
        <v>0.97</v>
      </c>
      <c r="J610">
        <v>6.29</v>
      </c>
      <c r="K610">
        <v>1.2</v>
      </c>
      <c r="L610">
        <v>1</v>
      </c>
      <c r="M610" s="1" t="e">
        <f>#N/A</f>
        <v>#N/A</v>
      </c>
      <c r="N610">
        <v>505</v>
      </c>
      <c r="Q610" t="s">
        <v>116</v>
      </c>
    </row>
    <row r="611" spans="1:17" x14ac:dyDescent="0.35">
      <c r="A611">
        <v>610</v>
      </c>
      <c r="B611">
        <v>2021</v>
      </c>
      <c r="C611">
        <v>1</v>
      </c>
      <c r="D611" t="s">
        <v>35</v>
      </c>
      <c r="E611" t="s">
        <v>107</v>
      </c>
      <c r="F611" s="1">
        <v>109694</v>
      </c>
      <c r="G611" s="1">
        <v>258137</v>
      </c>
      <c r="H611">
        <v>148</v>
      </c>
      <c r="I611">
        <v>0.97</v>
      </c>
      <c r="J611">
        <v>6.29</v>
      </c>
      <c r="K611">
        <v>1.2</v>
      </c>
      <c r="L611">
        <v>8</v>
      </c>
      <c r="M611" s="1" t="e">
        <f>#N/A</f>
        <v>#N/A</v>
      </c>
      <c r="N611">
        <v>410</v>
      </c>
      <c r="Q611" t="s">
        <v>116</v>
      </c>
    </row>
    <row r="612" spans="1:17" x14ac:dyDescent="0.35">
      <c r="A612">
        <v>611</v>
      </c>
      <c r="B612">
        <v>2021</v>
      </c>
      <c r="C612">
        <v>1</v>
      </c>
      <c r="D612" t="s">
        <v>14</v>
      </c>
      <c r="E612" t="s">
        <v>127</v>
      </c>
      <c r="F612" s="1">
        <v>82234</v>
      </c>
      <c r="G612" s="1">
        <v>315372</v>
      </c>
      <c r="H612">
        <v>96</v>
      </c>
      <c r="I612">
        <v>0.97</v>
      </c>
      <c r="J612">
        <v>6.29</v>
      </c>
      <c r="K612">
        <v>1.2</v>
      </c>
      <c r="L612">
        <v>8</v>
      </c>
      <c r="M612" s="1" t="e">
        <f>#N/A</f>
        <v>#N/A</v>
      </c>
      <c r="N612">
        <v>324</v>
      </c>
      <c r="Q612" t="s">
        <v>116</v>
      </c>
    </row>
    <row r="613" spans="1:17" x14ac:dyDescent="0.35">
      <c r="A613">
        <v>612</v>
      </c>
      <c r="B613">
        <v>2021</v>
      </c>
      <c r="C613">
        <v>1</v>
      </c>
      <c r="D613" t="s">
        <v>36</v>
      </c>
      <c r="E613" t="s">
        <v>137</v>
      </c>
      <c r="F613" s="1">
        <v>49693</v>
      </c>
      <c r="G613" s="1">
        <v>312678</v>
      </c>
      <c r="H613">
        <v>227</v>
      </c>
      <c r="I613">
        <v>0.97</v>
      </c>
      <c r="J613">
        <v>6.29</v>
      </c>
      <c r="K613">
        <v>1.2</v>
      </c>
      <c r="L613">
        <v>7</v>
      </c>
      <c r="M613" s="1" t="e">
        <f>#N/A</f>
        <v>#N/A</v>
      </c>
      <c r="N613">
        <v>592</v>
      </c>
      <c r="Q613" t="s">
        <v>116</v>
      </c>
    </row>
    <row r="614" spans="1:17" x14ac:dyDescent="0.35">
      <c r="A614">
        <v>613</v>
      </c>
      <c r="B614">
        <v>2021</v>
      </c>
      <c r="C614">
        <v>1</v>
      </c>
      <c r="D614" t="s">
        <v>30</v>
      </c>
      <c r="E614" t="s">
        <v>131</v>
      </c>
      <c r="F614" s="1">
        <v>41869</v>
      </c>
      <c r="G614" s="1">
        <v>389273</v>
      </c>
      <c r="H614">
        <v>11</v>
      </c>
      <c r="I614">
        <v>0.97</v>
      </c>
      <c r="J614">
        <v>6.29</v>
      </c>
      <c r="K614">
        <v>1.2</v>
      </c>
      <c r="L614">
        <v>10</v>
      </c>
      <c r="M614" s="1" t="e">
        <f>#N/A</f>
        <v>#N/A</v>
      </c>
      <c r="N614">
        <v>361</v>
      </c>
      <c r="Q614" t="s">
        <v>117</v>
      </c>
    </row>
    <row r="615" spans="1:17" x14ac:dyDescent="0.35">
      <c r="A615">
        <v>614</v>
      </c>
      <c r="B615">
        <v>2021</v>
      </c>
      <c r="C615">
        <v>2</v>
      </c>
      <c r="D615" t="s">
        <v>35</v>
      </c>
      <c r="E615" t="s">
        <v>59</v>
      </c>
      <c r="F615" s="1">
        <v>43921</v>
      </c>
      <c r="G615" s="1">
        <v>258606</v>
      </c>
      <c r="H615">
        <v>327</v>
      </c>
      <c r="I615">
        <v>0.97</v>
      </c>
      <c r="J615">
        <v>6.29</v>
      </c>
      <c r="K615">
        <v>1.2</v>
      </c>
      <c r="L615">
        <v>3</v>
      </c>
      <c r="M615" s="1" t="e">
        <f>#N/A</f>
        <v>#N/A</v>
      </c>
      <c r="N615">
        <v>906</v>
      </c>
      <c r="Q615" t="s">
        <v>117</v>
      </c>
    </row>
    <row r="616" spans="1:17" x14ac:dyDescent="0.35">
      <c r="A616">
        <v>615</v>
      </c>
      <c r="B616">
        <v>2021</v>
      </c>
      <c r="C616">
        <v>2</v>
      </c>
      <c r="D616" t="s">
        <v>35</v>
      </c>
      <c r="E616" t="s">
        <v>56</v>
      </c>
      <c r="F616" s="1">
        <v>47242</v>
      </c>
      <c r="G616" s="1">
        <v>173745</v>
      </c>
      <c r="H616">
        <v>126</v>
      </c>
      <c r="I616">
        <v>0.97</v>
      </c>
      <c r="J616">
        <v>6.29</v>
      </c>
      <c r="K616">
        <v>1.2</v>
      </c>
      <c r="L616">
        <v>7</v>
      </c>
      <c r="M616" s="1" t="e">
        <f>#N/A</f>
        <v>#N/A</v>
      </c>
      <c r="N616">
        <v>632</v>
      </c>
      <c r="Q616" t="s">
        <v>117</v>
      </c>
    </row>
    <row r="617" spans="1:17" x14ac:dyDescent="0.35">
      <c r="A617">
        <v>616</v>
      </c>
      <c r="B617">
        <v>2021</v>
      </c>
      <c r="C617">
        <v>2</v>
      </c>
      <c r="D617" t="s">
        <v>30</v>
      </c>
      <c r="E617" t="s">
        <v>61</v>
      </c>
      <c r="F617" s="1">
        <v>110163</v>
      </c>
      <c r="G617" s="1">
        <v>485497</v>
      </c>
      <c r="H617">
        <v>394</v>
      </c>
      <c r="I617">
        <v>0.97</v>
      </c>
      <c r="J617">
        <v>6.29</v>
      </c>
      <c r="K617">
        <v>1.2</v>
      </c>
      <c r="L617">
        <v>8</v>
      </c>
      <c r="M617" s="1" t="e">
        <f>#N/A</f>
        <v>#N/A</v>
      </c>
      <c r="N617">
        <v>1237</v>
      </c>
      <c r="Q617" t="s">
        <v>117</v>
      </c>
    </row>
    <row r="618" spans="1:17" x14ac:dyDescent="0.35">
      <c r="A618">
        <v>617</v>
      </c>
      <c r="B618">
        <v>2021</v>
      </c>
      <c r="C618">
        <v>2</v>
      </c>
      <c r="D618" t="s">
        <v>37</v>
      </c>
      <c r="E618" t="s">
        <v>75</v>
      </c>
      <c r="F618" s="1">
        <v>111106</v>
      </c>
      <c r="G618" s="1">
        <v>108560</v>
      </c>
      <c r="H618">
        <v>98</v>
      </c>
      <c r="I618">
        <v>0.97</v>
      </c>
      <c r="J618">
        <v>6.29</v>
      </c>
      <c r="K618">
        <v>1.2</v>
      </c>
      <c r="L618">
        <v>4</v>
      </c>
      <c r="M618" s="1" t="e">
        <f>#N/A</f>
        <v>#N/A</v>
      </c>
      <c r="N618">
        <v>381</v>
      </c>
      <c r="Q618" t="s">
        <v>117</v>
      </c>
    </row>
    <row r="619" spans="1:17" x14ac:dyDescent="0.35">
      <c r="A619">
        <v>618</v>
      </c>
      <c r="B619">
        <v>2021</v>
      </c>
      <c r="C619">
        <v>2</v>
      </c>
      <c r="D619" t="s">
        <v>14</v>
      </c>
      <c r="E619" t="s">
        <v>102</v>
      </c>
      <c r="F619" s="1">
        <v>90512</v>
      </c>
      <c r="G619" s="1">
        <v>96233</v>
      </c>
      <c r="H619">
        <v>263</v>
      </c>
      <c r="I619">
        <v>0.97</v>
      </c>
      <c r="J619">
        <v>6.29</v>
      </c>
      <c r="K619">
        <v>1.2</v>
      </c>
      <c r="L619">
        <v>4</v>
      </c>
      <c r="M619" s="1" t="e">
        <f>#N/A</f>
        <v>#N/A</v>
      </c>
      <c r="N619">
        <v>705</v>
      </c>
      <c r="Q619" t="s">
        <v>117</v>
      </c>
    </row>
    <row r="620" spans="1:17" x14ac:dyDescent="0.35">
      <c r="A620">
        <v>619</v>
      </c>
      <c r="B620">
        <v>2021</v>
      </c>
      <c r="C620">
        <v>2</v>
      </c>
      <c r="D620" t="s">
        <v>37</v>
      </c>
      <c r="E620" t="s">
        <v>94</v>
      </c>
      <c r="F620" s="1">
        <v>35731</v>
      </c>
      <c r="G620" s="1">
        <v>324270</v>
      </c>
      <c r="H620">
        <v>115</v>
      </c>
      <c r="I620">
        <v>0.97</v>
      </c>
      <c r="J620">
        <v>6.29</v>
      </c>
      <c r="K620">
        <v>1.2</v>
      </c>
      <c r="L620">
        <v>10</v>
      </c>
      <c r="M620" s="1" t="e">
        <f>#N/A</f>
        <v>#N/A</v>
      </c>
      <c r="N620">
        <v>524</v>
      </c>
      <c r="Q620" t="s">
        <v>117</v>
      </c>
    </row>
    <row r="621" spans="1:17" x14ac:dyDescent="0.35">
      <c r="A621">
        <v>620</v>
      </c>
      <c r="B621">
        <v>2021</v>
      </c>
      <c r="C621">
        <v>2</v>
      </c>
      <c r="D621" t="s">
        <v>38</v>
      </c>
      <c r="E621" t="s">
        <v>105</v>
      </c>
      <c r="F621" s="1">
        <v>63307</v>
      </c>
      <c r="G621" s="1">
        <v>74099</v>
      </c>
      <c r="H621">
        <v>78</v>
      </c>
      <c r="I621">
        <v>0.97</v>
      </c>
      <c r="J621">
        <v>6.29</v>
      </c>
      <c r="K621">
        <v>1.2</v>
      </c>
      <c r="L621">
        <v>4</v>
      </c>
      <c r="M621" s="1" t="e">
        <f>#N/A</f>
        <v>#N/A</v>
      </c>
      <c r="N621">
        <v>221</v>
      </c>
      <c r="Q621" t="s">
        <v>117</v>
      </c>
    </row>
    <row r="622" spans="1:17" x14ac:dyDescent="0.35">
      <c r="A622">
        <v>621</v>
      </c>
      <c r="B622">
        <v>2021</v>
      </c>
      <c r="C622">
        <v>2</v>
      </c>
      <c r="D622" t="s">
        <v>28</v>
      </c>
      <c r="E622" t="s">
        <v>160</v>
      </c>
      <c r="F622" s="1">
        <v>106537</v>
      </c>
      <c r="G622" s="1">
        <v>228446</v>
      </c>
      <c r="H622">
        <v>326</v>
      </c>
      <c r="I622">
        <v>0.97</v>
      </c>
      <c r="J622">
        <v>6.29</v>
      </c>
      <c r="K622">
        <v>1.2</v>
      </c>
      <c r="L622">
        <v>2</v>
      </c>
      <c r="M622" s="1" t="e">
        <f>#N/A</f>
        <v>#N/A</v>
      </c>
      <c r="N622">
        <v>928</v>
      </c>
      <c r="Q622" t="s">
        <v>118</v>
      </c>
    </row>
    <row r="623" spans="1:17" x14ac:dyDescent="0.35">
      <c r="A623">
        <v>622</v>
      </c>
      <c r="B623">
        <v>2021</v>
      </c>
      <c r="C623">
        <v>2</v>
      </c>
      <c r="D623" t="s">
        <v>14</v>
      </c>
      <c r="E623" t="s">
        <v>158</v>
      </c>
      <c r="F623" s="1">
        <v>84178</v>
      </c>
      <c r="G623" s="1">
        <v>194962</v>
      </c>
      <c r="H623">
        <v>187</v>
      </c>
      <c r="I623">
        <v>0.97</v>
      </c>
      <c r="J623">
        <v>6.29</v>
      </c>
      <c r="K623">
        <v>1.2</v>
      </c>
      <c r="L623">
        <v>8</v>
      </c>
      <c r="M623" s="1" t="e">
        <f>#N/A</f>
        <v>#N/A</v>
      </c>
      <c r="N623">
        <v>401</v>
      </c>
      <c r="Q623" t="s">
        <v>118</v>
      </c>
    </row>
    <row r="624" spans="1:17" x14ac:dyDescent="0.35">
      <c r="A624">
        <v>623</v>
      </c>
      <c r="B624">
        <v>2021</v>
      </c>
      <c r="C624">
        <v>3</v>
      </c>
      <c r="D624" t="s">
        <v>36</v>
      </c>
      <c r="E624" t="s">
        <v>52</v>
      </c>
      <c r="F624" s="1">
        <v>49678</v>
      </c>
      <c r="G624" s="1">
        <v>282259</v>
      </c>
      <c r="H624">
        <v>245</v>
      </c>
      <c r="I624">
        <v>0.97</v>
      </c>
      <c r="J624">
        <v>6.29</v>
      </c>
      <c r="K624">
        <v>1.2</v>
      </c>
      <c r="L624">
        <v>3</v>
      </c>
      <c r="M624" s="1" t="e">
        <f>#N/A</f>
        <v>#N/A</v>
      </c>
      <c r="N624">
        <v>875</v>
      </c>
      <c r="Q624" t="s">
        <v>118</v>
      </c>
    </row>
    <row r="625" spans="1:17" x14ac:dyDescent="0.35">
      <c r="A625">
        <v>624</v>
      </c>
      <c r="B625">
        <v>2021</v>
      </c>
      <c r="C625">
        <v>3</v>
      </c>
      <c r="D625" t="s">
        <v>37</v>
      </c>
      <c r="E625" t="s">
        <v>53</v>
      </c>
      <c r="F625" s="1">
        <v>115639</v>
      </c>
      <c r="G625" s="1">
        <v>419566</v>
      </c>
      <c r="H625">
        <v>376</v>
      </c>
      <c r="I625">
        <v>0.97</v>
      </c>
      <c r="J625">
        <v>6.29</v>
      </c>
      <c r="K625">
        <v>1.2</v>
      </c>
      <c r="L625">
        <v>10</v>
      </c>
      <c r="M625" s="1" t="e">
        <f>#N/A</f>
        <v>#N/A</v>
      </c>
      <c r="N625">
        <v>1161</v>
      </c>
      <c r="Q625" t="s">
        <v>118</v>
      </c>
    </row>
    <row r="626" spans="1:17" x14ac:dyDescent="0.35">
      <c r="A626">
        <v>625</v>
      </c>
      <c r="B626">
        <v>2021</v>
      </c>
      <c r="C626">
        <v>3</v>
      </c>
      <c r="D626" t="s">
        <v>36</v>
      </c>
      <c r="E626" t="s">
        <v>62</v>
      </c>
      <c r="F626" s="1">
        <v>87774</v>
      </c>
      <c r="G626" s="1">
        <v>120268</v>
      </c>
      <c r="H626">
        <v>102</v>
      </c>
      <c r="I626">
        <v>0.97</v>
      </c>
      <c r="J626">
        <v>6.29</v>
      </c>
      <c r="K626">
        <v>1.2</v>
      </c>
      <c r="L626">
        <v>1</v>
      </c>
      <c r="M626" s="1" t="e">
        <f>#N/A</f>
        <v>#N/A</v>
      </c>
      <c r="N626">
        <v>408</v>
      </c>
      <c r="Q626" t="s">
        <v>118</v>
      </c>
    </row>
    <row r="627" spans="1:17" x14ac:dyDescent="0.35">
      <c r="A627">
        <v>626</v>
      </c>
      <c r="B627">
        <v>2021</v>
      </c>
      <c r="C627">
        <v>3</v>
      </c>
      <c r="D627" t="s">
        <v>14</v>
      </c>
      <c r="E627" t="s">
        <v>67</v>
      </c>
      <c r="F627" s="1">
        <v>75875</v>
      </c>
      <c r="G627" s="1">
        <v>392016</v>
      </c>
      <c r="H627">
        <v>254</v>
      </c>
      <c r="I627">
        <v>0.97</v>
      </c>
      <c r="J627">
        <v>6.29</v>
      </c>
      <c r="K627">
        <v>1.2</v>
      </c>
      <c r="L627">
        <v>3</v>
      </c>
      <c r="M627" s="1" t="e">
        <f>#N/A</f>
        <v>#N/A</v>
      </c>
      <c r="N627">
        <v>694</v>
      </c>
      <c r="Q627" t="s">
        <v>118</v>
      </c>
    </row>
    <row r="628" spans="1:17" x14ac:dyDescent="0.35">
      <c r="A628">
        <v>627</v>
      </c>
      <c r="B628">
        <v>2021</v>
      </c>
      <c r="C628">
        <v>3</v>
      </c>
      <c r="D628" t="s">
        <v>36</v>
      </c>
      <c r="E628" t="s">
        <v>118</v>
      </c>
      <c r="F628" s="1">
        <v>74449</v>
      </c>
      <c r="G628" s="1">
        <v>121695</v>
      </c>
      <c r="H628">
        <v>58</v>
      </c>
      <c r="I628">
        <v>0.97</v>
      </c>
      <c r="J628">
        <v>6.29</v>
      </c>
      <c r="K628">
        <v>1.2</v>
      </c>
      <c r="L628">
        <v>2</v>
      </c>
      <c r="M628" s="1" t="e">
        <f>#N/A</f>
        <v>#N/A</v>
      </c>
      <c r="N628">
        <v>542</v>
      </c>
      <c r="Q628" t="s">
        <v>118</v>
      </c>
    </row>
    <row r="629" spans="1:17" x14ac:dyDescent="0.35">
      <c r="A629">
        <v>628</v>
      </c>
      <c r="B629">
        <v>2021</v>
      </c>
      <c r="C629">
        <v>3</v>
      </c>
      <c r="D629" t="s">
        <v>38</v>
      </c>
      <c r="E629" t="s">
        <v>127</v>
      </c>
      <c r="F629" s="1">
        <v>70853</v>
      </c>
      <c r="G629" s="1">
        <v>127511</v>
      </c>
      <c r="H629">
        <v>95</v>
      </c>
      <c r="I629">
        <v>0.97</v>
      </c>
      <c r="J629">
        <v>6.29</v>
      </c>
      <c r="K629">
        <v>1.2</v>
      </c>
      <c r="L629">
        <v>4</v>
      </c>
      <c r="M629" s="1" t="e">
        <f>#N/A</f>
        <v>#N/A</v>
      </c>
      <c r="N629">
        <v>429</v>
      </c>
      <c r="Q629" t="s">
        <v>118</v>
      </c>
    </row>
    <row r="630" spans="1:17" x14ac:dyDescent="0.35">
      <c r="A630">
        <v>629</v>
      </c>
      <c r="B630">
        <v>2021</v>
      </c>
      <c r="C630">
        <v>3</v>
      </c>
      <c r="D630" t="s">
        <v>35</v>
      </c>
      <c r="E630" t="s">
        <v>130</v>
      </c>
      <c r="F630" s="1">
        <v>74886</v>
      </c>
      <c r="G630" s="1">
        <v>176044</v>
      </c>
      <c r="H630">
        <v>282</v>
      </c>
      <c r="I630">
        <v>0.97</v>
      </c>
      <c r="J630">
        <v>6.29</v>
      </c>
      <c r="K630">
        <v>1.2</v>
      </c>
      <c r="L630">
        <v>9</v>
      </c>
      <c r="M630" s="1" t="e">
        <f>#N/A</f>
        <v>#N/A</v>
      </c>
      <c r="N630">
        <v>935</v>
      </c>
      <c r="Q630" t="s">
        <v>118</v>
      </c>
    </row>
    <row r="631" spans="1:17" x14ac:dyDescent="0.35">
      <c r="A631">
        <v>630</v>
      </c>
      <c r="B631">
        <v>2021</v>
      </c>
      <c r="C631">
        <v>3</v>
      </c>
      <c r="D631" t="s">
        <v>38</v>
      </c>
      <c r="E631" t="s">
        <v>153</v>
      </c>
      <c r="F631" s="1">
        <v>46350</v>
      </c>
      <c r="G631" s="1">
        <v>376160</v>
      </c>
      <c r="H631">
        <v>270</v>
      </c>
      <c r="I631">
        <v>0.97</v>
      </c>
      <c r="J631">
        <v>6.29</v>
      </c>
      <c r="K631">
        <v>1.2</v>
      </c>
      <c r="L631">
        <v>1</v>
      </c>
      <c r="M631" s="1" t="e">
        <f>#N/A</f>
        <v>#N/A</v>
      </c>
      <c r="N631">
        <v>944</v>
      </c>
      <c r="Q631" t="s">
        <v>118</v>
      </c>
    </row>
    <row r="632" spans="1:17" x14ac:dyDescent="0.35">
      <c r="A632">
        <v>631</v>
      </c>
      <c r="B632">
        <v>2021</v>
      </c>
      <c r="C632">
        <v>3</v>
      </c>
      <c r="D632" t="s">
        <v>14</v>
      </c>
      <c r="E632" t="e">
        <v>#N/A</v>
      </c>
      <c r="F632" s="1">
        <v>35060</v>
      </c>
      <c r="G632" s="1">
        <v>343313</v>
      </c>
      <c r="H632">
        <v>190</v>
      </c>
      <c r="I632">
        <v>0.97</v>
      </c>
      <c r="J632">
        <v>6.29</v>
      </c>
      <c r="K632">
        <v>1.2</v>
      </c>
      <c r="L632">
        <v>1</v>
      </c>
      <c r="M632" s="1" t="e">
        <f>#N/A</f>
        <v>#N/A</v>
      </c>
      <c r="N632">
        <v>469</v>
      </c>
      <c r="Q632" t="s">
        <v>119</v>
      </c>
    </row>
    <row r="633" spans="1:17" x14ac:dyDescent="0.35">
      <c r="A633">
        <v>632</v>
      </c>
      <c r="B633">
        <v>2021</v>
      </c>
      <c r="C633">
        <v>4</v>
      </c>
      <c r="D633" t="s">
        <v>32</v>
      </c>
      <c r="E633" t="s">
        <v>52</v>
      </c>
      <c r="F633" s="1">
        <v>65341</v>
      </c>
      <c r="G633" s="1">
        <v>418894</v>
      </c>
      <c r="H633">
        <v>166</v>
      </c>
      <c r="I633">
        <v>0.97</v>
      </c>
      <c r="J633">
        <v>6.29</v>
      </c>
      <c r="K633">
        <v>1.2</v>
      </c>
      <c r="L633">
        <v>7</v>
      </c>
      <c r="M633" s="1" t="e">
        <f>#N/A</f>
        <v>#N/A</v>
      </c>
      <c r="N633">
        <v>730</v>
      </c>
      <c r="Q633" t="s">
        <v>119</v>
      </c>
    </row>
    <row r="634" spans="1:17" x14ac:dyDescent="0.35">
      <c r="A634">
        <v>633</v>
      </c>
      <c r="B634">
        <v>2021</v>
      </c>
      <c r="C634">
        <v>4</v>
      </c>
      <c r="D634" t="s">
        <v>21</v>
      </c>
      <c r="E634" t="s">
        <v>68</v>
      </c>
      <c r="F634" s="1">
        <v>36466</v>
      </c>
      <c r="G634" s="1">
        <v>182371</v>
      </c>
      <c r="H634">
        <v>381</v>
      </c>
      <c r="I634">
        <v>0.97</v>
      </c>
      <c r="J634">
        <v>6.29</v>
      </c>
      <c r="K634">
        <v>1.2</v>
      </c>
      <c r="L634">
        <v>3</v>
      </c>
      <c r="M634" s="1" t="e">
        <f>#N/A</f>
        <v>#N/A</v>
      </c>
      <c r="N634">
        <v>992</v>
      </c>
      <c r="Q634" t="s">
        <v>119</v>
      </c>
    </row>
    <row r="635" spans="1:17" x14ac:dyDescent="0.35">
      <c r="A635">
        <v>634</v>
      </c>
      <c r="B635">
        <v>2021</v>
      </c>
      <c r="C635">
        <v>4</v>
      </c>
      <c r="D635" t="s">
        <v>36</v>
      </c>
      <c r="E635" t="s">
        <v>90</v>
      </c>
      <c r="F635" s="1">
        <v>93531</v>
      </c>
      <c r="G635" s="1">
        <v>152326</v>
      </c>
      <c r="H635">
        <v>270</v>
      </c>
      <c r="I635">
        <v>0.97</v>
      </c>
      <c r="J635">
        <v>6.29</v>
      </c>
      <c r="K635">
        <v>1.2</v>
      </c>
      <c r="L635">
        <v>3</v>
      </c>
      <c r="M635" s="1" t="e">
        <f>#N/A</f>
        <v>#N/A</v>
      </c>
      <c r="N635">
        <v>602</v>
      </c>
      <c r="Q635" t="s">
        <v>119</v>
      </c>
    </row>
    <row r="636" spans="1:17" x14ac:dyDescent="0.35">
      <c r="A636">
        <v>635</v>
      </c>
      <c r="B636">
        <v>2021</v>
      </c>
      <c r="C636">
        <v>4</v>
      </c>
      <c r="D636" t="s">
        <v>28</v>
      </c>
      <c r="E636" t="s">
        <v>96</v>
      </c>
      <c r="F636" s="1">
        <v>110483</v>
      </c>
      <c r="G636" s="1">
        <v>427411</v>
      </c>
      <c r="H636">
        <v>225</v>
      </c>
      <c r="I636">
        <v>0.97</v>
      </c>
      <c r="J636">
        <v>6.29</v>
      </c>
      <c r="K636">
        <v>1.2</v>
      </c>
      <c r="L636">
        <v>3</v>
      </c>
      <c r="M636" s="1" t="e">
        <f>#N/A</f>
        <v>#N/A</v>
      </c>
      <c r="N636">
        <v>641</v>
      </c>
      <c r="Q636" t="s">
        <v>119</v>
      </c>
    </row>
    <row r="637" spans="1:17" x14ac:dyDescent="0.35">
      <c r="A637">
        <v>636</v>
      </c>
      <c r="B637">
        <v>2021</v>
      </c>
      <c r="C637">
        <v>4</v>
      </c>
      <c r="D637" t="s">
        <v>25</v>
      </c>
      <c r="E637" t="s">
        <v>105</v>
      </c>
      <c r="F637" s="1">
        <v>51555</v>
      </c>
      <c r="G637" s="1">
        <v>222409</v>
      </c>
      <c r="H637">
        <v>96</v>
      </c>
      <c r="I637">
        <v>0.97</v>
      </c>
      <c r="J637">
        <v>6.29</v>
      </c>
      <c r="K637">
        <v>1.2</v>
      </c>
      <c r="L637">
        <v>10</v>
      </c>
      <c r="M637" s="1" t="e">
        <f>#N/A</f>
        <v>#N/A</v>
      </c>
      <c r="N637">
        <v>245</v>
      </c>
      <c r="Q637" t="s">
        <v>119</v>
      </c>
    </row>
    <row r="638" spans="1:17" x14ac:dyDescent="0.35">
      <c r="A638">
        <v>637</v>
      </c>
      <c r="B638">
        <v>2021</v>
      </c>
      <c r="C638">
        <v>4</v>
      </c>
      <c r="D638" t="s">
        <v>35</v>
      </c>
      <c r="E638" t="s">
        <v>110</v>
      </c>
      <c r="F638" s="1">
        <v>72333</v>
      </c>
      <c r="G638" s="1">
        <v>355007</v>
      </c>
      <c r="H638">
        <v>287</v>
      </c>
      <c r="I638">
        <v>0.97</v>
      </c>
      <c r="J638">
        <v>6.29</v>
      </c>
      <c r="K638">
        <v>1.2</v>
      </c>
      <c r="L638">
        <v>6</v>
      </c>
      <c r="M638" s="1" t="e">
        <f>#N/A</f>
        <v>#N/A</v>
      </c>
      <c r="N638">
        <v>644</v>
      </c>
      <c r="Q638" t="s">
        <v>119</v>
      </c>
    </row>
    <row r="639" spans="1:17" x14ac:dyDescent="0.35">
      <c r="A639">
        <v>638</v>
      </c>
      <c r="B639">
        <v>2021</v>
      </c>
      <c r="C639">
        <v>4</v>
      </c>
      <c r="D639" t="s">
        <v>38</v>
      </c>
      <c r="E639" t="s">
        <v>139</v>
      </c>
      <c r="F639" s="1">
        <v>112713</v>
      </c>
      <c r="G639" s="1">
        <v>139044</v>
      </c>
      <c r="H639">
        <v>100</v>
      </c>
      <c r="I639">
        <v>0.97</v>
      </c>
      <c r="J639">
        <v>6.29</v>
      </c>
      <c r="K639">
        <v>1.2</v>
      </c>
      <c r="L639">
        <v>6</v>
      </c>
      <c r="M639" s="1" t="e">
        <f>#N/A</f>
        <v>#N/A</v>
      </c>
      <c r="N639">
        <v>527</v>
      </c>
      <c r="Q639" t="s">
        <v>119</v>
      </c>
    </row>
    <row r="640" spans="1:17" x14ac:dyDescent="0.35">
      <c r="A640">
        <v>639</v>
      </c>
      <c r="B640">
        <v>2021</v>
      </c>
      <c r="C640">
        <v>4</v>
      </c>
      <c r="D640" t="s">
        <v>14</v>
      </c>
      <c r="E640" t="s">
        <v>129</v>
      </c>
      <c r="F640" s="1">
        <v>90830</v>
      </c>
      <c r="G640" s="1">
        <v>139941</v>
      </c>
      <c r="H640">
        <v>300</v>
      </c>
      <c r="I640">
        <v>0.97</v>
      </c>
      <c r="J640">
        <v>6.29</v>
      </c>
      <c r="K640">
        <v>1.2</v>
      </c>
      <c r="L640">
        <v>8</v>
      </c>
      <c r="M640" s="1" t="e">
        <f>#N/A</f>
        <v>#N/A</v>
      </c>
      <c r="N640">
        <v>629</v>
      </c>
      <c r="Q640" t="s">
        <v>119</v>
      </c>
    </row>
    <row r="641" spans="1:17" x14ac:dyDescent="0.35">
      <c r="A641">
        <v>640</v>
      </c>
      <c r="B641">
        <v>2021</v>
      </c>
      <c r="C641">
        <v>4</v>
      </c>
      <c r="D641" t="s">
        <v>21</v>
      </c>
      <c r="E641" t="s">
        <v>153</v>
      </c>
      <c r="F641" s="1">
        <v>51626</v>
      </c>
      <c r="G641" s="1">
        <v>405398</v>
      </c>
      <c r="H641">
        <v>165</v>
      </c>
      <c r="I641">
        <v>0.97</v>
      </c>
      <c r="J641">
        <v>6.29</v>
      </c>
      <c r="K641">
        <v>1.2</v>
      </c>
      <c r="L641">
        <v>3</v>
      </c>
      <c r="M641" s="1" t="e">
        <f>#N/A</f>
        <v>#N/A</v>
      </c>
      <c r="N641">
        <v>489</v>
      </c>
      <c r="Q641" t="s">
        <v>119</v>
      </c>
    </row>
    <row r="642" spans="1:17" x14ac:dyDescent="0.35">
      <c r="A642">
        <v>641</v>
      </c>
      <c r="B642">
        <v>2021</v>
      </c>
      <c r="C642">
        <v>4</v>
      </c>
      <c r="D642" t="s">
        <v>30</v>
      </c>
      <c r="E642" t="s">
        <v>155</v>
      </c>
      <c r="F642" s="1">
        <v>119719</v>
      </c>
      <c r="G642" s="1">
        <v>157051</v>
      </c>
      <c r="H642">
        <v>196</v>
      </c>
      <c r="I642">
        <v>0.97</v>
      </c>
      <c r="J642">
        <v>6.29</v>
      </c>
      <c r="K642">
        <v>1.2</v>
      </c>
      <c r="L642">
        <v>5</v>
      </c>
      <c r="M642" s="1" t="e">
        <f>#N/A</f>
        <v>#N/A</v>
      </c>
      <c r="N642">
        <v>782</v>
      </c>
      <c r="Q642" t="s">
        <v>120</v>
      </c>
    </row>
    <row r="643" spans="1:17" x14ac:dyDescent="0.35">
      <c r="A643">
        <v>642</v>
      </c>
      <c r="B643">
        <v>2021</v>
      </c>
      <c r="C643">
        <v>5</v>
      </c>
      <c r="D643" t="s">
        <v>30</v>
      </c>
      <c r="E643" t="s">
        <v>48</v>
      </c>
      <c r="F643" s="1">
        <v>83291</v>
      </c>
      <c r="G643" s="1">
        <v>215637</v>
      </c>
      <c r="H643">
        <v>267</v>
      </c>
      <c r="I643">
        <v>0.97</v>
      </c>
      <c r="J643">
        <v>6.29</v>
      </c>
      <c r="K643">
        <v>1.2</v>
      </c>
      <c r="L643">
        <v>3</v>
      </c>
      <c r="M643" s="1" t="e">
        <f>#N/A</f>
        <v>#N/A</v>
      </c>
      <c r="N643">
        <v>899</v>
      </c>
      <c r="Q643" t="s">
        <v>120</v>
      </c>
    </row>
    <row r="644" spans="1:17" x14ac:dyDescent="0.35">
      <c r="A644">
        <v>643</v>
      </c>
      <c r="B644">
        <v>2021</v>
      </c>
      <c r="C644">
        <v>5</v>
      </c>
      <c r="D644" t="s">
        <v>36</v>
      </c>
      <c r="E644" t="s">
        <v>52</v>
      </c>
      <c r="F644" s="1">
        <v>106186</v>
      </c>
      <c r="G644" s="1">
        <v>419653</v>
      </c>
      <c r="H644">
        <v>12</v>
      </c>
      <c r="I644">
        <v>0.97</v>
      </c>
      <c r="J644">
        <v>6.29</v>
      </c>
      <c r="K644">
        <v>1.2</v>
      </c>
      <c r="L644">
        <v>1</v>
      </c>
      <c r="M644" s="1" t="e">
        <f>#N/A</f>
        <v>#N/A</v>
      </c>
      <c r="N644">
        <v>305</v>
      </c>
      <c r="Q644" t="s">
        <v>120</v>
      </c>
    </row>
    <row r="645" spans="1:17" x14ac:dyDescent="0.35">
      <c r="A645">
        <v>644</v>
      </c>
      <c r="B645">
        <v>2021</v>
      </c>
      <c r="C645">
        <v>5</v>
      </c>
      <c r="D645" t="s">
        <v>21</v>
      </c>
      <c r="E645" t="s">
        <v>55</v>
      </c>
      <c r="F645" s="1">
        <v>108591</v>
      </c>
      <c r="G645" s="1">
        <v>299836</v>
      </c>
      <c r="H645">
        <v>160</v>
      </c>
      <c r="I645">
        <v>0.97</v>
      </c>
      <c r="J645">
        <v>6.29</v>
      </c>
      <c r="K645">
        <v>1.2</v>
      </c>
      <c r="L645">
        <v>6</v>
      </c>
      <c r="M645" s="1" t="e">
        <f>#N/A</f>
        <v>#N/A</v>
      </c>
      <c r="N645">
        <v>403</v>
      </c>
      <c r="Q645" t="s">
        <v>120</v>
      </c>
    </row>
    <row r="646" spans="1:17" x14ac:dyDescent="0.35">
      <c r="A646">
        <v>645</v>
      </c>
      <c r="B646">
        <v>2021</v>
      </c>
      <c r="C646">
        <v>5</v>
      </c>
      <c r="D646" t="s">
        <v>38</v>
      </c>
      <c r="E646" t="s">
        <v>97</v>
      </c>
      <c r="F646" s="1">
        <v>38084</v>
      </c>
      <c r="G646" s="1">
        <v>264839</v>
      </c>
      <c r="H646">
        <v>81</v>
      </c>
      <c r="I646">
        <v>0.97</v>
      </c>
      <c r="J646">
        <v>6.29</v>
      </c>
      <c r="K646">
        <v>1.2</v>
      </c>
      <c r="L646">
        <v>8</v>
      </c>
      <c r="M646" s="1" t="e">
        <f>#N/A</f>
        <v>#N/A</v>
      </c>
      <c r="N646">
        <v>267</v>
      </c>
      <c r="Q646" t="s">
        <v>120</v>
      </c>
    </row>
    <row r="647" spans="1:17" x14ac:dyDescent="0.35">
      <c r="A647">
        <v>646</v>
      </c>
      <c r="B647">
        <v>2021</v>
      </c>
      <c r="C647">
        <v>5</v>
      </c>
      <c r="D647" t="s">
        <v>37</v>
      </c>
      <c r="E647" t="s">
        <v>130</v>
      </c>
      <c r="F647" s="1">
        <v>81121</v>
      </c>
      <c r="G647" s="1">
        <v>431923</v>
      </c>
      <c r="H647">
        <v>73</v>
      </c>
      <c r="I647">
        <v>0.97</v>
      </c>
      <c r="J647">
        <v>6.29</v>
      </c>
      <c r="K647">
        <v>1.2</v>
      </c>
      <c r="L647">
        <v>4</v>
      </c>
      <c r="M647" s="1" t="e">
        <f>#N/A</f>
        <v>#N/A</v>
      </c>
      <c r="N647">
        <v>368</v>
      </c>
      <c r="Q647" t="s">
        <v>120</v>
      </c>
    </row>
    <row r="648" spans="1:17" x14ac:dyDescent="0.35">
      <c r="A648">
        <v>647</v>
      </c>
      <c r="B648">
        <v>2021</v>
      </c>
      <c r="C648">
        <v>5</v>
      </c>
      <c r="D648" t="s">
        <v>30</v>
      </c>
      <c r="E648" t="s">
        <v>129</v>
      </c>
      <c r="F648" s="1">
        <v>40515</v>
      </c>
      <c r="G648" s="1">
        <v>275756</v>
      </c>
      <c r="H648">
        <v>216</v>
      </c>
      <c r="I648">
        <v>0.97</v>
      </c>
      <c r="J648">
        <v>6.29</v>
      </c>
      <c r="K648">
        <v>1.2</v>
      </c>
      <c r="L648">
        <v>6</v>
      </c>
      <c r="M648" s="1" t="e">
        <f>#N/A</f>
        <v>#N/A</v>
      </c>
      <c r="N648">
        <v>530</v>
      </c>
      <c r="Q648" t="s">
        <v>120</v>
      </c>
    </row>
    <row r="649" spans="1:17" x14ac:dyDescent="0.35">
      <c r="A649">
        <v>648</v>
      </c>
      <c r="B649">
        <v>2021</v>
      </c>
      <c r="C649">
        <v>5</v>
      </c>
      <c r="D649" t="s">
        <v>32</v>
      </c>
      <c r="E649" t="s">
        <v>141</v>
      </c>
      <c r="F649" s="1">
        <v>75718</v>
      </c>
      <c r="G649" s="1">
        <v>290056</v>
      </c>
      <c r="H649">
        <v>380</v>
      </c>
      <c r="I649">
        <v>0.97</v>
      </c>
      <c r="J649">
        <v>6.29</v>
      </c>
      <c r="K649">
        <v>1.2</v>
      </c>
      <c r="L649">
        <v>10</v>
      </c>
      <c r="M649" s="1" t="e">
        <f>#N/A</f>
        <v>#N/A</v>
      </c>
      <c r="N649">
        <v>1088</v>
      </c>
      <c r="Q649" t="s">
        <v>120</v>
      </c>
    </row>
    <row r="650" spans="1:17" x14ac:dyDescent="0.35">
      <c r="A650">
        <v>649</v>
      </c>
      <c r="B650">
        <v>2021</v>
      </c>
      <c r="C650">
        <v>6</v>
      </c>
      <c r="D650" t="s">
        <v>36</v>
      </c>
      <c r="E650" t="s">
        <v>55</v>
      </c>
      <c r="F650" s="1">
        <v>90798</v>
      </c>
      <c r="G650" s="1">
        <v>398984</v>
      </c>
      <c r="H650">
        <v>377</v>
      </c>
      <c r="I650">
        <v>0.97</v>
      </c>
      <c r="J650">
        <v>6.29</v>
      </c>
      <c r="K650">
        <v>1.2</v>
      </c>
      <c r="L650">
        <v>4</v>
      </c>
      <c r="M650" s="1" t="e">
        <f>#N/A</f>
        <v>#N/A</v>
      </c>
      <c r="N650">
        <v>1008</v>
      </c>
      <c r="Q650" t="s">
        <v>120</v>
      </c>
    </row>
    <row r="651" spans="1:17" x14ac:dyDescent="0.35">
      <c r="A651">
        <v>650</v>
      </c>
      <c r="B651">
        <v>2021</v>
      </c>
      <c r="C651">
        <v>6</v>
      </c>
      <c r="D651" t="s">
        <v>25</v>
      </c>
      <c r="E651" t="s">
        <v>53</v>
      </c>
      <c r="F651" s="1">
        <v>48851</v>
      </c>
      <c r="G651" s="1">
        <v>379478</v>
      </c>
      <c r="H651">
        <v>149</v>
      </c>
      <c r="I651">
        <v>0.97</v>
      </c>
      <c r="J651">
        <v>6.29</v>
      </c>
      <c r="K651">
        <v>1.2</v>
      </c>
      <c r="L651">
        <v>8</v>
      </c>
      <c r="M651" s="1" t="e">
        <f>#N/A</f>
        <v>#N/A</v>
      </c>
      <c r="N651">
        <v>347</v>
      </c>
      <c r="Q651" t="s">
        <v>121</v>
      </c>
    </row>
    <row r="652" spans="1:17" x14ac:dyDescent="0.35">
      <c r="A652">
        <v>651</v>
      </c>
      <c r="B652">
        <v>2021</v>
      </c>
      <c r="C652">
        <v>6</v>
      </c>
      <c r="D652" t="s">
        <v>37</v>
      </c>
      <c r="E652" t="s">
        <v>55</v>
      </c>
      <c r="F652" s="1">
        <v>59466</v>
      </c>
      <c r="G652" s="1">
        <v>295847</v>
      </c>
      <c r="H652">
        <v>38</v>
      </c>
      <c r="I652">
        <v>0.97</v>
      </c>
      <c r="J652">
        <v>6.29</v>
      </c>
      <c r="K652">
        <v>1.2</v>
      </c>
      <c r="L652">
        <v>10</v>
      </c>
      <c r="M652" s="1" t="e">
        <f>#N/A</f>
        <v>#N/A</v>
      </c>
      <c r="N652">
        <v>415</v>
      </c>
      <c r="Q652" t="s">
        <v>121</v>
      </c>
    </row>
    <row r="653" spans="1:17" x14ac:dyDescent="0.35">
      <c r="A653">
        <v>652</v>
      </c>
      <c r="B653">
        <v>2021</v>
      </c>
      <c r="C653">
        <v>6</v>
      </c>
      <c r="D653" t="s">
        <v>37</v>
      </c>
      <c r="E653" t="s">
        <v>64</v>
      </c>
      <c r="F653" s="1">
        <v>96247</v>
      </c>
      <c r="G653" s="1">
        <v>292330</v>
      </c>
      <c r="H653">
        <v>46</v>
      </c>
      <c r="I653">
        <v>0.97</v>
      </c>
      <c r="J653">
        <v>6.29</v>
      </c>
      <c r="K653">
        <v>1.2</v>
      </c>
      <c r="L653">
        <v>8</v>
      </c>
      <c r="M653" s="1" t="e">
        <f>#N/A</f>
        <v>#N/A</v>
      </c>
      <c r="N653">
        <v>136</v>
      </c>
      <c r="Q653" t="s">
        <v>121</v>
      </c>
    </row>
    <row r="654" spans="1:17" x14ac:dyDescent="0.35">
      <c r="A654">
        <v>653</v>
      </c>
      <c r="B654">
        <v>2021</v>
      </c>
      <c r="C654">
        <v>6</v>
      </c>
      <c r="D654" t="s">
        <v>38</v>
      </c>
      <c r="E654" t="s">
        <v>89</v>
      </c>
      <c r="F654" s="1">
        <v>35924</v>
      </c>
      <c r="G654" s="1">
        <v>336744</v>
      </c>
      <c r="H654">
        <v>310</v>
      </c>
      <c r="I654">
        <v>0.97</v>
      </c>
      <c r="J654">
        <v>6.29</v>
      </c>
      <c r="K654">
        <v>1.2</v>
      </c>
      <c r="L654">
        <v>3</v>
      </c>
      <c r="M654" s="1" t="e">
        <f>#N/A</f>
        <v>#N/A</v>
      </c>
      <c r="N654">
        <v>830</v>
      </c>
      <c r="Q654" t="s">
        <v>121</v>
      </c>
    </row>
    <row r="655" spans="1:17" x14ac:dyDescent="0.35">
      <c r="A655">
        <v>654</v>
      </c>
      <c r="B655">
        <v>2021</v>
      </c>
      <c r="C655">
        <v>6</v>
      </c>
      <c r="D655" t="s">
        <v>30</v>
      </c>
      <c r="E655" t="s">
        <v>97</v>
      </c>
      <c r="F655" s="1">
        <v>101537</v>
      </c>
      <c r="G655" s="1">
        <v>311849</v>
      </c>
      <c r="H655">
        <v>35</v>
      </c>
      <c r="I655">
        <v>0.97</v>
      </c>
      <c r="J655">
        <v>6.29</v>
      </c>
      <c r="K655">
        <v>1.2</v>
      </c>
      <c r="L655">
        <v>4</v>
      </c>
      <c r="M655" s="1" t="e">
        <f>#N/A</f>
        <v>#N/A</v>
      </c>
      <c r="N655">
        <v>416</v>
      </c>
      <c r="Q655" t="s">
        <v>121</v>
      </c>
    </row>
    <row r="656" spans="1:17" x14ac:dyDescent="0.35">
      <c r="A656">
        <v>655</v>
      </c>
      <c r="B656">
        <v>2021</v>
      </c>
      <c r="C656">
        <v>6</v>
      </c>
      <c r="D656" t="s">
        <v>28</v>
      </c>
      <c r="E656" t="s">
        <v>150</v>
      </c>
      <c r="F656" s="1">
        <v>56029</v>
      </c>
      <c r="G656" s="1">
        <v>153920</v>
      </c>
      <c r="H656">
        <v>303</v>
      </c>
      <c r="I656">
        <v>0.97</v>
      </c>
      <c r="J656">
        <v>6.29</v>
      </c>
      <c r="K656">
        <v>1.2</v>
      </c>
      <c r="L656">
        <v>9</v>
      </c>
      <c r="M656" s="1" t="e">
        <f>#N/A</f>
        <v>#N/A</v>
      </c>
      <c r="N656">
        <v>682</v>
      </c>
      <c r="Q656" t="s">
        <v>121</v>
      </c>
    </row>
    <row r="657" spans="1:17" x14ac:dyDescent="0.35">
      <c r="A657">
        <v>656</v>
      </c>
      <c r="B657">
        <v>2021</v>
      </c>
      <c r="C657">
        <v>6</v>
      </c>
      <c r="D657" t="s">
        <v>36</v>
      </c>
      <c r="E657" t="s">
        <v>153</v>
      </c>
      <c r="F657" s="1">
        <v>94658</v>
      </c>
      <c r="G657" s="1">
        <v>169975</v>
      </c>
      <c r="H657">
        <v>124</v>
      </c>
      <c r="I657">
        <v>0.97</v>
      </c>
      <c r="J657">
        <v>6.29</v>
      </c>
      <c r="K657">
        <v>1.2</v>
      </c>
      <c r="L657">
        <v>8</v>
      </c>
      <c r="M657" s="1" t="e">
        <f>#N/A</f>
        <v>#N/A</v>
      </c>
      <c r="N657">
        <v>428</v>
      </c>
      <c r="Q657" t="s">
        <v>121</v>
      </c>
    </row>
    <row r="658" spans="1:17" x14ac:dyDescent="0.35">
      <c r="A658">
        <v>657</v>
      </c>
      <c r="B658">
        <v>2021</v>
      </c>
      <c r="C658">
        <v>6</v>
      </c>
      <c r="D658" t="s">
        <v>35</v>
      </c>
      <c r="E658" t="s">
        <v>159</v>
      </c>
      <c r="F658" s="1">
        <v>35215</v>
      </c>
      <c r="G658" s="1">
        <v>268168</v>
      </c>
      <c r="H658">
        <v>114</v>
      </c>
      <c r="I658">
        <v>0.97</v>
      </c>
      <c r="J658">
        <v>6.29</v>
      </c>
      <c r="K658">
        <v>1.2</v>
      </c>
      <c r="L658">
        <v>9</v>
      </c>
      <c r="M658" s="1" t="e">
        <f>#N/A</f>
        <v>#N/A</v>
      </c>
      <c r="N658">
        <v>288</v>
      </c>
      <c r="Q658" t="s">
        <v>121</v>
      </c>
    </row>
    <row r="659" spans="1:17" x14ac:dyDescent="0.35">
      <c r="A659">
        <v>658</v>
      </c>
      <c r="B659">
        <v>2021</v>
      </c>
      <c r="C659">
        <v>7</v>
      </c>
      <c r="D659" t="s">
        <v>36</v>
      </c>
      <c r="E659" t="s">
        <v>69</v>
      </c>
      <c r="F659" s="1">
        <v>93861</v>
      </c>
      <c r="G659" s="1">
        <v>262803</v>
      </c>
      <c r="H659">
        <v>197</v>
      </c>
      <c r="I659">
        <v>0.97</v>
      </c>
      <c r="J659">
        <v>6.29</v>
      </c>
      <c r="K659">
        <v>1.2</v>
      </c>
      <c r="L659">
        <v>6</v>
      </c>
      <c r="M659" s="1" t="e">
        <f>#N/A</f>
        <v>#N/A</v>
      </c>
      <c r="N659">
        <v>615</v>
      </c>
      <c r="Q659" t="s">
        <v>121</v>
      </c>
    </row>
    <row r="660" spans="1:17" x14ac:dyDescent="0.35">
      <c r="A660">
        <v>659</v>
      </c>
      <c r="B660">
        <v>2021</v>
      </c>
      <c r="C660">
        <v>7</v>
      </c>
      <c r="D660" t="s">
        <v>38</v>
      </c>
      <c r="E660" t="s">
        <v>90</v>
      </c>
      <c r="F660" s="1">
        <v>40867</v>
      </c>
      <c r="G660" s="1">
        <v>446456</v>
      </c>
      <c r="H660">
        <v>158</v>
      </c>
      <c r="I660">
        <v>0.97</v>
      </c>
      <c r="J660">
        <v>6.29</v>
      </c>
      <c r="K660">
        <v>1.2</v>
      </c>
      <c r="L660">
        <v>7</v>
      </c>
      <c r="M660" s="1" t="e">
        <f>#N/A</f>
        <v>#N/A</v>
      </c>
      <c r="N660">
        <v>426</v>
      </c>
      <c r="Q660" t="s">
        <v>121</v>
      </c>
    </row>
    <row r="661" spans="1:17" x14ac:dyDescent="0.35">
      <c r="A661">
        <v>660</v>
      </c>
      <c r="B661">
        <v>2021</v>
      </c>
      <c r="C661">
        <v>7</v>
      </c>
      <c r="D661" t="s">
        <v>37</v>
      </c>
      <c r="E661" t="s">
        <v>100</v>
      </c>
      <c r="F661" s="1">
        <v>115820</v>
      </c>
      <c r="G661" s="1">
        <v>95689</v>
      </c>
      <c r="H661">
        <v>331</v>
      </c>
      <c r="I661">
        <v>0.97</v>
      </c>
      <c r="J661">
        <v>6.29</v>
      </c>
      <c r="K661">
        <v>1.2</v>
      </c>
      <c r="L661">
        <v>5</v>
      </c>
      <c r="M661" s="1" t="e">
        <f>#N/A</f>
        <v>#N/A</v>
      </c>
      <c r="N661">
        <v>1055</v>
      </c>
      <c r="Q661" t="s">
        <v>122</v>
      </c>
    </row>
    <row r="662" spans="1:17" x14ac:dyDescent="0.35">
      <c r="A662">
        <v>661</v>
      </c>
      <c r="B662">
        <v>2021</v>
      </c>
      <c r="C662">
        <v>7</v>
      </c>
      <c r="D662" t="s">
        <v>36</v>
      </c>
      <c r="E662" t="s">
        <v>115</v>
      </c>
      <c r="F662" s="1">
        <v>114878</v>
      </c>
      <c r="G662" s="1">
        <v>53089</v>
      </c>
      <c r="H662">
        <v>112</v>
      </c>
      <c r="I662">
        <v>0.97</v>
      </c>
      <c r="J662">
        <v>6.29</v>
      </c>
      <c r="K662">
        <v>1.2</v>
      </c>
      <c r="L662">
        <v>7</v>
      </c>
      <c r="M662" s="1" t="e">
        <f>#N/A</f>
        <v>#N/A</v>
      </c>
      <c r="N662">
        <v>453</v>
      </c>
      <c r="Q662" t="s">
        <v>122</v>
      </c>
    </row>
    <row r="663" spans="1:17" x14ac:dyDescent="0.35">
      <c r="A663">
        <v>662</v>
      </c>
      <c r="B663">
        <v>2021</v>
      </c>
      <c r="C663">
        <v>7</v>
      </c>
      <c r="D663" t="s">
        <v>25</v>
      </c>
      <c r="E663" t="s">
        <v>107</v>
      </c>
      <c r="F663" s="1">
        <v>118053</v>
      </c>
      <c r="G663" s="1">
        <v>148707</v>
      </c>
      <c r="H663">
        <v>13</v>
      </c>
      <c r="I663">
        <v>0.97</v>
      </c>
      <c r="J663">
        <v>6.29</v>
      </c>
      <c r="K663">
        <v>1.2</v>
      </c>
      <c r="L663">
        <v>2</v>
      </c>
      <c r="M663" s="1" t="e">
        <f>#N/A</f>
        <v>#N/A</v>
      </c>
      <c r="N663">
        <v>290</v>
      </c>
      <c r="Q663" t="s">
        <v>122</v>
      </c>
    </row>
    <row r="664" spans="1:17" x14ac:dyDescent="0.35">
      <c r="A664">
        <v>663</v>
      </c>
      <c r="B664">
        <v>2021</v>
      </c>
      <c r="C664">
        <v>7</v>
      </c>
      <c r="D664" t="s">
        <v>30</v>
      </c>
      <c r="E664" t="s">
        <v>117</v>
      </c>
      <c r="F664" s="1">
        <v>90734</v>
      </c>
      <c r="G664" s="1">
        <v>207977</v>
      </c>
      <c r="H664">
        <v>57</v>
      </c>
      <c r="I664">
        <v>0.97</v>
      </c>
      <c r="J664">
        <v>6.29</v>
      </c>
      <c r="K664">
        <v>1.2</v>
      </c>
      <c r="L664">
        <v>5</v>
      </c>
      <c r="M664" s="1" t="e">
        <f>#N/A</f>
        <v>#N/A</v>
      </c>
      <c r="N664">
        <v>213</v>
      </c>
      <c r="Q664" t="s">
        <v>122</v>
      </c>
    </row>
    <row r="665" spans="1:17" x14ac:dyDescent="0.35">
      <c r="A665">
        <v>664</v>
      </c>
      <c r="B665">
        <v>2021</v>
      </c>
      <c r="C665">
        <v>7</v>
      </c>
      <c r="D665" t="s">
        <v>38</v>
      </c>
      <c r="E665" t="s">
        <v>144</v>
      </c>
      <c r="F665" s="1">
        <v>82662</v>
      </c>
      <c r="G665" s="1">
        <v>230775</v>
      </c>
      <c r="H665">
        <v>267</v>
      </c>
      <c r="I665">
        <v>0.97</v>
      </c>
      <c r="J665">
        <v>6.29</v>
      </c>
      <c r="K665">
        <v>1.2</v>
      </c>
      <c r="L665">
        <v>9</v>
      </c>
      <c r="M665" s="1" t="e">
        <f>#N/A</f>
        <v>#N/A</v>
      </c>
      <c r="N665">
        <v>641</v>
      </c>
      <c r="Q665" t="s">
        <v>122</v>
      </c>
    </row>
    <row r="666" spans="1:17" x14ac:dyDescent="0.35">
      <c r="A666">
        <v>665</v>
      </c>
      <c r="B666">
        <v>2021</v>
      </c>
      <c r="C666">
        <v>7</v>
      </c>
      <c r="D666" t="s">
        <v>28</v>
      </c>
      <c r="E666" t="s">
        <v>152</v>
      </c>
      <c r="F666" s="1">
        <v>68672</v>
      </c>
      <c r="G666" s="1">
        <v>63440</v>
      </c>
      <c r="H666">
        <v>51</v>
      </c>
      <c r="I666">
        <v>0.97</v>
      </c>
      <c r="J666">
        <v>6.29</v>
      </c>
      <c r="K666">
        <v>1.2</v>
      </c>
      <c r="L666">
        <v>8</v>
      </c>
      <c r="M666" s="1" t="e">
        <f>#N/A</f>
        <v>#N/A</v>
      </c>
      <c r="N666">
        <v>187</v>
      </c>
      <c r="Q666" t="s">
        <v>122</v>
      </c>
    </row>
    <row r="667" spans="1:17" x14ac:dyDescent="0.35">
      <c r="A667">
        <v>666</v>
      </c>
      <c r="B667">
        <v>2021</v>
      </c>
      <c r="C667">
        <v>8</v>
      </c>
      <c r="D667" t="s">
        <v>32</v>
      </c>
      <c r="E667" t="s">
        <v>51</v>
      </c>
      <c r="F667" s="1">
        <v>81041</v>
      </c>
      <c r="G667" s="1">
        <v>194179</v>
      </c>
      <c r="H667">
        <v>276</v>
      </c>
      <c r="I667">
        <v>0.97</v>
      </c>
      <c r="J667">
        <v>6.29</v>
      </c>
      <c r="K667">
        <v>1.2</v>
      </c>
      <c r="L667">
        <v>1</v>
      </c>
      <c r="M667" s="1" t="e">
        <f>#N/A</f>
        <v>#N/A</v>
      </c>
      <c r="N667">
        <v>636</v>
      </c>
      <c r="Q667" t="s">
        <v>122</v>
      </c>
    </row>
    <row r="668" spans="1:17" x14ac:dyDescent="0.35">
      <c r="A668">
        <v>667</v>
      </c>
      <c r="B668">
        <v>2021</v>
      </c>
      <c r="C668">
        <v>8</v>
      </c>
      <c r="D668" t="s">
        <v>14</v>
      </c>
      <c r="E668" t="s">
        <v>44</v>
      </c>
      <c r="F668" s="1">
        <v>118658</v>
      </c>
      <c r="G668" s="1">
        <v>82940</v>
      </c>
      <c r="H668">
        <v>59</v>
      </c>
      <c r="I668">
        <v>0.97</v>
      </c>
      <c r="J668">
        <v>6.29</v>
      </c>
      <c r="K668">
        <v>1.2</v>
      </c>
      <c r="L668">
        <v>5</v>
      </c>
      <c r="M668" s="1" t="e">
        <f>#N/A</f>
        <v>#N/A</v>
      </c>
      <c r="N668">
        <v>496</v>
      </c>
      <c r="Q668" t="s">
        <v>123</v>
      </c>
    </row>
    <row r="669" spans="1:17" x14ac:dyDescent="0.35">
      <c r="A669">
        <v>668</v>
      </c>
      <c r="B669">
        <v>2021</v>
      </c>
      <c r="C669">
        <v>8</v>
      </c>
      <c r="D669" t="s">
        <v>14</v>
      </c>
      <c r="E669" t="s">
        <v>71</v>
      </c>
      <c r="F669" s="1">
        <v>106466</v>
      </c>
      <c r="G669" s="1">
        <v>78885</v>
      </c>
      <c r="H669">
        <v>329</v>
      </c>
      <c r="I669">
        <v>0.97</v>
      </c>
      <c r="J669">
        <v>6.29</v>
      </c>
      <c r="K669">
        <v>1.2</v>
      </c>
      <c r="L669">
        <v>1</v>
      </c>
      <c r="M669" s="1" t="e">
        <f>#N/A</f>
        <v>#N/A</v>
      </c>
      <c r="N669">
        <v>749</v>
      </c>
      <c r="Q669" t="s">
        <v>123</v>
      </c>
    </row>
    <row r="670" spans="1:17" x14ac:dyDescent="0.35">
      <c r="A670">
        <v>669</v>
      </c>
      <c r="B670">
        <v>2021</v>
      </c>
      <c r="C670">
        <v>8</v>
      </c>
      <c r="D670" t="s">
        <v>32</v>
      </c>
      <c r="E670" t="s">
        <v>77</v>
      </c>
      <c r="F670" s="1">
        <v>61026</v>
      </c>
      <c r="G670" s="1">
        <v>255753</v>
      </c>
      <c r="H670">
        <v>45</v>
      </c>
      <c r="I670">
        <v>0.97</v>
      </c>
      <c r="J670">
        <v>6.29</v>
      </c>
      <c r="K670">
        <v>1.2</v>
      </c>
      <c r="L670">
        <v>8</v>
      </c>
      <c r="M670" s="1" t="e">
        <f>#N/A</f>
        <v>#N/A</v>
      </c>
      <c r="N670">
        <v>201</v>
      </c>
      <c r="Q670" t="s">
        <v>123</v>
      </c>
    </row>
    <row r="671" spans="1:17" x14ac:dyDescent="0.35">
      <c r="A671">
        <v>670</v>
      </c>
      <c r="B671">
        <v>2021</v>
      </c>
      <c r="C671">
        <v>8</v>
      </c>
      <c r="D671" t="s">
        <v>30</v>
      </c>
      <c r="E671" t="s">
        <v>74</v>
      </c>
      <c r="F671" s="1">
        <v>91759</v>
      </c>
      <c r="G671" s="1">
        <v>333816</v>
      </c>
      <c r="H671">
        <v>306</v>
      </c>
      <c r="I671">
        <v>0.97</v>
      </c>
      <c r="J671">
        <v>6.29</v>
      </c>
      <c r="K671">
        <v>1.2</v>
      </c>
      <c r="L671">
        <v>6</v>
      </c>
      <c r="M671" s="1" t="e">
        <f>#N/A</f>
        <v>#N/A</v>
      </c>
      <c r="N671">
        <v>876</v>
      </c>
      <c r="Q671" t="s">
        <v>123</v>
      </c>
    </row>
    <row r="672" spans="1:17" x14ac:dyDescent="0.35">
      <c r="A672">
        <v>671</v>
      </c>
      <c r="B672">
        <v>2021</v>
      </c>
      <c r="C672">
        <v>8</v>
      </c>
      <c r="D672" t="s">
        <v>14</v>
      </c>
      <c r="E672" t="s">
        <v>93</v>
      </c>
      <c r="F672" s="1">
        <v>39239</v>
      </c>
      <c r="G672" s="1">
        <v>469876</v>
      </c>
      <c r="H672">
        <v>126</v>
      </c>
      <c r="I672">
        <v>0.97</v>
      </c>
      <c r="J672">
        <v>6.29</v>
      </c>
      <c r="K672">
        <v>1.2</v>
      </c>
      <c r="L672">
        <v>7</v>
      </c>
      <c r="M672" s="1" t="e">
        <f>#N/A</f>
        <v>#N/A</v>
      </c>
      <c r="N672">
        <v>659</v>
      </c>
      <c r="Q672" t="s">
        <v>124</v>
      </c>
    </row>
    <row r="673" spans="1:17" x14ac:dyDescent="0.35">
      <c r="A673">
        <v>672</v>
      </c>
      <c r="B673">
        <v>2021</v>
      </c>
      <c r="C673">
        <v>8</v>
      </c>
      <c r="D673" t="s">
        <v>36</v>
      </c>
      <c r="E673" t="s">
        <v>150</v>
      </c>
      <c r="F673" s="1">
        <v>103469</v>
      </c>
      <c r="G673" s="1">
        <v>355302</v>
      </c>
      <c r="H673">
        <v>170</v>
      </c>
      <c r="I673">
        <v>0.97</v>
      </c>
      <c r="J673">
        <v>6.29</v>
      </c>
      <c r="K673">
        <v>1.2</v>
      </c>
      <c r="L673">
        <v>10</v>
      </c>
      <c r="M673" s="1" t="e">
        <f>#N/A</f>
        <v>#N/A</v>
      </c>
      <c r="N673">
        <v>735</v>
      </c>
      <c r="Q673" t="s">
        <v>124</v>
      </c>
    </row>
    <row r="674" spans="1:17" x14ac:dyDescent="0.35">
      <c r="A674">
        <v>673</v>
      </c>
      <c r="B674">
        <v>2021</v>
      </c>
      <c r="C674">
        <v>8</v>
      </c>
      <c r="D674" t="s">
        <v>21</v>
      </c>
      <c r="E674" t="s">
        <v>161</v>
      </c>
      <c r="F674" s="1">
        <v>69069</v>
      </c>
      <c r="G674" s="1">
        <v>445783</v>
      </c>
      <c r="H674">
        <v>93</v>
      </c>
      <c r="I674">
        <v>0.97</v>
      </c>
      <c r="J674">
        <v>6.29</v>
      </c>
      <c r="K674">
        <v>1.2</v>
      </c>
      <c r="L674">
        <v>8</v>
      </c>
      <c r="M674" s="1" t="e">
        <f>#N/A</f>
        <v>#N/A</v>
      </c>
      <c r="N674">
        <v>357</v>
      </c>
      <c r="Q674" t="s">
        <v>124</v>
      </c>
    </row>
    <row r="675" spans="1:17" x14ac:dyDescent="0.35">
      <c r="A675">
        <v>674</v>
      </c>
      <c r="B675">
        <v>2021</v>
      </c>
      <c r="C675">
        <v>9</v>
      </c>
      <c r="D675" t="s">
        <v>32</v>
      </c>
      <c r="E675" t="s">
        <v>70</v>
      </c>
      <c r="F675" s="1">
        <v>96084</v>
      </c>
      <c r="G675" s="1">
        <v>184563</v>
      </c>
      <c r="H675">
        <v>197</v>
      </c>
      <c r="I675">
        <v>0.97</v>
      </c>
      <c r="J675">
        <v>6.29</v>
      </c>
      <c r="K675">
        <v>1.2</v>
      </c>
      <c r="L675">
        <v>8</v>
      </c>
      <c r="M675" s="1" t="e">
        <f>#N/A</f>
        <v>#N/A</v>
      </c>
      <c r="N675">
        <v>430</v>
      </c>
      <c r="Q675" t="s">
        <v>124</v>
      </c>
    </row>
    <row r="676" spans="1:17" x14ac:dyDescent="0.35">
      <c r="A676">
        <v>675</v>
      </c>
      <c r="B676">
        <v>2021</v>
      </c>
      <c r="C676">
        <v>9</v>
      </c>
      <c r="D676" t="s">
        <v>28</v>
      </c>
      <c r="E676" t="s">
        <v>70</v>
      </c>
      <c r="F676" s="1">
        <v>90514</v>
      </c>
      <c r="G676" s="1">
        <v>267995</v>
      </c>
      <c r="H676">
        <v>285</v>
      </c>
      <c r="I676">
        <v>0.97</v>
      </c>
      <c r="J676">
        <v>6.29</v>
      </c>
      <c r="K676">
        <v>1.2</v>
      </c>
      <c r="L676">
        <v>2</v>
      </c>
      <c r="M676" s="1" t="e">
        <f>#N/A</f>
        <v>#N/A</v>
      </c>
      <c r="N676">
        <v>884</v>
      </c>
      <c r="Q676" t="s">
        <v>124</v>
      </c>
    </row>
    <row r="677" spans="1:17" x14ac:dyDescent="0.35">
      <c r="A677">
        <v>676</v>
      </c>
      <c r="B677">
        <v>2021</v>
      </c>
      <c r="C677">
        <v>9</v>
      </c>
      <c r="D677" t="s">
        <v>25</v>
      </c>
      <c r="E677" t="s">
        <v>68</v>
      </c>
      <c r="F677" s="1">
        <v>79755</v>
      </c>
      <c r="G677" s="1">
        <v>441351</v>
      </c>
      <c r="H677">
        <v>290</v>
      </c>
      <c r="I677">
        <v>0.97</v>
      </c>
      <c r="J677">
        <v>6.29</v>
      </c>
      <c r="K677">
        <v>1.2</v>
      </c>
      <c r="L677">
        <v>8</v>
      </c>
      <c r="M677" s="1" t="e">
        <f>#N/A</f>
        <v>#N/A</v>
      </c>
      <c r="N677">
        <v>602</v>
      </c>
      <c r="Q677" t="s">
        <v>124</v>
      </c>
    </row>
    <row r="678" spans="1:17" x14ac:dyDescent="0.35">
      <c r="A678">
        <v>677</v>
      </c>
      <c r="B678">
        <v>2021</v>
      </c>
      <c r="C678">
        <v>9</v>
      </c>
      <c r="D678" t="s">
        <v>35</v>
      </c>
      <c r="E678" t="s">
        <v>94</v>
      </c>
      <c r="F678" s="1">
        <v>65979</v>
      </c>
      <c r="G678" s="1">
        <v>345685</v>
      </c>
      <c r="H678">
        <v>40</v>
      </c>
      <c r="I678">
        <v>0.97</v>
      </c>
      <c r="J678">
        <v>6.29</v>
      </c>
      <c r="K678">
        <v>1.2</v>
      </c>
      <c r="L678">
        <v>6</v>
      </c>
      <c r="M678" s="1" t="e">
        <f>#N/A</f>
        <v>#N/A</v>
      </c>
      <c r="N678">
        <v>203</v>
      </c>
      <c r="Q678" t="s">
        <v>124</v>
      </c>
    </row>
    <row r="679" spans="1:17" x14ac:dyDescent="0.35">
      <c r="A679">
        <v>678</v>
      </c>
      <c r="B679">
        <v>2021</v>
      </c>
      <c r="C679">
        <v>9</v>
      </c>
      <c r="D679" t="s">
        <v>14</v>
      </c>
      <c r="E679" t="s">
        <v>99</v>
      </c>
      <c r="F679" s="1">
        <v>84036</v>
      </c>
      <c r="G679" s="1">
        <v>416378</v>
      </c>
      <c r="H679">
        <v>284</v>
      </c>
      <c r="I679">
        <v>0.97</v>
      </c>
      <c r="J679">
        <v>6.29</v>
      </c>
      <c r="K679">
        <v>1.2</v>
      </c>
      <c r="L679">
        <v>1</v>
      </c>
      <c r="M679" s="1" t="e">
        <f>#N/A</f>
        <v>#N/A</v>
      </c>
      <c r="N679">
        <v>1016</v>
      </c>
      <c r="Q679" t="s">
        <v>124</v>
      </c>
    </row>
    <row r="680" spans="1:17" x14ac:dyDescent="0.35">
      <c r="A680">
        <v>679</v>
      </c>
      <c r="B680">
        <v>2021</v>
      </c>
      <c r="C680">
        <v>9</v>
      </c>
      <c r="D680" t="s">
        <v>25</v>
      </c>
      <c r="E680" t="s">
        <v>121</v>
      </c>
      <c r="F680" s="1">
        <v>115409</v>
      </c>
      <c r="G680" s="1">
        <v>163034</v>
      </c>
      <c r="H680">
        <v>250</v>
      </c>
      <c r="I680">
        <v>0.97</v>
      </c>
      <c r="J680">
        <v>6.29</v>
      </c>
      <c r="K680">
        <v>1.2</v>
      </c>
      <c r="L680">
        <v>4</v>
      </c>
      <c r="M680" s="1" t="e">
        <f>#N/A</f>
        <v>#N/A</v>
      </c>
      <c r="N680">
        <v>710</v>
      </c>
      <c r="Q680" t="s">
        <v>124</v>
      </c>
    </row>
    <row r="681" spans="1:17" x14ac:dyDescent="0.35">
      <c r="A681">
        <v>680</v>
      </c>
      <c r="B681">
        <v>2021</v>
      </c>
      <c r="C681">
        <v>10</v>
      </c>
      <c r="D681" t="s">
        <v>32</v>
      </c>
      <c r="E681" t="s">
        <v>52</v>
      </c>
      <c r="F681" s="1">
        <v>84002</v>
      </c>
      <c r="G681" s="1">
        <v>82152</v>
      </c>
      <c r="H681">
        <v>251</v>
      </c>
      <c r="I681">
        <v>0.97</v>
      </c>
      <c r="J681">
        <v>6.29</v>
      </c>
      <c r="K681">
        <v>1.2</v>
      </c>
      <c r="L681">
        <v>7</v>
      </c>
      <c r="M681" s="1" t="e">
        <f>#N/A</f>
        <v>#N/A</v>
      </c>
      <c r="N681">
        <v>662</v>
      </c>
      <c r="Q681" t="s">
        <v>125</v>
      </c>
    </row>
    <row r="682" spans="1:17" x14ac:dyDescent="0.35">
      <c r="A682">
        <v>681</v>
      </c>
      <c r="B682">
        <v>2021</v>
      </c>
      <c r="C682">
        <v>10</v>
      </c>
      <c r="D682" t="s">
        <v>28</v>
      </c>
      <c r="E682" t="s">
        <v>61</v>
      </c>
      <c r="F682" s="1">
        <v>70892</v>
      </c>
      <c r="G682" s="1">
        <v>294255</v>
      </c>
      <c r="H682">
        <v>320</v>
      </c>
      <c r="I682">
        <v>0.97</v>
      </c>
      <c r="J682">
        <v>6.29</v>
      </c>
      <c r="K682">
        <v>1.2</v>
      </c>
      <c r="L682">
        <v>5</v>
      </c>
      <c r="M682" s="1" t="e">
        <f>#N/A</f>
        <v>#N/A</v>
      </c>
      <c r="N682">
        <v>1099</v>
      </c>
      <c r="Q682" t="s">
        <v>125</v>
      </c>
    </row>
    <row r="683" spans="1:17" x14ac:dyDescent="0.35">
      <c r="A683">
        <v>682</v>
      </c>
      <c r="B683">
        <v>2021</v>
      </c>
      <c r="C683">
        <v>10</v>
      </c>
      <c r="D683" t="s">
        <v>28</v>
      </c>
      <c r="E683" t="s">
        <v>59</v>
      </c>
      <c r="F683" s="1">
        <v>54023</v>
      </c>
      <c r="G683" s="1">
        <v>208272</v>
      </c>
      <c r="H683">
        <v>83</v>
      </c>
      <c r="I683">
        <v>0.97</v>
      </c>
      <c r="J683">
        <v>6.29</v>
      </c>
      <c r="K683">
        <v>1.2</v>
      </c>
      <c r="L683">
        <v>6</v>
      </c>
      <c r="M683" s="1" t="e">
        <f>#N/A</f>
        <v>#N/A</v>
      </c>
      <c r="N683">
        <v>475</v>
      </c>
      <c r="Q683" t="s">
        <v>125</v>
      </c>
    </row>
    <row r="684" spans="1:17" x14ac:dyDescent="0.35">
      <c r="A684">
        <v>683</v>
      </c>
      <c r="B684">
        <v>2021</v>
      </c>
      <c r="C684">
        <v>10</v>
      </c>
      <c r="D684" t="s">
        <v>14</v>
      </c>
      <c r="E684" t="s">
        <v>58</v>
      </c>
      <c r="F684" s="1">
        <v>106833</v>
      </c>
      <c r="G684" s="1">
        <v>90870</v>
      </c>
      <c r="H684">
        <v>213</v>
      </c>
      <c r="I684">
        <v>0.97</v>
      </c>
      <c r="J684">
        <v>6.29</v>
      </c>
      <c r="K684">
        <v>1.2</v>
      </c>
      <c r="L684">
        <v>1</v>
      </c>
      <c r="M684" s="1" t="e">
        <f>#N/A</f>
        <v>#N/A</v>
      </c>
      <c r="N684">
        <v>495</v>
      </c>
      <c r="Q684" t="s">
        <v>125</v>
      </c>
    </row>
    <row r="685" spans="1:17" x14ac:dyDescent="0.35">
      <c r="A685">
        <v>684</v>
      </c>
      <c r="B685">
        <v>2021</v>
      </c>
      <c r="C685">
        <v>10</v>
      </c>
      <c r="D685" t="s">
        <v>25</v>
      </c>
      <c r="E685" t="s">
        <v>67</v>
      </c>
      <c r="F685" s="1">
        <v>106894</v>
      </c>
      <c r="G685" s="1">
        <v>379061</v>
      </c>
      <c r="H685">
        <v>35</v>
      </c>
      <c r="I685">
        <v>0.97</v>
      </c>
      <c r="J685">
        <v>6.29</v>
      </c>
      <c r="K685">
        <v>1.2</v>
      </c>
      <c r="L685">
        <v>2</v>
      </c>
      <c r="M685" s="1" t="e">
        <f>#N/A</f>
        <v>#N/A</v>
      </c>
      <c r="N685">
        <v>467</v>
      </c>
      <c r="Q685" t="s">
        <v>125</v>
      </c>
    </row>
    <row r="686" spans="1:17" x14ac:dyDescent="0.35">
      <c r="A686">
        <v>685</v>
      </c>
      <c r="B686">
        <v>2021</v>
      </c>
      <c r="C686">
        <v>10</v>
      </c>
      <c r="D686" t="s">
        <v>28</v>
      </c>
      <c r="E686" t="s">
        <v>90</v>
      </c>
      <c r="F686" s="1">
        <v>80203</v>
      </c>
      <c r="G686" s="1">
        <v>165819</v>
      </c>
      <c r="H686">
        <v>112</v>
      </c>
      <c r="I686">
        <v>0.97</v>
      </c>
      <c r="J686">
        <v>6.29</v>
      </c>
      <c r="K686">
        <v>1.2</v>
      </c>
      <c r="L686">
        <v>2</v>
      </c>
      <c r="M686" s="1" t="e">
        <f>#N/A</f>
        <v>#N/A</v>
      </c>
      <c r="N686">
        <v>514</v>
      </c>
      <c r="Q686" t="s">
        <v>125</v>
      </c>
    </row>
    <row r="687" spans="1:17" x14ac:dyDescent="0.35">
      <c r="A687">
        <v>686</v>
      </c>
      <c r="B687">
        <v>2021</v>
      </c>
      <c r="C687">
        <v>10</v>
      </c>
      <c r="D687" t="s">
        <v>32</v>
      </c>
      <c r="E687" t="s">
        <v>107</v>
      </c>
      <c r="F687" s="1">
        <v>107227</v>
      </c>
      <c r="G687" s="1">
        <v>422684</v>
      </c>
      <c r="H687">
        <v>79</v>
      </c>
      <c r="I687">
        <v>0.97</v>
      </c>
      <c r="J687">
        <v>6.29</v>
      </c>
      <c r="K687">
        <v>1.2</v>
      </c>
      <c r="L687">
        <v>9</v>
      </c>
      <c r="M687" s="1" t="e">
        <f>#N/A</f>
        <v>#N/A</v>
      </c>
      <c r="N687">
        <v>380</v>
      </c>
      <c r="Q687" t="s">
        <v>125</v>
      </c>
    </row>
    <row r="688" spans="1:17" x14ac:dyDescent="0.35">
      <c r="A688">
        <v>687</v>
      </c>
      <c r="B688">
        <v>2021</v>
      </c>
      <c r="C688">
        <v>10</v>
      </c>
      <c r="D688" t="s">
        <v>21</v>
      </c>
      <c r="E688" t="s">
        <v>153</v>
      </c>
      <c r="F688" s="1">
        <v>64863</v>
      </c>
      <c r="G688" s="1">
        <v>119202</v>
      </c>
      <c r="H688">
        <v>262</v>
      </c>
      <c r="I688">
        <v>0.97</v>
      </c>
      <c r="J688">
        <v>6.29</v>
      </c>
      <c r="K688">
        <v>1.2</v>
      </c>
      <c r="L688">
        <v>3</v>
      </c>
      <c r="M688" s="1" t="e">
        <f>#N/A</f>
        <v>#N/A</v>
      </c>
      <c r="N688">
        <v>724</v>
      </c>
      <c r="Q688" t="s">
        <v>126</v>
      </c>
    </row>
    <row r="689" spans="1:17" x14ac:dyDescent="0.35">
      <c r="A689">
        <v>688</v>
      </c>
      <c r="B689">
        <v>2021</v>
      </c>
      <c r="C689">
        <v>11</v>
      </c>
      <c r="D689" t="s">
        <v>35</v>
      </c>
      <c r="E689" t="s">
        <v>52</v>
      </c>
      <c r="F689" s="1">
        <v>107255</v>
      </c>
      <c r="G689" s="1">
        <v>427864</v>
      </c>
      <c r="H689">
        <v>239</v>
      </c>
      <c r="I689">
        <v>0.97</v>
      </c>
      <c r="J689">
        <v>6.29</v>
      </c>
      <c r="K689">
        <v>1.2</v>
      </c>
      <c r="L689">
        <v>6</v>
      </c>
      <c r="M689" s="1" t="e">
        <f>#N/A</f>
        <v>#N/A</v>
      </c>
      <c r="N689">
        <v>630</v>
      </c>
      <c r="Q689" t="s">
        <v>126</v>
      </c>
    </row>
    <row r="690" spans="1:17" x14ac:dyDescent="0.35">
      <c r="A690">
        <v>689</v>
      </c>
      <c r="B690">
        <v>2021</v>
      </c>
      <c r="C690">
        <v>11</v>
      </c>
      <c r="D690" t="s">
        <v>21</v>
      </c>
      <c r="E690" t="s">
        <v>55</v>
      </c>
      <c r="F690" s="1">
        <v>38159</v>
      </c>
      <c r="G690" s="1">
        <v>200259</v>
      </c>
      <c r="H690">
        <v>329</v>
      </c>
      <c r="I690">
        <v>0.97</v>
      </c>
      <c r="J690">
        <v>6.29</v>
      </c>
      <c r="K690">
        <v>1.2</v>
      </c>
      <c r="L690">
        <v>10</v>
      </c>
      <c r="M690" s="1" t="e">
        <f>#N/A</f>
        <v>#N/A</v>
      </c>
      <c r="N690">
        <v>1013</v>
      </c>
      <c r="Q690" t="s">
        <v>126</v>
      </c>
    </row>
    <row r="691" spans="1:17" x14ac:dyDescent="0.35">
      <c r="A691">
        <v>690</v>
      </c>
      <c r="B691">
        <v>2021</v>
      </c>
      <c r="C691">
        <v>11</v>
      </c>
      <c r="D691" t="s">
        <v>30</v>
      </c>
      <c r="E691" t="s">
        <v>68</v>
      </c>
      <c r="F691" s="1">
        <v>48921</v>
      </c>
      <c r="G691" s="1">
        <v>361011</v>
      </c>
      <c r="H691">
        <v>346</v>
      </c>
      <c r="I691">
        <v>0.97</v>
      </c>
      <c r="J691">
        <v>6.29</v>
      </c>
      <c r="K691">
        <v>1.2</v>
      </c>
      <c r="L691">
        <v>5</v>
      </c>
      <c r="M691" s="1" t="e">
        <f>#N/A</f>
        <v>#N/A</v>
      </c>
      <c r="N691">
        <v>1086</v>
      </c>
      <c r="Q691" t="s">
        <v>126</v>
      </c>
    </row>
    <row r="692" spans="1:17" x14ac:dyDescent="0.35">
      <c r="A692">
        <v>691</v>
      </c>
      <c r="B692">
        <v>2021</v>
      </c>
      <c r="C692">
        <v>11</v>
      </c>
      <c r="D692" t="s">
        <v>14</v>
      </c>
      <c r="E692" t="s">
        <v>113</v>
      </c>
      <c r="F692" s="1">
        <v>47021</v>
      </c>
      <c r="G692" s="1">
        <v>340886</v>
      </c>
      <c r="H692">
        <v>78</v>
      </c>
      <c r="I692">
        <v>0.97</v>
      </c>
      <c r="J692">
        <v>6.29</v>
      </c>
      <c r="K692">
        <v>1.2</v>
      </c>
      <c r="L692">
        <v>8</v>
      </c>
      <c r="M692" s="1" t="e">
        <f>#N/A</f>
        <v>#N/A</v>
      </c>
      <c r="N692">
        <v>248</v>
      </c>
      <c r="Q692" t="s">
        <v>126</v>
      </c>
    </row>
    <row r="693" spans="1:17" x14ac:dyDescent="0.35">
      <c r="A693">
        <v>692</v>
      </c>
      <c r="B693">
        <v>2021</v>
      </c>
      <c r="C693">
        <v>11</v>
      </c>
      <c r="D693" t="s">
        <v>25</v>
      </c>
      <c r="E693" t="s">
        <v>140</v>
      </c>
      <c r="F693" s="1">
        <v>50896</v>
      </c>
      <c r="G693" s="1">
        <v>173711</v>
      </c>
      <c r="H693">
        <v>299</v>
      </c>
      <c r="I693">
        <v>0.97</v>
      </c>
      <c r="J693">
        <v>6.29</v>
      </c>
      <c r="K693">
        <v>1.2</v>
      </c>
      <c r="L693">
        <v>10</v>
      </c>
      <c r="M693" s="1" t="e">
        <f>#N/A</f>
        <v>#N/A</v>
      </c>
      <c r="N693">
        <v>668</v>
      </c>
      <c r="Q693" t="s">
        <v>126</v>
      </c>
    </row>
    <row r="694" spans="1:17" x14ac:dyDescent="0.35">
      <c r="A694">
        <v>693</v>
      </c>
      <c r="B694">
        <v>2021</v>
      </c>
      <c r="C694">
        <v>12</v>
      </c>
      <c r="D694" t="s">
        <v>36</v>
      </c>
      <c r="E694" t="s">
        <v>62</v>
      </c>
      <c r="F694" s="1">
        <v>112506</v>
      </c>
      <c r="G694" s="1">
        <v>53317</v>
      </c>
      <c r="H694">
        <v>291</v>
      </c>
      <c r="I694">
        <v>0.97</v>
      </c>
      <c r="J694">
        <v>6.29</v>
      </c>
      <c r="K694">
        <v>1.2</v>
      </c>
      <c r="L694">
        <v>6</v>
      </c>
      <c r="M694" s="1" t="e">
        <f>#N/A</f>
        <v>#N/A</v>
      </c>
      <c r="N694">
        <v>681</v>
      </c>
      <c r="Q694" t="s">
        <v>126</v>
      </c>
    </row>
    <row r="695" spans="1:17" x14ac:dyDescent="0.35">
      <c r="A695">
        <v>694</v>
      </c>
      <c r="B695">
        <v>2021</v>
      </c>
      <c r="C695">
        <v>12</v>
      </c>
      <c r="D695" t="s">
        <v>30</v>
      </c>
      <c r="E695" t="s">
        <v>61</v>
      </c>
      <c r="F695" s="1">
        <v>99604</v>
      </c>
      <c r="G695" s="1">
        <v>123606</v>
      </c>
      <c r="H695">
        <v>207</v>
      </c>
      <c r="I695">
        <v>0.97</v>
      </c>
      <c r="J695">
        <v>6.29</v>
      </c>
      <c r="K695">
        <v>1.2</v>
      </c>
      <c r="L695">
        <v>7</v>
      </c>
      <c r="M695" s="1" t="e">
        <f>#N/A</f>
        <v>#N/A</v>
      </c>
      <c r="N695">
        <v>754</v>
      </c>
      <c r="Q695" t="s">
        <v>126</v>
      </c>
    </row>
    <row r="696" spans="1:17" x14ac:dyDescent="0.35">
      <c r="A696">
        <v>695</v>
      </c>
      <c r="B696">
        <v>2021</v>
      </c>
      <c r="C696">
        <v>12</v>
      </c>
      <c r="D696" t="s">
        <v>32</v>
      </c>
      <c r="E696" t="s">
        <v>89</v>
      </c>
      <c r="F696" s="1">
        <v>114465</v>
      </c>
      <c r="G696" s="1">
        <v>407521</v>
      </c>
      <c r="H696">
        <v>270</v>
      </c>
      <c r="I696">
        <v>0.97</v>
      </c>
      <c r="J696">
        <v>6.29</v>
      </c>
      <c r="K696">
        <v>1.2</v>
      </c>
      <c r="L696">
        <v>8</v>
      </c>
      <c r="M696" s="1" t="e">
        <f>#N/A</f>
        <v>#N/A</v>
      </c>
      <c r="N696">
        <v>553</v>
      </c>
      <c r="Q696" t="s">
        <v>126</v>
      </c>
    </row>
    <row r="697" spans="1:17" x14ac:dyDescent="0.35">
      <c r="A697">
        <v>696</v>
      </c>
      <c r="B697">
        <v>2021</v>
      </c>
      <c r="C697">
        <v>12</v>
      </c>
      <c r="D697" t="s">
        <v>25</v>
      </c>
      <c r="E697" t="s">
        <v>122</v>
      </c>
      <c r="F697" s="1">
        <v>117839</v>
      </c>
      <c r="G697" s="1">
        <v>175865</v>
      </c>
      <c r="H697">
        <v>106</v>
      </c>
      <c r="I697">
        <v>0.97</v>
      </c>
      <c r="J697">
        <v>6.29</v>
      </c>
      <c r="K697">
        <v>1.2</v>
      </c>
      <c r="L697">
        <v>8</v>
      </c>
      <c r="M697" s="1" t="e">
        <f>#N/A</f>
        <v>#N/A</v>
      </c>
      <c r="N697">
        <v>626</v>
      </c>
      <c r="Q697" t="s">
        <v>126</v>
      </c>
    </row>
    <row r="698" spans="1:17" x14ac:dyDescent="0.35">
      <c r="A698">
        <v>697</v>
      </c>
      <c r="B698">
        <v>2021</v>
      </c>
      <c r="C698">
        <v>12</v>
      </c>
      <c r="D698" t="s">
        <v>35</v>
      </c>
      <c r="E698" t="s">
        <v>122</v>
      </c>
      <c r="F698" s="1">
        <v>117844</v>
      </c>
      <c r="G698" s="1">
        <v>441897</v>
      </c>
      <c r="H698">
        <v>332</v>
      </c>
      <c r="I698">
        <v>0.97</v>
      </c>
      <c r="J698">
        <v>6.29</v>
      </c>
      <c r="K698">
        <v>1.2</v>
      </c>
      <c r="L698">
        <v>9</v>
      </c>
      <c r="M698" s="1" t="e">
        <f>#N/A</f>
        <v>#N/A</v>
      </c>
      <c r="N698">
        <v>738</v>
      </c>
      <c r="Q698" t="s">
        <v>126</v>
      </c>
    </row>
    <row r="699" spans="1:17" x14ac:dyDescent="0.35">
      <c r="A699">
        <v>698</v>
      </c>
      <c r="B699">
        <v>2021</v>
      </c>
      <c r="C699">
        <v>12</v>
      </c>
      <c r="D699" t="s">
        <v>32</v>
      </c>
      <c r="E699" t="s">
        <v>131</v>
      </c>
      <c r="F699" s="1">
        <v>61532</v>
      </c>
      <c r="G699" s="1">
        <v>405113</v>
      </c>
      <c r="H699">
        <v>66</v>
      </c>
      <c r="I699">
        <v>0.97</v>
      </c>
      <c r="J699">
        <v>6.29</v>
      </c>
      <c r="K699">
        <v>1.2</v>
      </c>
      <c r="L699">
        <v>6</v>
      </c>
      <c r="M699" s="1" t="e">
        <f>#N/A</f>
        <v>#N/A</v>
      </c>
      <c r="N699">
        <v>201</v>
      </c>
      <c r="Q699" t="s">
        <v>126</v>
      </c>
    </row>
    <row r="700" spans="1:17" x14ac:dyDescent="0.35">
      <c r="A700">
        <v>699</v>
      </c>
      <c r="B700">
        <v>2021</v>
      </c>
      <c r="C700">
        <v>12</v>
      </c>
      <c r="D700" t="s">
        <v>25</v>
      </c>
      <c r="E700" t="s">
        <v>142</v>
      </c>
      <c r="F700" s="1">
        <v>82315</v>
      </c>
      <c r="G700" s="1">
        <v>482015</v>
      </c>
      <c r="H700">
        <v>367</v>
      </c>
      <c r="I700">
        <v>0.97</v>
      </c>
      <c r="J700">
        <v>6.29</v>
      </c>
      <c r="K700">
        <v>1.2</v>
      </c>
      <c r="L700">
        <v>2</v>
      </c>
      <c r="M700" s="1" t="e">
        <f>#N/A</f>
        <v>#N/A</v>
      </c>
      <c r="N700">
        <v>1156</v>
      </c>
      <c r="Q700" t="s">
        <v>127</v>
      </c>
    </row>
    <row r="701" spans="1:17" x14ac:dyDescent="0.35">
      <c r="A701">
        <v>700</v>
      </c>
      <c r="B701">
        <v>2021</v>
      </c>
      <c r="C701">
        <v>12</v>
      </c>
      <c r="D701" t="s">
        <v>32</v>
      </c>
      <c r="E701" t="s">
        <v>144</v>
      </c>
      <c r="F701" s="1">
        <v>91344</v>
      </c>
      <c r="G701" s="1">
        <v>143246</v>
      </c>
      <c r="H701">
        <v>361</v>
      </c>
      <c r="I701">
        <v>0.97</v>
      </c>
      <c r="J701">
        <v>6.29</v>
      </c>
      <c r="K701">
        <v>1.2</v>
      </c>
      <c r="L701">
        <v>4</v>
      </c>
      <c r="M701" s="1" t="e">
        <f>#N/A</f>
        <v>#N/A</v>
      </c>
      <c r="N701">
        <v>884</v>
      </c>
      <c r="Q701" t="s">
        <v>127</v>
      </c>
    </row>
    <row r="702" spans="1:17" x14ac:dyDescent="0.35">
      <c r="A702">
        <v>701</v>
      </c>
      <c r="B702">
        <v>2021</v>
      </c>
      <c r="C702">
        <v>12</v>
      </c>
      <c r="D702" t="s">
        <v>28</v>
      </c>
      <c r="E702" t="s">
        <v>156</v>
      </c>
      <c r="F702" s="1">
        <v>40606</v>
      </c>
      <c r="G702" s="1">
        <v>65734</v>
      </c>
      <c r="H702">
        <v>382</v>
      </c>
      <c r="I702">
        <v>0.97</v>
      </c>
      <c r="J702">
        <v>6.29</v>
      </c>
      <c r="K702">
        <v>1.2</v>
      </c>
      <c r="L702">
        <v>8</v>
      </c>
      <c r="M702" s="1" t="e">
        <f>#N/A</f>
        <v>#N/A</v>
      </c>
      <c r="N702">
        <v>790</v>
      </c>
      <c r="Q702" t="s">
        <v>127</v>
      </c>
    </row>
    <row r="703" spans="1:17" x14ac:dyDescent="0.35">
      <c r="A703">
        <v>702</v>
      </c>
      <c r="B703">
        <v>2021</v>
      </c>
      <c r="C703">
        <v>12</v>
      </c>
      <c r="D703" t="s">
        <v>32</v>
      </c>
      <c r="E703" t="s">
        <v>155</v>
      </c>
      <c r="F703" s="1">
        <v>81511</v>
      </c>
      <c r="G703" s="1">
        <v>173076</v>
      </c>
      <c r="H703">
        <v>29</v>
      </c>
      <c r="I703">
        <v>0.97</v>
      </c>
      <c r="J703">
        <v>6.29</v>
      </c>
      <c r="K703">
        <v>1.2</v>
      </c>
      <c r="L703">
        <v>2</v>
      </c>
      <c r="M703" s="1" t="e">
        <f>#N/A</f>
        <v>#N/A</v>
      </c>
      <c r="N703">
        <v>346</v>
      </c>
      <c r="Q703" t="s">
        <v>127</v>
      </c>
    </row>
    <row r="704" spans="1:17" x14ac:dyDescent="0.35">
      <c r="A704">
        <v>703</v>
      </c>
      <c r="B704">
        <v>2022</v>
      </c>
      <c r="C704">
        <v>1</v>
      </c>
      <c r="D704" t="s">
        <v>28</v>
      </c>
      <c r="E704" t="s">
        <v>47</v>
      </c>
      <c r="F704" s="1">
        <v>96607</v>
      </c>
      <c r="G704" s="1">
        <v>184479</v>
      </c>
      <c r="H704">
        <v>238</v>
      </c>
      <c r="I704">
        <v>0.97</v>
      </c>
      <c r="J704">
        <v>6.29</v>
      </c>
      <c r="K704">
        <v>1.2</v>
      </c>
      <c r="L704">
        <v>1</v>
      </c>
      <c r="M704" s="1" t="e">
        <f>#N/A</f>
        <v>#N/A</v>
      </c>
      <c r="N704">
        <v>579</v>
      </c>
      <c r="Q704" t="s">
        <v>127</v>
      </c>
    </row>
    <row r="705" spans="1:17" x14ac:dyDescent="0.35">
      <c r="A705">
        <v>704</v>
      </c>
      <c r="B705">
        <v>2022</v>
      </c>
      <c r="C705">
        <v>1</v>
      </c>
      <c r="D705" t="s">
        <v>25</v>
      </c>
      <c r="E705" t="s">
        <v>53</v>
      </c>
      <c r="F705" s="1">
        <v>68980</v>
      </c>
      <c r="G705" s="1">
        <v>457332</v>
      </c>
      <c r="H705">
        <v>238</v>
      </c>
      <c r="I705">
        <v>0.97</v>
      </c>
      <c r="J705">
        <v>6.29</v>
      </c>
      <c r="K705">
        <v>1.2</v>
      </c>
      <c r="L705">
        <v>2</v>
      </c>
      <c r="M705" s="1" t="e">
        <f>#N/A</f>
        <v>#N/A</v>
      </c>
      <c r="N705">
        <v>710</v>
      </c>
      <c r="Q705" t="s">
        <v>128</v>
      </c>
    </row>
    <row r="706" spans="1:17" x14ac:dyDescent="0.35">
      <c r="A706">
        <v>705</v>
      </c>
      <c r="B706">
        <v>2022</v>
      </c>
      <c r="C706">
        <v>1</v>
      </c>
      <c r="D706" t="s">
        <v>28</v>
      </c>
      <c r="E706" t="s">
        <v>59</v>
      </c>
      <c r="F706" s="1">
        <v>36552</v>
      </c>
      <c r="G706" s="1">
        <v>355313</v>
      </c>
      <c r="H706">
        <v>220</v>
      </c>
      <c r="I706">
        <v>0.97</v>
      </c>
      <c r="J706">
        <v>6.29</v>
      </c>
      <c r="K706">
        <v>1.2</v>
      </c>
      <c r="L706">
        <v>4</v>
      </c>
      <c r="M706" s="1" t="e">
        <f>#N/A</f>
        <v>#N/A</v>
      </c>
      <c r="N706">
        <v>724</v>
      </c>
      <c r="Q706" t="s">
        <v>128</v>
      </c>
    </row>
    <row r="707" spans="1:17" x14ac:dyDescent="0.35">
      <c r="A707">
        <v>706</v>
      </c>
      <c r="B707">
        <v>2022</v>
      </c>
      <c r="C707">
        <v>1</v>
      </c>
      <c r="D707" t="s">
        <v>32</v>
      </c>
      <c r="E707" t="s">
        <v>74</v>
      </c>
      <c r="F707" s="1">
        <v>117666</v>
      </c>
      <c r="G707" s="1">
        <v>397186</v>
      </c>
      <c r="H707">
        <v>60</v>
      </c>
      <c r="I707">
        <v>0.97</v>
      </c>
      <c r="J707">
        <v>6.29</v>
      </c>
      <c r="K707">
        <v>1.2</v>
      </c>
      <c r="L707">
        <v>3</v>
      </c>
      <c r="M707" s="1" t="e">
        <f>#N/A</f>
        <v>#N/A</v>
      </c>
      <c r="N707">
        <v>260</v>
      </c>
      <c r="Q707" t="s">
        <v>128</v>
      </c>
    </row>
    <row r="708" spans="1:17" x14ac:dyDescent="0.35">
      <c r="A708">
        <v>707</v>
      </c>
      <c r="B708">
        <v>2022</v>
      </c>
      <c r="C708">
        <v>1</v>
      </c>
      <c r="D708" t="s">
        <v>37</v>
      </c>
      <c r="E708" t="s">
        <v>69</v>
      </c>
      <c r="F708" s="1">
        <v>78240</v>
      </c>
      <c r="G708" s="1">
        <v>355934</v>
      </c>
      <c r="H708">
        <v>68</v>
      </c>
      <c r="I708">
        <v>0.97</v>
      </c>
      <c r="J708">
        <v>6.29</v>
      </c>
      <c r="K708">
        <v>1.2</v>
      </c>
      <c r="L708">
        <v>2</v>
      </c>
      <c r="M708" s="1" t="e">
        <f>#N/A</f>
        <v>#N/A</v>
      </c>
      <c r="N708">
        <v>520</v>
      </c>
      <c r="Q708" t="s">
        <v>128</v>
      </c>
    </row>
    <row r="709" spans="1:17" x14ac:dyDescent="0.35">
      <c r="A709">
        <v>708</v>
      </c>
      <c r="B709">
        <v>2022</v>
      </c>
      <c r="C709">
        <v>1</v>
      </c>
      <c r="D709" t="s">
        <v>28</v>
      </c>
      <c r="E709" t="s">
        <v>88</v>
      </c>
      <c r="F709" s="1">
        <v>72425</v>
      </c>
      <c r="G709" s="1">
        <v>267364</v>
      </c>
      <c r="H709">
        <v>169</v>
      </c>
      <c r="I709">
        <v>0.97</v>
      </c>
      <c r="J709">
        <v>6.29</v>
      </c>
      <c r="K709">
        <v>1.2</v>
      </c>
      <c r="L709">
        <v>7</v>
      </c>
      <c r="M709" s="1" t="e">
        <f>#N/A</f>
        <v>#N/A</v>
      </c>
      <c r="N709">
        <v>719</v>
      </c>
      <c r="Q709" t="s">
        <v>128</v>
      </c>
    </row>
    <row r="710" spans="1:17" x14ac:dyDescent="0.35">
      <c r="A710">
        <v>709</v>
      </c>
      <c r="B710">
        <v>2022</v>
      </c>
      <c r="C710">
        <v>1</v>
      </c>
      <c r="D710" t="s">
        <v>38</v>
      </c>
      <c r="E710" t="s">
        <v>82</v>
      </c>
      <c r="F710" s="1">
        <v>57634</v>
      </c>
      <c r="G710" s="1">
        <v>411541</v>
      </c>
      <c r="H710">
        <v>78</v>
      </c>
      <c r="I710">
        <v>0.97</v>
      </c>
      <c r="J710">
        <v>6.29</v>
      </c>
      <c r="K710">
        <v>1.2</v>
      </c>
      <c r="L710">
        <v>2</v>
      </c>
      <c r="M710" s="1" t="e">
        <f>#N/A</f>
        <v>#N/A</v>
      </c>
      <c r="N710">
        <v>557</v>
      </c>
      <c r="Q710" t="s">
        <v>128</v>
      </c>
    </row>
    <row r="711" spans="1:17" x14ac:dyDescent="0.35">
      <c r="A711">
        <v>710</v>
      </c>
      <c r="B711">
        <v>2022</v>
      </c>
      <c r="C711">
        <v>1</v>
      </c>
      <c r="D711" t="s">
        <v>25</v>
      </c>
      <c r="E711" t="s">
        <v>100</v>
      </c>
      <c r="F711" s="1">
        <v>55008</v>
      </c>
      <c r="G711" s="1">
        <v>273032</v>
      </c>
      <c r="H711">
        <v>138</v>
      </c>
      <c r="I711">
        <v>0.97</v>
      </c>
      <c r="J711">
        <v>6.29</v>
      </c>
      <c r="K711">
        <v>1.2</v>
      </c>
      <c r="L711">
        <v>10</v>
      </c>
      <c r="M711" s="1" t="e">
        <f>#N/A</f>
        <v>#N/A</v>
      </c>
      <c r="N711">
        <v>521</v>
      </c>
      <c r="Q711" t="s">
        <v>128</v>
      </c>
    </row>
    <row r="712" spans="1:17" x14ac:dyDescent="0.35">
      <c r="A712">
        <v>711</v>
      </c>
      <c r="B712">
        <v>2022</v>
      </c>
      <c r="C712">
        <v>1</v>
      </c>
      <c r="D712" t="s">
        <v>30</v>
      </c>
      <c r="E712" t="s">
        <v>108</v>
      </c>
      <c r="F712" s="1">
        <v>100756</v>
      </c>
      <c r="G712" s="1">
        <v>223364</v>
      </c>
      <c r="H712">
        <v>73</v>
      </c>
      <c r="I712">
        <v>0.97</v>
      </c>
      <c r="J712">
        <v>6.29</v>
      </c>
      <c r="K712">
        <v>1.2</v>
      </c>
      <c r="L712">
        <v>1</v>
      </c>
      <c r="M712" s="1" t="e">
        <f>#N/A</f>
        <v>#N/A</v>
      </c>
      <c r="N712">
        <v>517</v>
      </c>
      <c r="Q712" t="s">
        <v>129</v>
      </c>
    </row>
    <row r="713" spans="1:17" x14ac:dyDescent="0.35">
      <c r="A713">
        <v>712</v>
      </c>
      <c r="B713">
        <v>2022</v>
      </c>
      <c r="C713">
        <v>1</v>
      </c>
      <c r="D713" t="s">
        <v>35</v>
      </c>
      <c r="E713" t="s">
        <v>134</v>
      </c>
      <c r="F713" s="1">
        <v>102356</v>
      </c>
      <c r="G713" s="1">
        <v>262986</v>
      </c>
      <c r="H713">
        <v>389</v>
      </c>
      <c r="I713">
        <v>0.97</v>
      </c>
      <c r="J713">
        <v>6.29</v>
      </c>
      <c r="K713">
        <v>1.2</v>
      </c>
      <c r="L713">
        <v>7</v>
      </c>
      <c r="M713" s="1" t="e">
        <f>#N/A</f>
        <v>#N/A</v>
      </c>
      <c r="N713">
        <v>1067</v>
      </c>
      <c r="Q713" t="s">
        <v>129</v>
      </c>
    </row>
    <row r="714" spans="1:17" x14ac:dyDescent="0.35">
      <c r="A714">
        <v>713</v>
      </c>
      <c r="B714">
        <v>2022</v>
      </c>
      <c r="C714">
        <v>1</v>
      </c>
      <c r="D714" t="s">
        <v>21</v>
      </c>
      <c r="E714" t="s">
        <v>153</v>
      </c>
      <c r="F714" s="1">
        <v>91809</v>
      </c>
      <c r="G714" s="1">
        <v>442007</v>
      </c>
      <c r="H714">
        <v>280</v>
      </c>
      <c r="I714">
        <v>0.97</v>
      </c>
      <c r="J714">
        <v>6.29</v>
      </c>
      <c r="K714">
        <v>1.2</v>
      </c>
      <c r="L714">
        <v>1</v>
      </c>
      <c r="M714" s="1" t="e">
        <f>#N/A</f>
        <v>#N/A</v>
      </c>
      <c r="N714">
        <v>947</v>
      </c>
      <c r="Q714" t="s">
        <v>129</v>
      </c>
    </row>
    <row r="715" spans="1:17" x14ac:dyDescent="0.35">
      <c r="A715">
        <v>714</v>
      </c>
      <c r="B715">
        <v>2022</v>
      </c>
      <c r="C715">
        <v>1</v>
      </c>
      <c r="D715" t="s">
        <v>35</v>
      </c>
      <c r="E715" t="s">
        <v>155</v>
      </c>
      <c r="F715" s="1">
        <v>68073</v>
      </c>
      <c r="G715" s="1">
        <v>283996</v>
      </c>
      <c r="H715">
        <v>342</v>
      </c>
      <c r="I715">
        <v>0.97</v>
      </c>
      <c r="J715">
        <v>6.29</v>
      </c>
      <c r="K715">
        <v>1.2</v>
      </c>
      <c r="L715">
        <v>3</v>
      </c>
      <c r="M715" s="1" t="e">
        <f>#N/A</f>
        <v>#N/A</v>
      </c>
      <c r="N715">
        <v>937</v>
      </c>
      <c r="Q715" t="s">
        <v>129</v>
      </c>
    </row>
    <row r="716" spans="1:17" x14ac:dyDescent="0.35">
      <c r="A716">
        <v>715</v>
      </c>
      <c r="B716">
        <v>2022</v>
      </c>
      <c r="C716">
        <v>1</v>
      </c>
      <c r="D716" t="s">
        <v>21</v>
      </c>
      <c r="E716" t="s">
        <v>159</v>
      </c>
      <c r="F716" s="1">
        <v>54385</v>
      </c>
      <c r="G716" s="1">
        <v>411087</v>
      </c>
      <c r="H716">
        <v>283</v>
      </c>
      <c r="I716">
        <v>0.97</v>
      </c>
      <c r="J716">
        <v>6.29</v>
      </c>
      <c r="K716">
        <v>1.2</v>
      </c>
      <c r="L716">
        <v>10</v>
      </c>
      <c r="M716" s="1" t="e">
        <f>#N/A</f>
        <v>#N/A</v>
      </c>
      <c r="N716">
        <v>881</v>
      </c>
      <c r="Q716" t="s">
        <v>129</v>
      </c>
    </row>
    <row r="717" spans="1:17" x14ac:dyDescent="0.35">
      <c r="A717">
        <v>716</v>
      </c>
      <c r="B717">
        <v>2022</v>
      </c>
      <c r="C717">
        <v>2</v>
      </c>
      <c r="D717" t="s">
        <v>32</v>
      </c>
      <c r="E717" t="s">
        <v>52</v>
      </c>
      <c r="F717" s="1">
        <v>51766</v>
      </c>
      <c r="G717" s="1">
        <v>146055</v>
      </c>
      <c r="H717">
        <v>306</v>
      </c>
      <c r="I717">
        <v>0.97</v>
      </c>
      <c r="J717">
        <v>6.29</v>
      </c>
      <c r="K717">
        <v>1.2</v>
      </c>
      <c r="L717">
        <v>1</v>
      </c>
      <c r="M717" s="1" t="e">
        <f>#N/A</f>
        <v>#N/A</v>
      </c>
      <c r="N717">
        <v>1027</v>
      </c>
      <c r="Q717" t="s">
        <v>129</v>
      </c>
    </row>
    <row r="718" spans="1:17" x14ac:dyDescent="0.35">
      <c r="A718">
        <v>717</v>
      </c>
      <c r="B718">
        <v>2022</v>
      </c>
      <c r="C718">
        <v>2</v>
      </c>
      <c r="D718" t="s">
        <v>25</v>
      </c>
      <c r="E718" t="s">
        <v>61</v>
      </c>
      <c r="F718" s="1">
        <v>100679</v>
      </c>
      <c r="G718" s="1">
        <v>65994</v>
      </c>
      <c r="H718">
        <v>212</v>
      </c>
      <c r="I718">
        <v>0.97</v>
      </c>
      <c r="J718">
        <v>6.29</v>
      </c>
      <c r="K718">
        <v>1.2</v>
      </c>
      <c r="L718">
        <v>1</v>
      </c>
      <c r="M718" s="1" t="e">
        <f>#N/A</f>
        <v>#N/A</v>
      </c>
      <c r="N718">
        <v>614</v>
      </c>
      <c r="Q718" t="s">
        <v>129</v>
      </c>
    </row>
    <row r="719" spans="1:17" x14ac:dyDescent="0.35">
      <c r="A719">
        <v>718</v>
      </c>
      <c r="B719">
        <v>2022</v>
      </c>
      <c r="C719">
        <v>2</v>
      </c>
      <c r="D719" t="s">
        <v>35</v>
      </c>
      <c r="E719" t="s">
        <v>69</v>
      </c>
      <c r="F719" s="1">
        <v>99173</v>
      </c>
      <c r="G719" s="1">
        <v>336100</v>
      </c>
      <c r="H719">
        <v>160</v>
      </c>
      <c r="I719">
        <v>0.97</v>
      </c>
      <c r="J719">
        <v>6.29</v>
      </c>
      <c r="K719">
        <v>1.2</v>
      </c>
      <c r="L719">
        <v>2</v>
      </c>
      <c r="M719" s="1" t="e">
        <f>#N/A</f>
        <v>#N/A</v>
      </c>
      <c r="N719">
        <v>431</v>
      </c>
      <c r="Q719" t="s">
        <v>129</v>
      </c>
    </row>
    <row r="720" spans="1:17" x14ac:dyDescent="0.35">
      <c r="A720">
        <v>719</v>
      </c>
      <c r="B720">
        <v>2022</v>
      </c>
      <c r="C720">
        <v>2</v>
      </c>
      <c r="D720" t="s">
        <v>14</v>
      </c>
      <c r="E720" t="s">
        <v>84</v>
      </c>
      <c r="F720" s="1">
        <v>66728</v>
      </c>
      <c r="G720" s="1">
        <v>156311</v>
      </c>
      <c r="H720">
        <v>266</v>
      </c>
      <c r="I720">
        <v>0.97</v>
      </c>
      <c r="J720">
        <v>6.29</v>
      </c>
      <c r="K720">
        <v>1.2</v>
      </c>
      <c r="L720">
        <v>1</v>
      </c>
      <c r="M720" s="1" t="e">
        <f>#N/A</f>
        <v>#N/A</v>
      </c>
      <c r="N720">
        <v>904</v>
      </c>
      <c r="Q720" t="s">
        <v>129</v>
      </c>
    </row>
    <row r="721" spans="1:17" x14ac:dyDescent="0.35">
      <c r="A721">
        <v>720</v>
      </c>
      <c r="B721">
        <v>2022</v>
      </c>
      <c r="C721">
        <v>2</v>
      </c>
      <c r="D721" t="s">
        <v>32</v>
      </c>
      <c r="E721" t="s">
        <v>80</v>
      </c>
      <c r="F721" s="1">
        <v>84593</v>
      </c>
      <c r="G721" s="1">
        <v>73331</v>
      </c>
      <c r="H721">
        <v>345</v>
      </c>
      <c r="I721">
        <v>0.97</v>
      </c>
      <c r="J721">
        <v>6.29</v>
      </c>
      <c r="K721">
        <v>1.2</v>
      </c>
      <c r="L721">
        <v>9</v>
      </c>
      <c r="M721" s="1" t="e">
        <f>#N/A</f>
        <v>#N/A</v>
      </c>
      <c r="N721">
        <v>956</v>
      </c>
      <c r="Q721" t="s">
        <v>130</v>
      </c>
    </row>
    <row r="722" spans="1:17" x14ac:dyDescent="0.35">
      <c r="A722">
        <v>721</v>
      </c>
      <c r="B722">
        <v>2022</v>
      </c>
      <c r="C722">
        <v>2</v>
      </c>
      <c r="D722" t="s">
        <v>14</v>
      </c>
      <c r="E722" t="s">
        <v>81</v>
      </c>
      <c r="F722" s="1">
        <v>56398</v>
      </c>
      <c r="G722" s="1">
        <v>191835</v>
      </c>
      <c r="H722">
        <v>123</v>
      </c>
      <c r="I722">
        <v>0.97</v>
      </c>
      <c r="J722">
        <v>6.29</v>
      </c>
      <c r="K722">
        <v>1.2</v>
      </c>
      <c r="L722">
        <v>9</v>
      </c>
      <c r="M722" s="1" t="e">
        <f>#N/A</f>
        <v>#N/A</v>
      </c>
      <c r="N722">
        <v>246</v>
      </c>
      <c r="Q722" t="s">
        <v>130</v>
      </c>
    </row>
    <row r="723" spans="1:17" x14ac:dyDescent="0.35">
      <c r="A723">
        <v>722</v>
      </c>
      <c r="B723">
        <v>2022</v>
      </c>
      <c r="C723">
        <v>2</v>
      </c>
      <c r="D723" t="s">
        <v>30</v>
      </c>
      <c r="E723" t="s">
        <v>86</v>
      </c>
      <c r="F723" s="1">
        <v>66601</v>
      </c>
      <c r="G723" s="1">
        <v>252459</v>
      </c>
      <c r="H723">
        <v>184</v>
      </c>
      <c r="I723">
        <v>0.97</v>
      </c>
      <c r="J723">
        <v>6.29</v>
      </c>
      <c r="K723">
        <v>1.2</v>
      </c>
      <c r="L723">
        <v>10</v>
      </c>
      <c r="M723" s="1" t="e">
        <f>#N/A</f>
        <v>#N/A</v>
      </c>
      <c r="N723">
        <v>425</v>
      </c>
      <c r="Q723" t="s">
        <v>130</v>
      </c>
    </row>
    <row r="724" spans="1:17" x14ac:dyDescent="0.35">
      <c r="A724">
        <v>723</v>
      </c>
      <c r="B724">
        <v>2022</v>
      </c>
      <c r="C724">
        <v>2</v>
      </c>
      <c r="D724" t="s">
        <v>32</v>
      </c>
      <c r="E724" t="s">
        <v>141</v>
      </c>
      <c r="F724" s="1">
        <v>77674</v>
      </c>
      <c r="G724" s="1">
        <v>363572</v>
      </c>
      <c r="H724">
        <v>308</v>
      </c>
      <c r="I724">
        <v>0.97</v>
      </c>
      <c r="J724">
        <v>6.29</v>
      </c>
      <c r="K724">
        <v>1.2</v>
      </c>
      <c r="L724">
        <v>10</v>
      </c>
      <c r="M724" s="1" t="e">
        <f>#N/A</f>
        <v>#N/A</v>
      </c>
      <c r="N724">
        <v>925</v>
      </c>
      <c r="Q724" t="s">
        <v>130</v>
      </c>
    </row>
    <row r="725" spans="1:17" x14ac:dyDescent="0.35">
      <c r="A725">
        <v>724</v>
      </c>
      <c r="B725">
        <v>2022</v>
      </c>
      <c r="C725">
        <v>2</v>
      </c>
      <c r="D725" t="s">
        <v>30</v>
      </c>
      <c r="E725" t="s">
        <v>141</v>
      </c>
      <c r="F725" s="1">
        <v>61502</v>
      </c>
      <c r="G725" s="1">
        <v>210020</v>
      </c>
      <c r="H725">
        <v>35</v>
      </c>
      <c r="I725">
        <v>0.97</v>
      </c>
      <c r="J725">
        <v>6.29</v>
      </c>
      <c r="K725">
        <v>1.2</v>
      </c>
      <c r="L725">
        <v>6</v>
      </c>
      <c r="M725" s="1" t="e">
        <f>#N/A</f>
        <v>#N/A</v>
      </c>
      <c r="N725">
        <v>270</v>
      </c>
      <c r="Q725" t="s">
        <v>130</v>
      </c>
    </row>
    <row r="726" spans="1:17" x14ac:dyDescent="0.35">
      <c r="A726">
        <v>725</v>
      </c>
      <c r="B726">
        <v>2022</v>
      </c>
      <c r="C726">
        <v>3</v>
      </c>
      <c r="D726" t="s">
        <v>32</v>
      </c>
      <c r="E726" t="s">
        <v>110</v>
      </c>
      <c r="F726" s="1">
        <v>105152</v>
      </c>
      <c r="G726" s="1">
        <v>422078</v>
      </c>
      <c r="H726">
        <v>338</v>
      </c>
      <c r="I726">
        <v>0.97</v>
      </c>
      <c r="J726">
        <v>6.29</v>
      </c>
      <c r="K726">
        <v>1.2</v>
      </c>
      <c r="L726">
        <v>9</v>
      </c>
      <c r="M726" s="1" t="e">
        <f>#N/A</f>
        <v>#N/A</v>
      </c>
      <c r="N726">
        <v>717</v>
      </c>
      <c r="Q726" t="s">
        <v>130</v>
      </c>
    </row>
    <row r="727" spans="1:17" x14ac:dyDescent="0.35">
      <c r="A727">
        <v>726</v>
      </c>
      <c r="B727">
        <v>2022</v>
      </c>
      <c r="C727">
        <v>3</v>
      </c>
      <c r="D727" t="s">
        <v>32</v>
      </c>
      <c r="E727" t="s">
        <v>118</v>
      </c>
      <c r="F727" s="1">
        <v>104322</v>
      </c>
      <c r="G727" s="1">
        <v>252630</v>
      </c>
      <c r="H727">
        <v>197</v>
      </c>
      <c r="I727">
        <v>0.97</v>
      </c>
      <c r="J727">
        <v>6.29</v>
      </c>
      <c r="K727">
        <v>1.2</v>
      </c>
      <c r="L727">
        <v>9</v>
      </c>
      <c r="M727" s="1" t="e">
        <f>#N/A</f>
        <v>#N/A</v>
      </c>
      <c r="N727">
        <v>609</v>
      </c>
      <c r="Q727" t="s">
        <v>130</v>
      </c>
    </row>
    <row r="728" spans="1:17" x14ac:dyDescent="0.35">
      <c r="A728">
        <v>727</v>
      </c>
      <c r="B728">
        <v>2022</v>
      </c>
      <c r="C728">
        <v>3</v>
      </c>
      <c r="D728" t="s">
        <v>32</v>
      </c>
      <c r="E728" t="s">
        <v>117</v>
      </c>
      <c r="F728" s="1">
        <v>111290</v>
      </c>
      <c r="G728" s="1">
        <v>273177</v>
      </c>
      <c r="H728">
        <v>110</v>
      </c>
      <c r="I728">
        <v>0.97</v>
      </c>
      <c r="J728">
        <v>6.29</v>
      </c>
      <c r="K728">
        <v>1.2</v>
      </c>
      <c r="L728">
        <v>6</v>
      </c>
      <c r="M728" s="1" t="e">
        <f>#N/A</f>
        <v>#N/A</v>
      </c>
      <c r="N728">
        <v>277</v>
      </c>
      <c r="Q728" t="s">
        <v>130</v>
      </c>
    </row>
    <row r="729" spans="1:17" x14ac:dyDescent="0.35">
      <c r="A729">
        <v>728</v>
      </c>
      <c r="B729">
        <v>2022</v>
      </c>
      <c r="C729">
        <v>3</v>
      </c>
      <c r="D729" t="s">
        <v>38</v>
      </c>
      <c r="E729" t="s">
        <v>133</v>
      </c>
      <c r="F729" s="1">
        <v>76203</v>
      </c>
      <c r="G729" s="1">
        <v>239826</v>
      </c>
      <c r="H729">
        <v>245</v>
      </c>
      <c r="I729">
        <v>0.97</v>
      </c>
      <c r="J729">
        <v>6.29</v>
      </c>
      <c r="K729">
        <v>1.2</v>
      </c>
      <c r="L729">
        <v>6</v>
      </c>
      <c r="M729" s="1" t="e">
        <f>#N/A</f>
        <v>#N/A</v>
      </c>
      <c r="N729">
        <v>880</v>
      </c>
      <c r="Q729" t="s">
        <v>131</v>
      </c>
    </row>
    <row r="730" spans="1:17" x14ac:dyDescent="0.35">
      <c r="A730">
        <v>729</v>
      </c>
      <c r="B730">
        <v>2022</v>
      </c>
      <c r="C730">
        <v>3</v>
      </c>
      <c r="D730" t="s">
        <v>28</v>
      </c>
      <c r="E730" t="s">
        <v>144</v>
      </c>
      <c r="F730" s="1">
        <v>111981</v>
      </c>
      <c r="G730" s="1">
        <v>86160</v>
      </c>
      <c r="H730">
        <v>270</v>
      </c>
      <c r="I730">
        <v>0.97</v>
      </c>
      <c r="J730">
        <v>6.29</v>
      </c>
      <c r="K730">
        <v>1.2</v>
      </c>
      <c r="L730">
        <v>5</v>
      </c>
      <c r="M730" s="1" t="e">
        <f>#N/A</f>
        <v>#N/A</v>
      </c>
      <c r="N730">
        <v>573</v>
      </c>
      <c r="Q730" t="s">
        <v>131</v>
      </c>
    </row>
    <row r="731" spans="1:17" x14ac:dyDescent="0.35">
      <c r="A731">
        <v>730</v>
      </c>
      <c r="B731">
        <v>2022</v>
      </c>
      <c r="C731">
        <v>4</v>
      </c>
      <c r="D731" t="s">
        <v>38</v>
      </c>
      <c r="E731" t="s">
        <v>86</v>
      </c>
      <c r="F731" s="1">
        <v>105354</v>
      </c>
      <c r="G731" s="1">
        <v>448845</v>
      </c>
      <c r="H731">
        <v>139</v>
      </c>
      <c r="I731">
        <v>0.97</v>
      </c>
      <c r="J731">
        <v>6.29</v>
      </c>
      <c r="K731">
        <v>1.2</v>
      </c>
      <c r="L731">
        <v>1</v>
      </c>
      <c r="M731" s="1" t="e">
        <f>#N/A</f>
        <v>#N/A</v>
      </c>
      <c r="N731">
        <v>469</v>
      </c>
      <c r="Q731" t="s">
        <v>131</v>
      </c>
    </row>
    <row r="732" spans="1:17" x14ac:dyDescent="0.35">
      <c r="A732">
        <v>731</v>
      </c>
      <c r="B732">
        <v>2022</v>
      </c>
      <c r="C732">
        <v>4</v>
      </c>
      <c r="D732" t="s">
        <v>30</v>
      </c>
      <c r="E732" t="s">
        <v>114</v>
      </c>
      <c r="F732" s="1">
        <v>68040</v>
      </c>
      <c r="G732" s="1">
        <v>203956</v>
      </c>
      <c r="H732">
        <v>19</v>
      </c>
      <c r="I732">
        <v>0.97</v>
      </c>
      <c r="J732">
        <v>6.29</v>
      </c>
      <c r="K732">
        <v>1.2</v>
      </c>
      <c r="L732">
        <v>2</v>
      </c>
      <c r="M732" s="1" t="e">
        <f>#N/A</f>
        <v>#N/A</v>
      </c>
      <c r="N732">
        <v>272</v>
      </c>
      <c r="Q732" t="s">
        <v>131</v>
      </c>
    </row>
    <row r="733" spans="1:17" x14ac:dyDescent="0.35">
      <c r="A733">
        <v>732</v>
      </c>
      <c r="B733">
        <v>2022</v>
      </c>
      <c r="C733">
        <v>4</v>
      </c>
      <c r="D733" t="s">
        <v>36</v>
      </c>
      <c r="E733" t="s">
        <v>126</v>
      </c>
      <c r="F733" s="1">
        <v>106947</v>
      </c>
      <c r="G733" s="1">
        <v>444890</v>
      </c>
      <c r="H733">
        <v>383</v>
      </c>
      <c r="I733">
        <v>0.97</v>
      </c>
      <c r="J733">
        <v>6.29</v>
      </c>
      <c r="K733">
        <v>1.2</v>
      </c>
      <c r="L733">
        <v>9</v>
      </c>
      <c r="M733" s="1" t="e">
        <f>#N/A</f>
        <v>#N/A</v>
      </c>
      <c r="N733">
        <v>849</v>
      </c>
      <c r="Q733" t="s">
        <v>131</v>
      </c>
    </row>
    <row r="734" spans="1:17" x14ac:dyDescent="0.35">
      <c r="A734">
        <v>733</v>
      </c>
      <c r="B734">
        <v>2022</v>
      </c>
      <c r="C734">
        <v>4</v>
      </c>
      <c r="D734" t="s">
        <v>30</v>
      </c>
      <c r="E734" t="s">
        <v>131</v>
      </c>
      <c r="F734" s="1">
        <v>75544</v>
      </c>
      <c r="G734" s="1">
        <v>430041</v>
      </c>
      <c r="H734">
        <v>75</v>
      </c>
      <c r="I734">
        <v>0.97</v>
      </c>
      <c r="J734">
        <v>6.29</v>
      </c>
      <c r="K734">
        <v>1.2</v>
      </c>
      <c r="L734">
        <v>7</v>
      </c>
      <c r="M734" s="1" t="e">
        <f>#N/A</f>
        <v>#N/A</v>
      </c>
      <c r="N734">
        <v>581</v>
      </c>
      <c r="Q734" t="s">
        <v>131</v>
      </c>
    </row>
    <row r="735" spans="1:17" x14ac:dyDescent="0.35">
      <c r="A735">
        <v>734</v>
      </c>
      <c r="B735">
        <v>2022</v>
      </c>
      <c r="C735">
        <v>4</v>
      </c>
      <c r="D735" t="s">
        <v>38</v>
      </c>
      <c r="E735" t="s">
        <v>144</v>
      </c>
      <c r="F735" s="1">
        <v>41089</v>
      </c>
      <c r="G735" s="1">
        <v>77302</v>
      </c>
      <c r="H735">
        <v>337</v>
      </c>
      <c r="I735">
        <v>0.97</v>
      </c>
      <c r="J735">
        <v>6.29</v>
      </c>
      <c r="K735">
        <v>1.2</v>
      </c>
      <c r="L735">
        <v>8</v>
      </c>
      <c r="M735" s="1" t="e">
        <f>#N/A</f>
        <v>#N/A</v>
      </c>
      <c r="N735">
        <v>880</v>
      </c>
      <c r="Q735" t="s">
        <v>131</v>
      </c>
    </row>
    <row r="736" spans="1:17" x14ac:dyDescent="0.35">
      <c r="A736">
        <v>735</v>
      </c>
      <c r="B736">
        <v>2022</v>
      </c>
      <c r="C736">
        <v>4</v>
      </c>
      <c r="D736" t="s">
        <v>30</v>
      </c>
      <c r="E736" t="s">
        <v>154</v>
      </c>
      <c r="F736" s="1">
        <v>47861</v>
      </c>
      <c r="G736" s="1">
        <v>140925</v>
      </c>
      <c r="H736">
        <v>125</v>
      </c>
      <c r="I736">
        <v>0.97</v>
      </c>
      <c r="J736">
        <v>6.29</v>
      </c>
      <c r="K736">
        <v>1.2</v>
      </c>
      <c r="L736">
        <v>1</v>
      </c>
      <c r="M736" s="1" t="e">
        <f>#N/A</f>
        <v>#N/A</v>
      </c>
      <c r="N736">
        <v>669</v>
      </c>
      <c r="Q736" t="s">
        <v>131</v>
      </c>
    </row>
    <row r="737" spans="1:17" x14ac:dyDescent="0.35">
      <c r="A737">
        <v>736</v>
      </c>
      <c r="B737">
        <v>2022</v>
      </c>
      <c r="C737">
        <v>4</v>
      </c>
      <c r="D737" t="s">
        <v>30</v>
      </c>
      <c r="E737" t="s">
        <v>157</v>
      </c>
      <c r="F737" s="1">
        <v>104904</v>
      </c>
      <c r="G737" s="1">
        <v>310464</v>
      </c>
      <c r="H737">
        <v>331</v>
      </c>
      <c r="I737">
        <v>0.97</v>
      </c>
      <c r="J737">
        <v>6.29</v>
      </c>
      <c r="K737">
        <v>1.2</v>
      </c>
      <c r="L737">
        <v>2</v>
      </c>
      <c r="M737" s="1" t="e">
        <f>#N/A</f>
        <v>#N/A</v>
      </c>
      <c r="N737">
        <v>968</v>
      </c>
      <c r="Q737" t="s">
        <v>131</v>
      </c>
    </row>
    <row r="738" spans="1:17" x14ac:dyDescent="0.35">
      <c r="A738">
        <v>737</v>
      </c>
      <c r="B738">
        <v>2022</v>
      </c>
      <c r="C738">
        <v>5</v>
      </c>
      <c r="D738" t="s">
        <v>30</v>
      </c>
      <c r="E738" t="s">
        <v>54</v>
      </c>
      <c r="F738" s="1">
        <v>42130</v>
      </c>
      <c r="G738" s="1">
        <v>487480</v>
      </c>
      <c r="H738">
        <v>11</v>
      </c>
      <c r="I738">
        <v>0.97</v>
      </c>
      <c r="J738">
        <v>6.29</v>
      </c>
      <c r="K738">
        <v>1.2</v>
      </c>
      <c r="L738">
        <v>4</v>
      </c>
      <c r="M738" s="1" t="e">
        <f>#N/A</f>
        <v>#N/A</v>
      </c>
      <c r="N738">
        <v>435</v>
      </c>
      <c r="Q738" t="s">
        <v>131</v>
      </c>
    </row>
    <row r="739" spans="1:17" x14ac:dyDescent="0.35">
      <c r="A739">
        <v>738</v>
      </c>
      <c r="B739">
        <v>2022</v>
      </c>
      <c r="C739">
        <v>5</v>
      </c>
      <c r="D739" t="s">
        <v>25</v>
      </c>
      <c r="E739" t="s">
        <v>44</v>
      </c>
      <c r="F739" s="1">
        <v>50479</v>
      </c>
      <c r="G739" s="1">
        <v>134363</v>
      </c>
      <c r="H739">
        <v>93</v>
      </c>
      <c r="I739">
        <v>0.97</v>
      </c>
      <c r="J739">
        <v>6.29</v>
      </c>
      <c r="K739">
        <v>1.2</v>
      </c>
      <c r="L739">
        <v>6</v>
      </c>
      <c r="M739" s="1" t="e">
        <f>#N/A</f>
        <v>#N/A</v>
      </c>
      <c r="N739">
        <v>372</v>
      </c>
      <c r="Q739" t="s">
        <v>131</v>
      </c>
    </row>
    <row r="740" spans="1:17" x14ac:dyDescent="0.35">
      <c r="A740">
        <v>739</v>
      </c>
      <c r="B740">
        <v>2022</v>
      </c>
      <c r="C740">
        <v>5</v>
      </c>
      <c r="D740" t="s">
        <v>38</v>
      </c>
      <c r="E740" t="s">
        <v>65</v>
      </c>
      <c r="F740" s="1">
        <v>62464</v>
      </c>
      <c r="G740" s="1">
        <v>431032</v>
      </c>
      <c r="H740">
        <v>67</v>
      </c>
      <c r="I740">
        <v>0.97</v>
      </c>
      <c r="J740">
        <v>6.29</v>
      </c>
      <c r="K740">
        <v>1.2</v>
      </c>
      <c r="L740">
        <v>1</v>
      </c>
      <c r="M740" s="1" t="e">
        <f>#N/A</f>
        <v>#N/A</v>
      </c>
      <c r="N740">
        <v>636</v>
      </c>
      <c r="Q740" t="s">
        <v>131</v>
      </c>
    </row>
    <row r="741" spans="1:17" x14ac:dyDescent="0.35">
      <c r="A741">
        <v>740</v>
      </c>
      <c r="B741">
        <v>2022</v>
      </c>
      <c r="C741">
        <v>5</v>
      </c>
      <c r="D741" t="s">
        <v>14</v>
      </c>
      <c r="E741" t="s">
        <v>64</v>
      </c>
      <c r="F741" s="1">
        <v>39897</v>
      </c>
      <c r="G741" s="1">
        <v>143448</v>
      </c>
      <c r="H741">
        <v>264</v>
      </c>
      <c r="I741">
        <v>0.97</v>
      </c>
      <c r="J741">
        <v>6.29</v>
      </c>
      <c r="K741">
        <v>1.2</v>
      </c>
      <c r="L741">
        <v>7</v>
      </c>
      <c r="M741" s="1" t="e">
        <f>#N/A</f>
        <v>#N/A</v>
      </c>
      <c r="N741">
        <v>631</v>
      </c>
      <c r="Q741" t="s">
        <v>131</v>
      </c>
    </row>
    <row r="742" spans="1:17" x14ac:dyDescent="0.35">
      <c r="A742">
        <v>741</v>
      </c>
      <c r="B742">
        <v>2022</v>
      </c>
      <c r="C742">
        <v>5</v>
      </c>
      <c r="D742" t="s">
        <v>38</v>
      </c>
      <c r="E742" t="s">
        <v>87</v>
      </c>
      <c r="F742" s="1">
        <v>77614</v>
      </c>
      <c r="G742" s="1">
        <v>498073</v>
      </c>
      <c r="H742">
        <v>125</v>
      </c>
      <c r="I742">
        <v>0.97</v>
      </c>
      <c r="J742">
        <v>6.29</v>
      </c>
      <c r="K742">
        <v>1.2</v>
      </c>
      <c r="L742">
        <v>7</v>
      </c>
      <c r="M742" s="1" t="e">
        <f>#N/A</f>
        <v>#N/A</v>
      </c>
      <c r="N742">
        <v>592</v>
      </c>
      <c r="Q742" t="s">
        <v>132</v>
      </c>
    </row>
    <row r="743" spans="1:17" x14ac:dyDescent="0.35">
      <c r="A743">
        <v>742</v>
      </c>
      <c r="B743">
        <v>2022</v>
      </c>
      <c r="C743">
        <v>5</v>
      </c>
      <c r="D743" t="s">
        <v>36</v>
      </c>
      <c r="E743" t="s">
        <v>98</v>
      </c>
      <c r="F743" s="1">
        <v>41008</v>
      </c>
      <c r="G743" s="1">
        <v>75494</v>
      </c>
      <c r="H743">
        <v>94</v>
      </c>
      <c r="I743">
        <v>0.97</v>
      </c>
      <c r="J743">
        <v>6.29</v>
      </c>
      <c r="K743">
        <v>1.2</v>
      </c>
      <c r="L743">
        <v>8</v>
      </c>
      <c r="M743" s="1" t="e">
        <f>#N/A</f>
        <v>#N/A</v>
      </c>
      <c r="N743">
        <v>398</v>
      </c>
      <c r="Q743" t="s">
        <v>132</v>
      </c>
    </row>
    <row r="744" spans="1:17" x14ac:dyDescent="0.35">
      <c r="A744">
        <v>743</v>
      </c>
      <c r="B744">
        <v>2022</v>
      </c>
      <c r="C744">
        <v>5</v>
      </c>
      <c r="D744" t="s">
        <v>32</v>
      </c>
      <c r="E744" t="s">
        <v>116</v>
      </c>
      <c r="F744" s="1">
        <v>88051</v>
      </c>
      <c r="G744" s="1">
        <v>175549</v>
      </c>
      <c r="H744">
        <v>48</v>
      </c>
      <c r="I744">
        <v>0.97</v>
      </c>
      <c r="J744">
        <v>6.29</v>
      </c>
      <c r="K744">
        <v>1.2</v>
      </c>
      <c r="L744">
        <v>8</v>
      </c>
      <c r="M744" s="1" t="e">
        <f>#N/A</f>
        <v>#N/A</v>
      </c>
      <c r="N744">
        <v>209</v>
      </c>
      <c r="Q744" t="s">
        <v>132</v>
      </c>
    </row>
    <row r="745" spans="1:17" x14ac:dyDescent="0.35">
      <c r="A745">
        <v>744</v>
      </c>
      <c r="B745">
        <v>2022</v>
      </c>
      <c r="C745">
        <v>5</v>
      </c>
      <c r="D745" t="s">
        <v>37</v>
      </c>
      <c r="E745" t="s">
        <v>143</v>
      </c>
      <c r="F745" s="1">
        <v>111368</v>
      </c>
      <c r="G745" s="1">
        <v>101962</v>
      </c>
      <c r="H745">
        <v>223</v>
      </c>
      <c r="I745">
        <v>0.97</v>
      </c>
      <c r="J745">
        <v>6.29</v>
      </c>
      <c r="K745">
        <v>1.2</v>
      </c>
      <c r="L745">
        <v>8</v>
      </c>
      <c r="M745" s="1" t="e">
        <f>#N/A</f>
        <v>#N/A</v>
      </c>
      <c r="N745">
        <v>513</v>
      </c>
      <c r="Q745" t="s">
        <v>132</v>
      </c>
    </row>
    <row r="746" spans="1:17" x14ac:dyDescent="0.35">
      <c r="A746">
        <v>745</v>
      </c>
      <c r="B746">
        <v>2022</v>
      </c>
      <c r="C746">
        <v>6</v>
      </c>
      <c r="D746" t="s">
        <v>21</v>
      </c>
      <c r="E746" t="s">
        <v>51</v>
      </c>
      <c r="F746" s="1">
        <v>110986</v>
      </c>
      <c r="G746" s="1">
        <v>296060</v>
      </c>
      <c r="H746">
        <v>310</v>
      </c>
      <c r="I746">
        <v>0.97</v>
      </c>
      <c r="J746">
        <v>6.29</v>
      </c>
      <c r="K746">
        <v>1.2</v>
      </c>
      <c r="L746">
        <v>8</v>
      </c>
      <c r="M746" s="1" t="e">
        <f>#N/A</f>
        <v>#N/A</v>
      </c>
      <c r="N746">
        <v>644</v>
      </c>
      <c r="Q746" t="s">
        <v>132</v>
      </c>
    </row>
    <row r="747" spans="1:17" x14ac:dyDescent="0.35">
      <c r="A747">
        <v>746</v>
      </c>
      <c r="B747">
        <v>2022</v>
      </c>
      <c r="C747">
        <v>6</v>
      </c>
      <c r="D747" t="s">
        <v>28</v>
      </c>
      <c r="E747" t="s">
        <v>48</v>
      </c>
      <c r="F747" s="1">
        <v>70315</v>
      </c>
      <c r="G747" s="1">
        <v>421780</v>
      </c>
      <c r="H747">
        <v>94</v>
      </c>
      <c r="I747">
        <v>0.97</v>
      </c>
      <c r="J747">
        <v>6.29</v>
      </c>
      <c r="K747">
        <v>1.2</v>
      </c>
      <c r="L747">
        <v>2</v>
      </c>
      <c r="M747" s="1" t="e">
        <f>#N/A</f>
        <v>#N/A</v>
      </c>
      <c r="N747">
        <v>559</v>
      </c>
      <c r="Q747" t="s">
        <v>132</v>
      </c>
    </row>
    <row r="748" spans="1:17" x14ac:dyDescent="0.35">
      <c r="A748">
        <v>747</v>
      </c>
      <c r="B748">
        <v>2022</v>
      </c>
      <c r="C748">
        <v>6</v>
      </c>
      <c r="D748" t="s">
        <v>21</v>
      </c>
      <c r="E748" t="s">
        <v>44</v>
      </c>
      <c r="F748" s="1">
        <v>117214</v>
      </c>
      <c r="G748" s="1">
        <v>110186</v>
      </c>
      <c r="H748">
        <v>178</v>
      </c>
      <c r="I748">
        <v>0.97</v>
      </c>
      <c r="J748">
        <v>6.29</v>
      </c>
      <c r="K748">
        <v>1.2</v>
      </c>
      <c r="L748">
        <v>2</v>
      </c>
      <c r="M748" s="1" t="e">
        <f>#N/A</f>
        <v>#N/A</v>
      </c>
      <c r="N748">
        <v>511</v>
      </c>
      <c r="Q748" t="s">
        <v>132</v>
      </c>
    </row>
    <row r="749" spans="1:17" x14ac:dyDescent="0.35">
      <c r="A749">
        <v>748</v>
      </c>
      <c r="B749">
        <v>2022</v>
      </c>
      <c r="C749">
        <v>6</v>
      </c>
      <c r="D749" t="s">
        <v>28</v>
      </c>
      <c r="E749" t="s">
        <v>94</v>
      </c>
      <c r="F749" s="1">
        <v>111298</v>
      </c>
      <c r="G749" s="1">
        <v>332803</v>
      </c>
      <c r="H749">
        <v>290</v>
      </c>
      <c r="I749">
        <v>0.97</v>
      </c>
      <c r="J749">
        <v>6.29</v>
      </c>
      <c r="K749">
        <v>1.2</v>
      </c>
      <c r="L749">
        <v>8</v>
      </c>
      <c r="M749" s="1" t="e">
        <f>#N/A</f>
        <v>#N/A</v>
      </c>
      <c r="N749">
        <v>847</v>
      </c>
      <c r="Q749" t="s">
        <v>132</v>
      </c>
    </row>
    <row r="750" spans="1:17" x14ac:dyDescent="0.35">
      <c r="A750">
        <v>749</v>
      </c>
      <c r="B750">
        <v>2022</v>
      </c>
      <c r="C750">
        <v>6</v>
      </c>
      <c r="D750" t="s">
        <v>28</v>
      </c>
      <c r="E750" t="s">
        <v>103</v>
      </c>
      <c r="F750" s="1">
        <v>86375</v>
      </c>
      <c r="G750" s="1">
        <v>436154</v>
      </c>
      <c r="H750">
        <v>174</v>
      </c>
      <c r="I750">
        <v>0.97</v>
      </c>
      <c r="J750">
        <v>6.29</v>
      </c>
      <c r="K750">
        <v>1.2</v>
      </c>
      <c r="L750">
        <v>3</v>
      </c>
      <c r="M750" s="1" t="e">
        <f>#N/A</f>
        <v>#N/A</v>
      </c>
      <c r="N750">
        <v>711</v>
      </c>
      <c r="Q750" t="s">
        <v>132</v>
      </c>
    </row>
    <row r="751" spans="1:17" x14ac:dyDescent="0.35">
      <c r="A751">
        <v>750</v>
      </c>
      <c r="B751">
        <v>2022</v>
      </c>
      <c r="C751">
        <v>6</v>
      </c>
      <c r="D751" t="s">
        <v>30</v>
      </c>
      <c r="E751" t="s">
        <v>105</v>
      </c>
      <c r="F751" s="1">
        <v>116463</v>
      </c>
      <c r="G751" s="1">
        <v>480147</v>
      </c>
      <c r="H751">
        <v>25</v>
      </c>
      <c r="I751">
        <v>0.97</v>
      </c>
      <c r="J751">
        <v>6.29</v>
      </c>
      <c r="K751">
        <v>1.2</v>
      </c>
      <c r="L751">
        <v>4</v>
      </c>
      <c r="M751" s="1" t="e">
        <f>#N/A</f>
        <v>#N/A</v>
      </c>
      <c r="N751">
        <v>244</v>
      </c>
      <c r="Q751" t="s">
        <v>132</v>
      </c>
    </row>
    <row r="752" spans="1:17" x14ac:dyDescent="0.35">
      <c r="A752">
        <v>751</v>
      </c>
      <c r="B752">
        <v>2022</v>
      </c>
      <c r="C752">
        <v>6</v>
      </c>
      <c r="D752" t="s">
        <v>21</v>
      </c>
      <c r="E752" t="s">
        <v>126</v>
      </c>
      <c r="F752" s="1">
        <v>73185</v>
      </c>
      <c r="G752" s="1">
        <v>194454</v>
      </c>
      <c r="H752">
        <v>101</v>
      </c>
      <c r="I752">
        <v>0.97</v>
      </c>
      <c r="J752">
        <v>6.29</v>
      </c>
      <c r="K752">
        <v>1.2</v>
      </c>
      <c r="L752">
        <v>6</v>
      </c>
      <c r="M752" s="1" t="e">
        <f>#N/A</f>
        <v>#N/A</v>
      </c>
      <c r="N752">
        <v>406</v>
      </c>
      <c r="Q752" t="s">
        <v>133</v>
      </c>
    </row>
    <row r="753" spans="1:17" x14ac:dyDescent="0.35">
      <c r="A753">
        <v>752</v>
      </c>
      <c r="B753">
        <v>2022</v>
      </c>
      <c r="C753">
        <v>6</v>
      </c>
      <c r="D753" t="s">
        <v>38</v>
      </c>
      <c r="E753" t="s">
        <v>124</v>
      </c>
      <c r="F753" s="1">
        <v>106139</v>
      </c>
      <c r="G753" s="1">
        <v>486442</v>
      </c>
      <c r="H753">
        <v>38</v>
      </c>
      <c r="I753">
        <v>0.97</v>
      </c>
      <c r="J753">
        <v>6.29</v>
      </c>
      <c r="K753">
        <v>1.2</v>
      </c>
      <c r="L753">
        <v>1</v>
      </c>
      <c r="M753" s="1" t="e">
        <f>#N/A</f>
        <v>#N/A</v>
      </c>
      <c r="N753">
        <v>407</v>
      </c>
      <c r="Q753" t="s">
        <v>133</v>
      </c>
    </row>
    <row r="754" spans="1:17" x14ac:dyDescent="0.35">
      <c r="A754">
        <v>753</v>
      </c>
      <c r="B754">
        <v>2022</v>
      </c>
      <c r="C754">
        <v>6</v>
      </c>
      <c r="D754" t="s">
        <v>21</v>
      </c>
      <c r="E754" t="s">
        <v>125</v>
      </c>
      <c r="F754" s="1">
        <v>107104</v>
      </c>
      <c r="G754" s="1">
        <v>255827</v>
      </c>
      <c r="H754">
        <v>24</v>
      </c>
      <c r="I754">
        <v>0.97</v>
      </c>
      <c r="J754">
        <v>6.29</v>
      </c>
      <c r="K754">
        <v>1.2</v>
      </c>
      <c r="L754">
        <v>3</v>
      </c>
      <c r="M754" s="1" t="e">
        <f>#N/A</f>
        <v>#N/A</v>
      </c>
      <c r="N754">
        <v>185</v>
      </c>
      <c r="Q754" t="s">
        <v>133</v>
      </c>
    </row>
    <row r="755" spans="1:17" x14ac:dyDescent="0.35">
      <c r="A755">
        <v>754</v>
      </c>
      <c r="B755">
        <v>2022</v>
      </c>
      <c r="C755">
        <v>6</v>
      </c>
      <c r="D755" t="s">
        <v>36</v>
      </c>
      <c r="E755" t="s">
        <v>140</v>
      </c>
      <c r="F755" s="1">
        <v>56650</v>
      </c>
      <c r="G755" s="1">
        <v>357481</v>
      </c>
      <c r="H755">
        <v>168</v>
      </c>
      <c r="I755">
        <v>0.97</v>
      </c>
      <c r="J755">
        <v>6.29</v>
      </c>
      <c r="K755">
        <v>1.2</v>
      </c>
      <c r="L755">
        <v>3</v>
      </c>
      <c r="M755" s="1" t="e">
        <f>#N/A</f>
        <v>#N/A</v>
      </c>
      <c r="N755">
        <v>753</v>
      </c>
      <c r="Q755" t="s">
        <v>133</v>
      </c>
    </row>
    <row r="756" spans="1:17" x14ac:dyDescent="0.35">
      <c r="A756">
        <v>755</v>
      </c>
      <c r="B756">
        <v>2022</v>
      </c>
      <c r="C756">
        <v>7</v>
      </c>
      <c r="D756" t="s">
        <v>14</v>
      </c>
      <c r="E756" t="s">
        <v>64</v>
      </c>
      <c r="F756" s="1">
        <v>106289</v>
      </c>
      <c r="G756" s="1">
        <v>61332</v>
      </c>
      <c r="H756">
        <v>80</v>
      </c>
      <c r="I756">
        <v>0.97</v>
      </c>
      <c r="J756">
        <v>6.29</v>
      </c>
      <c r="K756">
        <v>1.2</v>
      </c>
      <c r="L756">
        <v>7</v>
      </c>
      <c r="M756" s="1" t="e">
        <f>#N/A</f>
        <v>#N/A</v>
      </c>
      <c r="N756">
        <v>432</v>
      </c>
      <c r="Q756" t="s">
        <v>133</v>
      </c>
    </row>
    <row r="757" spans="1:17" x14ac:dyDescent="0.35">
      <c r="A757">
        <v>756</v>
      </c>
      <c r="B757">
        <v>2022</v>
      </c>
      <c r="C757">
        <v>7</v>
      </c>
      <c r="D757" t="s">
        <v>36</v>
      </c>
      <c r="E757" t="s">
        <v>83</v>
      </c>
      <c r="F757" s="1">
        <v>118232</v>
      </c>
      <c r="G757" s="1">
        <v>67143</v>
      </c>
      <c r="H757">
        <v>153</v>
      </c>
      <c r="I757">
        <v>0.97</v>
      </c>
      <c r="J757">
        <v>6.29</v>
      </c>
      <c r="K757">
        <v>1.2</v>
      </c>
      <c r="L757">
        <v>1</v>
      </c>
      <c r="M757" s="1" t="e">
        <f>#N/A</f>
        <v>#N/A</v>
      </c>
      <c r="N757">
        <v>497</v>
      </c>
      <c r="Q757" t="s">
        <v>133</v>
      </c>
    </row>
    <row r="758" spans="1:17" x14ac:dyDescent="0.35">
      <c r="A758">
        <v>757</v>
      </c>
      <c r="B758">
        <v>2022</v>
      </c>
      <c r="C758">
        <v>7</v>
      </c>
      <c r="D758" t="s">
        <v>14</v>
      </c>
      <c r="E758" t="s">
        <v>101</v>
      </c>
      <c r="F758" s="1">
        <v>108369</v>
      </c>
      <c r="G758" s="1">
        <v>450705</v>
      </c>
      <c r="H758">
        <v>48</v>
      </c>
      <c r="I758">
        <v>0.97</v>
      </c>
      <c r="J758">
        <v>6.29</v>
      </c>
      <c r="K758">
        <v>1.2</v>
      </c>
      <c r="L758">
        <v>7</v>
      </c>
      <c r="M758" s="1" t="e">
        <f>#N/A</f>
        <v>#N/A</v>
      </c>
      <c r="N758">
        <v>205</v>
      </c>
      <c r="Q758" t="s">
        <v>133</v>
      </c>
    </row>
    <row r="759" spans="1:17" x14ac:dyDescent="0.35">
      <c r="A759">
        <v>758</v>
      </c>
      <c r="B759">
        <v>2022</v>
      </c>
      <c r="C759">
        <v>7</v>
      </c>
      <c r="D759" t="s">
        <v>21</v>
      </c>
      <c r="E759" t="s">
        <v>101</v>
      </c>
      <c r="F759" s="1">
        <v>110452</v>
      </c>
      <c r="G759" s="1">
        <v>487570</v>
      </c>
      <c r="H759">
        <v>161</v>
      </c>
      <c r="I759">
        <v>0.97</v>
      </c>
      <c r="J759">
        <v>6.29</v>
      </c>
      <c r="K759">
        <v>1.2</v>
      </c>
      <c r="L759">
        <v>6</v>
      </c>
      <c r="M759" s="1" t="e">
        <f>#N/A</f>
        <v>#N/A</v>
      </c>
      <c r="N759">
        <v>415</v>
      </c>
      <c r="Q759" t="s">
        <v>133</v>
      </c>
    </row>
    <row r="760" spans="1:17" x14ac:dyDescent="0.35">
      <c r="A760">
        <v>759</v>
      </c>
      <c r="B760">
        <v>2022</v>
      </c>
      <c r="C760">
        <v>7</v>
      </c>
      <c r="D760" t="s">
        <v>32</v>
      </c>
      <c r="E760" t="s">
        <v>119</v>
      </c>
      <c r="F760" s="1">
        <v>71386</v>
      </c>
      <c r="G760" s="1">
        <v>139242</v>
      </c>
      <c r="H760">
        <v>239</v>
      </c>
      <c r="I760">
        <v>0.97</v>
      </c>
      <c r="J760">
        <v>6.29</v>
      </c>
      <c r="K760">
        <v>1.2</v>
      </c>
      <c r="L760">
        <v>9</v>
      </c>
      <c r="M760" s="1" t="e">
        <f>#N/A</f>
        <v>#N/A</v>
      </c>
      <c r="N760">
        <v>474</v>
      </c>
      <c r="Q760" t="s">
        <v>133</v>
      </c>
    </row>
    <row r="761" spans="1:17" x14ac:dyDescent="0.35">
      <c r="A761">
        <v>760</v>
      </c>
      <c r="B761">
        <v>2022</v>
      </c>
      <c r="C761">
        <v>7</v>
      </c>
      <c r="D761" t="s">
        <v>37</v>
      </c>
      <c r="E761" t="s">
        <v>120</v>
      </c>
      <c r="F761" s="1">
        <v>36375</v>
      </c>
      <c r="G761" s="1">
        <v>156379</v>
      </c>
      <c r="H761">
        <v>181</v>
      </c>
      <c r="I761">
        <v>0.97</v>
      </c>
      <c r="J761">
        <v>6.29</v>
      </c>
      <c r="K761">
        <v>1.2</v>
      </c>
      <c r="L761">
        <v>10</v>
      </c>
      <c r="M761" s="1" t="e">
        <f>#N/A</f>
        <v>#N/A</v>
      </c>
      <c r="N761">
        <v>608</v>
      </c>
      <c r="Q761" t="s">
        <v>133</v>
      </c>
    </row>
    <row r="762" spans="1:17" x14ac:dyDescent="0.35">
      <c r="A762">
        <v>761</v>
      </c>
      <c r="B762">
        <v>2022</v>
      </c>
      <c r="C762">
        <v>8</v>
      </c>
      <c r="D762" t="s">
        <v>25</v>
      </c>
      <c r="E762" t="s">
        <v>49</v>
      </c>
      <c r="F762" s="1">
        <v>61347</v>
      </c>
      <c r="G762" s="1">
        <v>190183</v>
      </c>
      <c r="H762">
        <v>134</v>
      </c>
      <c r="I762">
        <v>0.97</v>
      </c>
      <c r="J762">
        <v>6.29</v>
      </c>
      <c r="K762">
        <v>1.2</v>
      </c>
      <c r="L762">
        <v>7</v>
      </c>
      <c r="M762" s="1" t="e">
        <f>#N/A</f>
        <v>#N/A</v>
      </c>
      <c r="N762">
        <v>523</v>
      </c>
      <c r="Q762" t="s">
        <v>133</v>
      </c>
    </row>
    <row r="763" spans="1:17" x14ac:dyDescent="0.35">
      <c r="A763">
        <v>762</v>
      </c>
      <c r="B763">
        <v>2022</v>
      </c>
      <c r="C763">
        <v>8</v>
      </c>
      <c r="D763" t="s">
        <v>37</v>
      </c>
      <c r="E763" t="s">
        <v>112</v>
      </c>
      <c r="F763" s="1">
        <v>39823</v>
      </c>
      <c r="G763" s="1">
        <v>375188</v>
      </c>
      <c r="H763">
        <v>253</v>
      </c>
      <c r="I763">
        <v>0.97</v>
      </c>
      <c r="J763">
        <v>6.29</v>
      </c>
      <c r="K763">
        <v>1.2</v>
      </c>
      <c r="L763">
        <v>4</v>
      </c>
      <c r="M763" s="1" t="e">
        <f>#N/A</f>
        <v>#N/A</v>
      </c>
      <c r="N763">
        <v>794</v>
      </c>
      <c r="Q763" t="s">
        <v>133</v>
      </c>
    </row>
    <row r="764" spans="1:17" x14ac:dyDescent="0.35">
      <c r="A764">
        <v>763</v>
      </c>
      <c r="B764">
        <v>2022</v>
      </c>
      <c r="C764">
        <v>8</v>
      </c>
      <c r="D764" t="s">
        <v>25</v>
      </c>
      <c r="E764" t="s">
        <v>117</v>
      </c>
      <c r="F764" s="1">
        <v>117987</v>
      </c>
      <c r="G764" s="1">
        <v>61826</v>
      </c>
      <c r="H764">
        <v>30</v>
      </c>
      <c r="I764">
        <v>0.97</v>
      </c>
      <c r="J764">
        <v>6.29</v>
      </c>
      <c r="K764">
        <v>1.2</v>
      </c>
      <c r="L764">
        <v>10</v>
      </c>
      <c r="M764" s="1" t="e">
        <f>#N/A</f>
        <v>#N/A</v>
      </c>
      <c r="N764">
        <v>80</v>
      </c>
      <c r="Q764" t="s">
        <v>134</v>
      </c>
    </row>
    <row r="765" spans="1:17" x14ac:dyDescent="0.35">
      <c r="A765">
        <v>764</v>
      </c>
      <c r="B765">
        <v>2022</v>
      </c>
      <c r="C765">
        <v>8</v>
      </c>
      <c r="D765" t="s">
        <v>25</v>
      </c>
      <c r="E765" t="s">
        <v>134</v>
      </c>
      <c r="F765" s="1">
        <v>87664</v>
      </c>
      <c r="G765" s="1">
        <v>265705</v>
      </c>
      <c r="H765">
        <v>324</v>
      </c>
      <c r="I765">
        <v>0.97</v>
      </c>
      <c r="J765">
        <v>6.29</v>
      </c>
      <c r="K765">
        <v>1.2</v>
      </c>
      <c r="L765">
        <v>2</v>
      </c>
      <c r="M765" s="1" t="e">
        <f>#N/A</f>
        <v>#N/A</v>
      </c>
      <c r="N765">
        <v>827</v>
      </c>
      <c r="Q765" t="s">
        <v>134</v>
      </c>
    </row>
    <row r="766" spans="1:17" x14ac:dyDescent="0.35">
      <c r="A766">
        <v>765</v>
      </c>
      <c r="B766">
        <v>2022</v>
      </c>
      <c r="C766">
        <v>8</v>
      </c>
      <c r="D766" t="s">
        <v>30</v>
      </c>
      <c r="E766" t="s">
        <v>135</v>
      </c>
      <c r="F766" s="1">
        <v>83639</v>
      </c>
      <c r="G766" s="1">
        <v>62467</v>
      </c>
      <c r="H766">
        <v>364</v>
      </c>
      <c r="I766">
        <v>0.97</v>
      </c>
      <c r="J766">
        <v>6.29</v>
      </c>
      <c r="K766">
        <v>1.2</v>
      </c>
      <c r="L766">
        <v>1</v>
      </c>
      <c r="M766" s="1" t="e">
        <f>#N/A</f>
        <v>#N/A</v>
      </c>
      <c r="N766">
        <v>823</v>
      </c>
      <c r="Q766" t="s">
        <v>134</v>
      </c>
    </row>
    <row r="767" spans="1:17" x14ac:dyDescent="0.35">
      <c r="A767">
        <v>766</v>
      </c>
      <c r="B767">
        <v>2022</v>
      </c>
      <c r="C767">
        <v>8</v>
      </c>
      <c r="D767" t="s">
        <v>21</v>
      </c>
      <c r="E767" t="s">
        <v>153</v>
      </c>
      <c r="F767" s="1">
        <v>74725</v>
      </c>
      <c r="G767" s="1">
        <v>382278</v>
      </c>
      <c r="H767">
        <v>110</v>
      </c>
      <c r="I767">
        <v>0.97</v>
      </c>
      <c r="J767">
        <v>6.29</v>
      </c>
      <c r="K767">
        <v>1.2</v>
      </c>
      <c r="L767">
        <v>2</v>
      </c>
      <c r="M767" s="1" t="e">
        <f>#N/A</f>
        <v>#N/A</v>
      </c>
      <c r="N767">
        <v>303</v>
      </c>
      <c r="Q767" t="s">
        <v>134</v>
      </c>
    </row>
    <row r="768" spans="1:17" x14ac:dyDescent="0.35">
      <c r="A768">
        <v>767</v>
      </c>
      <c r="B768">
        <v>2022</v>
      </c>
      <c r="C768">
        <v>9</v>
      </c>
      <c r="D768" t="s">
        <v>37</v>
      </c>
      <c r="E768" t="s">
        <v>62</v>
      </c>
      <c r="F768" s="1">
        <v>64831</v>
      </c>
      <c r="G768" s="1">
        <v>107939</v>
      </c>
      <c r="H768">
        <v>84</v>
      </c>
      <c r="I768">
        <v>0.97</v>
      </c>
      <c r="J768">
        <v>6.29</v>
      </c>
      <c r="K768">
        <v>1.2</v>
      </c>
      <c r="L768">
        <v>2</v>
      </c>
      <c r="M768" s="1" t="e">
        <f>#N/A</f>
        <v>#N/A</v>
      </c>
      <c r="N768">
        <v>450</v>
      </c>
      <c r="Q768" t="s">
        <v>134</v>
      </c>
    </row>
    <row r="769" spans="1:17" x14ac:dyDescent="0.35">
      <c r="A769">
        <v>768</v>
      </c>
      <c r="B769">
        <v>2022</v>
      </c>
      <c r="C769">
        <v>9</v>
      </c>
      <c r="D769" t="s">
        <v>32</v>
      </c>
      <c r="E769" t="s">
        <v>73</v>
      </c>
      <c r="F769" s="1">
        <v>73367</v>
      </c>
      <c r="G769" s="1">
        <v>356531</v>
      </c>
      <c r="H769">
        <v>168</v>
      </c>
      <c r="I769">
        <v>0.97</v>
      </c>
      <c r="J769">
        <v>6.29</v>
      </c>
      <c r="K769">
        <v>1.2</v>
      </c>
      <c r="L769">
        <v>3</v>
      </c>
      <c r="M769" s="1" t="e">
        <f>#N/A</f>
        <v>#N/A</v>
      </c>
      <c r="N769">
        <v>393</v>
      </c>
      <c r="Q769" t="s">
        <v>134</v>
      </c>
    </row>
    <row r="770" spans="1:17" x14ac:dyDescent="0.35">
      <c r="A770">
        <v>769</v>
      </c>
      <c r="B770">
        <v>2022</v>
      </c>
      <c r="C770">
        <v>9</v>
      </c>
      <c r="D770" t="s">
        <v>32</v>
      </c>
      <c r="E770" t="s">
        <v>76</v>
      </c>
      <c r="F770" s="1">
        <v>49745</v>
      </c>
      <c r="G770" s="1">
        <v>320590</v>
      </c>
      <c r="H770">
        <v>364</v>
      </c>
      <c r="I770">
        <v>0.97</v>
      </c>
      <c r="J770">
        <v>6.29</v>
      </c>
      <c r="K770">
        <v>1.2</v>
      </c>
      <c r="L770">
        <v>3</v>
      </c>
      <c r="M770" s="1" t="e">
        <f>#N/A</f>
        <v>#N/A</v>
      </c>
      <c r="N770">
        <v>958</v>
      </c>
      <c r="Q770" t="s">
        <v>135</v>
      </c>
    </row>
    <row r="771" spans="1:17" x14ac:dyDescent="0.35">
      <c r="A771">
        <v>770</v>
      </c>
      <c r="B771">
        <v>2022</v>
      </c>
      <c r="C771">
        <v>9</v>
      </c>
      <c r="D771" t="s">
        <v>28</v>
      </c>
      <c r="E771" t="s">
        <v>100</v>
      </c>
      <c r="F771" s="1">
        <v>89460</v>
      </c>
      <c r="G771" s="1">
        <v>357268</v>
      </c>
      <c r="H771">
        <v>18</v>
      </c>
      <c r="I771">
        <v>0.97</v>
      </c>
      <c r="J771">
        <v>6.29</v>
      </c>
      <c r="K771">
        <v>1.2</v>
      </c>
      <c r="L771">
        <v>5</v>
      </c>
      <c r="M771" s="1" t="e">
        <f>#N/A</f>
        <v>#N/A</v>
      </c>
      <c r="N771">
        <v>111</v>
      </c>
      <c r="Q771" t="s">
        <v>135</v>
      </c>
    </row>
    <row r="772" spans="1:17" x14ac:dyDescent="0.35">
      <c r="A772">
        <v>771</v>
      </c>
      <c r="B772">
        <v>2022</v>
      </c>
      <c r="C772">
        <v>9</v>
      </c>
      <c r="D772" t="s">
        <v>35</v>
      </c>
      <c r="E772" t="s">
        <v>97</v>
      </c>
      <c r="F772" s="1">
        <v>44196</v>
      </c>
      <c r="G772" s="1">
        <v>355126</v>
      </c>
      <c r="H772">
        <v>43</v>
      </c>
      <c r="I772">
        <v>0.97</v>
      </c>
      <c r="J772">
        <v>6.29</v>
      </c>
      <c r="K772">
        <v>1.2</v>
      </c>
      <c r="L772">
        <v>9</v>
      </c>
      <c r="M772" s="1" t="e">
        <f>#N/A</f>
        <v>#N/A</v>
      </c>
      <c r="N772">
        <v>247</v>
      </c>
      <c r="Q772" t="s">
        <v>135</v>
      </c>
    </row>
    <row r="773" spans="1:17" x14ac:dyDescent="0.35">
      <c r="A773">
        <v>772</v>
      </c>
      <c r="B773">
        <v>2022</v>
      </c>
      <c r="C773">
        <v>9</v>
      </c>
      <c r="D773" t="s">
        <v>30</v>
      </c>
      <c r="E773" t="s">
        <v>115</v>
      </c>
      <c r="F773" s="1">
        <v>85617</v>
      </c>
      <c r="G773" s="1">
        <v>63731</v>
      </c>
      <c r="H773">
        <v>236</v>
      </c>
      <c r="I773">
        <v>0.97</v>
      </c>
      <c r="J773">
        <v>6.29</v>
      </c>
      <c r="K773">
        <v>1.2</v>
      </c>
      <c r="L773">
        <v>2</v>
      </c>
      <c r="M773" s="1" t="e">
        <f>#N/A</f>
        <v>#N/A</v>
      </c>
      <c r="N773">
        <v>674</v>
      </c>
      <c r="Q773" t="s">
        <v>135</v>
      </c>
    </row>
    <row r="774" spans="1:17" x14ac:dyDescent="0.35">
      <c r="A774">
        <v>773</v>
      </c>
      <c r="B774">
        <v>2022</v>
      </c>
      <c r="C774">
        <v>9</v>
      </c>
      <c r="D774" t="s">
        <v>21</v>
      </c>
      <c r="E774" t="s">
        <v>151</v>
      </c>
      <c r="F774" s="1">
        <v>65771</v>
      </c>
      <c r="G774" s="1">
        <v>432650</v>
      </c>
      <c r="H774">
        <v>20</v>
      </c>
      <c r="I774">
        <v>0.97</v>
      </c>
      <c r="J774">
        <v>6.29</v>
      </c>
      <c r="K774">
        <v>1.2</v>
      </c>
      <c r="L774">
        <v>8</v>
      </c>
      <c r="M774" s="1" t="e">
        <f>#N/A</f>
        <v>#N/A</v>
      </c>
      <c r="N774">
        <v>476</v>
      </c>
      <c r="Q774" t="s">
        <v>135</v>
      </c>
    </row>
    <row r="775" spans="1:17" x14ac:dyDescent="0.35">
      <c r="A775">
        <v>774</v>
      </c>
      <c r="B775">
        <v>2022</v>
      </c>
      <c r="C775">
        <v>9</v>
      </c>
      <c r="D775" t="s">
        <v>36</v>
      </c>
      <c r="E775" t="s">
        <v>143</v>
      </c>
      <c r="F775" s="1">
        <v>102567</v>
      </c>
      <c r="G775" s="1">
        <v>249271</v>
      </c>
      <c r="H775">
        <v>178</v>
      </c>
      <c r="I775">
        <v>0.97</v>
      </c>
      <c r="J775">
        <v>6.29</v>
      </c>
      <c r="K775">
        <v>1.2</v>
      </c>
      <c r="L775">
        <v>2</v>
      </c>
      <c r="M775" s="1" t="e">
        <f>#N/A</f>
        <v>#N/A</v>
      </c>
      <c r="N775">
        <v>554</v>
      </c>
      <c r="Q775" t="s">
        <v>135</v>
      </c>
    </row>
    <row r="776" spans="1:17" x14ac:dyDescent="0.35">
      <c r="A776">
        <v>775</v>
      </c>
      <c r="B776">
        <v>2022</v>
      </c>
      <c r="C776">
        <v>9</v>
      </c>
      <c r="D776" t="s">
        <v>14</v>
      </c>
      <c r="E776" t="s">
        <v>142</v>
      </c>
      <c r="F776" s="1">
        <v>118087</v>
      </c>
      <c r="G776" s="1">
        <v>130691</v>
      </c>
      <c r="H776">
        <v>143</v>
      </c>
      <c r="I776">
        <v>0.97</v>
      </c>
      <c r="J776">
        <v>6.29</v>
      </c>
      <c r="K776">
        <v>1.2</v>
      </c>
      <c r="L776">
        <v>7</v>
      </c>
      <c r="M776" s="1" t="e">
        <f>#N/A</f>
        <v>#N/A</v>
      </c>
      <c r="N776">
        <v>311</v>
      </c>
      <c r="Q776" t="s">
        <v>135</v>
      </c>
    </row>
    <row r="777" spans="1:17" x14ac:dyDescent="0.35">
      <c r="A777">
        <v>776</v>
      </c>
      <c r="B777">
        <v>2022</v>
      </c>
      <c r="C777">
        <v>9</v>
      </c>
      <c r="D777" t="s">
        <v>36</v>
      </c>
      <c r="E777" t="s">
        <v>158</v>
      </c>
      <c r="F777" s="1">
        <v>95354</v>
      </c>
      <c r="G777" s="1">
        <v>329343</v>
      </c>
      <c r="H777">
        <v>123</v>
      </c>
      <c r="I777">
        <v>0.97</v>
      </c>
      <c r="J777">
        <v>6.29</v>
      </c>
      <c r="K777">
        <v>1.2</v>
      </c>
      <c r="L777">
        <v>6</v>
      </c>
      <c r="M777" s="1" t="e">
        <f>#N/A</f>
        <v>#N/A</v>
      </c>
      <c r="N777">
        <v>531</v>
      </c>
      <c r="Q777" t="s">
        <v>135</v>
      </c>
    </row>
    <row r="778" spans="1:17" x14ac:dyDescent="0.35">
      <c r="A778">
        <v>777</v>
      </c>
      <c r="B778">
        <v>2022</v>
      </c>
      <c r="C778">
        <v>10</v>
      </c>
      <c r="D778" t="s">
        <v>38</v>
      </c>
      <c r="E778" t="s">
        <v>46</v>
      </c>
      <c r="F778" s="1">
        <v>40209</v>
      </c>
      <c r="G778" s="1">
        <v>288441</v>
      </c>
      <c r="H778">
        <v>175</v>
      </c>
      <c r="I778">
        <v>0.97</v>
      </c>
      <c r="J778">
        <v>6.29</v>
      </c>
      <c r="K778">
        <v>1.2</v>
      </c>
      <c r="L778">
        <v>9</v>
      </c>
      <c r="M778" s="1" t="e">
        <f>#N/A</f>
        <v>#N/A</v>
      </c>
      <c r="N778">
        <v>806</v>
      </c>
      <c r="Q778" t="s">
        <v>136</v>
      </c>
    </row>
    <row r="779" spans="1:17" x14ac:dyDescent="0.35">
      <c r="A779">
        <v>778</v>
      </c>
      <c r="B779">
        <v>2022</v>
      </c>
      <c r="C779">
        <v>10</v>
      </c>
      <c r="D779" t="s">
        <v>28</v>
      </c>
      <c r="E779" t="s">
        <v>52</v>
      </c>
      <c r="F779" s="1">
        <v>113929</v>
      </c>
      <c r="G779" s="1">
        <v>497603</v>
      </c>
      <c r="H779">
        <v>24</v>
      </c>
      <c r="I779">
        <v>0.97</v>
      </c>
      <c r="J779">
        <v>6.29</v>
      </c>
      <c r="K779">
        <v>1.2</v>
      </c>
      <c r="L779">
        <v>8</v>
      </c>
      <c r="M779" s="1" t="e">
        <f>#N/A</f>
        <v>#N/A</v>
      </c>
      <c r="N779">
        <v>324</v>
      </c>
      <c r="Q779" t="s">
        <v>136</v>
      </c>
    </row>
    <row r="780" spans="1:17" x14ac:dyDescent="0.35">
      <c r="A780">
        <v>779</v>
      </c>
      <c r="B780">
        <v>2022</v>
      </c>
      <c r="C780">
        <v>10</v>
      </c>
      <c r="D780" t="s">
        <v>36</v>
      </c>
      <c r="E780" t="s">
        <v>67</v>
      </c>
      <c r="F780" s="1">
        <v>74405</v>
      </c>
      <c r="G780" s="1">
        <v>115439</v>
      </c>
      <c r="H780">
        <v>214</v>
      </c>
      <c r="I780">
        <v>0.97</v>
      </c>
      <c r="J780">
        <v>6.29</v>
      </c>
      <c r="K780">
        <v>1.2</v>
      </c>
      <c r="L780">
        <v>5</v>
      </c>
      <c r="M780" s="1" t="e">
        <f>#N/A</f>
        <v>#N/A</v>
      </c>
      <c r="N780">
        <v>597</v>
      </c>
      <c r="Q780" t="s">
        <v>136</v>
      </c>
    </row>
    <row r="781" spans="1:17" x14ac:dyDescent="0.35">
      <c r="A781">
        <v>780</v>
      </c>
      <c r="B781">
        <v>2022</v>
      </c>
      <c r="C781">
        <v>10</v>
      </c>
      <c r="D781" t="s">
        <v>28</v>
      </c>
      <c r="E781" t="s">
        <v>57</v>
      </c>
      <c r="F781" s="1">
        <v>82691</v>
      </c>
      <c r="G781" s="1">
        <v>207255</v>
      </c>
      <c r="H781">
        <v>346</v>
      </c>
      <c r="I781">
        <v>0.97</v>
      </c>
      <c r="J781">
        <v>6.29</v>
      </c>
      <c r="K781">
        <v>1.2</v>
      </c>
      <c r="L781">
        <v>7</v>
      </c>
      <c r="M781" s="1" t="e">
        <f>#N/A</f>
        <v>#N/A</v>
      </c>
      <c r="N781">
        <v>1124</v>
      </c>
      <c r="Q781" t="s">
        <v>136</v>
      </c>
    </row>
    <row r="782" spans="1:17" x14ac:dyDescent="0.35">
      <c r="A782">
        <v>781</v>
      </c>
      <c r="B782">
        <v>2022</v>
      </c>
      <c r="C782">
        <v>10</v>
      </c>
      <c r="D782" t="s">
        <v>21</v>
      </c>
      <c r="E782" t="s">
        <v>89</v>
      </c>
      <c r="F782" s="1">
        <v>106334</v>
      </c>
      <c r="G782" s="1">
        <v>367231</v>
      </c>
      <c r="H782">
        <v>260</v>
      </c>
      <c r="I782">
        <v>0.97</v>
      </c>
      <c r="J782">
        <v>6.29</v>
      </c>
      <c r="K782">
        <v>1.2</v>
      </c>
      <c r="L782">
        <v>7</v>
      </c>
      <c r="M782" s="1" t="e">
        <f>#N/A</f>
        <v>#N/A</v>
      </c>
      <c r="N782">
        <v>796</v>
      </c>
      <c r="Q782" t="s">
        <v>136</v>
      </c>
    </row>
    <row r="783" spans="1:17" x14ac:dyDescent="0.35">
      <c r="A783">
        <v>782</v>
      </c>
      <c r="B783">
        <v>2022</v>
      </c>
      <c r="C783">
        <v>10</v>
      </c>
      <c r="D783" t="s">
        <v>14</v>
      </c>
      <c r="E783" t="s">
        <v>101</v>
      </c>
      <c r="F783" s="1">
        <v>53690</v>
      </c>
      <c r="G783" s="1">
        <v>483541</v>
      </c>
      <c r="H783">
        <v>339</v>
      </c>
      <c r="I783">
        <v>0.97</v>
      </c>
      <c r="J783">
        <v>6.29</v>
      </c>
      <c r="K783">
        <v>1.2</v>
      </c>
      <c r="L783">
        <v>7</v>
      </c>
      <c r="M783" s="1" t="e">
        <f>#N/A</f>
        <v>#N/A</v>
      </c>
      <c r="N783">
        <v>818</v>
      </c>
      <c r="Q783" t="s">
        <v>136</v>
      </c>
    </row>
    <row r="784" spans="1:17" x14ac:dyDescent="0.35">
      <c r="A784">
        <v>783</v>
      </c>
      <c r="B784">
        <v>2022</v>
      </c>
      <c r="C784">
        <v>10</v>
      </c>
      <c r="D784" t="s">
        <v>36</v>
      </c>
      <c r="E784" t="s">
        <v>103</v>
      </c>
      <c r="F784" s="1">
        <v>85971</v>
      </c>
      <c r="G784" s="1">
        <v>306139</v>
      </c>
      <c r="H784">
        <v>334</v>
      </c>
      <c r="I784">
        <v>0.97</v>
      </c>
      <c r="J784">
        <v>6.29</v>
      </c>
      <c r="K784">
        <v>1.2</v>
      </c>
      <c r="L784">
        <v>8</v>
      </c>
      <c r="M784" s="1" t="e">
        <f>#N/A</f>
        <v>#N/A</v>
      </c>
      <c r="N784">
        <v>1021</v>
      </c>
      <c r="Q784" t="s">
        <v>136</v>
      </c>
    </row>
    <row r="785" spans="1:17" x14ac:dyDescent="0.35">
      <c r="A785">
        <v>784</v>
      </c>
      <c r="B785">
        <v>2022</v>
      </c>
      <c r="C785">
        <v>10</v>
      </c>
      <c r="D785" t="s">
        <v>36</v>
      </c>
      <c r="E785" t="s">
        <v>99</v>
      </c>
      <c r="F785" s="1">
        <v>60279</v>
      </c>
      <c r="G785" s="1">
        <v>55495</v>
      </c>
      <c r="H785">
        <v>143</v>
      </c>
      <c r="I785">
        <v>0.97</v>
      </c>
      <c r="J785">
        <v>6.29</v>
      </c>
      <c r="K785">
        <v>1.2</v>
      </c>
      <c r="L785">
        <v>10</v>
      </c>
      <c r="M785" s="1" t="e">
        <f>#N/A</f>
        <v>#N/A</v>
      </c>
      <c r="N785">
        <v>312</v>
      </c>
      <c r="Q785" t="s">
        <v>136</v>
      </c>
    </row>
    <row r="786" spans="1:17" x14ac:dyDescent="0.35">
      <c r="A786">
        <v>785</v>
      </c>
      <c r="B786">
        <v>2022</v>
      </c>
      <c r="C786">
        <v>10</v>
      </c>
      <c r="D786" t="s">
        <v>32</v>
      </c>
      <c r="E786" t="s">
        <v>111</v>
      </c>
      <c r="F786" s="1">
        <v>94123</v>
      </c>
      <c r="G786" s="1">
        <v>427082</v>
      </c>
      <c r="H786">
        <v>62</v>
      </c>
      <c r="I786">
        <v>0.97</v>
      </c>
      <c r="J786">
        <v>6.29</v>
      </c>
      <c r="K786">
        <v>1.2</v>
      </c>
      <c r="L786">
        <v>5</v>
      </c>
      <c r="M786" s="1" t="e">
        <f>#N/A</f>
        <v>#N/A</v>
      </c>
      <c r="N786">
        <v>254</v>
      </c>
      <c r="Q786" t="s">
        <v>136</v>
      </c>
    </row>
    <row r="787" spans="1:17" x14ac:dyDescent="0.35">
      <c r="A787">
        <v>786</v>
      </c>
      <c r="B787">
        <v>2022</v>
      </c>
      <c r="C787">
        <v>10</v>
      </c>
      <c r="D787" t="s">
        <v>14</v>
      </c>
      <c r="E787" t="s">
        <v>120</v>
      </c>
      <c r="F787" s="1">
        <v>73220</v>
      </c>
      <c r="G787" s="1">
        <v>472769</v>
      </c>
      <c r="H787">
        <v>187</v>
      </c>
      <c r="I787">
        <v>0.97</v>
      </c>
      <c r="J787">
        <v>6.29</v>
      </c>
      <c r="K787">
        <v>1.2</v>
      </c>
      <c r="L787">
        <v>3</v>
      </c>
      <c r="M787" s="1" t="e">
        <f>#N/A</f>
        <v>#N/A</v>
      </c>
      <c r="N787">
        <v>811</v>
      </c>
      <c r="Q787" t="s">
        <v>137</v>
      </c>
    </row>
    <row r="788" spans="1:17" x14ac:dyDescent="0.35">
      <c r="A788">
        <v>787</v>
      </c>
      <c r="B788">
        <v>2022</v>
      </c>
      <c r="C788">
        <v>10</v>
      </c>
      <c r="D788" t="s">
        <v>35</v>
      </c>
      <c r="E788" t="s">
        <v>128</v>
      </c>
      <c r="F788" s="1">
        <v>52883</v>
      </c>
      <c r="G788" s="1">
        <v>414633</v>
      </c>
      <c r="H788">
        <v>334</v>
      </c>
      <c r="I788">
        <v>0.97</v>
      </c>
      <c r="J788">
        <v>6.29</v>
      </c>
      <c r="K788">
        <v>1.2</v>
      </c>
      <c r="L788">
        <v>8</v>
      </c>
      <c r="M788" s="1" t="e">
        <f>#N/A</f>
        <v>#N/A</v>
      </c>
      <c r="N788">
        <v>712</v>
      </c>
      <c r="Q788" t="s">
        <v>137</v>
      </c>
    </row>
    <row r="789" spans="1:17" x14ac:dyDescent="0.35">
      <c r="A789">
        <v>788</v>
      </c>
      <c r="B789">
        <v>2022</v>
      </c>
      <c r="C789">
        <v>10</v>
      </c>
      <c r="D789" t="s">
        <v>28</v>
      </c>
      <c r="E789" t="s">
        <v>131</v>
      </c>
      <c r="F789" s="1">
        <v>44344</v>
      </c>
      <c r="G789" s="1">
        <v>275758</v>
      </c>
      <c r="H789">
        <v>367</v>
      </c>
      <c r="I789">
        <v>0.97</v>
      </c>
      <c r="J789">
        <v>6.29</v>
      </c>
      <c r="K789">
        <v>1.2</v>
      </c>
      <c r="L789">
        <v>3</v>
      </c>
      <c r="M789" s="1" t="e">
        <f>#N/A</f>
        <v>#N/A</v>
      </c>
      <c r="N789">
        <v>783</v>
      </c>
      <c r="Q789" t="s">
        <v>137</v>
      </c>
    </row>
    <row r="790" spans="1:17" x14ac:dyDescent="0.35">
      <c r="A790">
        <v>789</v>
      </c>
      <c r="B790">
        <v>2022</v>
      </c>
      <c r="C790">
        <v>11</v>
      </c>
      <c r="D790" t="s">
        <v>38</v>
      </c>
      <c r="E790" t="s">
        <v>57</v>
      </c>
      <c r="F790" s="1">
        <v>63756</v>
      </c>
      <c r="G790" s="1">
        <v>237535</v>
      </c>
      <c r="H790">
        <v>399</v>
      </c>
      <c r="I790">
        <v>0.97</v>
      </c>
      <c r="J790">
        <v>6.29</v>
      </c>
      <c r="K790">
        <v>1.2</v>
      </c>
      <c r="L790">
        <v>8</v>
      </c>
      <c r="M790" s="1" t="e">
        <f>#N/A</f>
        <v>#N/A</v>
      </c>
      <c r="N790">
        <v>1137</v>
      </c>
      <c r="Q790" t="s">
        <v>137</v>
      </c>
    </row>
    <row r="791" spans="1:17" x14ac:dyDescent="0.35">
      <c r="A791">
        <v>790</v>
      </c>
      <c r="B791">
        <v>2022</v>
      </c>
      <c r="C791">
        <v>11</v>
      </c>
      <c r="D791" t="s">
        <v>28</v>
      </c>
      <c r="E791" t="s">
        <v>56</v>
      </c>
      <c r="F791" s="1">
        <v>84112</v>
      </c>
      <c r="G791" s="1">
        <v>252278</v>
      </c>
      <c r="H791">
        <v>167</v>
      </c>
      <c r="I791">
        <v>0.97</v>
      </c>
      <c r="J791">
        <v>6.29</v>
      </c>
      <c r="K791">
        <v>1.2</v>
      </c>
      <c r="L791">
        <v>5</v>
      </c>
      <c r="M791" s="1" t="e">
        <f>#N/A</f>
        <v>#N/A</v>
      </c>
      <c r="N791">
        <v>679</v>
      </c>
      <c r="Q791" t="s">
        <v>137</v>
      </c>
    </row>
    <row r="792" spans="1:17" x14ac:dyDescent="0.35">
      <c r="A792">
        <v>791</v>
      </c>
      <c r="B792">
        <v>2022</v>
      </c>
      <c r="C792">
        <v>11</v>
      </c>
      <c r="D792" t="s">
        <v>21</v>
      </c>
      <c r="E792" t="s">
        <v>71</v>
      </c>
      <c r="F792" s="1">
        <v>43531</v>
      </c>
      <c r="G792" s="1">
        <v>474622</v>
      </c>
      <c r="H792">
        <v>124</v>
      </c>
      <c r="I792">
        <v>0.97</v>
      </c>
      <c r="J792">
        <v>6.29</v>
      </c>
      <c r="K792">
        <v>1.2</v>
      </c>
      <c r="L792">
        <v>8</v>
      </c>
      <c r="M792" s="1" t="e">
        <f>#N/A</f>
        <v>#N/A</v>
      </c>
      <c r="N792">
        <v>516</v>
      </c>
      <c r="Q792" t="s">
        <v>137</v>
      </c>
    </row>
    <row r="793" spans="1:17" x14ac:dyDescent="0.35">
      <c r="A793">
        <v>792</v>
      </c>
      <c r="B793">
        <v>2022</v>
      </c>
      <c r="C793">
        <v>11</v>
      </c>
      <c r="D793" t="s">
        <v>38</v>
      </c>
      <c r="E793" t="s">
        <v>75</v>
      </c>
      <c r="F793" s="1">
        <v>70340</v>
      </c>
      <c r="G793" s="1">
        <v>127360</v>
      </c>
      <c r="H793">
        <v>264</v>
      </c>
      <c r="I793">
        <v>0.97</v>
      </c>
      <c r="J793">
        <v>6.29</v>
      </c>
      <c r="K793">
        <v>1.2</v>
      </c>
      <c r="L793">
        <v>6</v>
      </c>
      <c r="M793" s="1" t="e">
        <f>#N/A</f>
        <v>#N/A</v>
      </c>
      <c r="N793">
        <v>902</v>
      </c>
      <c r="Q793" t="s">
        <v>137</v>
      </c>
    </row>
    <row r="794" spans="1:17" x14ac:dyDescent="0.35">
      <c r="A794">
        <v>793</v>
      </c>
      <c r="B794">
        <v>2022</v>
      </c>
      <c r="C794">
        <v>11</v>
      </c>
      <c r="D794" t="s">
        <v>30</v>
      </c>
      <c r="E794" t="s">
        <v>83</v>
      </c>
      <c r="F794" s="1">
        <v>55863</v>
      </c>
      <c r="G794" s="1">
        <v>349340</v>
      </c>
      <c r="H794">
        <v>295</v>
      </c>
      <c r="I794">
        <v>0.97</v>
      </c>
      <c r="J794">
        <v>6.29</v>
      </c>
      <c r="K794">
        <v>1.2</v>
      </c>
      <c r="L794">
        <v>7</v>
      </c>
      <c r="M794" s="1" t="e">
        <f>#N/A</f>
        <v>#N/A</v>
      </c>
      <c r="N794">
        <v>1031</v>
      </c>
      <c r="Q794" t="s">
        <v>137</v>
      </c>
    </row>
    <row r="795" spans="1:17" x14ac:dyDescent="0.35">
      <c r="A795">
        <v>794</v>
      </c>
      <c r="B795">
        <v>2022</v>
      </c>
      <c r="C795">
        <v>11</v>
      </c>
      <c r="D795" t="s">
        <v>36</v>
      </c>
      <c r="E795" t="s">
        <v>93</v>
      </c>
      <c r="F795" s="1">
        <v>58991</v>
      </c>
      <c r="G795" s="1">
        <v>456396</v>
      </c>
      <c r="H795">
        <v>99</v>
      </c>
      <c r="I795">
        <v>0.97</v>
      </c>
      <c r="J795">
        <v>6.29</v>
      </c>
      <c r="K795">
        <v>1.2</v>
      </c>
      <c r="L795">
        <v>5</v>
      </c>
      <c r="M795" s="1" t="e">
        <f>#N/A</f>
        <v>#N/A</v>
      </c>
      <c r="N795">
        <v>457</v>
      </c>
      <c r="Q795" t="s">
        <v>137</v>
      </c>
    </row>
    <row r="796" spans="1:17" x14ac:dyDescent="0.35">
      <c r="A796">
        <v>795</v>
      </c>
      <c r="B796">
        <v>2022</v>
      </c>
      <c r="C796">
        <v>11</v>
      </c>
      <c r="D796" t="s">
        <v>28</v>
      </c>
      <c r="E796" t="s">
        <v>120</v>
      </c>
      <c r="F796" s="1">
        <v>61299</v>
      </c>
      <c r="G796" s="1">
        <v>307831</v>
      </c>
      <c r="H796">
        <v>10</v>
      </c>
      <c r="I796">
        <v>0.97</v>
      </c>
      <c r="J796">
        <v>6.29</v>
      </c>
      <c r="K796">
        <v>1.2</v>
      </c>
      <c r="L796">
        <v>2</v>
      </c>
      <c r="M796" s="1" t="e">
        <f>#N/A</f>
        <v>#N/A</v>
      </c>
      <c r="N796">
        <v>471</v>
      </c>
      <c r="Q796" t="s">
        <v>137</v>
      </c>
    </row>
    <row r="797" spans="1:17" x14ac:dyDescent="0.35">
      <c r="A797">
        <v>796</v>
      </c>
      <c r="B797">
        <v>2022</v>
      </c>
      <c r="C797">
        <v>12</v>
      </c>
      <c r="D797" t="s">
        <v>38</v>
      </c>
      <c r="E797" t="s">
        <v>52</v>
      </c>
      <c r="F797" s="1">
        <v>101900</v>
      </c>
      <c r="G797" s="1">
        <v>55666</v>
      </c>
      <c r="H797">
        <v>127</v>
      </c>
      <c r="I797">
        <v>0.97</v>
      </c>
      <c r="J797">
        <v>6.29</v>
      </c>
      <c r="K797">
        <v>1.2</v>
      </c>
      <c r="L797">
        <v>2</v>
      </c>
      <c r="M797" s="1" t="e">
        <f>#N/A</f>
        <v>#N/A</v>
      </c>
      <c r="N797">
        <v>450</v>
      </c>
      <c r="Q797" t="s">
        <v>138</v>
      </c>
    </row>
    <row r="798" spans="1:17" x14ac:dyDescent="0.35">
      <c r="A798">
        <v>797</v>
      </c>
      <c r="B798">
        <v>2022</v>
      </c>
      <c r="C798">
        <v>12</v>
      </c>
      <c r="D798" t="s">
        <v>21</v>
      </c>
      <c r="E798" t="s">
        <v>62</v>
      </c>
      <c r="F798" s="1">
        <v>40594</v>
      </c>
      <c r="G798" s="1">
        <v>259755</v>
      </c>
      <c r="H798">
        <v>25</v>
      </c>
      <c r="I798">
        <v>0.97</v>
      </c>
      <c r="J798">
        <v>6.29</v>
      </c>
      <c r="K798">
        <v>1.2</v>
      </c>
      <c r="L798">
        <v>7</v>
      </c>
      <c r="M798" s="1" t="e">
        <f>#N/A</f>
        <v>#N/A</v>
      </c>
      <c r="N798">
        <v>152</v>
      </c>
      <c r="Q798" t="s">
        <v>138</v>
      </c>
    </row>
    <row r="799" spans="1:17" x14ac:dyDescent="0.35">
      <c r="A799">
        <v>798</v>
      </c>
      <c r="B799">
        <v>2022</v>
      </c>
      <c r="C799">
        <v>12</v>
      </c>
      <c r="D799" t="s">
        <v>36</v>
      </c>
      <c r="E799" t="s">
        <v>63</v>
      </c>
      <c r="F799" s="1">
        <v>62025</v>
      </c>
      <c r="G799" s="1">
        <v>368667</v>
      </c>
      <c r="H799">
        <v>217</v>
      </c>
      <c r="I799">
        <v>0.97</v>
      </c>
      <c r="J799">
        <v>6.29</v>
      </c>
      <c r="K799">
        <v>1.2</v>
      </c>
      <c r="L799">
        <v>5</v>
      </c>
      <c r="M799" s="1" t="e">
        <f>#N/A</f>
        <v>#N/A</v>
      </c>
      <c r="N799">
        <v>880</v>
      </c>
      <c r="Q799" t="s">
        <v>138</v>
      </c>
    </row>
    <row r="800" spans="1:17" x14ac:dyDescent="0.35">
      <c r="A800">
        <v>799</v>
      </c>
      <c r="B800">
        <v>2022</v>
      </c>
      <c r="C800">
        <v>12</v>
      </c>
      <c r="D800" t="s">
        <v>32</v>
      </c>
      <c r="E800" t="s">
        <v>59</v>
      </c>
      <c r="F800" s="1">
        <v>84589</v>
      </c>
      <c r="G800" s="1">
        <v>347515</v>
      </c>
      <c r="H800">
        <v>262</v>
      </c>
      <c r="I800">
        <v>0.97</v>
      </c>
      <c r="J800">
        <v>6.29</v>
      </c>
      <c r="K800">
        <v>1.2</v>
      </c>
      <c r="L800">
        <v>6</v>
      </c>
      <c r="M800" s="1" t="e">
        <f>#N/A</f>
        <v>#N/A</v>
      </c>
      <c r="N800">
        <v>820</v>
      </c>
      <c r="Q800" t="s">
        <v>138</v>
      </c>
    </row>
    <row r="801" spans="1:17" x14ac:dyDescent="0.35">
      <c r="A801">
        <v>800</v>
      </c>
      <c r="B801">
        <v>2022</v>
      </c>
      <c r="C801">
        <v>12</v>
      </c>
      <c r="D801" t="s">
        <v>32</v>
      </c>
      <c r="E801" t="s">
        <v>126</v>
      </c>
      <c r="F801" s="1">
        <v>62094</v>
      </c>
      <c r="G801" s="1">
        <v>258030</v>
      </c>
      <c r="H801">
        <v>314</v>
      </c>
      <c r="I801">
        <v>0.97</v>
      </c>
      <c r="J801">
        <v>6.29</v>
      </c>
      <c r="K801">
        <v>1.2</v>
      </c>
      <c r="L801">
        <v>1</v>
      </c>
      <c r="M801" s="1" t="e">
        <f>#N/A</f>
        <v>#N/A</v>
      </c>
      <c r="N801">
        <v>1012</v>
      </c>
      <c r="Q801" t="s">
        <v>138</v>
      </c>
    </row>
    <row r="802" spans="1:17" x14ac:dyDescent="0.35">
      <c r="A802">
        <v>801</v>
      </c>
      <c r="B802">
        <v>2022</v>
      </c>
      <c r="C802">
        <v>12</v>
      </c>
      <c r="D802" t="s">
        <v>32</v>
      </c>
      <c r="E802" t="s">
        <v>147</v>
      </c>
      <c r="F802" s="1">
        <v>83940</v>
      </c>
      <c r="G802" s="1">
        <v>52637</v>
      </c>
      <c r="H802">
        <v>17</v>
      </c>
      <c r="I802">
        <v>0.97</v>
      </c>
      <c r="J802">
        <v>6.29</v>
      </c>
      <c r="K802">
        <v>1.2</v>
      </c>
      <c r="L802">
        <v>5</v>
      </c>
      <c r="M802" s="1" t="e">
        <f>#N/A</f>
        <v>#N/A</v>
      </c>
      <c r="N802">
        <v>386</v>
      </c>
      <c r="Q802" t="s">
        <v>139</v>
      </c>
    </row>
    <row r="803" spans="1:17" x14ac:dyDescent="0.35">
      <c r="A803">
        <v>802</v>
      </c>
      <c r="B803">
        <v>2022</v>
      </c>
      <c r="C803">
        <v>12</v>
      </c>
      <c r="D803" t="s">
        <v>38</v>
      </c>
      <c r="E803" t="s">
        <v>152</v>
      </c>
      <c r="F803" s="1">
        <v>72040</v>
      </c>
      <c r="G803" s="1">
        <v>406004</v>
      </c>
      <c r="H803">
        <v>144</v>
      </c>
      <c r="I803">
        <v>0.97</v>
      </c>
      <c r="J803">
        <v>6.29</v>
      </c>
      <c r="K803">
        <v>1.2</v>
      </c>
      <c r="L803">
        <v>5</v>
      </c>
      <c r="M803" s="1" t="e">
        <f>#N/A</f>
        <v>#N/A</v>
      </c>
      <c r="N803">
        <v>697</v>
      </c>
      <c r="Q803" t="s">
        <v>139</v>
      </c>
    </row>
    <row r="804" spans="1:17" x14ac:dyDescent="0.35">
      <c r="A804">
        <v>803</v>
      </c>
      <c r="B804">
        <v>2023</v>
      </c>
      <c r="C804">
        <v>1</v>
      </c>
      <c r="D804" t="s">
        <v>36</v>
      </c>
      <c r="E804" t="s">
        <v>64</v>
      </c>
      <c r="F804" s="1">
        <v>79950</v>
      </c>
      <c r="G804" s="1">
        <v>308667</v>
      </c>
      <c r="H804">
        <v>137</v>
      </c>
      <c r="I804">
        <v>0.97</v>
      </c>
      <c r="J804">
        <v>6.29</v>
      </c>
      <c r="K804">
        <v>1.2</v>
      </c>
      <c r="L804">
        <v>8</v>
      </c>
      <c r="M804" s="1" t="e">
        <f>#N/A</f>
        <v>#N/A</v>
      </c>
      <c r="N804">
        <v>673</v>
      </c>
      <c r="Q804" t="s">
        <v>139</v>
      </c>
    </row>
    <row r="805" spans="1:17" x14ac:dyDescent="0.35">
      <c r="A805">
        <v>804</v>
      </c>
      <c r="B805">
        <v>2023</v>
      </c>
      <c r="C805">
        <v>1</v>
      </c>
      <c r="D805" t="s">
        <v>35</v>
      </c>
      <c r="E805" t="s">
        <v>59</v>
      </c>
      <c r="F805" s="1">
        <v>71444</v>
      </c>
      <c r="G805" s="1">
        <v>173777</v>
      </c>
      <c r="H805">
        <v>123</v>
      </c>
      <c r="I805">
        <v>0.97</v>
      </c>
      <c r="J805">
        <v>6.29</v>
      </c>
      <c r="K805">
        <v>1.2</v>
      </c>
      <c r="L805">
        <v>2</v>
      </c>
      <c r="M805" s="1" t="e">
        <f>#N/A</f>
        <v>#N/A</v>
      </c>
      <c r="N805">
        <v>697</v>
      </c>
      <c r="Q805" t="s">
        <v>139</v>
      </c>
    </row>
    <row r="806" spans="1:17" x14ac:dyDescent="0.35">
      <c r="A806">
        <v>805</v>
      </c>
      <c r="B806">
        <v>2023</v>
      </c>
      <c r="C806">
        <v>1</v>
      </c>
      <c r="D806" t="s">
        <v>14</v>
      </c>
      <c r="E806" t="s">
        <v>78</v>
      </c>
      <c r="F806" s="1">
        <v>118286</v>
      </c>
      <c r="G806" s="1">
        <v>242537</v>
      </c>
      <c r="H806">
        <v>78</v>
      </c>
      <c r="I806">
        <v>0.97</v>
      </c>
      <c r="J806">
        <v>6.29</v>
      </c>
      <c r="K806">
        <v>1.2</v>
      </c>
      <c r="L806">
        <v>4</v>
      </c>
      <c r="M806" s="1" t="e">
        <f>#N/A</f>
        <v>#N/A</v>
      </c>
      <c r="N806">
        <v>421</v>
      </c>
      <c r="Q806" t="s">
        <v>139</v>
      </c>
    </row>
    <row r="807" spans="1:17" x14ac:dyDescent="0.35">
      <c r="A807">
        <v>806</v>
      </c>
      <c r="B807">
        <v>2023</v>
      </c>
      <c r="C807">
        <v>1</v>
      </c>
      <c r="D807" t="s">
        <v>28</v>
      </c>
      <c r="E807" t="s">
        <v>80</v>
      </c>
      <c r="F807" s="1">
        <v>62405</v>
      </c>
      <c r="G807" s="1">
        <v>412579</v>
      </c>
      <c r="H807">
        <v>197</v>
      </c>
      <c r="I807">
        <v>0.97</v>
      </c>
      <c r="J807">
        <v>6.29</v>
      </c>
      <c r="K807">
        <v>1.2</v>
      </c>
      <c r="L807">
        <v>5</v>
      </c>
      <c r="M807" s="1" t="e">
        <f>#N/A</f>
        <v>#N/A</v>
      </c>
      <c r="N807">
        <v>605</v>
      </c>
      <c r="Q807" t="s">
        <v>139</v>
      </c>
    </row>
    <row r="808" spans="1:17" x14ac:dyDescent="0.35">
      <c r="A808">
        <v>807</v>
      </c>
      <c r="B808">
        <v>2023</v>
      </c>
      <c r="C808">
        <v>1</v>
      </c>
      <c r="D808" t="s">
        <v>21</v>
      </c>
      <c r="E808" t="s">
        <v>87</v>
      </c>
      <c r="F808" s="1">
        <v>81216</v>
      </c>
      <c r="G808" s="1">
        <v>426565</v>
      </c>
      <c r="H808">
        <v>307</v>
      </c>
      <c r="I808">
        <v>0.97</v>
      </c>
      <c r="J808">
        <v>6.29</v>
      </c>
      <c r="K808">
        <v>1.2</v>
      </c>
      <c r="L808">
        <v>4</v>
      </c>
      <c r="M808" s="1" t="e">
        <f>#N/A</f>
        <v>#N/A</v>
      </c>
      <c r="N808">
        <v>784</v>
      </c>
      <c r="Q808" t="s">
        <v>139</v>
      </c>
    </row>
    <row r="809" spans="1:17" x14ac:dyDescent="0.35">
      <c r="A809">
        <v>808</v>
      </c>
      <c r="B809">
        <v>2023</v>
      </c>
      <c r="C809">
        <v>1</v>
      </c>
      <c r="D809" t="s">
        <v>25</v>
      </c>
      <c r="E809" t="s">
        <v>87</v>
      </c>
      <c r="F809" s="1">
        <v>48386</v>
      </c>
      <c r="G809" s="1">
        <v>313312</v>
      </c>
      <c r="H809">
        <v>260</v>
      </c>
      <c r="I809">
        <v>0.97</v>
      </c>
      <c r="J809">
        <v>6.29</v>
      </c>
      <c r="K809">
        <v>1.2</v>
      </c>
      <c r="L809">
        <v>10</v>
      </c>
      <c r="M809" s="1" t="e">
        <f>#N/A</f>
        <v>#N/A</v>
      </c>
      <c r="N809">
        <v>615</v>
      </c>
      <c r="Q809" t="s">
        <v>139</v>
      </c>
    </row>
    <row r="810" spans="1:17" x14ac:dyDescent="0.35">
      <c r="A810">
        <v>809</v>
      </c>
      <c r="B810">
        <v>2023</v>
      </c>
      <c r="C810">
        <v>1</v>
      </c>
      <c r="D810" t="s">
        <v>36</v>
      </c>
      <c r="E810" t="s">
        <v>100</v>
      </c>
      <c r="F810" s="1">
        <v>63379</v>
      </c>
      <c r="G810" s="1">
        <v>104633</v>
      </c>
      <c r="H810">
        <v>91</v>
      </c>
      <c r="I810">
        <v>0.97</v>
      </c>
      <c r="J810">
        <v>6.29</v>
      </c>
      <c r="K810">
        <v>1.2</v>
      </c>
      <c r="L810">
        <v>5</v>
      </c>
      <c r="M810" s="1" t="e">
        <f>#N/A</f>
        <v>#N/A</v>
      </c>
      <c r="N810">
        <v>466</v>
      </c>
      <c r="Q810" t="s">
        <v>140</v>
      </c>
    </row>
    <row r="811" spans="1:17" x14ac:dyDescent="0.35">
      <c r="A811">
        <v>810</v>
      </c>
      <c r="B811">
        <v>2023</v>
      </c>
      <c r="C811">
        <v>1</v>
      </c>
      <c r="D811" t="s">
        <v>25</v>
      </c>
      <c r="E811" t="s">
        <v>121</v>
      </c>
      <c r="F811" s="1">
        <v>61478</v>
      </c>
      <c r="G811" s="1">
        <v>331366</v>
      </c>
      <c r="H811">
        <v>33</v>
      </c>
      <c r="I811">
        <v>0.97</v>
      </c>
      <c r="J811">
        <v>6.29</v>
      </c>
      <c r="K811">
        <v>1.2</v>
      </c>
      <c r="L811">
        <v>7</v>
      </c>
      <c r="M811" s="1" t="e">
        <f>#N/A</f>
        <v>#N/A</v>
      </c>
      <c r="N811">
        <v>360</v>
      </c>
      <c r="Q811" t="s">
        <v>140</v>
      </c>
    </row>
    <row r="812" spans="1:17" x14ac:dyDescent="0.35">
      <c r="A812">
        <v>811</v>
      </c>
      <c r="B812">
        <v>2023</v>
      </c>
      <c r="C812">
        <v>1</v>
      </c>
      <c r="D812" t="s">
        <v>36</v>
      </c>
      <c r="E812" t="s">
        <v>137</v>
      </c>
      <c r="F812" s="1">
        <v>41937</v>
      </c>
      <c r="G812" s="1">
        <v>394572</v>
      </c>
      <c r="H812">
        <v>237</v>
      </c>
      <c r="I812">
        <v>0.97</v>
      </c>
      <c r="J812">
        <v>6.29</v>
      </c>
      <c r="K812">
        <v>1.2</v>
      </c>
      <c r="L812">
        <v>6</v>
      </c>
      <c r="M812" s="1" t="e">
        <f>#N/A</f>
        <v>#N/A</v>
      </c>
      <c r="N812">
        <v>588</v>
      </c>
      <c r="Q812" t="s">
        <v>140</v>
      </c>
    </row>
    <row r="813" spans="1:17" x14ac:dyDescent="0.35">
      <c r="A813">
        <v>812</v>
      </c>
      <c r="B813">
        <v>2023</v>
      </c>
      <c r="C813">
        <v>1</v>
      </c>
      <c r="D813" t="s">
        <v>37</v>
      </c>
      <c r="E813" t="s">
        <v>131</v>
      </c>
      <c r="F813" s="1">
        <v>116685</v>
      </c>
      <c r="G813" s="1">
        <v>82332</v>
      </c>
      <c r="H813">
        <v>357</v>
      </c>
      <c r="I813">
        <v>0.97</v>
      </c>
      <c r="J813">
        <v>6.29</v>
      </c>
      <c r="K813">
        <v>1.2</v>
      </c>
      <c r="L813">
        <v>6</v>
      </c>
      <c r="M813" s="1" t="e">
        <f>#N/A</f>
        <v>#N/A</v>
      </c>
      <c r="N813">
        <v>900</v>
      </c>
      <c r="Q813" t="s">
        <v>140</v>
      </c>
    </row>
    <row r="814" spans="1:17" x14ac:dyDescent="0.35">
      <c r="A814">
        <v>813</v>
      </c>
      <c r="B814">
        <v>2023</v>
      </c>
      <c r="C814">
        <v>2</v>
      </c>
      <c r="D814" t="s">
        <v>28</v>
      </c>
      <c r="E814" t="s">
        <v>46</v>
      </c>
      <c r="F814" s="1">
        <v>42008</v>
      </c>
      <c r="G814" s="1">
        <v>294754</v>
      </c>
      <c r="H814">
        <v>274</v>
      </c>
      <c r="I814">
        <v>0.97</v>
      </c>
      <c r="J814">
        <v>6.29</v>
      </c>
      <c r="K814">
        <v>1.2</v>
      </c>
      <c r="L814">
        <v>6</v>
      </c>
      <c r="M814" s="1" t="e">
        <f>#N/A</f>
        <v>#N/A</v>
      </c>
      <c r="N814">
        <v>691</v>
      </c>
      <c r="Q814" t="s">
        <v>140</v>
      </c>
    </row>
    <row r="815" spans="1:17" x14ac:dyDescent="0.35">
      <c r="A815">
        <v>814</v>
      </c>
      <c r="B815">
        <v>2023</v>
      </c>
      <c r="C815">
        <v>2</v>
      </c>
      <c r="D815" t="s">
        <v>36</v>
      </c>
      <c r="E815" t="s">
        <v>99</v>
      </c>
      <c r="F815" s="1">
        <v>100524</v>
      </c>
      <c r="G815" s="1">
        <v>187799</v>
      </c>
      <c r="H815">
        <v>16</v>
      </c>
      <c r="I815">
        <v>0.97</v>
      </c>
      <c r="J815">
        <v>6.29</v>
      </c>
      <c r="K815">
        <v>1.2</v>
      </c>
      <c r="L815">
        <v>5</v>
      </c>
      <c r="M815" s="1" t="e">
        <f>#N/A</f>
        <v>#N/A</v>
      </c>
      <c r="N815">
        <v>344</v>
      </c>
      <c r="Q815" t="s">
        <v>141</v>
      </c>
    </row>
    <row r="816" spans="1:17" x14ac:dyDescent="0.35">
      <c r="A816">
        <v>815</v>
      </c>
      <c r="B816">
        <v>2023</v>
      </c>
      <c r="C816">
        <v>2</v>
      </c>
      <c r="D816" t="s">
        <v>30</v>
      </c>
      <c r="E816" t="s">
        <v>98</v>
      </c>
      <c r="F816" s="1">
        <v>48798</v>
      </c>
      <c r="G816" s="1">
        <v>96015</v>
      </c>
      <c r="H816">
        <v>393</v>
      </c>
      <c r="I816">
        <v>0.97</v>
      </c>
      <c r="J816">
        <v>6.29</v>
      </c>
      <c r="K816">
        <v>1.2</v>
      </c>
      <c r="L816">
        <v>10</v>
      </c>
      <c r="M816" s="1" t="e">
        <f>#N/A</f>
        <v>#N/A</v>
      </c>
      <c r="N816">
        <v>1153</v>
      </c>
      <c r="Q816" t="s">
        <v>141</v>
      </c>
    </row>
    <row r="817" spans="1:17" x14ac:dyDescent="0.35">
      <c r="A817">
        <v>816</v>
      </c>
      <c r="B817">
        <v>2023</v>
      </c>
      <c r="C817">
        <v>2</v>
      </c>
      <c r="D817" t="s">
        <v>32</v>
      </c>
      <c r="E817" t="s">
        <v>95</v>
      </c>
      <c r="F817" s="1">
        <v>44265</v>
      </c>
      <c r="G817" s="1">
        <v>490556</v>
      </c>
      <c r="H817">
        <v>217</v>
      </c>
      <c r="I817">
        <v>0.97</v>
      </c>
      <c r="J817">
        <v>6.29</v>
      </c>
      <c r="K817">
        <v>1.2</v>
      </c>
      <c r="L817">
        <v>2</v>
      </c>
      <c r="M817" s="1" t="e">
        <f>#N/A</f>
        <v>#N/A</v>
      </c>
      <c r="N817">
        <v>835</v>
      </c>
      <c r="Q817" t="s">
        <v>141</v>
      </c>
    </row>
    <row r="818" spans="1:17" x14ac:dyDescent="0.35">
      <c r="A818">
        <v>817</v>
      </c>
      <c r="B818">
        <v>2023</v>
      </c>
      <c r="C818">
        <v>2</v>
      </c>
      <c r="D818" t="s">
        <v>32</v>
      </c>
      <c r="E818" t="s">
        <v>93</v>
      </c>
      <c r="F818" s="1">
        <v>87116</v>
      </c>
      <c r="G818" s="1">
        <v>247286</v>
      </c>
      <c r="H818">
        <v>318</v>
      </c>
      <c r="I818">
        <v>0.97</v>
      </c>
      <c r="J818">
        <v>6.29</v>
      </c>
      <c r="K818">
        <v>1.2</v>
      </c>
      <c r="L818">
        <v>2</v>
      </c>
      <c r="M818" s="1" t="e">
        <f>#N/A</f>
        <v>#N/A</v>
      </c>
      <c r="N818">
        <v>816</v>
      </c>
      <c r="Q818" t="s">
        <v>141</v>
      </c>
    </row>
    <row r="819" spans="1:17" x14ac:dyDescent="0.35">
      <c r="A819">
        <v>818</v>
      </c>
      <c r="B819">
        <v>2023</v>
      </c>
      <c r="C819">
        <v>2</v>
      </c>
      <c r="D819" t="s">
        <v>14</v>
      </c>
      <c r="E819" t="s">
        <v>126</v>
      </c>
      <c r="F819" s="1">
        <v>113545</v>
      </c>
      <c r="G819" s="1">
        <v>266916</v>
      </c>
      <c r="H819">
        <v>75</v>
      </c>
      <c r="I819">
        <v>0.97</v>
      </c>
      <c r="J819">
        <v>6.29</v>
      </c>
      <c r="K819">
        <v>1.2</v>
      </c>
      <c r="L819">
        <v>7</v>
      </c>
      <c r="M819" s="1" t="e">
        <f>#N/A</f>
        <v>#N/A</v>
      </c>
      <c r="N819">
        <v>375</v>
      </c>
      <c r="Q819" t="s">
        <v>141</v>
      </c>
    </row>
    <row r="820" spans="1:17" x14ac:dyDescent="0.35">
      <c r="A820">
        <v>819</v>
      </c>
      <c r="B820">
        <v>2023</v>
      </c>
      <c r="C820">
        <v>2</v>
      </c>
      <c r="D820" t="s">
        <v>37</v>
      </c>
      <c r="E820" t="s">
        <v>120</v>
      </c>
      <c r="F820" s="1">
        <v>107095</v>
      </c>
      <c r="G820" s="1">
        <v>352259</v>
      </c>
      <c r="H820">
        <v>268</v>
      </c>
      <c r="I820">
        <v>0.97</v>
      </c>
      <c r="J820">
        <v>6.29</v>
      </c>
      <c r="K820">
        <v>1.2</v>
      </c>
      <c r="L820">
        <v>10</v>
      </c>
      <c r="M820" s="1" t="e">
        <f>#N/A</f>
        <v>#N/A</v>
      </c>
      <c r="N820">
        <v>924</v>
      </c>
      <c r="Q820" t="s">
        <v>141</v>
      </c>
    </row>
    <row r="821" spans="1:17" x14ac:dyDescent="0.35">
      <c r="A821">
        <v>820</v>
      </c>
      <c r="B821">
        <v>2023</v>
      </c>
      <c r="C821">
        <v>2</v>
      </c>
      <c r="D821" t="s">
        <v>36</v>
      </c>
      <c r="E821" t="s">
        <v>148</v>
      </c>
      <c r="F821" s="1">
        <v>116010</v>
      </c>
      <c r="G821" s="1">
        <v>467876</v>
      </c>
      <c r="H821">
        <v>242</v>
      </c>
      <c r="I821">
        <v>0.97</v>
      </c>
      <c r="J821">
        <v>6.29</v>
      </c>
      <c r="K821">
        <v>1.2</v>
      </c>
      <c r="L821">
        <v>7</v>
      </c>
      <c r="M821" s="1" t="e">
        <f>#N/A</f>
        <v>#N/A</v>
      </c>
      <c r="N821">
        <v>887</v>
      </c>
      <c r="Q821" t="s">
        <v>141</v>
      </c>
    </row>
    <row r="822" spans="1:17" x14ac:dyDescent="0.35">
      <c r="A822">
        <v>821</v>
      </c>
      <c r="B822">
        <v>2023</v>
      </c>
      <c r="C822">
        <v>3</v>
      </c>
      <c r="D822" t="s">
        <v>28</v>
      </c>
      <c r="E822" t="s">
        <v>76</v>
      </c>
      <c r="F822" s="1">
        <v>109219</v>
      </c>
      <c r="G822" s="1">
        <v>238262</v>
      </c>
      <c r="H822">
        <v>167</v>
      </c>
      <c r="I822">
        <v>0.97</v>
      </c>
      <c r="J822">
        <v>6.29</v>
      </c>
      <c r="K822">
        <v>1.2</v>
      </c>
      <c r="L822">
        <v>2</v>
      </c>
      <c r="M822" s="1" t="e">
        <f>#N/A</f>
        <v>#N/A</v>
      </c>
      <c r="N822">
        <v>430</v>
      </c>
      <c r="Q822" t="s">
        <v>141</v>
      </c>
    </row>
    <row r="823" spans="1:17" x14ac:dyDescent="0.35">
      <c r="A823">
        <v>822</v>
      </c>
      <c r="B823">
        <v>2023</v>
      </c>
      <c r="C823">
        <v>3</v>
      </c>
      <c r="D823" t="s">
        <v>28</v>
      </c>
      <c r="E823" t="s">
        <v>92</v>
      </c>
      <c r="F823" s="1">
        <v>50540</v>
      </c>
      <c r="G823" s="1">
        <v>348276</v>
      </c>
      <c r="H823">
        <v>355</v>
      </c>
      <c r="I823">
        <v>0.97</v>
      </c>
      <c r="J823">
        <v>6.29</v>
      </c>
      <c r="K823">
        <v>1.2</v>
      </c>
      <c r="L823">
        <v>5</v>
      </c>
      <c r="M823" s="1" t="e">
        <f>#N/A</f>
        <v>#N/A</v>
      </c>
      <c r="N823">
        <v>1177</v>
      </c>
      <c r="Q823" t="s">
        <v>141</v>
      </c>
    </row>
    <row r="824" spans="1:17" x14ac:dyDescent="0.35">
      <c r="A824">
        <v>823</v>
      </c>
      <c r="B824">
        <v>2023</v>
      </c>
      <c r="C824">
        <v>3</v>
      </c>
      <c r="D824" t="s">
        <v>36</v>
      </c>
      <c r="E824" t="s">
        <v>95</v>
      </c>
      <c r="F824" s="1">
        <v>71483</v>
      </c>
      <c r="G824" s="1">
        <v>220824</v>
      </c>
      <c r="H824">
        <v>89</v>
      </c>
      <c r="I824">
        <v>0.97</v>
      </c>
      <c r="J824">
        <v>6.29</v>
      </c>
      <c r="K824">
        <v>1.2</v>
      </c>
      <c r="L824">
        <v>10</v>
      </c>
      <c r="M824" s="1" t="e">
        <f>#N/A</f>
        <v>#N/A</v>
      </c>
      <c r="N824">
        <v>543</v>
      </c>
      <c r="Q824" t="s">
        <v>141</v>
      </c>
    </row>
    <row r="825" spans="1:17" x14ac:dyDescent="0.35">
      <c r="A825">
        <v>824</v>
      </c>
      <c r="B825">
        <v>2023</v>
      </c>
      <c r="C825">
        <v>3</v>
      </c>
      <c r="D825" t="s">
        <v>36</v>
      </c>
      <c r="E825" t="s">
        <v>114</v>
      </c>
      <c r="F825" s="1">
        <v>49308</v>
      </c>
      <c r="G825" s="1">
        <v>426970</v>
      </c>
      <c r="H825">
        <v>392</v>
      </c>
      <c r="I825">
        <v>0.97</v>
      </c>
      <c r="J825">
        <v>6.29</v>
      </c>
      <c r="K825">
        <v>1.2</v>
      </c>
      <c r="L825">
        <v>10</v>
      </c>
      <c r="M825" s="1" t="e">
        <f>#N/A</f>
        <v>#N/A</v>
      </c>
      <c r="N825">
        <v>897</v>
      </c>
      <c r="Q825" t="s">
        <v>141</v>
      </c>
    </row>
    <row r="826" spans="1:17" x14ac:dyDescent="0.35">
      <c r="A826">
        <v>825</v>
      </c>
      <c r="B826">
        <v>2023</v>
      </c>
      <c r="C826">
        <v>3</v>
      </c>
      <c r="D826" t="s">
        <v>37</v>
      </c>
      <c r="E826" t="s">
        <v>104</v>
      </c>
      <c r="F826" s="1">
        <v>61957</v>
      </c>
      <c r="G826" s="1">
        <v>277436</v>
      </c>
      <c r="H826">
        <v>38</v>
      </c>
      <c r="I826">
        <v>0.97</v>
      </c>
      <c r="J826">
        <v>6.29</v>
      </c>
      <c r="K826">
        <v>1.2</v>
      </c>
      <c r="L826">
        <v>4</v>
      </c>
      <c r="M826" s="1" t="e">
        <f>#N/A</f>
        <v>#N/A</v>
      </c>
      <c r="N826">
        <v>550</v>
      </c>
      <c r="Q826" t="s">
        <v>142</v>
      </c>
    </row>
    <row r="827" spans="1:17" x14ac:dyDescent="0.35">
      <c r="A827">
        <v>826</v>
      </c>
      <c r="B827">
        <v>2023</v>
      </c>
      <c r="C827">
        <v>3</v>
      </c>
      <c r="D827" t="s">
        <v>30</v>
      </c>
      <c r="E827" t="s">
        <v>142</v>
      </c>
      <c r="F827" s="1">
        <v>104806</v>
      </c>
      <c r="G827" s="1">
        <v>323365</v>
      </c>
      <c r="H827">
        <v>319</v>
      </c>
      <c r="I827">
        <v>0.97</v>
      </c>
      <c r="J827">
        <v>6.29</v>
      </c>
      <c r="K827">
        <v>1.2</v>
      </c>
      <c r="L827">
        <v>6</v>
      </c>
      <c r="M827" s="1" t="e">
        <f>#N/A</f>
        <v>#N/A</v>
      </c>
      <c r="N827">
        <v>847</v>
      </c>
      <c r="Q827" t="s">
        <v>142</v>
      </c>
    </row>
    <row r="828" spans="1:17" x14ac:dyDescent="0.35">
      <c r="A828">
        <v>827</v>
      </c>
      <c r="B828">
        <v>2023</v>
      </c>
      <c r="C828">
        <v>3</v>
      </c>
      <c r="D828" t="s">
        <v>37</v>
      </c>
      <c r="E828" t="s">
        <v>159</v>
      </c>
      <c r="F828" s="1">
        <v>44121</v>
      </c>
      <c r="G828" s="1">
        <v>314080</v>
      </c>
      <c r="H828">
        <v>164</v>
      </c>
      <c r="I828">
        <v>0.97</v>
      </c>
      <c r="J828">
        <v>6.29</v>
      </c>
      <c r="K828">
        <v>1.2</v>
      </c>
      <c r="L828">
        <v>6</v>
      </c>
      <c r="M828" s="1" t="e">
        <f>#N/A</f>
        <v>#N/A</v>
      </c>
      <c r="N828">
        <v>742</v>
      </c>
      <c r="Q828" t="s">
        <v>142</v>
      </c>
    </row>
    <row r="829" spans="1:17" x14ac:dyDescent="0.35">
      <c r="A829">
        <v>828</v>
      </c>
      <c r="B829">
        <v>2023</v>
      </c>
      <c r="C829">
        <v>4</v>
      </c>
      <c r="D829" t="s">
        <v>32</v>
      </c>
      <c r="E829" t="s">
        <v>45</v>
      </c>
      <c r="F829" s="1">
        <v>114481</v>
      </c>
      <c r="G829" s="1">
        <v>410971</v>
      </c>
      <c r="H829">
        <v>394</v>
      </c>
      <c r="I829">
        <v>0.97</v>
      </c>
      <c r="J829">
        <v>6.29</v>
      </c>
      <c r="K829">
        <v>1.2</v>
      </c>
      <c r="L829">
        <v>7</v>
      </c>
      <c r="M829" s="1" t="e">
        <f>#N/A</f>
        <v>#N/A</v>
      </c>
      <c r="N829">
        <v>1190</v>
      </c>
      <c r="Q829" t="s">
        <v>142</v>
      </c>
    </row>
    <row r="830" spans="1:17" x14ac:dyDescent="0.35">
      <c r="A830">
        <v>829</v>
      </c>
      <c r="B830">
        <v>2023</v>
      </c>
      <c r="C830">
        <v>4</v>
      </c>
      <c r="D830" t="s">
        <v>37</v>
      </c>
      <c r="E830" t="s">
        <v>54</v>
      </c>
      <c r="F830" s="1">
        <v>92196</v>
      </c>
      <c r="G830" s="1">
        <v>256717</v>
      </c>
      <c r="H830">
        <v>87</v>
      </c>
      <c r="I830">
        <v>0.97</v>
      </c>
      <c r="J830">
        <v>6.29</v>
      </c>
      <c r="K830">
        <v>1.2</v>
      </c>
      <c r="L830">
        <v>4</v>
      </c>
      <c r="M830" s="1" t="e">
        <f>#N/A</f>
        <v>#N/A</v>
      </c>
      <c r="N830">
        <v>566</v>
      </c>
      <c r="Q830" t="s">
        <v>142</v>
      </c>
    </row>
    <row r="831" spans="1:17" x14ac:dyDescent="0.35">
      <c r="A831">
        <v>830</v>
      </c>
      <c r="B831">
        <v>2023</v>
      </c>
      <c r="C831">
        <v>4</v>
      </c>
      <c r="D831" t="s">
        <v>32</v>
      </c>
      <c r="E831" t="s">
        <v>56</v>
      </c>
      <c r="F831" s="1">
        <v>65232</v>
      </c>
      <c r="G831" s="1">
        <v>400514</v>
      </c>
      <c r="H831">
        <v>135</v>
      </c>
      <c r="I831">
        <v>0.97</v>
      </c>
      <c r="J831">
        <v>6.29</v>
      </c>
      <c r="K831">
        <v>1.2</v>
      </c>
      <c r="L831">
        <v>10</v>
      </c>
      <c r="M831" s="1" t="e">
        <f>#N/A</f>
        <v>#N/A</v>
      </c>
      <c r="N831">
        <v>319</v>
      </c>
      <c r="Q831" t="s">
        <v>142</v>
      </c>
    </row>
    <row r="832" spans="1:17" x14ac:dyDescent="0.35">
      <c r="A832">
        <v>831</v>
      </c>
      <c r="B832">
        <v>2023</v>
      </c>
      <c r="C832">
        <v>4</v>
      </c>
      <c r="D832" t="s">
        <v>35</v>
      </c>
      <c r="E832" t="s">
        <v>98</v>
      </c>
      <c r="F832" s="1">
        <v>50511</v>
      </c>
      <c r="G832" s="1">
        <v>113879</v>
      </c>
      <c r="H832">
        <v>113</v>
      </c>
      <c r="I832">
        <v>0.97</v>
      </c>
      <c r="J832">
        <v>6.29</v>
      </c>
      <c r="K832">
        <v>1.2</v>
      </c>
      <c r="L832">
        <v>8</v>
      </c>
      <c r="M832" s="1" t="e">
        <f>#N/A</f>
        <v>#N/A</v>
      </c>
      <c r="N832">
        <v>309</v>
      </c>
      <c r="Q832" t="s">
        <v>142</v>
      </c>
    </row>
    <row r="833" spans="1:17" x14ac:dyDescent="0.35">
      <c r="A833">
        <v>832</v>
      </c>
      <c r="B833">
        <v>2023</v>
      </c>
      <c r="C833">
        <v>4</v>
      </c>
      <c r="D833" t="s">
        <v>21</v>
      </c>
      <c r="E833" t="s">
        <v>149</v>
      </c>
      <c r="F833" s="1">
        <v>74133</v>
      </c>
      <c r="G833" s="1">
        <v>126411</v>
      </c>
      <c r="H833">
        <v>46</v>
      </c>
      <c r="I833">
        <v>0.97</v>
      </c>
      <c r="J833">
        <v>6.29</v>
      </c>
      <c r="K833">
        <v>1.2</v>
      </c>
      <c r="L833">
        <v>1</v>
      </c>
      <c r="M833" s="1" t="e">
        <f>#N/A</f>
        <v>#N/A</v>
      </c>
      <c r="N833">
        <v>122</v>
      </c>
      <c r="Q833" t="s">
        <v>142</v>
      </c>
    </row>
    <row r="834" spans="1:17" x14ac:dyDescent="0.35">
      <c r="A834">
        <v>833</v>
      </c>
      <c r="B834">
        <v>2023</v>
      </c>
      <c r="C834">
        <v>4</v>
      </c>
      <c r="D834" t="s">
        <v>36</v>
      </c>
      <c r="E834" t="s">
        <v>143</v>
      </c>
      <c r="F834" s="1">
        <v>110318</v>
      </c>
      <c r="G834" s="1">
        <v>351407</v>
      </c>
      <c r="H834">
        <v>74</v>
      </c>
      <c r="I834">
        <v>0.97</v>
      </c>
      <c r="J834">
        <v>6.29</v>
      </c>
      <c r="K834">
        <v>1.2</v>
      </c>
      <c r="L834">
        <v>5</v>
      </c>
      <c r="M834" s="1" t="e">
        <f>#N/A</f>
        <v>#N/A</v>
      </c>
      <c r="N834">
        <v>532</v>
      </c>
      <c r="Q834" t="s">
        <v>142</v>
      </c>
    </row>
    <row r="835" spans="1:17" x14ac:dyDescent="0.35">
      <c r="A835">
        <v>834</v>
      </c>
      <c r="B835">
        <v>2023</v>
      </c>
      <c r="C835">
        <v>5</v>
      </c>
      <c r="D835" t="s">
        <v>25</v>
      </c>
      <c r="E835" t="s">
        <v>105</v>
      </c>
      <c r="F835" s="1">
        <v>114376</v>
      </c>
      <c r="G835" s="1">
        <v>79063</v>
      </c>
      <c r="H835">
        <v>258</v>
      </c>
      <c r="I835">
        <v>0.97</v>
      </c>
      <c r="J835">
        <v>6.29</v>
      </c>
      <c r="K835">
        <v>1.2</v>
      </c>
      <c r="L835">
        <v>9</v>
      </c>
      <c r="M835" s="1" t="e">
        <f>#N/A</f>
        <v>#N/A</v>
      </c>
      <c r="N835">
        <v>685</v>
      </c>
      <c r="Q835" t="s">
        <v>143</v>
      </c>
    </row>
    <row r="836" spans="1:17" x14ac:dyDescent="0.35">
      <c r="A836">
        <v>835</v>
      </c>
      <c r="B836">
        <v>2023</v>
      </c>
      <c r="C836">
        <v>5</v>
      </c>
      <c r="D836" t="s">
        <v>25</v>
      </c>
      <c r="E836" t="s">
        <v>127</v>
      </c>
      <c r="F836" s="1">
        <v>40596</v>
      </c>
      <c r="G836" s="1">
        <v>423957</v>
      </c>
      <c r="H836">
        <v>313</v>
      </c>
      <c r="I836">
        <v>0.97</v>
      </c>
      <c r="J836">
        <v>6.29</v>
      </c>
      <c r="K836">
        <v>1.2</v>
      </c>
      <c r="L836">
        <v>6</v>
      </c>
      <c r="M836" s="1" t="e">
        <f>#N/A</f>
        <v>#N/A</v>
      </c>
      <c r="N836">
        <v>989</v>
      </c>
      <c r="Q836" t="s">
        <v>143</v>
      </c>
    </row>
    <row r="837" spans="1:17" x14ac:dyDescent="0.35">
      <c r="A837">
        <v>836</v>
      </c>
      <c r="B837">
        <v>2023</v>
      </c>
      <c r="C837">
        <v>5</v>
      </c>
      <c r="D837" t="s">
        <v>14</v>
      </c>
      <c r="E837" t="s">
        <v>119</v>
      </c>
      <c r="F837" s="1">
        <v>42382</v>
      </c>
      <c r="G837" s="1">
        <v>151121</v>
      </c>
      <c r="H837">
        <v>95</v>
      </c>
      <c r="I837">
        <v>0.97</v>
      </c>
      <c r="J837">
        <v>6.29</v>
      </c>
      <c r="K837">
        <v>1.2</v>
      </c>
      <c r="L837">
        <v>3</v>
      </c>
      <c r="M837" s="1" t="e">
        <f>#N/A</f>
        <v>#N/A</v>
      </c>
      <c r="N837">
        <v>465</v>
      </c>
      <c r="Q837" t="s">
        <v>143</v>
      </c>
    </row>
    <row r="838" spans="1:17" x14ac:dyDescent="0.35">
      <c r="A838">
        <v>837</v>
      </c>
      <c r="B838">
        <v>2023</v>
      </c>
      <c r="C838">
        <v>5</v>
      </c>
      <c r="D838" t="s">
        <v>14</v>
      </c>
      <c r="E838" t="s">
        <v>124</v>
      </c>
      <c r="F838" s="1">
        <v>64968</v>
      </c>
      <c r="G838" s="1">
        <v>382745</v>
      </c>
      <c r="H838">
        <v>203</v>
      </c>
      <c r="I838">
        <v>0.97</v>
      </c>
      <c r="J838">
        <v>6.29</v>
      </c>
      <c r="K838">
        <v>1.2</v>
      </c>
      <c r="L838">
        <v>10</v>
      </c>
      <c r="M838" s="1" t="e">
        <f>#N/A</f>
        <v>#N/A</v>
      </c>
      <c r="N838">
        <v>522</v>
      </c>
      <c r="Q838" t="s">
        <v>143</v>
      </c>
    </row>
    <row r="839" spans="1:17" x14ac:dyDescent="0.35">
      <c r="A839">
        <v>838</v>
      </c>
      <c r="B839">
        <v>2023</v>
      </c>
      <c r="C839">
        <v>5</v>
      </c>
      <c r="D839" t="s">
        <v>36</v>
      </c>
      <c r="E839" t="s">
        <v>135</v>
      </c>
      <c r="F839" s="1">
        <v>97712</v>
      </c>
      <c r="G839" s="1">
        <v>109164</v>
      </c>
      <c r="H839">
        <v>189</v>
      </c>
      <c r="I839">
        <v>0.97</v>
      </c>
      <c r="J839">
        <v>6.29</v>
      </c>
      <c r="K839">
        <v>1.2</v>
      </c>
      <c r="L839">
        <v>7</v>
      </c>
      <c r="M839" s="1" t="e">
        <f>#N/A</f>
        <v>#N/A</v>
      </c>
      <c r="N839">
        <v>432</v>
      </c>
      <c r="Q839" t="s">
        <v>143</v>
      </c>
    </row>
    <row r="840" spans="1:17" x14ac:dyDescent="0.35">
      <c r="A840">
        <v>839</v>
      </c>
      <c r="B840">
        <v>2023</v>
      </c>
      <c r="C840">
        <v>5</v>
      </c>
      <c r="D840" t="s">
        <v>38</v>
      </c>
      <c r="E840" t="s">
        <v>159</v>
      </c>
      <c r="F840" s="1">
        <v>47940</v>
      </c>
      <c r="G840" s="1">
        <v>127527</v>
      </c>
      <c r="H840">
        <v>340</v>
      </c>
      <c r="I840">
        <v>0.97</v>
      </c>
      <c r="J840">
        <v>6.29</v>
      </c>
      <c r="K840">
        <v>1.2</v>
      </c>
      <c r="L840">
        <v>1</v>
      </c>
      <c r="M840" s="1" t="e">
        <f>#N/A</f>
        <v>#N/A</v>
      </c>
      <c r="N840">
        <v>1109</v>
      </c>
      <c r="Q840" t="s">
        <v>143</v>
      </c>
    </row>
    <row r="841" spans="1:17" x14ac:dyDescent="0.35">
      <c r="A841">
        <v>840</v>
      </c>
      <c r="B841">
        <v>2023</v>
      </c>
      <c r="C841">
        <v>6</v>
      </c>
      <c r="D841" t="s">
        <v>14</v>
      </c>
      <c r="E841" t="s">
        <v>50</v>
      </c>
      <c r="F841" s="1">
        <v>92608</v>
      </c>
      <c r="G841" s="1">
        <v>460616</v>
      </c>
      <c r="H841">
        <v>114</v>
      </c>
      <c r="I841">
        <v>0.97</v>
      </c>
      <c r="J841">
        <v>6.29</v>
      </c>
      <c r="K841">
        <v>1.2</v>
      </c>
      <c r="L841">
        <v>5</v>
      </c>
      <c r="M841" s="1" t="e">
        <f>#N/A</f>
        <v>#N/A</v>
      </c>
      <c r="N841">
        <v>551</v>
      </c>
      <c r="Q841" t="s">
        <v>143</v>
      </c>
    </row>
    <row r="842" spans="1:17" x14ac:dyDescent="0.35">
      <c r="A842">
        <v>841</v>
      </c>
      <c r="B842">
        <v>2023</v>
      </c>
      <c r="C842">
        <v>6</v>
      </c>
      <c r="D842" t="s">
        <v>38</v>
      </c>
      <c r="E842" t="s">
        <v>51</v>
      </c>
      <c r="F842" s="1">
        <v>80747</v>
      </c>
      <c r="G842" s="1">
        <v>153463</v>
      </c>
      <c r="H842">
        <v>38</v>
      </c>
      <c r="I842">
        <v>0.97</v>
      </c>
      <c r="J842">
        <v>6.29</v>
      </c>
      <c r="K842">
        <v>1.2</v>
      </c>
      <c r="L842">
        <v>6</v>
      </c>
      <c r="M842" s="1" t="e">
        <f>#N/A</f>
        <v>#N/A</v>
      </c>
      <c r="N842">
        <v>158</v>
      </c>
      <c r="Q842" t="s">
        <v>143</v>
      </c>
    </row>
    <row r="843" spans="1:17" x14ac:dyDescent="0.35">
      <c r="A843">
        <v>842</v>
      </c>
      <c r="B843">
        <v>2023</v>
      </c>
      <c r="C843">
        <v>6</v>
      </c>
      <c r="D843" t="s">
        <v>21</v>
      </c>
      <c r="E843" t="s">
        <v>67</v>
      </c>
      <c r="F843" s="1">
        <v>41470</v>
      </c>
      <c r="G843" s="1">
        <v>231789</v>
      </c>
      <c r="H843">
        <v>35</v>
      </c>
      <c r="I843">
        <v>0.97</v>
      </c>
      <c r="J843">
        <v>6.29</v>
      </c>
      <c r="K843">
        <v>1.2</v>
      </c>
      <c r="L843">
        <v>4</v>
      </c>
      <c r="M843" s="1" t="e">
        <f>#N/A</f>
        <v>#N/A</v>
      </c>
      <c r="N843">
        <v>281</v>
      </c>
      <c r="Q843" t="s">
        <v>143</v>
      </c>
    </row>
    <row r="844" spans="1:17" x14ac:dyDescent="0.35">
      <c r="A844">
        <v>843</v>
      </c>
      <c r="B844">
        <v>2023</v>
      </c>
      <c r="C844">
        <v>6</v>
      </c>
      <c r="D844" t="s">
        <v>38</v>
      </c>
      <c r="E844" t="s">
        <v>64</v>
      </c>
      <c r="F844" s="1">
        <v>63060</v>
      </c>
      <c r="G844" s="1">
        <v>176683</v>
      </c>
      <c r="H844">
        <v>86</v>
      </c>
      <c r="I844">
        <v>0.97</v>
      </c>
      <c r="J844">
        <v>6.29</v>
      </c>
      <c r="K844">
        <v>1.2</v>
      </c>
      <c r="L844">
        <v>2</v>
      </c>
      <c r="M844" s="1" t="e">
        <f>#N/A</f>
        <v>#N/A</v>
      </c>
      <c r="N844">
        <v>256</v>
      </c>
      <c r="Q844" t="s">
        <v>143</v>
      </c>
    </row>
    <row r="845" spans="1:17" x14ac:dyDescent="0.35">
      <c r="A845">
        <v>844</v>
      </c>
      <c r="B845">
        <v>2023</v>
      </c>
      <c r="C845">
        <v>6</v>
      </c>
      <c r="D845" t="s">
        <v>36</v>
      </c>
      <c r="E845" t="s">
        <v>59</v>
      </c>
      <c r="F845" s="1">
        <v>46962</v>
      </c>
      <c r="G845" s="1">
        <v>147064</v>
      </c>
      <c r="H845">
        <v>26</v>
      </c>
      <c r="I845">
        <v>0.97</v>
      </c>
      <c r="J845">
        <v>6.29</v>
      </c>
      <c r="K845">
        <v>1.2</v>
      </c>
      <c r="L845">
        <v>6</v>
      </c>
      <c r="M845" s="1" t="e">
        <f>#N/A</f>
        <v>#N/A</v>
      </c>
      <c r="N845">
        <v>396</v>
      </c>
      <c r="Q845" t="s">
        <v>144</v>
      </c>
    </row>
    <row r="846" spans="1:17" x14ac:dyDescent="0.35">
      <c r="A846">
        <v>845</v>
      </c>
      <c r="B846">
        <v>2023</v>
      </c>
      <c r="C846">
        <v>6</v>
      </c>
      <c r="D846" t="s">
        <v>38</v>
      </c>
      <c r="E846" t="s">
        <v>79</v>
      </c>
      <c r="F846" s="1">
        <v>70525</v>
      </c>
      <c r="G846" s="1">
        <v>481723</v>
      </c>
      <c r="H846">
        <v>288</v>
      </c>
      <c r="I846">
        <v>0.97</v>
      </c>
      <c r="J846">
        <v>6.29</v>
      </c>
      <c r="K846">
        <v>1.2</v>
      </c>
      <c r="L846">
        <v>10</v>
      </c>
      <c r="M846" s="1" t="e">
        <f>#N/A</f>
        <v>#N/A</v>
      </c>
      <c r="N846">
        <v>869</v>
      </c>
      <c r="Q846" t="s">
        <v>144</v>
      </c>
    </row>
    <row r="847" spans="1:17" x14ac:dyDescent="0.35">
      <c r="A847">
        <v>846</v>
      </c>
      <c r="B847">
        <v>2023</v>
      </c>
      <c r="C847">
        <v>6</v>
      </c>
      <c r="D847" t="s">
        <v>38</v>
      </c>
      <c r="E847" t="s">
        <v>85</v>
      </c>
      <c r="F847" s="1">
        <v>39633</v>
      </c>
      <c r="G847" s="1">
        <v>251798</v>
      </c>
      <c r="H847">
        <v>219</v>
      </c>
      <c r="I847">
        <v>0.97</v>
      </c>
      <c r="J847">
        <v>6.29</v>
      </c>
      <c r="K847">
        <v>1.2</v>
      </c>
      <c r="L847">
        <v>1</v>
      </c>
      <c r="M847" s="1" t="e">
        <f>#N/A</f>
        <v>#N/A</v>
      </c>
      <c r="N847">
        <v>677</v>
      </c>
      <c r="Q847" t="s">
        <v>144</v>
      </c>
    </row>
    <row r="848" spans="1:17" x14ac:dyDescent="0.35">
      <c r="A848">
        <v>847</v>
      </c>
      <c r="B848">
        <v>2023</v>
      </c>
      <c r="C848">
        <v>6</v>
      </c>
      <c r="D848" t="s">
        <v>37</v>
      </c>
      <c r="E848" t="s">
        <v>138</v>
      </c>
      <c r="F848" s="1">
        <v>117508</v>
      </c>
      <c r="G848" s="1">
        <v>189718</v>
      </c>
      <c r="H848">
        <v>258</v>
      </c>
      <c r="I848">
        <v>0.97</v>
      </c>
      <c r="J848">
        <v>6.29</v>
      </c>
      <c r="K848">
        <v>1.2</v>
      </c>
      <c r="L848">
        <v>1</v>
      </c>
      <c r="M848" s="1" t="e">
        <f>#N/A</f>
        <v>#N/A</v>
      </c>
      <c r="N848">
        <v>550</v>
      </c>
      <c r="Q848" t="s">
        <v>144</v>
      </c>
    </row>
    <row r="849" spans="1:17" x14ac:dyDescent="0.35">
      <c r="A849">
        <v>848</v>
      </c>
      <c r="B849">
        <v>2023</v>
      </c>
      <c r="C849">
        <v>6</v>
      </c>
      <c r="D849" t="s">
        <v>32</v>
      </c>
      <c r="E849" t="s">
        <v>132</v>
      </c>
      <c r="F849" s="1">
        <v>96826</v>
      </c>
      <c r="G849" s="1">
        <v>87879</v>
      </c>
      <c r="H849">
        <v>332</v>
      </c>
      <c r="I849">
        <v>0.97</v>
      </c>
      <c r="J849">
        <v>6.29</v>
      </c>
      <c r="K849">
        <v>1.2</v>
      </c>
      <c r="L849">
        <v>1</v>
      </c>
      <c r="M849" s="1" t="e">
        <f>#N/A</f>
        <v>#N/A</v>
      </c>
      <c r="N849">
        <v>905</v>
      </c>
      <c r="Q849" t="s">
        <v>144</v>
      </c>
    </row>
    <row r="850" spans="1:17" x14ac:dyDescent="0.35">
      <c r="A850">
        <v>849</v>
      </c>
      <c r="B850">
        <v>2023</v>
      </c>
      <c r="C850">
        <v>6</v>
      </c>
      <c r="D850" t="s">
        <v>25</v>
      </c>
      <c r="E850" t="s">
        <v>132</v>
      </c>
      <c r="F850" s="1">
        <v>100681</v>
      </c>
      <c r="G850" s="1">
        <v>245413</v>
      </c>
      <c r="H850">
        <v>103</v>
      </c>
      <c r="I850">
        <v>0.97</v>
      </c>
      <c r="J850">
        <v>6.29</v>
      </c>
      <c r="K850">
        <v>1.2</v>
      </c>
      <c r="L850">
        <v>3</v>
      </c>
      <c r="M850" s="1" t="e">
        <f>#N/A</f>
        <v>#N/A</v>
      </c>
      <c r="N850">
        <v>235</v>
      </c>
      <c r="Q850" t="s">
        <v>144</v>
      </c>
    </row>
    <row r="851" spans="1:17" x14ac:dyDescent="0.35">
      <c r="A851">
        <v>850</v>
      </c>
      <c r="B851">
        <v>2023</v>
      </c>
      <c r="C851">
        <v>6</v>
      </c>
      <c r="D851" t="s">
        <v>30</v>
      </c>
      <c r="E851" t="e">
        <v>#N/A</v>
      </c>
      <c r="F851" s="1">
        <v>103968</v>
      </c>
      <c r="G851" s="1">
        <v>451821</v>
      </c>
      <c r="H851">
        <v>153</v>
      </c>
      <c r="I851">
        <v>0.97</v>
      </c>
      <c r="J851">
        <v>6.29</v>
      </c>
      <c r="K851">
        <v>1.2</v>
      </c>
      <c r="L851">
        <v>4</v>
      </c>
      <c r="M851" s="1" t="e">
        <f>#N/A</f>
        <v>#N/A</v>
      </c>
      <c r="N851">
        <v>601</v>
      </c>
      <c r="Q851" t="s">
        <v>144</v>
      </c>
    </row>
    <row r="852" spans="1:17" x14ac:dyDescent="0.35">
      <c r="A852">
        <v>851</v>
      </c>
      <c r="B852">
        <v>2023</v>
      </c>
      <c r="C852">
        <v>7</v>
      </c>
      <c r="D852" t="s">
        <v>21</v>
      </c>
      <c r="E852" t="s">
        <v>54</v>
      </c>
      <c r="F852" s="1">
        <v>97532</v>
      </c>
      <c r="G852" s="1">
        <v>438227</v>
      </c>
      <c r="H852">
        <v>113</v>
      </c>
      <c r="I852">
        <v>0.97</v>
      </c>
      <c r="J852">
        <v>6.29</v>
      </c>
      <c r="K852">
        <v>1.2</v>
      </c>
      <c r="L852">
        <v>8</v>
      </c>
      <c r="M852" s="1" t="e">
        <f>#N/A</f>
        <v>#N/A</v>
      </c>
      <c r="N852">
        <v>517</v>
      </c>
      <c r="Q852" t="s">
        <v>144</v>
      </c>
    </row>
    <row r="853" spans="1:17" x14ac:dyDescent="0.35">
      <c r="A853">
        <v>852</v>
      </c>
      <c r="B853">
        <v>2023</v>
      </c>
      <c r="C853">
        <v>7</v>
      </c>
      <c r="D853" t="s">
        <v>36</v>
      </c>
      <c r="E853" t="s">
        <v>75</v>
      </c>
      <c r="F853" s="1">
        <v>75205</v>
      </c>
      <c r="G853" s="1">
        <v>91115</v>
      </c>
      <c r="H853">
        <v>148</v>
      </c>
      <c r="I853">
        <v>0.97</v>
      </c>
      <c r="J853">
        <v>6.29</v>
      </c>
      <c r="K853">
        <v>1.2</v>
      </c>
      <c r="L853">
        <v>10</v>
      </c>
      <c r="M853" s="1" t="e">
        <f>#N/A</f>
        <v>#N/A</v>
      </c>
      <c r="N853">
        <v>309</v>
      </c>
      <c r="Q853" t="s">
        <v>144</v>
      </c>
    </row>
    <row r="854" spans="1:17" x14ac:dyDescent="0.35">
      <c r="A854">
        <v>853</v>
      </c>
      <c r="B854">
        <v>2023</v>
      </c>
      <c r="C854">
        <v>7</v>
      </c>
      <c r="D854" t="s">
        <v>35</v>
      </c>
      <c r="E854" t="s">
        <v>96</v>
      </c>
      <c r="F854" s="1">
        <v>41533</v>
      </c>
      <c r="G854" s="1">
        <v>431387</v>
      </c>
      <c r="H854">
        <v>168</v>
      </c>
      <c r="I854">
        <v>0.97</v>
      </c>
      <c r="J854">
        <v>6.29</v>
      </c>
      <c r="K854">
        <v>1.2</v>
      </c>
      <c r="L854">
        <v>3</v>
      </c>
      <c r="M854" s="1" t="e">
        <f>#N/A</f>
        <v>#N/A</v>
      </c>
      <c r="N854">
        <v>465</v>
      </c>
      <c r="Q854" t="s">
        <v>144</v>
      </c>
    </row>
    <row r="855" spans="1:17" x14ac:dyDescent="0.35">
      <c r="A855">
        <v>854</v>
      </c>
      <c r="B855">
        <v>2023</v>
      </c>
      <c r="C855">
        <v>7</v>
      </c>
      <c r="D855" t="s">
        <v>36</v>
      </c>
      <c r="E855" t="s">
        <v>95</v>
      </c>
      <c r="F855" s="1">
        <v>119307</v>
      </c>
      <c r="G855" s="1">
        <v>208177</v>
      </c>
      <c r="H855">
        <v>67</v>
      </c>
      <c r="I855">
        <v>0.97</v>
      </c>
      <c r="J855">
        <v>6.29</v>
      </c>
      <c r="K855">
        <v>1.2</v>
      </c>
      <c r="L855">
        <v>7</v>
      </c>
      <c r="M855" s="1" t="e">
        <f>#N/A</f>
        <v>#N/A</v>
      </c>
      <c r="N855">
        <v>353</v>
      </c>
      <c r="Q855" t="s">
        <v>144</v>
      </c>
    </row>
    <row r="856" spans="1:17" x14ac:dyDescent="0.35">
      <c r="A856">
        <v>855</v>
      </c>
      <c r="B856">
        <v>2023</v>
      </c>
      <c r="C856">
        <v>7</v>
      </c>
      <c r="D856" t="s">
        <v>14</v>
      </c>
      <c r="E856" t="s">
        <v>117</v>
      </c>
      <c r="F856" s="1">
        <v>47352</v>
      </c>
      <c r="G856" s="1">
        <v>379744</v>
      </c>
      <c r="H856">
        <v>240</v>
      </c>
      <c r="I856">
        <v>0.97</v>
      </c>
      <c r="J856">
        <v>6.29</v>
      </c>
      <c r="K856">
        <v>1.2</v>
      </c>
      <c r="L856">
        <v>10</v>
      </c>
      <c r="M856" s="1" t="e">
        <f>#N/A</f>
        <v>#N/A</v>
      </c>
      <c r="N856">
        <v>640</v>
      </c>
      <c r="Q856" t="s">
        <v>144</v>
      </c>
    </row>
    <row r="857" spans="1:17" x14ac:dyDescent="0.35">
      <c r="A857">
        <v>856</v>
      </c>
      <c r="B857">
        <v>2023</v>
      </c>
      <c r="C857">
        <v>7</v>
      </c>
      <c r="D857" t="s">
        <v>36</v>
      </c>
      <c r="E857" t="s">
        <v>151</v>
      </c>
      <c r="F857" s="1">
        <v>74346</v>
      </c>
      <c r="G857" s="1">
        <v>70045</v>
      </c>
      <c r="H857">
        <v>235</v>
      </c>
      <c r="I857">
        <v>0.97</v>
      </c>
      <c r="J857">
        <v>6.29</v>
      </c>
      <c r="K857">
        <v>1.2</v>
      </c>
      <c r="L857">
        <v>7</v>
      </c>
      <c r="M857" s="1" t="e">
        <f>#N/A</f>
        <v>#N/A</v>
      </c>
      <c r="N857">
        <v>773</v>
      </c>
      <c r="Q857" t="s">
        <v>144</v>
      </c>
    </row>
    <row r="858" spans="1:17" x14ac:dyDescent="0.35">
      <c r="A858">
        <v>857</v>
      </c>
      <c r="B858">
        <v>2023</v>
      </c>
      <c r="C858">
        <v>8</v>
      </c>
      <c r="D858" t="s">
        <v>21</v>
      </c>
      <c r="E858" t="s">
        <v>71</v>
      </c>
      <c r="F858" s="1">
        <v>99550</v>
      </c>
      <c r="G858" s="1">
        <v>274126</v>
      </c>
      <c r="H858">
        <v>163</v>
      </c>
      <c r="I858">
        <v>0.97</v>
      </c>
      <c r="J858">
        <v>6.29</v>
      </c>
      <c r="K858">
        <v>1.2</v>
      </c>
      <c r="L858">
        <v>5</v>
      </c>
      <c r="M858" s="1" t="e">
        <f>#N/A</f>
        <v>#N/A</v>
      </c>
      <c r="N858">
        <v>596</v>
      </c>
      <c r="Q858" t="s">
        <v>144</v>
      </c>
    </row>
    <row r="859" spans="1:17" x14ac:dyDescent="0.35">
      <c r="A859">
        <v>858</v>
      </c>
      <c r="B859">
        <v>2023</v>
      </c>
      <c r="C859">
        <v>8</v>
      </c>
      <c r="D859" t="s">
        <v>14</v>
      </c>
      <c r="E859" t="s">
        <v>82</v>
      </c>
      <c r="F859" s="1">
        <v>111441</v>
      </c>
      <c r="G859" s="1">
        <v>279167</v>
      </c>
      <c r="H859">
        <v>156</v>
      </c>
      <c r="I859">
        <v>0.97</v>
      </c>
      <c r="J859">
        <v>6.29</v>
      </c>
      <c r="K859">
        <v>1.2</v>
      </c>
      <c r="L859">
        <v>6</v>
      </c>
      <c r="M859" s="1" t="e">
        <f>#N/A</f>
        <v>#N/A</v>
      </c>
      <c r="N859">
        <v>705</v>
      </c>
      <c r="Q859" t="s">
        <v>144</v>
      </c>
    </row>
    <row r="860" spans="1:17" x14ac:dyDescent="0.35">
      <c r="A860">
        <v>859</v>
      </c>
      <c r="B860">
        <v>2023</v>
      </c>
      <c r="C860">
        <v>8</v>
      </c>
      <c r="D860" t="s">
        <v>25</v>
      </c>
      <c r="E860" t="s">
        <v>82</v>
      </c>
      <c r="F860" s="1">
        <v>99757</v>
      </c>
      <c r="G860" s="1">
        <v>348254</v>
      </c>
      <c r="H860">
        <v>264</v>
      </c>
      <c r="I860">
        <v>0.97</v>
      </c>
      <c r="J860">
        <v>6.29</v>
      </c>
      <c r="K860">
        <v>1.2</v>
      </c>
      <c r="L860">
        <v>1</v>
      </c>
      <c r="M860" s="1" t="e">
        <f>#N/A</f>
        <v>#N/A</v>
      </c>
      <c r="N860">
        <v>845</v>
      </c>
      <c r="Q860" t="s">
        <v>145</v>
      </c>
    </row>
    <row r="861" spans="1:17" x14ac:dyDescent="0.35">
      <c r="A861">
        <v>860</v>
      </c>
      <c r="B861">
        <v>2023</v>
      </c>
      <c r="C861">
        <v>8</v>
      </c>
      <c r="D861" t="s">
        <v>37</v>
      </c>
      <c r="E861" t="s">
        <v>80</v>
      </c>
      <c r="F861" s="1">
        <v>58065</v>
      </c>
      <c r="G861" s="1">
        <v>79661</v>
      </c>
      <c r="H861">
        <v>160</v>
      </c>
      <c r="I861">
        <v>0.97</v>
      </c>
      <c r="J861">
        <v>6.29</v>
      </c>
      <c r="K861">
        <v>1.2</v>
      </c>
      <c r="L861">
        <v>2</v>
      </c>
      <c r="M861" s="1" t="e">
        <f>#N/A</f>
        <v>#N/A</v>
      </c>
      <c r="N861">
        <v>786</v>
      </c>
      <c r="Q861" t="s">
        <v>145</v>
      </c>
    </row>
    <row r="862" spans="1:17" x14ac:dyDescent="0.35">
      <c r="A862">
        <v>861</v>
      </c>
      <c r="B862">
        <v>2023</v>
      </c>
      <c r="C862">
        <v>8</v>
      </c>
      <c r="D862" t="s">
        <v>36</v>
      </c>
      <c r="E862" t="s">
        <v>111</v>
      </c>
      <c r="F862" s="1">
        <v>62151</v>
      </c>
      <c r="G862" s="1">
        <v>410466</v>
      </c>
      <c r="H862">
        <v>257</v>
      </c>
      <c r="I862">
        <v>0.97</v>
      </c>
      <c r="J862">
        <v>6.29</v>
      </c>
      <c r="K862">
        <v>1.2</v>
      </c>
      <c r="L862">
        <v>8</v>
      </c>
      <c r="M862" s="1" t="e">
        <f>#N/A</f>
        <v>#N/A</v>
      </c>
      <c r="N862">
        <v>756</v>
      </c>
      <c r="Q862" t="s">
        <v>145</v>
      </c>
    </row>
    <row r="863" spans="1:17" x14ac:dyDescent="0.35">
      <c r="A863">
        <v>862</v>
      </c>
      <c r="B863">
        <v>2023</v>
      </c>
      <c r="C863">
        <v>8</v>
      </c>
      <c r="D863" t="s">
        <v>36</v>
      </c>
      <c r="E863" t="s">
        <v>159</v>
      </c>
      <c r="F863" s="1">
        <v>42601</v>
      </c>
      <c r="G863" s="1">
        <v>481739</v>
      </c>
      <c r="H863">
        <v>288</v>
      </c>
      <c r="I863">
        <v>0.97</v>
      </c>
      <c r="J863">
        <v>6.29</v>
      </c>
      <c r="K863">
        <v>1.2</v>
      </c>
      <c r="L863">
        <v>1</v>
      </c>
      <c r="M863" s="1" t="e">
        <f>#N/A</f>
        <v>#N/A</v>
      </c>
      <c r="N863">
        <v>711</v>
      </c>
      <c r="Q863" t="s">
        <v>145</v>
      </c>
    </row>
    <row r="864" spans="1:17" x14ac:dyDescent="0.35">
      <c r="A864">
        <v>863</v>
      </c>
      <c r="B864">
        <v>2023</v>
      </c>
      <c r="C864">
        <v>9</v>
      </c>
      <c r="D864" t="s">
        <v>38</v>
      </c>
      <c r="E864" t="s">
        <v>50</v>
      </c>
      <c r="F864" s="1">
        <v>56042</v>
      </c>
      <c r="G864" s="1">
        <v>55636</v>
      </c>
      <c r="H864">
        <v>108</v>
      </c>
      <c r="I864">
        <v>0.97</v>
      </c>
      <c r="J864">
        <v>6.29</v>
      </c>
      <c r="K864">
        <v>1.2</v>
      </c>
      <c r="L864">
        <v>4</v>
      </c>
      <c r="M864" s="1" t="e">
        <f>#N/A</f>
        <v>#N/A</v>
      </c>
      <c r="N864">
        <v>552</v>
      </c>
      <c r="Q864" t="s">
        <v>145</v>
      </c>
    </row>
    <row r="865" spans="1:17" x14ac:dyDescent="0.35">
      <c r="A865">
        <v>864</v>
      </c>
      <c r="B865">
        <v>2023</v>
      </c>
      <c r="C865">
        <v>9</v>
      </c>
      <c r="D865" t="s">
        <v>25</v>
      </c>
      <c r="E865" t="s">
        <v>85</v>
      </c>
      <c r="F865" s="1">
        <v>80212</v>
      </c>
      <c r="G865" s="1">
        <v>437356</v>
      </c>
      <c r="H865">
        <v>124</v>
      </c>
      <c r="I865">
        <v>0.97</v>
      </c>
      <c r="J865">
        <v>6.29</v>
      </c>
      <c r="K865">
        <v>1.2</v>
      </c>
      <c r="L865">
        <v>7</v>
      </c>
      <c r="M865" s="1" t="e">
        <f>#N/A</f>
        <v>#N/A</v>
      </c>
      <c r="N865">
        <v>519</v>
      </c>
      <c r="Q865" t="s">
        <v>145</v>
      </c>
    </row>
    <row r="866" spans="1:17" x14ac:dyDescent="0.35">
      <c r="A866">
        <v>865</v>
      </c>
      <c r="B866">
        <v>2023</v>
      </c>
      <c r="C866">
        <v>9</v>
      </c>
      <c r="D866" t="s">
        <v>28</v>
      </c>
      <c r="E866" t="s">
        <v>93</v>
      </c>
      <c r="F866" s="1">
        <v>101323</v>
      </c>
      <c r="G866" s="1">
        <v>424842</v>
      </c>
      <c r="H866">
        <v>53</v>
      </c>
      <c r="I866">
        <v>0.97</v>
      </c>
      <c r="J866">
        <v>6.29</v>
      </c>
      <c r="K866">
        <v>1.2</v>
      </c>
      <c r="L866">
        <v>3</v>
      </c>
      <c r="M866" s="1" t="e">
        <f>#N/A</f>
        <v>#N/A</v>
      </c>
      <c r="N866">
        <v>306</v>
      </c>
      <c r="Q866" t="s">
        <v>145</v>
      </c>
    </row>
    <row r="867" spans="1:17" x14ac:dyDescent="0.35">
      <c r="A867">
        <v>866</v>
      </c>
      <c r="B867">
        <v>2023</v>
      </c>
      <c r="C867">
        <v>9</v>
      </c>
      <c r="D867" t="s">
        <v>32</v>
      </c>
      <c r="E867" t="s">
        <v>122</v>
      </c>
      <c r="F867" s="1">
        <v>119577</v>
      </c>
      <c r="G867" s="1">
        <v>269222</v>
      </c>
      <c r="H867">
        <v>134</v>
      </c>
      <c r="I867">
        <v>0.97</v>
      </c>
      <c r="J867">
        <v>6.29</v>
      </c>
      <c r="K867">
        <v>1.2</v>
      </c>
      <c r="L867">
        <v>9</v>
      </c>
      <c r="M867" s="1" t="e">
        <f>#N/A</f>
        <v>#N/A</v>
      </c>
      <c r="N867">
        <v>380</v>
      </c>
      <c r="Q867" t="s">
        <v>145</v>
      </c>
    </row>
    <row r="868" spans="1:17" x14ac:dyDescent="0.35">
      <c r="A868">
        <v>867</v>
      </c>
      <c r="B868">
        <v>2023</v>
      </c>
      <c r="C868">
        <v>9</v>
      </c>
      <c r="D868" t="s">
        <v>38</v>
      </c>
      <c r="E868" t="s">
        <v>116</v>
      </c>
      <c r="F868" s="1">
        <v>118163</v>
      </c>
      <c r="G868" s="1">
        <v>491110</v>
      </c>
      <c r="H868">
        <v>269</v>
      </c>
      <c r="I868">
        <v>0.97</v>
      </c>
      <c r="J868">
        <v>6.29</v>
      </c>
      <c r="K868">
        <v>1.2</v>
      </c>
      <c r="L868">
        <v>5</v>
      </c>
      <c r="M868" s="1" t="e">
        <f>#N/A</f>
        <v>#N/A</v>
      </c>
      <c r="N868">
        <v>661</v>
      </c>
      <c r="Q868" t="s">
        <v>145</v>
      </c>
    </row>
    <row r="869" spans="1:17" x14ac:dyDescent="0.35">
      <c r="A869">
        <v>868</v>
      </c>
      <c r="B869">
        <v>2023</v>
      </c>
      <c r="C869">
        <v>10</v>
      </c>
      <c r="D869" t="s">
        <v>32</v>
      </c>
      <c r="E869" t="s">
        <v>48</v>
      </c>
      <c r="F869" s="1">
        <v>52304</v>
      </c>
      <c r="G869" s="1">
        <v>382255</v>
      </c>
      <c r="H869">
        <v>135</v>
      </c>
      <c r="I869">
        <v>0.97</v>
      </c>
      <c r="J869">
        <v>6.29</v>
      </c>
      <c r="K869">
        <v>1.2</v>
      </c>
      <c r="L869">
        <v>10</v>
      </c>
      <c r="M869" s="1" t="e">
        <f>#N/A</f>
        <v>#N/A</v>
      </c>
      <c r="N869">
        <v>370</v>
      </c>
      <c r="Q869" t="s">
        <v>146</v>
      </c>
    </row>
    <row r="870" spans="1:17" x14ac:dyDescent="0.35">
      <c r="A870">
        <v>869</v>
      </c>
      <c r="B870">
        <v>2023</v>
      </c>
      <c r="C870">
        <v>10</v>
      </c>
      <c r="D870" t="s">
        <v>38</v>
      </c>
      <c r="E870" t="s">
        <v>72</v>
      </c>
      <c r="F870" s="1">
        <v>37159</v>
      </c>
      <c r="G870" s="1">
        <v>370057</v>
      </c>
      <c r="H870">
        <v>302</v>
      </c>
      <c r="I870">
        <v>0.97</v>
      </c>
      <c r="J870">
        <v>6.29</v>
      </c>
      <c r="K870">
        <v>1.2</v>
      </c>
      <c r="L870">
        <v>7</v>
      </c>
      <c r="M870" s="1" t="e">
        <f>#N/A</f>
        <v>#N/A</v>
      </c>
      <c r="N870">
        <v>1016</v>
      </c>
      <c r="Q870" t="s">
        <v>146</v>
      </c>
    </row>
    <row r="871" spans="1:17" x14ac:dyDescent="0.35">
      <c r="A871">
        <v>870</v>
      </c>
      <c r="B871">
        <v>2023</v>
      </c>
      <c r="C871">
        <v>10</v>
      </c>
      <c r="D871" t="s">
        <v>28</v>
      </c>
      <c r="E871" t="s">
        <v>78</v>
      </c>
      <c r="F871" s="1">
        <v>107903</v>
      </c>
      <c r="G871" s="1">
        <v>435105</v>
      </c>
      <c r="H871">
        <v>255</v>
      </c>
      <c r="I871">
        <v>0.97</v>
      </c>
      <c r="J871">
        <v>6.29</v>
      </c>
      <c r="K871">
        <v>1.2</v>
      </c>
      <c r="L871">
        <v>1</v>
      </c>
      <c r="M871" s="1" t="e">
        <f>#N/A</f>
        <v>#N/A</v>
      </c>
      <c r="N871">
        <v>891</v>
      </c>
      <c r="Q871" t="s">
        <v>146</v>
      </c>
    </row>
    <row r="872" spans="1:17" x14ac:dyDescent="0.35">
      <c r="A872">
        <v>871</v>
      </c>
      <c r="B872">
        <v>2023</v>
      </c>
      <c r="C872">
        <v>10</v>
      </c>
      <c r="D872" t="s">
        <v>36</v>
      </c>
      <c r="E872" t="s">
        <v>89</v>
      </c>
      <c r="F872" s="1">
        <v>54572</v>
      </c>
      <c r="G872" s="1">
        <v>494854</v>
      </c>
      <c r="H872">
        <v>38</v>
      </c>
      <c r="I872">
        <v>0.97</v>
      </c>
      <c r="J872">
        <v>6.29</v>
      </c>
      <c r="K872">
        <v>1.2</v>
      </c>
      <c r="L872">
        <v>5</v>
      </c>
      <c r="M872" s="1" t="e">
        <f>#N/A</f>
        <v>#N/A</v>
      </c>
      <c r="N872">
        <v>253</v>
      </c>
      <c r="Q872" t="s">
        <v>146</v>
      </c>
    </row>
    <row r="873" spans="1:17" x14ac:dyDescent="0.35">
      <c r="A873">
        <v>872</v>
      </c>
      <c r="B873">
        <v>2023</v>
      </c>
      <c r="C873">
        <v>10</v>
      </c>
      <c r="D873" t="s">
        <v>14</v>
      </c>
      <c r="E873" t="s">
        <v>105</v>
      </c>
      <c r="F873" s="1">
        <v>71133</v>
      </c>
      <c r="G873" s="1">
        <v>399982</v>
      </c>
      <c r="H873">
        <v>280</v>
      </c>
      <c r="I873">
        <v>0.97</v>
      </c>
      <c r="J873">
        <v>6.29</v>
      </c>
      <c r="K873">
        <v>1.2</v>
      </c>
      <c r="L873">
        <v>8</v>
      </c>
      <c r="M873" s="1" t="e">
        <f>#N/A</f>
        <v>#N/A</v>
      </c>
      <c r="N873">
        <v>899</v>
      </c>
      <c r="Q873" t="s">
        <v>146</v>
      </c>
    </row>
    <row r="874" spans="1:17" x14ac:dyDescent="0.35">
      <c r="A874">
        <v>873</v>
      </c>
      <c r="B874">
        <v>2023</v>
      </c>
      <c r="C874">
        <v>10</v>
      </c>
      <c r="D874" t="s">
        <v>35</v>
      </c>
      <c r="E874" t="s">
        <v>107</v>
      </c>
      <c r="F874" s="1">
        <v>93565</v>
      </c>
      <c r="G874" s="1">
        <v>464021</v>
      </c>
      <c r="H874">
        <v>378</v>
      </c>
      <c r="I874">
        <v>0.97</v>
      </c>
      <c r="J874">
        <v>6.29</v>
      </c>
      <c r="K874">
        <v>1.2</v>
      </c>
      <c r="L874">
        <v>7</v>
      </c>
      <c r="M874" s="1" t="e">
        <f>#N/A</f>
        <v>#N/A</v>
      </c>
      <c r="N874">
        <v>928</v>
      </c>
      <c r="Q874" t="s">
        <v>146</v>
      </c>
    </row>
    <row r="875" spans="1:17" x14ac:dyDescent="0.35">
      <c r="A875">
        <v>874</v>
      </c>
      <c r="B875">
        <v>2023</v>
      </c>
      <c r="C875">
        <v>10</v>
      </c>
      <c r="D875" t="s">
        <v>14</v>
      </c>
      <c r="E875" t="s">
        <v>118</v>
      </c>
      <c r="F875" s="1">
        <v>52558</v>
      </c>
      <c r="G875" s="1">
        <v>327483</v>
      </c>
      <c r="H875">
        <v>176</v>
      </c>
      <c r="I875">
        <v>0.97</v>
      </c>
      <c r="J875">
        <v>6.29</v>
      </c>
      <c r="K875">
        <v>1.2</v>
      </c>
      <c r="L875">
        <v>4</v>
      </c>
      <c r="M875" s="1" t="e">
        <f>#N/A</f>
        <v>#N/A</v>
      </c>
      <c r="N875">
        <v>545</v>
      </c>
      <c r="Q875" t="s">
        <v>146</v>
      </c>
    </row>
    <row r="876" spans="1:17" x14ac:dyDescent="0.35">
      <c r="A876">
        <v>875</v>
      </c>
      <c r="B876">
        <v>2023</v>
      </c>
      <c r="C876">
        <v>10</v>
      </c>
      <c r="D876" t="s">
        <v>37</v>
      </c>
      <c r="E876" t="s">
        <v>119</v>
      </c>
      <c r="F876" s="1">
        <v>67574</v>
      </c>
      <c r="G876" s="1">
        <v>171544</v>
      </c>
      <c r="H876">
        <v>263</v>
      </c>
      <c r="I876">
        <v>0.97</v>
      </c>
      <c r="J876">
        <v>6.29</v>
      </c>
      <c r="K876">
        <v>1.2</v>
      </c>
      <c r="L876">
        <v>4</v>
      </c>
      <c r="M876" s="1" t="e">
        <f>#N/A</f>
        <v>#N/A</v>
      </c>
      <c r="N876">
        <v>713</v>
      </c>
      <c r="Q876" t="s">
        <v>146</v>
      </c>
    </row>
    <row r="877" spans="1:17" x14ac:dyDescent="0.35">
      <c r="A877">
        <v>876</v>
      </c>
      <c r="B877">
        <v>2023</v>
      </c>
      <c r="C877">
        <v>10</v>
      </c>
      <c r="D877" t="s">
        <v>38</v>
      </c>
      <c r="E877" t="s">
        <v>129</v>
      </c>
      <c r="F877" s="1">
        <v>59700</v>
      </c>
      <c r="G877" s="1">
        <v>364853</v>
      </c>
      <c r="H877">
        <v>211</v>
      </c>
      <c r="I877">
        <v>0.97</v>
      </c>
      <c r="J877">
        <v>6.29</v>
      </c>
      <c r="K877">
        <v>1.2</v>
      </c>
      <c r="L877">
        <v>10</v>
      </c>
      <c r="M877" s="1" t="e">
        <f>#N/A</f>
        <v>#N/A</v>
      </c>
      <c r="N877">
        <v>482</v>
      </c>
      <c r="Q877" t="s">
        <v>146</v>
      </c>
    </row>
    <row r="878" spans="1:17" x14ac:dyDescent="0.35">
      <c r="A878">
        <v>877</v>
      </c>
      <c r="B878">
        <v>2023</v>
      </c>
      <c r="C878">
        <v>10</v>
      </c>
      <c r="D878" t="s">
        <v>38</v>
      </c>
      <c r="E878" t="s">
        <v>148</v>
      </c>
      <c r="F878" s="1">
        <v>60791</v>
      </c>
      <c r="G878" s="1">
        <v>490847</v>
      </c>
      <c r="H878">
        <v>288</v>
      </c>
      <c r="I878">
        <v>0.97</v>
      </c>
      <c r="J878">
        <v>6.29</v>
      </c>
      <c r="K878">
        <v>1.2</v>
      </c>
      <c r="L878">
        <v>4</v>
      </c>
      <c r="M878" s="1" t="e">
        <f>#N/A</f>
        <v>#N/A</v>
      </c>
      <c r="N878">
        <v>625</v>
      </c>
      <c r="Q878" t="s">
        <v>146</v>
      </c>
    </row>
    <row r="879" spans="1:17" x14ac:dyDescent="0.35">
      <c r="A879">
        <v>878</v>
      </c>
      <c r="B879">
        <v>2023</v>
      </c>
      <c r="C879">
        <v>10</v>
      </c>
      <c r="D879" t="s">
        <v>38</v>
      </c>
      <c r="E879" t="s">
        <v>155</v>
      </c>
      <c r="F879" s="1">
        <v>111646</v>
      </c>
      <c r="G879" s="1">
        <v>351763</v>
      </c>
      <c r="H879">
        <v>142</v>
      </c>
      <c r="I879">
        <v>0.97</v>
      </c>
      <c r="J879">
        <v>6.29</v>
      </c>
      <c r="K879">
        <v>1.2</v>
      </c>
      <c r="L879">
        <v>9</v>
      </c>
      <c r="M879" s="1" t="e">
        <f>#N/A</f>
        <v>#N/A</v>
      </c>
      <c r="N879">
        <v>716</v>
      </c>
      <c r="Q879" t="s">
        <v>147</v>
      </c>
    </row>
    <row r="880" spans="1:17" x14ac:dyDescent="0.35">
      <c r="A880">
        <v>879</v>
      </c>
      <c r="B880">
        <v>2023</v>
      </c>
      <c r="C880">
        <v>11</v>
      </c>
      <c r="D880" t="s">
        <v>36</v>
      </c>
      <c r="E880" t="s">
        <v>47</v>
      </c>
      <c r="F880" s="1">
        <v>62777</v>
      </c>
      <c r="G880" s="1">
        <v>372926</v>
      </c>
      <c r="H880">
        <v>49</v>
      </c>
      <c r="I880">
        <v>0.97</v>
      </c>
      <c r="J880">
        <v>6.29</v>
      </c>
      <c r="K880">
        <v>1.2</v>
      </c>
      <c r="L880">
        <v>4</v>
      </c>
      <c r="M880" s="1" t="e">
        <f>#N/A</f>
        <v>#N/A</v>
      </c>
      <c r="N880">
        <v>157</v>
      </c>
      <c r="Q880" t="s">
        <v>147</v>
      </c>
    </row>
    <row r="881" spans="1:17" x14ac:dyDescent="0.35">
      <c r="A881">
        <v>880</v>
      </c>
      <c r="B881">
        <v>2023</v>
      </c>
      <c r="C881">
        <v>11</v>
      </c>
      <c r="D881" t="s">
        <v>14</v>
      </c>
      <c r="E881" t="s">
        <v>44</v>
      </c>
      <c r="F881" s="1">
        <v>116395</v>
      </c>
      <c r="G881" s="1">
        <v>89236</v>
      </c>
      <c r="H881">
        <v>155</v>
      </c>
      <c r="I881">
        <v>0.97</v>
      </c>
      <c r="J881">
        <v>6.29</v>
      </c>
      <c r="K881">
        <v>1.2</v>
      </c>
      <c r="L881">
        <v>6</v>
      </c>
      <c r="M881" s="1" t="e">
        <f>#N/A</f>
        <v>#N/A</v>
      </c>
      <c r="N881">
        <v>550</v>
      </c>
      <c r="Q881" t="s">
        <v>147</v>
      </c>
    </row>
    <row r="882" spans="1:17" x14ac:dyDescent="0.35">
      <c r="A882">
        <v>881</v>
      </c>
      <c r="B882">
        <v>2023</v>
      </c>
      <c r="C882">
        <v>11</v>
      </c>
      <c r="D882" t="s">
        <v>37</v>
      </c>
      <c r="E882" t="s">
        <v>55</v>
      </c>
      <c r="F882" s="1">
        <v>63899</v>
      </c>
      <c r="G882" s="1">
        <v>200862</v>
      </c>
      <c r="H882">
        <v>350</v>
      </c>
      <c r="I882">
        <v>0.97</v>
      </c>
      <c r="J882">
        <v>6.29</v>
      </c>
      <c r="K882">
        <v>1.2</v>
      </c>
      <c r="L882">
        <v>9</v>
      </c>
      <c r="M882" s="1" t="e">
        <f>#N/A</f>
        <v>#N/A</v>
      </c>
      <c r="N882">
        <v>1021</v>
      </c>
      <c r="Q882" t="s">
        <v>147</v>
      </c>
    </row>
    <row r="883" spans="1:17" x14ac:dyDescent="0.35">
      <c r="A883">
        <v>882</v>
      </c>
      <c r="B883">
        <v>2023</v>
      </c>
      <c r="C883">
        <v>11</v>
      </c>
      <c r="D883" t="s">
        <v>25</v>
      </c>
      <c r="E883" t="s">
        <v>46</v>
      </c>
      <c r="F883" s="1">
        <v>53557</v>
      </c>
      <c r="G883" s="1">
        <v>219357</v>
      </c>
      <c r="H883">
        <v>187</v>
      </c>
      <c r="I883">
        <v>0.97</v>
      </c>
      <c r="J883">
        <v>6.29</v>
      </c>
      <c r="K883">
        <v>1.2</v>
      </c>
      <c r="L883">
        <v>1</v>
      </c>
      <c r="M883" s="1" t="e">
        <f>#N/A</f>
        <v>#N/A</v>
      </c>
      <c r="N883">
        <v>599</v>
      </c>
      <c r="Q883" t="s">
        <v>147</v>
      </c>
    </row>
    <row r="884" spans="1:17" x14ac:dyDescent="0.35">
      <c r="A884">
        <v>883</v>
      </c>
      <c r="B884">
        <v>2023</v>
      </c>
      <c r="C884">
        <v>11</v>
      </c>
      <c r="D884" t="s">
        <v>30</v>
      </c>
      <c r="E884" t="s">
        <v>71</v>
      </c>
      <c r="F884" s="1">
        <v>72394</v>
      </c>
      <c r="G884" s="1">
        <v>154843</v>
      </c>
      <c r="H884">
        <v>155</v>
      </c>
      <c r="I884">
        <v>0.97</v>
      </c>
      <c r="J884">
        <v>6.29</v>
      </c>
      <c r="K884">
        <v>1.2</v>
      </c>
      <c r="L884">
        <v>9</v>
      </c>
      <c r="M884" s="1" t="e">
        <f>#N/A</f>
        <v>#N/A</v>
      </c>
      <c r="N884">
        <v>521</v>
      </c>
      <c r="Q884" t="s">
        <v>148</v>
      </c>
    </row>
    <row r="885" spans="1:17" x14ac:dyDescent="0.35">
      <c r="A885">
        <v>884</v>
      </c>
      <c r="B885">
        <v>2023</v>
      </c>
      <c r="C885">
        <v>11</v>
      </c>
      <c r="D885" t="s">
        <v>28</v>
      </c>
      <c r="E885" t="s">
        <v>89</v>
      </c>
      <c r="F885" s="1">
        <v>49559</v>
      </c>
      <c r="G885" s="1">
        <v>333539</v>
      </c>
      <c r="H885">
        <v>217</v>
      </c>
      <c r="I885">
        <v>0.97</v>
      </c>
      <c r="J885">
        <v>6.29</v>
      </c>
      <c r="K885">
        <v>1.2</v>
      </c>
      <c r="L885">
        <v>10</v>
      </c>
      <c r="M885" s="1" t="e">
        <f>#N/A</f>
        <v>#N/A</v>
      </c>
      <c r="N885">
        <v>668</v>
      </c>
      <c r="Q885" t="s">
        <v>148</v>
      </c>
    </row>
    <row r="886" spans="1:17" x14ac:dyDescent="0.35">
      <c r="A886">
        <v>885</v>
      </c>
      <c r="B886">
        <v>2023</v>
      </c>
      <c r="C886">
        <v>11</v>
      </c>
      <c r="D886" t="s">
        <v>25</v>
      </c>
      <c r="E886" t="s">
        <v>156</v>
      </c>
      <c r="F886" s="1">
        <v>91827</v>
      </c>
      <c r="G886" s="1">
        <v>474315</v>
      </c>
      <c r="H886">
        <v>393</v>
      </c>
      <c r="I886">
        <v>0.97</v>
      </c>
      <c r="J886">
        <v>6.29</v>
      </c>
      <c r="K886">
        <v>1.2</v>
      </c>
      <c r="L886">
        <v>1</v>
      </c>
      <c r="M886" s="1" t="e">
        <f>#N/A</f>
        <v>#N/A</v>
      </c>
      <c r="N886">
        <v>896</v>
      </c>
      <c r="Q886" t="s">
        <v>148</v>
      </c>
    </row>
    <row r="887" spans="1:17" x14ac:dyDescent="0.35">
      <c r="A887">
        <v>886</v>
      </c>
      <c r="B887">
        <v>2023</v>
      </c>
      <c r="C887">
        <v>11</v>
      </c>
      <c r="D887" t="s">
        <v>36</v>
      </c>
      <c r="E887" t="s">
        <v>159</v>
      </c>
      <c r="F887" s="1">
        <v>113812</v>
      </c>
      <c r="G887" s="1">
        <v>300449</v>
      </c>
      <c r="H887">
        <v>146</v>
      </c>
      <c r="I887">
        <v>0.97</v>
      </c>
      <c r="J887">
        <v>6.29</v>
      </c>
      <c r="K887">
        <v>1.2</v>
      </c>
      <c r="L887">
        <v>7</v>
      </c>
      <c r="M887" s="1" t="e">
        <f>#N/A</f>
        <v>#N/A</v>
      </c>
      <c r="N887">
        <v>570</v>
      </c>
      <c r="Q887" t="s">
        <v>148</v>
      </c>
    </row>
    <row r="888" spans="1:17" x14ac:dyDescent="0.35">
      <c r="A888">
        <v>887</v>
      </c>
      <c r="B888">
        <v>2023</v>
      </c>
      <c r="C888">
        <v>11</v>
      </c>
      <c r="D888" t="s">
        <v>21</v>
      </c>
      <c r="E888" t="s">
        <v>155</v>
      </c>
      <c r="F888" s="1">
        <v>105456</v>
      </c>
      <c r="G888" s="1">
        <v>261027</v>
      </c>
      <c r="H888">
        <v>397</v>
      </c>
      <c r="I888">
        <v>0.97</v>
      </c>
      <c r="J888">
        <v>6.29</v>
      </c>
      <c r="K888">
        <v>1.2</v>
      </c>
      <c r="L888">
        <v>4</v>
      </c>
      <c r="M888" s="1" t="e">
        <f>#N/A</f>
        <v>#N/A</v>
      </c>
      <c r="N888">
        <v>1130</v>
      </c>
      <c r="Q888" t="s">
        <v>148</v>
      </c>
    </row>
    <row r="889" spans="1:17" x14ac:dyDescent="0.35">
      <c r="A889">
        <v>888</v>
      </c>
      <c r="B889">
        <v>2023</v>
      </c>
      <c r="C889">
        <v>12</v>
      </c>
      <c r="D889" t="s">
        <v>35</v>
      </c>
      <c r="E889" t="s">
        <v>65</v>
      </c>
      <c r="F889" s="1">
        <v>59495</v>
      </c>
      <c r="G889" s="1">
        <v>430350</v>
      </c>
      <c r="H889">
        <v>103</v>
      </c>
      <c r="I889">
        <v>0.97</v>
      </c>
      <c r="J889">
        <v>6.29</v>
      </c>
      <c r="K889">
        <v>1.2</v>
      </c>
      <c r="L889">
        <v>10</v>
      </c>
      <c r="M889" s="1" t="e">
        <f>#N/A</f>
        <v>#N/A</v>
      </c>
      <c r="N889">
        <v>425</v>
      </c>
      <c r="Q889" t="s">
        <v>148</v>
      </c>
    </row>
    <row r="890" spans="1:17" x14ac:dyDescent="0.35">
      <c r="A890">
        <v>889</v>
      </c>
      <c r="B890">
        <v>2023</v>
      </c>
      <c r="C890">
        <v>12</v>
      </c>
      <c r="D890" t="s">
        <v>37</v>
      </c>
      <c r="E890" t="s">
        <v>74</v>
      </c>
      <c r="F890" s="1">
        <v>58345</v>
      </c>
      <c r="G890" s="1">
        <v>433015</v>
      </c>
      <c r="H890">
        <v>145</v>
      </c>
      <c r="I890">
        <v>0.97</v>
      </c>
      <c r="J890">
        <v>6.29</v>
      </c>
      <c r="K890">
        <v>1.2</v>
      </c>
      <c r="L890">
        <v>8</v>
      </c>
      <c r="M890" s="1" t="e">
        <f>#N/A</f>
        <v>#N/A</v>
      </c>
      <c r="N890">
        <v>334</v>
      </c>
      <c r="Q890" t="s">
        <v>148</v>
      </c>
    </row>
    <row r="891" spans="1:17" x14ac:dyDescent="0.35">
      <c r="A891">
        <v>890</v>
      </c>
      <c r="B891">
        <v>2023</v>
      </c>
      <c r="C891">
        <v>12</v>
      </c>
      <c r="D891" t="s">
        <v>30</v>
      </c>
      <c r="E891" t="s">
        <v>101</v>
      </c>
      <c r="F891" s="1">
        <v>108717</v>
      </c>
      <c r="G891" s="1">
        <v>115184</v>
      </c>
      <c r="H891">
        <v>256</v>
      </c>
      <c r="I891">
        <v>0.97</v>
      </c>
      <c r="J891">
        <v>6.29</v>
      </c>
      <c r="K891">
        <v>1.2</v>
      </c>
      <c r="L891">
        <v>4</v>
      </c>
      <c r="M891" s="1" t="e">
        <f>#N/A</f>
        <v>#N/A</v>
      </c>
      <c r="N891">
        <v>530</v>
      </c>
      <c r="Q891" t="s">
        <v>149</v>
      </c>
    </row>
    <row r="892" spans="1:17" x14ac:dyDescent="0.35">
      <c r="A892">
        <v>891</v>
      </c>
      <c r="B892">
        <v>2023</v>
      </c>
      <c r="C892">
        <v>12</v>
      </c>
      <c r="D892" t="s">
        <v>28</v>
      </c>
      <c r="E892" t="s">
        <v>143</v>
      </c>
      <c r="F892" s="1">
        <v>97287</v>
      </c>
      <c r="G892" s="1">
        <v>227170</v>
      </c>
      <c r="H892">
        <v>396</v>
      </c>
      <c r="I892">
        <v>0.97</v>
      </c>
      <c r="J892">
        <v>6.29</v>
      </c>
      <c r="K892">
        <v>1.2</v>
      </c>
      <c r="L892">
        <v>2</v>
      </c>
      <c r="M892" s="1" t="e">
        <f>#N/A</f>
        <v>#N/A</v>
      </c>
      <c r="N892">
        <v>963</v>
      </c>
      <c r="Q892" t="s">
        <v>149</v>
      </c>
    </row>
    <row r="893" spans="1:17" x14ac:dyDescent="0.35">
      <c r="A893">
        <v>892</v>
      </c>
      <c r="B893">
        <v>2023</v>
      </c>
      <c r="C893">
        <v>12</v>
      </c>
      <c r="D893" t="s">
        <v>37</v>
      </c>
      <c r="E893" t="s">
        <v>143</v>
      </c>
      <c r="F893" s="1">
        <v>78601</v>
      </c>
      <c r="G893" s="1">
        <v>488988</v>
      </c>
      <c r="H893">
        <v>235</v>
      </c>
      <c r="I893">
        <v>0.97</v>
      </c>
      <c r="J893">
        <v>6.29</v>
      </c>
      <c r="K893">
        <v>1.2</v>
      </c>
      <c r="L893">
        <v>9</v>
      </c>
      <c r="M893" s="1" t="e">
        <f>#N/A</f>
        <v>#N/A</v>
      </c>
      <c r="N893">
        <v>810</v>
      </c>
      <c r="Q893" t="s">
        <v>150</v>
      </c>
    </row>
    <row r="894" spans="1:17" x14ac:dyDescent="0.35">
      <c r="A894">
        <v>893</v>
      </c>
      <c r="B894">
        <v>2023</v>
      </c>
      <c r="C894">
        <v>12</v>
      </c>
      <c r="D894" t="s">
        <v>37</v>
      </c>
      <c r="E894" t="e">
        <v>#N/A</v>
      </c>
      <c r="F894" s="1">
        <v>55651</v>
      </c>
      <c r="G894" s="1">
        <v>105390</v>
      </c>
      <c r="H894">
        <v>130</v>
      </c>
      <c r="I894">
        <v>0.97</v>
      </c>
      <c r="J894">
        <v>6.29</v>
      </c>
      <c r="K894">
        <v>1.2</v>
      </c>
      <c r="L894">
        <v>8</v>
      </c>
      <c r="M894" s="1" t="e">
        <f>#N/A</f>
        <v>#N/A</v>
      </c>
      <c r="N894">
        <v>511</v>
      </c>
      <c r="Q894" t="s">
        <v>150</v>
      </c>
    </row>
    <row r="895" spans="1:17" x14ac:dyDescent="0.35">
      <c r="A895">
        <v>894</v>
      </c>
      <c r="B895">
        <v>2024</v>
      </c>
      <c r="C895">
        <v>1</v>
      </c>
      <c r="D895" t="s">
        <v>37</v>
      </c>
      <c r="E895" t="s">
        <v>89</v>
      </c>
      <c r="F895" s="1">
        <v>86415</v>
      </c>
      <c r="G895" s="1">
        <v>378082</v>
      </c>
      <c r="H895">
        <v>291</v>
      </c>
      <c r="I895">
        <v>0.97</v>
      </c>
      <c r="J895">
        <v>6.29</v>
      </c>
      <c r="K895">
        <v>1.2</v>
      </c>
      <c r="L895">
        <v>4</v>
      </c>
      <c r="M895" s="1" t="e">
        <f>#N/A</f>
        <v>#N/A</v>
      </c>
      <c r="N895">
        <v>666</v>
      </c>
      <c r="Q895" t="s">
        <v>150</v>
      </c>
    </row>
    <row r="896" spans="1:17" x14ac:dyDescent="0.35">
      <c r="A896">
        <v>895</v>
      </c>
      <c r="B896">
        <v>2024</v>
      </c>
      <c r="C896">
        <v>1</v>
      </c>
      <c r="D896" t="s">
        <v>36</v>
      </c>
      <c r="E896" t="s">
        <v>89</v>
      </c>
      <c r="F896" s="1">
        <v>78880</v>
      </c>
      <c r="G896" s="1">
        <v>189133</v>
      </c>
      <c r="H896">
        <v>356</v>
      </c>
      <c r="I896">
        <v>0.97</v>
      </c>
      <c r="J896">
        <v>6.29</v>
      </c>
      <c r="K896">
        <v>1.2</v>
      </c>
      <c r="L896">
        <v>7</v>
      </c>
      <c r="M896" s="1" t="e">
        <f>#N/A</f>
        <v>#N/A</v>
      </c>
      <c r="N896">
        <v>1122</v>
      </c>
      <c r="Q896" t="s">
        <v>150</v>
      </c>
    </row>
    <row r="897" spans="1:17" x14ac:dyDescent="0.35">
      <c r="A897">
        <v>896</v>
      </c>
      <c r="B897">
        <v>2024</v>
      </c>
      <c r="C897">
        <v>1</v>
      </c>
      <c r="D897" t="s">
        <v>35</v>
      </c>
      <c r="E897" t="s">
        <v>101</v>
      </c>
      <c r="F897" s="1">
        <v>80201</v>
      </c>
      <c r="G897" s="1">
        <v>207699</v>
      </c>
      <c r="H897">
        <v>77</v>
      </c>
      <c r="I897">
        <v>0.97</v>
      </c>
      <c r="J897">
        <v>6.29</v>
      </c>
      <c r="K897">
        <v>1.2</v>
      </c>
      <c r="L897">
        <v>9</v>
      </c>
      <c r="M897" s="1" t="e">
        <f>#N/A</f>
        <v>#N/A</v>
      </c>
      <c r="N897">
        <v>525</v>
      </c>
      <c r="Q897" t="s">
        <v>150</v>
      </c>
    </row>
    <row r="898" spans="1:17" x14ac:dyDescent="0.35">
      <c r="A898">
        <v>897</v>
      </c>
      <c r="B898">
        <v>2024</v>
      </c>
      <c r="C898">
        <v>1</v>
      </c>
      <c r="D898" t="s">
        <v>30</v>
      </c>
      <c r="E898" t="s">
        <v>99</v>
      </c>
      <c r="F898" s="1">
        <v>63132</v>
      </c>
      <c r="G898" s="1">
        <v>327267</v>
      </c>
      <c r="H898">
        <v>26</v>
      </c>
      <c r="I898">
        <v>0.97</v>
      </c>
      <c r="J898">
        <v>6.29</v>
      </c>
      <c r="K898">
        <v>1.2</v>
      </c>
      <c r="L898">
        <v>1</v>
      </c>
      <c r="M898" s="1" t="e">
        <f>#N/A</f>
        <v>#N/A</v>
      </c>
      <c r="N898">
        <v>267</v>
      </c>
      <c r="Q898" t="s">
        <v>150</v>
      </c>
    </row>
    <row r="899" spans="1:17" x14ac:dyDescent="0.35">
      <c r="A899">
        <v>898</v>
      </c>
      <c r="B899">
        <v>2024</v>
      </c>
      <c r="C899">
        <v>1</v>
      </c>
      <c r="D899" t="s">
        <v>30</v>
      </c>
      <c r="E899" t="s">
        <v>103</v>
      </c>
      <c r="F899" s="1">
        <v>91754</v>
      </c>
      <c r="G899" s="1">
        <v>207255</v>
      </c>
      <c r="H899">
        <v>170</v>
      </c>
      <c r="I899">
        <v>0.97</v>
      </c>
      <c r="J899">
        <v>6.29</v>
      </c>
      <c r="K899">
        <v>1.2</v>
      </c>
      <c r="L899">
        <v>1</v>
      </c>
      <c r="M899" s="1" t="e">
        <f>#N/A</f>
        <v>#N/A</v>
      </c>
      <c r="N899">
        <v>683</v>
      </c>
      <c r="Q899" t="s">
        <v>150</v>
      </c>
    </row>
    <row r="900" spans="1:17" x14ac:dyDescent="0.35">
      <c r="A900">
        <v>899</v>
      </c>
      <c r="B900">
        <v>2024</v>
      </c>
      <c r="C900">
        <v>1</v>
      </c>
      <c r="D900" t="s">
        <v>36</v>
      </c>
      <c r="E900" t="s">
        <v>100</v>
      </c>
      <c r="F900" s="1">
        <v>104101</v>
      </c>
      <c r="G900" s="1">
        <v>375893</v>
      </c>
      <c r="H900">
        <v>291</v>
      </c>
      <c r="I900">
        <v>0.97</v>
      </c>
      <c r="J900">
        <v>6.29</v>
      </c>
      <c r="K900">
        <v>1.2</v>
      </c>
      <c r="L900">
        <v>10</v>
      </c>
      <c r="M900" s="1" t="e">
        <f>#N/A</f>
        <v>#N/A</v>
      </c>
      <c r="N900">
        <v>727</v>
      </c>
      <c r="Q900" t="s">
        <v>150</v>
      </c>
    </row>
    <row r="901" spans="1:17" x14ac:dyDescent="0.35">
      <c r="A901">
        <v>900</v>
      </c>
      <c r="B901">
        <v>2024</v>
      </c>
      <c r="C901">
        <v>1</v>
      </c>
      <c r="D901" t="s">
        <v>14</v>
      </c>
      <c r="E901" t="s">
        <v>130</v>
      </c>
      <c r="F901" s="1">
        <v>94251</v>
      </c>
      <c r="G901" s="1">
        <v>327342</v>
      </c>
      <c r="H901">
        <v>34</v>
      </c>
      <c r="I901">
        <v>0.97</v>
      </c>
      <c r="J901">
        <v>6.29</v>
      </c>
      <c r="K901">
        <v>1.2</v>
      </c>
      <c r="L901">
        <v>5</v>
      </c>
      <c r="M901" s="1" t="e">
        <f>#N/A</f>
        <v>#N/A</v>
      </c>
      <c r="N901">
        <v>451</v>
      </c>
      <c r="Q901" t="s">
        <v>150</v>
      </c>
    </row>
    <row r="902" spans="1:17" x14ac:dyDescent="0.35">
      <c r="A902">
        <v>901</v>
      </c>
      <c r="B902">
        <v>2024</v>
      </c>
      <c r="C902">
        <v>1</v>
      </c>
      <c r="D902" t="s">
        <v>32</v>
      </c>
      <c r="E902" t="s">
        <v>146</v>
      </c>
      <c r="F902" s="1">
        <v>68367</v>
      </c>
      <c r="G902" s="1">
        <v>422050</v>
      </c>
      <c r="H902">
        <v>100</v>
      </c>
      <c r="I902">
        <v>0.97</v>
      </c>
      <c r="J902">
        <v>6.29</v>
      </c>
      <c r="K902">
        <v>1.2</v>
      </c>
      <c r="L902">
        <v>9</v>
      </c>
      <c r="M902" s="1" t="e">
        <f>#N/A</f>
        <v>#N/A</v>
      </c>
      <c r="N902">
        <v>576</v>
      </c>
      <c r="Q902" t="s">
        <v>150</v>
      </c>
    </row>
    <row r="903" spans="1:17" x14ac:dyDescent="0.35">
      <c r="A903">
        <v>902</v>
      </c>
      <c r="B903">
        <v>2024</v>
      </c>
      <c r="C903">
        <v>2</v>
      </c>
      <c r="D903" t="s">
        <v>30</v>
      </c>
      <c r="E903" t="s">
        <v>52</v>
      </c>
      <c r="F903" s="1">
        <v>77814</v>
      </c>
      <c r="G903" s="1">
        <v>454427</v>
      </c>
      <c r="H903">
        <v>99</v>
      </c>
      <c r="I903">
        <v>0.97</v>
      </c>
      <c r="J903">
        <v>6.29</v>
      </c>
      <c r="K903">
        <v>1.2</v>
      </c>
      <c r="L903">
        <v>7</v>
      </c>
      <c r="M903" s="1" t="e">
        <f>#N/A</f>
        <v>#N/A</v>
      </c>
      <c r="N903">
        <v>498</v>
      </c>
      <c r="Q903" t="s">
        <v>151</v>
      </c>
    </row>
    <row r="904" spans="1:17" x14ac:dyDescent="0.35">
      <c r="A904">
        <v>903</v>
      </c>
      <c r="B904">
        <v>2024</v>
      </c>
      <c r="C904">
        <v>2</v>
      </c>
      <c r="D904" t="s">
        <v>30</v>
      </c>
      <c r="E904" t="s">
        <v>54</v>
      </c>
      <c r="F904" s="1">
        <v>119431</v>
      </c>
      <c r="G904" s="1">
        <v>473502</v>
      </c>
      <c r="H904">
        <v>56</v>
      </c>
      <c r="I904">
        <v>0.97</v>
      </c>
      <c r="J904">
        <v>6.29</v>
      </c>
      <c r="K904">
        <v>1.2</v>
      </c>
      <c r="L904">
        <v>7</v>
      </c>
      <c r="M904" s="1" t="e">
        <f>#N/A</f>
        <v>#N/A</v>
      </c>
      <c r="N904">
        <v>433</v>
      </c>
      <c r="Q904" t="s">
        <v>151</v>
      </c>
    </row>
    <row r="905" spans="1:17" x14ac:dyDescent="0.35">
      <c r="A905">
        <v>904</v>
      </c>
      <c r="B905">
        <v>2024</v>
      </c>
      <c r="C905">
        <v>2</v>
      </c>
      <c r="D905" t="s">
        <v>25</v>
      </c>
      <c r="E905" t="s">
        <v>60</v>
      </c>
      <c r="F905" s="1">
        <v>102163</v>
      </c>
      <c r="G905" s="1">
        <v>163768</v>
      </c>
      <c r="H905">
        <v>146</v>
      </c>
      <c r="I905">
        <v>0.97</v>
      </c>
      <c r="J905">
        <v>6.29</v>
      </c>
      <c r="K905">
        <v>1.2</v>
      </c>
      <c r="L905">
        <v>2</v>
      </c>
      <c r="M905" s="1" t="e">
        <f>#N/A</f>
        <v>#N/A</v>
      </c>
      <c r="N905">
        <v>556</v>
      </c>
      <c r="Q905" t="s">
        <v>151</v>
      </c>
    </row>
    <row r="906" spans="1:17" x14ac:dyDescent="0.35">
      <c r="A906">
        <v>905</v>
      </c>
      <c r="B906">
        <v>2024</v>
      </c>
      <c r="C906">
        <v>2</v>
      </c>
      <c r="D906" t="s">
        <v>32</v>
      </c>
      <c r="E906" t="s">
        <v>72</v>
      </c>
      <c r="F906" s="1">
        <v>59846</v>
      </c>
      <c r="G906" s="1">
        <v>134523</v>
      </c>
      <c r="H906">
        <v>34</v>
      </c>
      <c r="I906">
        <v>0.97</v>
      </c>
      <c r="J906">
        <v>6.29</v>
      </c>
      <c r="K906">
        <v>1.2</v>
      </c>
      <c r="L906">
        <v>7</v>
      </c>
      <c r="M906" s="1" t="e">
        <f>#N/A</f>
        <v>#N/A</v>
      </c>
      <c r="N906">
        <v>341</v>
      </c>
      <c r="Q906" t="s">
        <v>151</v>
      </c>
    </row>
    <row r="907" spans="1:17" x14ac:dyDescent="0.35">
      <c r="A907">
        <v>906</v>
      </c>
      <c r="B907">
        <v>2024</v>
      </c>
      <c r="C907">
        <v>2</v>
      </c>
      <c r="D907" t="s">
        <v>35</v>
      </c>
      <c r="E907" t="s">
        <v>74</v>
      </c>
      <c r="F907" s="1">
        <v>86322</v>
      </c>
      <c r="G907" s="1">
        <v>349850</v>
      </c>
      <c r="H907">
        <v>342</v>
      </c>
      <c r="I907">
        <v>0.97</v>
      </c>
      <c r="J907">
        <v>6.29</v>
      </c>
      <c r="K907">
        <v>1.2</v>
      </c>
      <c r="L907">
        <v>7</v>
      </c>
      <c r="M907" s="1" t="e">
        <f>#N/A</f>
        <v>#N/A</v>
      </c>
      <c r="N907">
        <v>705</v>
      </c>
      <c r="Q907" t="s">
        <v>151</v>
      </c>
    </row>
    <row r="908" spans="1:17" x14ac:dyDescent="0.35">
      <c r="A908">
        <v>907</v>
      </c>
      <c r="B908">
        <v>2024</v>
      </c>
      <c r="C908">
        <v>2</v>
      </c>
      <c r="D908" t="s">
        <v>36</v>
      </c>
      <c r="E908" t="s">
        <v>83</v>
      </c>
      <c r="F908" s="1">
        <v>39567</v>
      </c>
      <c r="G908" s="1">
        <v>223979</v>
      </c>
      <c r="H908">
        <v>47</v>
      </c>
      <c r="I908">
        <v>0.97</v>
      </c>
      <c r="J908">
        <v>6.29</v>
      </c>
      <c r="K908">
        <v>1.2</v>
      </c>
      <c r="L908">
        <v>9</v>
      </c>
      <c r="M908" s="1" t="e">
        <f>#N/A</f>
        <v>#N/A</v>
      </c>
      <c r="N908">
        <v>123</v>
      </c>
      <c r="Q908" t="s">
        <v>151</v>
      </c>
    </row>
    <row r="909" spans="1:17" x14ac:dyDescent="0.35">
      <c r="A909">
        <v>908</v>
      </c>
      <c r="B909">
        <v>2024</v>
      </c>
      <c r="C909">
        <v>2</v>
      </c>
      <c r="D909" t="s">
        <v>25</v>
      </c>
      <c r="E909" t="s">
        <v>106</v>
      </c>
      <c r="F909" s="1">
        <v>117203</v>
      </c>
      <c r="G909" s="1">
        <v>116381</v>
      </c>
      <c r="H909">
        <v>347</v>
      </c>
      <c r="I909">
        <v>0.97</v>
      </c>
      <c r="J909">
        <v>6.29</v>
      </c>
      <c r="K909">
        <v>1.2</v>
      </c>
      <c r="L909">
        <v>6</v>
      </c>
      <c r="M909" s="1" t="e">
        <f>#N/A</f>
        <v>#N/A</v>
      </c>
      <c r="N909">
        <v>926</v>
      </c>
      <c r="Q909" t="s">
        <v>151</v>
      </c>
    </row>
    <row r="910" spans="1:17" x14ac:dyDescent="0.35">
      <c r="A910">
        <v>909</v>
      </c>
      <c r="B910">
        <v>2024</v>
      </c>
      <c r="C910">
        <v>2</v>
      </c>
      <c r="D910" t="s">
        <v>37</v>
      </c>
      <c r="E910" t="s">
        <v>145</v>
      </c>
      <c r="F910" s="1">
        <v>84630</v>
      </c>
      <c r="G910" s="1">
        <v>448167</v>
      </c>
      <c r="H910">
        <v>308</v>
      </c>
      <c r="I910">
        <v>0.97</v>
      </c>
      <c r="J910">
        <v>6.29</v>
      </c>
      <c r="K910">
        <v>1.2</v>
      </c>
      <c r="L910">
        <v>9</v>
      </c>
      <c r="M910" s="1" t="e">
        <f>#N/A</f>
        <v>#N/A</v>
      </c>
      <c r="N910">
        <v>862</v>
      </c>
      <c r="Q910" t="s">
        <v>151</v>
      </c>
    </row>
    <row r="911" spans="1:17" x14ac:dyDescent="0.35">
      <c r="A911">
        <v>910</v>
      </c>
      <c r="B911">
        <v>2024</v>
      </c>
      <c r="C911">
        <v>2</v>
      </c>
      <c r="D911" t="s">
        <v>21</v>
      </c>
      <c r="E911" t="s">
        <v>151</v>
      </c>
      <c r="F911" s="1">
        <v>91207</v>
      </c>
      <c r="G911" s="1">
        <v>163012</v>
      </c>
      <c r="H911">
        <v>353</v>
      </c>
      <c r="I911">
        <v>0.97</v>
      </c>
      <c r="J911">
        <v>6.29</v>
      </c>
      <c r="K911">
        <v>1.2</v>
      </c>
      <c r="L911">
        <v>4</v>
      </c>
      <c r="M911" s="1" t="e">
        <f>#N/A</f>
        <v>#N/A</v>
      </c>
      <c r="N911">
        <v>821</v>
      </c>
      <c r="Q911" t="s">
        <v>151</v>
      </c>
    </row>
    <row r="912" spans="1:17" x14ac:dyDescent="0.35">
      <c r="A912">
        <v>911</v>
      </c>
      <c r="B912">
        <v>2024</v>
      </c>
      <c r="C912">
        <v>2</v>
      </c>
      <c r="D912" t="s">
        <v>35</v>
      </c>
      <c r="E912" t="s">
        <v>161</v>
      </c>
      <c r="F912" s="1">
        <v>46695</v>
      </c>
      <c r="G912" s="1">
        <v>438333</v>
      </c>
      <c r="H912">
        <v>139</v>
      </c>
      <c r="I912">
        <v>0.97</v>
      </c>
      <c r="J912">
        <v>6.29</v>
      </c>
      <c r="K912">
        <v>1.2</v>
      </c>
      <c r="L912">
        <v>10</v>
      </c>
      <c r="M912" s="1" t="e">
        <f>#N/A</f>
        <v>#N/A</v>
      </c>
      <c r="N912">
        <v>314</v>
      </c>
      <c r="Q912" t="s">
        <v>152</v>
      </c>
    </row>
    <row r="913" spans="1:17" x14ac:dyDescent="0.35">
      <c r="A913">
        <v>912</v>
      </c>
      <c r="B913">
        <v>2024</v>
      </c>
      <c r="C913">
        <v>3</v>
      </c>
      <c r="D913" t="s">
        <v>28</v>
      </c>
      <c r="E913" t="s">
        <v>47</v>
      </c>
      <c r="F913" s="1">
        <v>101972</v>
      </c>
      <c r="G913" s="1">
        <v>445460</v>
      </c>
      <c r="H913">
        <v>350</v>
      </c>
      <c r="I913">
        <v>0.97</v>
      </c>
      <c r="J913">
        <v>6.29</v>
      </c>
      <c r="K913">
        <v>1.2</v>
      </c>
      <c r="L913">
        <v>5</v>
      </c>
      <c r="M913" s="1" t="e">
        <f>#N/A</f>
        <v>#N/A</v>
      </c>
      <c r="N913">
        <v>780</v>
      </c>
      <c r="Q913" t="s">
        <v>152</v>
      </c>
    </row>
    <row r="914" spans="1:17" x14ac:dyDescent="0.35">
      <c r="A914">
        <v>913</v>
      </c>
      <c r="B914">
        <v>2024</v>
      </c>
      <c r="C914">
        <v>3</v>
      </c>
      <c r="D914" t="s">
        <v>35</v>
      </c>
      <c r="E914" t="s">
        <v>46</v>
      </c>
      <c r="F914" s="1">
        <v>38729</v>
      </c>
      <c r="G914" s="1">
        <v>271439</v>
      </c>
      <c r="H914">
        <v>84</v>
      </c>
      <c r="I914">
        <v>0.97</v>
      </c>
      <c r="J914">
        <v>6.29</v>
      </c>
      <c r="K914">
        <v>1.2</v>
      </c>
      <c r="L914">
        <v>3</v>
      </c>
      <c r="M914" s="1" t="e">
        <f>#N/A</f>
        <v>#N/A</v>
      </c>
      <c r="N914">
        <v>257</v>
      </c>
      <c r="Q914" t="s">
        <v>152</v>
      </c>
    </row>
    <row r="915" spans="1:17" x14ac:dyDescent="0.35">
      <c r="A915">
        <v>914</v>
      </c>
      <c r="B915">
        <v>2024</v>
      </c>
      <c r="C915">
        <v>3</v>
      </c>
      <c r="D915" t="s">
        <v>14</v>
      </c>
      <c r="E915" t="s">
        <v>54</v>
      </c>
      <c r="F915" s="1">
        <v>105610</v>
      </c>
      <c r="G915" s="1">
        <v>230388</v>
      </c>
      <c r="H915">
        <v>362</v>
      </c>
      <c r="I915">
        <v>0.97</v>
      </c>
      <c r="J915">
        <v>6.29</v>
      </c>
      <c r="K915">
        <v>1.2</v>
      </c>
      <c r="L915">
        <v>10</v>
      </c>
      <c r="M915" s="1" t="e">
        <f>#N/A</f>
        <v>#N/A</v>
      </c>
      <c r="N915">
        <v>1022</v>
      </c>
      <c r="Q915" t="s">
        <v>152</v>
      </c>
    </row>
    <row r="916" spans="1:17" x14ac:dyDescent="0.35">
      <c r="A916">
        <v>915</v>
      </c>
      <c r="B916">
        <v>2024</v>
      </c>
      <c r="C916">
        <v>3</v>
      </c>
      <c r="D916" t="s">
        <v>38</v>
      </c>
      <c r="E916" t="s">
        <v>56</v>
      </c>
      <c r="F916" s="1">
        <v>36515</v>
      </c>
      <c r="G916" s="1">
        <v>262369</v>
      </c>
      <c r="H916">
        <v>48</v>
      </c>
      <c r="I916">
        <v>0.97</v>
      </c>
      <c r="J916">
        <v>6.29</v>
      </c>
      <c r="K916">
        <v>1.2</v>
      </c>
      <c r="L916">
        <v>2</v>
      </c>
      <c r="M916" s="1" t="e">
        <f>#N/A</f>
        <v>#N/A</v>
      </c>
      <c r="N916">
        <v>474</v>
      </c>
      <c r="Q916" t="s">
        <v>152</v>
      </c>
    </row>
    <row r="917" spans="1:17" x14ac:dyDescent="0.35">
      <c r="A917">
        <v>916</v>
      </c>
      <c r="B917">
        <v>2024</v>
      </c>
      <c r="C917">
        <v>3</v>
      </c>
      <c r="D917" t="s">
        <v>36</v>
      </c>
      <c r="E917" t="s">
        <v>75</v>
      </c>
      <c r="F917" s="1">
        <v>67363</v>
      </c>
      <c r="G917" s="1">
        <v>53880</v>
      </c>
      <c r="H917">
        <v>269</v>
      </c>
      <c r="I917">
        <v>0.97</v>
      </c>
      <c r="J917">
        <v>6.29</v>
      </c>
      <c r="K917">
        <v>1.2</v>
      </c>
      <c r="L917">
        <v>7</v>
      </c>
      <c r="M917" s="1" t="e">
        <f>#N/A</f>
        <v>#N/A</v>
      </c>
      <c r="N917">
        <v>607</v>
      </c>
      <c r="Q917" t="s">
        <v>152</v>
      </c>
    </row>
    <row r="918" spans="1:17" x14ac:dyDescent="0.35">
      <c r="A918">
        <v>917</v>
      </c>
      <c r="B918">
        <v>2024</v>
      </c>
      <c r="C918">
        <v>3</v>
      </c>
      <c r="D918" t="s">
        <v>36</v>
      </c>
      <c r="E918" t="s">
        <v>113</v>
      </c>
      <c r="F918" s="1">
        <v>59594</v>
      </c>
      <c r="G918" s="1">
        <v>456965</v>
      </c>
      <c r="H918">
        <v>82</v>
      </c>
      <c r="I918">
        <v>0.97</v>
      </c>
      <c r="J918">
        <v>6.29</v>
      </c>
      <c r="K918">
        <v>1.2</v>
      </c>
      <c r="L918">
        <v>1</v>
      </c>
      <c r="M918" s="1" t="e">
        <f>#N/A</f>
        <v>#N/A</v>
      </c>
      <c r="N918">
        <v>288</v>
      </c>
      <c r="Q918" t="s">
        <v>152</v>
      </c>
    </row>
    <row r="919" spans="1:17" x14ac:dyDescent="0.35">
      <c r="A919">
        <v>918</v>
      </c>
      <c r="B919">
        <v>2024</v>
      </c>
      <c r="C919">
        <v>3</v>
      </c>
      <c r="D919" t="s">
        <v>35</v>
      </c>
      <c r="E919" t="s">
        <v>114</v>
      </c>
      <c r="F919" s="1">
        <v>58283</v>
      </c>
      <c r="G919" s="1">
        <v>396479</v>
      </c>
      <c r="H919">
        <v>135</v>
      </c>
      <c r="I919">
        <v>0.97</v>
      </c>
      <c r="J919">
        <v>6.29</v>
      </c>
      <c r="K919">
        <v>1.2</v>
      </c>
      <c r="L919">
        <v>6</v>
      </c>
      <c r="M919" s="1" t="e">
        <f>#N/A</f>
        <v>#N/A</v>
      </c>
      <c r="N919">
        <v>355</v>
      </c>
      <c r="Q919" t="s">
        <v>152</v>
      </c>
    </row>
    <row r="920" spans="1:17" x14ac:dyDescent="0.35">
      <c r="A920">
        <v>919</v>
      </c>
      <c r="B920">
        <v>2024</v>
      </c>
      <c r="C920">
        <v>3</v>
      </c>
      <c r="D920" t="s">
        <v>35</v>
      </c>
      <c r="E920" t="s">
        <v>107</v>
      </c>
      <c r="F920" s="1">
        <v>113282</v>
      </c>
      <c r="G920" s="1">
        <v>363732</v>
      </c>
      <c r="H920">
        <v>393</v>
      </c>
      <c r="I920">
        <v>0.97</v>
      </c>
      <c r="J920">
        <v>6.29</v>
      </c>
      <c r="K920">
        <v>1.2</v>
      </c>
      <c r="L920">
        <v>1</v>
      </c>
      <c r="M920" s="1" t="e">
        <f>#N/A</f>
        <v>#N/A</v>
      </c>
      <c r="N920">
        <v>1129</v>
      </c>
      <c r="Q920" t="s">
        <v>152</v>
      </c>
    </row>
    <row r="921" spans="1:17" x14ac:dyDescent="0.35">
      <c r="A921">
        <v>920</v>
      </c>
      <c r="B921">
        <v>2024</v>
      </c>
      <c r="C921">
        <v>3</v>
      </c>
      <c r="D921" t="s">
        <v>36</v>
      </c>
      <c r="E921" t="s">
        <v>124</v>
      </c>
      <c r="F921" s="1">
        <v>79306</v>
      </c>
      <c r="G921" s="1">
        <v>317956</v>
      </c>
      <c r="H921">
        <v>220</v>
      </c>
      <c r="I921">
        <v>0.97</v>
      </c>
      <c r="J921">
        <v>6.29</v>
      </c>
      <c r="K921">
        <v>1.2</v>
      </c>
      <c r="L921">
        <v>9</v>
      </c>
      <c r="M921" s="1" t="e">
        <f>#N/A</f>
        <v>#N/A</v>
      </c>
      <c r="N921">
        <v>525</v>
      </c>
      <c r="Q921" t="s">
        <v>153</v>
      </c>
    </row>
    <row r="922" spans="1:17" x14ac:dyDescent="0.35">
      <c r="A922">
        <v>921</v>
      </c>
      <c r="B922">
        <v>2024</v>
      </c>
      <c r="C922">
        <v>3</v>
      </c>
      <c r="D922" t="s">
        <v>36</v>
      </c>
      <c r="E922" t="s">
        <v>145</v>
      </c>
      <c r="F922" s="1">
        <v>100431</v>
      </c>
      <c r="G922" s="1">
        <v>225993</v>
      </c>
      <c r="H922">
        <v>255</v>
      </c>
      <c r="I922">
        <v>0.97</v>
      </c>
      <c r="J922">
        <v>6.29</v>
      </c>
      <c r="K922">
        <v>1.2</v>
      </c>
      <c r="L922">
        <v>2</v>
      </c>
      <c r="M922" s="1" t="e">
        <f>#N/A</f>
        <v>#N/A</v>
      </c>
      <c r="N922">
        <v>646</v>
      </c>
      <c r="Q922" t="s">
        <v>153</v>
      </c>
    </row>
    <row r="923" spans="1:17" x14ac:dyDescent="0.35">
      <c r="A923">
        <v>922</v>
      </c>
      <c r="B923">
        <v>2024</v>
      </c>
      <c r="C923">
        <v>4</v>
      </c>
      <c r="D923" t="s">
        <v>35</v>
      </c>
      <c r="E923" t="s">
        <v>62</v>
      </c>
      <c r="F923" s="1">
        <v>49175</v>
      </c>
      <c r="G923" s="1">
        <v>304817</v>
      </c>
      <c r="H923">
        <v>264</v>
      </c>
      <c r="I923">
        <v>0.97</v>
      </c>
      <c r="J923">
        <v>6.29</v>
      </c>
      <c r="K923">
        <v>1.2</v>
      </c>
      <c r="L923">
        <v>6</v>
      </c>
      <c r="M923" s="1" t="e">
        <f>#N/A</f>
        <v>#N/A</v>
      </c>
      <c r="N923">
        <v>918</v>
      </c>
      <c r="Q923" t="s">
        <v>153</v>
      </c>
    </row>
    <row r="924" spans="1:17" x14ac:dyDescent="0.35">
      <c r="A924">
        <v>923</v>
      </c>
      <c r="B924">
        <v>2024</v>
      </c>
      <c r="C924">
        <v>4</v>
      </c>
      <c r="D924" t="s">
        <v>35</v>
      </c>
      <c r="E924" t="s">
        <v>71</v>
      </c>
      <c r="F924" s="1">
        <v>39837</v>
      </c>
      <c r="G924" s="1">
        <v>233500</v>
      </c>
      <c r="H924">
        <v>48</v>
      </c>
      <c r="I924">
        <v>0.97</v>
      </c>
      <c r="J924">
        <v>6.29</v>
      </c>
      <c r="K924">
        <v>1.2</v>
      </c>
      <c r="L924">
        <v>6</v>
      </c>
      <c r="M924" s="1" t="e">
        <f>#N/A</f>
        <v>#N/A</v>
      </c>
      <c r="N924">
        <v>429</v>
      </c>
      <c r="Q924" t="s">
        <v>153</v>
      </c>
    </row>
    <row r="925" spans="1:17" x14ac:dyDescent="0.35">
      <c r="A925">
        <v>924</v>
      </c>
      <c r="B925">
        <v>2024</v>
      </c>
      <c r="C925">
        <v>4</v>
      </c>
      <c r="D925" t="s">
        <v>38</v>
      </c>
      <c r="E925" t="s">
        <v>77</v>
      </c>
      <c r="F925" s="1">
        <v>102087</v>
      </c>
      <c r="G925" s="1">
        <v>285943</v>
      </c>
      <c r="H925">
        <v>94</v>
      </c>
      <c r="I925">
        <v>0.97</v>
      </c>
      <c r="J925">
        <v>6.29</v>
      </c>
      <c r="K925">
        <v>1.2</v>
      </c>
      <c r="L925">
        <v>9</v>
      </c>
      <c r="M925" s="1" t="e">
        <f>#N/A</f>
        <v>#N/A</v>
      </c>
      <c r="N925">
        <v>256</v>
      </c>
      <c r="Q925" t="s">
        <v>153</v>
      </c>
    </row>
    <row r="926" spans="1:17" x14ac:dyDescent="0.35">
      <c r="A926">
        <v>925</v>
      </c>
      <c r="B926">
        <v>2024</v>
      </c>
      <c r="C926">
        <v>4</v>
      </c>
      <c r="D926" t="s">
        <v>32</v>
      </c>
      <c r="E926" t="s">
        <v>115</v>
      </c>
      <c r="F926" s="1">
        <v>98143</v>
      </c>
      <c r="G926" s="1">
        <v>204062</v>
      </c>
      <c r="H926">
        <v>86</v>
      </c>
      <c r="I926">
        <v>0.97</v>
      </c>
      <c r="J926">
        <v>6.29</v>
      </c>
      <c r="K926">
        <v>1.2</v>
      </c>
      <c r="L926">
        <v>8</v>
      </c>
      <c r="M926" s="1" t="e">
        <f>#N/A</f>
        <v>#N/A</v>
      </c>
      <c r="N926">
        <v>468</v>
      </c>
      <c r="Q926" t="s">
        <v>153</v>
      </c>
    </row>
    <row r="927" spans="1:17" x14ac:dyDescent="0.35">
      <c r="A927">
        <v>926</v>
      </c>
      <c r="B927">
        <v>2024</v>
      </c>
      <c r="C927">
        <v>4</v>
      </c>
      <c r="D927" t="s">
        <v>25</v>
      </c>
      <c r="E927" t="s">
        <v>126</v>
      </c>
      <c r="F927" s="1">
        <v>44873</v>
      </c>
      <c r="G927" s="1">
        <v>444051</v>
      </c>
      <c r="H927">
        <v>190</v>
      </c>
      <c r="I927">
        <v>0.97</v>
      </c>
      <c r="J927">
        <v>6.29</v>
      </c>
      <c r="K927">
        <v>1.2</v>
      </c>
      <c r="L927">
        <v>3</v>
      </c>
      <c r="M927" s="1" t="e">
        <f>#N/A</f>
        <v>#N/A</v>
      </c>
      <c r="N927">
        <v>805</v>
      </c>
      <c r="Q927" t="s">
        <v>153</v>
      </c>
    </row>
    <row r="928" spans="1:17" x14ac:dyDescent="0.35">
      <c r="A928">
        <v>927</v>
      </c>
      <c r="B928">
        <v>2024</v>
      </c>
      <c r="C928">
        <v>4</v>
      </c>
      <c r="D928" t="s">
        <v>32</v>
      </c>
      <c r="E928" t="s">
        <v>134</v>
      </c>
      <c r="F928" s="1">
        <v>112242</v>
      </c>
      <c r="G928" s="1">
        <v>490041</v>
      </c>
      <c r="H928">
        <v>340</v>
      </c>
      <c r="I928">
        <v>0.97</v>
      </c>
      <c r="J928">
        <v>6.29</v>
      </c>
      <c r="K928">
        <v>1.2</v>
      </c>
      <c r="L928">
        <v>9</v>
      </c>
      <c r="M928" s="1" t="e">
        <f>#N/A</f>
        <v>#N/A</v>
      </c>
      <c r="N928">
        <v>894</v>
      </c>
      <c r="Q928" t="s">
        <v>153</v>
      </c>
    </row>
    <row r="929" spans="1:17" x14ac:dyDescent="0.35">
      <c r="A929">
        <v>928</v>
      </c>
      <c r="B929">
        <v>2024</v>
      </c>
      <c r="C929">
        <v>4</v>
      </c>
      <c r="D929" t="s">
        <v>30</v>
      </c>
      <c r="E929" t="s">
        <v>136</v>
      </c>
      <c r="F929" s="1">
        <v>50386</v>
      </c>
      <c r="G929" s="1">
        <v>200953</v>
      </c>
      <c r="H929">
        <v>201</v>
      </c>
      <c r="I929">
        <v>0.97</v>
      </c>
      <c r="J929">
        <v>6.29</v>
      </c>
      <c r="K929">
        <v>1.2</v>
      </c>
      <c r="L929">
        <v>8</v>
      </c>
      <c r="M929" s="1" t="e">
        <f>#N/A</f>
        <v>#N/A</v>
      </c>
      <c r="N929">
        <v>815</v>
      </c>
      <c r="Q929" t="s">
        <v>153</v>
      </c>
    </row>
    <row r="930" spans="1:17" x14ac:dyDescent="0.35">
      <c r="A930">
        <v>929</v>
      </c>
      <c r="B930">
        <v>2024</v>
      </c>
      <c r="C930">
        <v>4</v>
      </c>
      <c r="D930" t="s">
        <v>36</v>
      </c>
      <c r="E930" t="s">
        <v>132</v>
      </c>
      <c r="F930" s="1">
        <v>63610</v>
      </c>
      <c r="G930" s="1">
        <v>430214</v>
      </c>
      <c r="H930">
        <v>320</v>
      </c>
      <c r="I930">
        <v>0.97</v>
      </c>
      <c r="J930">
        <v>6.29</v>
      </c>
      <c r="K930">
        <v>1.2</v>
      </c>
      <c r="L930">
        <v>4</v>
      </c>
      <c r="M930" s="1" t="e">
        <f>#N/A</f>
        <v>#N/A</v>
      </c>
      <c r="N930">
        <v>1086</v>
      </c>
      <c r="Q930" t="s">
        <v>153</v>
      </c>
    </row>
    <row r="931" spans="1:17" x14ac:dyDescent="0.35">
      <c r="A931">
        <v>930</v>
      </c>
      <c r="B931">
        <v>2024</v>
      </c>
      <c r="C931">
        <v>4</v>
      </c>
      <c r="D931" t="s">
        <v>21</v>
      </c>
      <c r="E931" t="s">
        <v>147</v>
      </c>
      <c r="F931" s="1">
        <v>69924</v>
      </c>
      <c r="G931" s="1">
        <v>395932</v>
      </c>
      <c r="H931">
        <v>205</v>
      </c>
      <c r="I931">
        <v>0.97</v>
      </c>
      <c r="J931">
        <v>6.29</v>
      </c>
      <c r="K931">
        <v>1.2</v>
      </c>
      <c r="L931">
        <v>9</v>
      </c>
      <c r="M931" s="1" t="e">
        <f>#N/A</f>
        <v>#N/A</v>
      </c>
      <c r="N931">
        <v>667</v>
      </c>
      <c r="Q931" t="s">
        <v>153</v>
      </c>
    </row>
    <row r="932" spans="1:17" x14ac:dyDescent="0.35">
      <c r="A932">
        <v>931</v>
      </c>
      <c r="B932">
        <v>2024</v>
      </c>
      <c r="C932">
        <v>5</v>
      </c>
      <c r="D932" t="s">
        <v>28</v>
      </c>
      <c r="E932" t="s">
        <v>51</v>
      </c>
      <c r="F932" s="1">
        <v>48331</v>
      </c>
      <c r="G932" s="1">
        <v>75739</v>
      </c>
      <c r="H932">
        <v>56</v>
      </c>
      <c r="I932">
        <v>0.97</v>
      </c>
      <c r="J932">
        <v>6.29</v>
      </c>
      <c r="K932">
        <v>1.2</v>
      </c>
      <c r="L932">
        <v>10</v>
      </c>
      <c r="M932" s="1" t="e">
        <f>#N/A</f>
        <v>#N/A</v>
      </c>
      <c r="N932">
        <v>107</v>
      </c>
      <c r="Q932" t="e">
        <v>#N/A</v>
      </c>
    </row>
    <row r="933" spans="1:17" x14ac:dyDescent="0.35">
      <c r="A933">
        <v>932</v>
      </c>
      <c r="B933">
        <v>2024</v>
      </c>
      <c r="C933">
        <v>5</v>
      </c>
      <c r="D933" t="s">
        <v>32</v>
      </c>
      <c r="E933" t="s">
        <v>96</v>
      </c>
      <c r="F933" s="1">
        <v>56292</v>
      </c>
      <c r="G933" s="1">
        <v>143109</v>
      </c>
      <c r="H933">
        <v>371</v>
      </c>
      <c r="I933">
        <v>0.97</v>
      </c>
      <c r="J933">
        <v>6.29</v>
      </c>
      <c r="K933">
        <v>1.2</v>
      </c>
      <c r="L933">
        <v>3</v>
      </c>
      <c r="M933" s="1" t="e">
        <f>#N/A</f>
        <v>#N/A</v>
      </c>
      <c r="N933">
        <v>931</v>
      </c>
      <c r="Q933" t="e">
        <v>#N/A</v>
      </c>
    </row>
    <row r="934" spans="1:17" x14ac:dyDescent="0.35">
      <c r="A934">
        <v>933</v>
      </c>
      <c r="B934">
        <v>2024</v>
      </c>
      <c r="C934">
        <v>5</v>
      </c>
      <c r="D934" t="s">
        <v>14</v>
      </c>
      <c r="E934" t="s">
        <v>96</v>
      </c>
      <c r="F934" s="1">
        <v>86628</v>
      </c>
      <c r="G934" s="1">
        <v>53681</v>
      </c>
      <c r="H934">
        <v>320</v>
      </c>
      <c r="I934">
        <v>0.97</v>
      </c>
      <c r="J934">
        <v>6.29</v>
      </c>
      <c r="K934">
        <v>1.2</v>
      </c>
      <c r="L934">
        <v>3</v>
      </c>
      <c r="M934" s="1" t="e">
        <f>#N/A</f>
        <v>#N/A</v>
      </c>
      <c r="N934">
        <v>638</v>
      </c>
      <c r="Q934" t="e">
        <v>#N/A</v>
      </c>
    </row>
    <row r="935" spans="1:17" x14ac:dyDescent="0.35">
      <c r="A935">
        <v>934</v>
      </c>
      <c r="B935">
        <v>2024</v>
      </c>
      <c r="C935">
        <v>5</v>
      </c>
      <c r="D935" t="s">
        <v>36</v>
      </c>
      <c r="E935" t="s">
        <v>103</v>
      </c>
      <c r="F935" s="1">
        <v>79130</v>
      </c>
      <c r="G935" s="1">
        <v>357124</v>
      </c>
      <c r="H935">
        <v>142</v>
      </c>
      <c r="I935">
        <v>0.97</v>
      </c>
      <c r="J935">
        <v>6.29</v>
      </c>
      <c r="K935">
        <v>1.2</v>
      </c>
      <c r="L935">
        <v>6</v>
      </c>
      <c r="M935" s="1" t="e">
        <f>#N/A</f>
        <v>#N/A</v>
      </c>
      <c r="N935">
        <v>348</v>
      </c>
      <c r="Q935" t="e">
        <v>#N/A</v>
      </c>
    </row>
    <row r="936" spans="1:17" x14ac:dyDescent="0.35">
      <c r="A936">
        <v>935</v>
      </c>
      <c r="B936">
        <v>2024</v>
      </c>
      <c r="C936">
        <v>5</v>
      </c>
      <c r="D936" t="s">
        <v>38</v>
      </c>
      <c r="E936" t="s">
        <v>110</v>
      </c>
      <c r="F936" s="1">
        <v>49997</v>
      </c>
      <c r="G936" s="1">
        <v>400036</v>
      </c>
      <c r="H936">
        <v>146</v>
      </c>
      <c r="I936">
        <v>0.97</v>
      </c>
      <c r="J936">
        <v>6.29</v>
      </c>
      <c r="K936">
        <v>1.2</v>
      </c>
      <c r="L936">
        <v>1</v>
      </c>
      <c r="M936" s="1" t="e">
        <f>#N/A</f>
        <v>#N/A</v>
      </c>
      <c r="N936">
        <v>465</v>
      </c>
      <c r="Q936" t="e">
        <v>#N/A</v>
      </c>
    </row>
    <row r="937" spans="1:17" x14ac:dyDescent="0.35">
      <c r="A937">
        <v>936</v>
      </c>
      <c r="B937">
        <v>2024</v>
      </c>
      <c r="C937">
        <v>5</v>
      </c>
      <c r="D937" t="s">
        <v>38</v>
      </c>
      <c r="E937" t="s">
        <v>104</v>
      </c>
      <c r="F937" s="1">
        <v>35178</v>
      </c>
      <c r="G937" s="1">
        <v>196800</v>
      </c>
      <c r="H937">
        <v>238</v>
      </c>
      <c r="I937">
        <v>0.97</v>
      </c>
      <c r="J937">
        <v>6.29</v>
      </c>
      <c r="K937">
        <v>1.2</v>
      </c>
      <c r="L937">
        <v>10</v>
      </c>
      <c r="M937" s="1" t="e">
        <f>#N/A</f>
        <v>#N/A</v>
      </c>
      <c r="N937">
        <v>805</v>
      </c>
      <c r="Q937" t="e">
        <v>#N/A</v>
      </c>
    </row>
    <row r="938" spans="1:17" x14ac:dyDescent="0.35">
      <c r="A938">
        <v>937</v>
      </c>
      <c r="B938">
        <v>2024</v>
      </c>
      <c r="C938">
        <v>5</v>
      </c>
      <c r="D938" t="s">
        <v>14</v>
      </c>
      <c r="E938" t="s">
        <v>124</v>
      </c>
      <c r="F938" s="1">
        <v>37962</v>
      </c>
      <c r="G938" s="1">
        <v>105934</v>
      </c>
      <c r="H938">
        <v>397</v>
      </c>
      <c r="I938">
        <v>0.97</v>
      </c>
      <c r="J938">
        <v>6.29</v>
      </c>
      <c r="K938">
        <v>1.2</v>
      </c>
      <c r="L938">
        <v>8</v>
      </c>
      <c r="M938" s="1" t="e">
        <f>#N/A</f>
        <v>#N/A</v>
      </c>
      <c r="N938">
        <v>893</v>
      </c>
      <c r="Q938" t="e">
        <v>#N/A</v>
      </c>
    </row>
    <row r="939" spans="1:17" x14ac:dyDescent="0.35">
      <c r="A939">
        <v>938</v>
      </c>
      <c r="B939">
        <v>2024</v>
      </c>
      <c r="C939">
        <v>5</v>
      </c>
      <c r="D939" t="s">
        <v>37</v>
      </c>
      <c r="E939" t="s">
        <v>116</v>
      </c>
      <c r="F939" s="1">
        <v>90192</v>
      </c>
      <c r="G939" s="1">
        <v>260047</v>
      </c>
      <c r="H939">
        <v>287</v>
      </c>
      <c r="I939">
        <v>0.97</v>
      </c>
      <c r="J939">
        <v>6.29</v>
      </c>
      <c r="K939">
        <v>1.2</v>
      </c>
      <c r="L939">
        <v>9</v>
      </c>
      <c r="M939" s="1" t="e">
        <f>#N/A</f>
        <v>#N/A</v>
      </c>
      <c r="N939">
        <v>784</v>
      </c>
      <c r="Q939" t="e">
        <v>#N/A</v>
      </c>
    </row>
    <row r="940" spans="1:17" x14ac:dyDescent="0.35">
      <c r="A940">
        <v>939</v>
      </c>
      <c r="B940">
        <v>2024</v>
      </c>
      <c r="C940">
        <v>5</v>
      </c>
      <c r="D940" t="s">
        <v>25</v>
      </c>
      <c r="E940" t="s">
        <v>135</v>
      </c>
      <c r="F940" s="1">
        <v>63022</v>
      </c>
      <c r="G940" s="1">
        <v>90633</v>
      </c>
      <c r="H940">
        <v>382</v>
      </c>
      <c r="I940">
        <v>0.97</v>
      </c>
      <c r="J940">
        <v>6.29</v>
      </c>
      <c r="K940">
        <v>1.2</v>
      </c>
      <c r="L940">
        <v>3</v>
      </c>
      <c r="M940" s="1" t="e">
        <f>#N/A</f>
        <v>#N/A</v>
      </c>
      <c r="N940">
        <v>935</v>
      </c>
      <c r="Q940" t="e">
        <v>#N/A</v>
      </c>
    </row>
    <row r="941" spans="1:17" x14ac:dyDescent="0.35">
      <c r="A941">
        <v>940</v>
      </c>
      <c r="B941">
        <v>2024</v>
      </c>
      <c r="C941">
        <v>5</v>
      </c>
      <c r="D941" t="s">
        <v>38</v>
      </c>
      <c r="E941" t="s">
        <v>133</v>
      </c>
      <c r="F941" s="1">
        <v>88364</v>
      </c>
      <c r="G941" s="1">
        <v>311176</v>
      </c>
      <c r="H941">
        <v>132</v>
      </c>
      <c r="I941">
        <v>0.97</v>
      </c>
      <c r="J941">
        <v>6.29</v>
      </c>
      <c r="K941">
        <v>1.2</v>
      </c>
      <c r="L941">
        <v>3</v>
      </c>
      <c r="M941" s="1" t="e">
        <f>#N/A</f>
        <v>#N/A</v>
      </c>
      <c r="N941">
        <v>411</v>
      </c>
      <c r="Q941" t="e">
        <v>#N/A</v>
      </c>
    </row>
    <row r="942" spans="1:17" x14ac:dyDescent="0.35">
      <c r="A942">
        <v>941</v>
      </c>
      <c r="B942">
        <v>2024</v>
      </c>
      <c r="C942">
        <v>5</v>
      </c>
      <c r="D942" t="s">
        <v>32</v>
      </c>
      <c r="E942" t="s">
        <v>152</v>
      </c>
      <c r="F942" s="1">
        <v>106232</v>
      </c>
      <c r="G942" s="1">
        <v>318591</v>
      </c>
      <c r="H942">
        <v>391</v>
      </c>
      <c r="I942">
        <v>0.97</v>
      </c>
      <c r="J942">
        <v>6.29</v>
      </c>
      <c r="K942">
        <v>1.2</v>
      </c>
      <c r="L942">
        <v>3</v>
      </c>
      <c r="M942" s="1" t="e">
        <f>#N/A</f>
        <v>#N/A</v>
      </c>
      <c r="N942">
        <v>1001</v>
      </c>
      <c r="Q942" t="s">
        <v>154</v>
      </c>
    </row>
    <row r="943" spans="1:17" x14ac:dyDescent="0.35">
      <c r="A943">
        <v>942</v>
      </c>
      <c r="B943">
        <v>2024</v>
      </c>
      <c r="C943">
        <v>5</v>
      </c>
      <c r="D943" t="s">
        <v>38</v>
      </c>
      <c r="E943" t="s">
        <v>159</v>
      </c>
      <c r="F943" s="1">
        <v>47632</v>
      </c>
      <c r="G943" s="1">
        <v>405266</v>
      </c>
      <c r="H943">
        <v>306</v>
      </c>
      <c r="I943">
        <v>0.97</v>
      </c>
      <c r="J943">
        <v>6.29</v>
      </c>
      <c r="K943">
        <v>1.2</v>
      </c>
      <c r="L943">
        <v>10</v>
      </c>
      <c r="M943" s="1" t="e">
        <f>#N/A</f>
        <v>#N/A</v>
      </c>
      <c r="N943">
        <v>947</v>
      </c>
      <c r="Q943" t="s">
        <v>154</v>
      </c>
    </row>
    <row r="944" spans="1:17" x14ac:dyDescent="0.35">
      <c r="A944">
        <v>943</v>
      </c>
      <c r="B944">
        <v>2024</v>
      </c>
      <c r="C944">
        <v>5</v>
      </c>
      <c r="D944" t="s">
        <v>30</v>
      </c>
      <c r="E944" t="s">
        <v>160</v>
      </c>
      <c r="F944" s="1">
        <v>46360</v>
      </c>
      <c r="G944" s="1">
        <v>130674</v>
      </c>
      <c r="H944">
        <v>265</v>
      </c>
      <c r="I944">
        <v>0.97</v>
      </c>
      <c r="J944">
        <v>6.29</v>
      </c>
      <c r="K944">
        <v>1.2</v>
      </c>
      <c r="L944">
        <v>1</v>
      </c>
      <c r="M944" s="1" t="e">
        <f>#N/A</f>
        <v>#N/A</v>
      </c>
      <c r="N944">
        <v>695</v>
      </c>
      <c r="Q944" t="s">
        <v>154</v>
      </c>
    </row>
    <row r="945" spans="1:17" x14ac:dyDescent="0.35">
      <c r="A945">
        <v>944</v>
      </c>
      <c r="B945">
        <v>2024</v>
      </c>
      <c r="C945">
        <v>6</v>
      </c>
      <c r="D945" t="s">
        <v>36</v>
      </c>
      <c r="E945" t="s">
        <v>48</v>
      </c>
      <c r="F945" s="1">
        <v>83821</v>
      </c>
      <c r="G945" s="1">
        <v>231649</v>
      </c>
      <c r="H945">
        <v>341</v>
      </c>
      <c r="I945">
        <v>0.97</v>
      </c>
      <c r="J945">
        <v>6.29</v>
      </c>
      <c r="K945">
        <v>1.2</v>
      </c>
      <c r="L945">
        <v>2</v>
      </c>
      <c r="M945" s="1" t="e">
        <f>#N/A</f>
        <v>#N/A</v>
      </c>
      <c r="N945">
        <v>883</v>
      </c>
      <c r="Q945" t="s">
        <v>154</v>
      </c>
    </row>
    <row r="946" spans="1:17" x14ac:dyDescent="0.35">
      <c r="A946">
        <v>945</v>
      </c>
      <c r="B946">
        <v>2024</v>
      </c>
      <c r="C946">
        <v>6</v>
      </c>
      <c r="D946" t="s">
        <v>38</v>
      </c>
      <c r="E946" t="s">
        <v>67</v>
      </c>
      <c r="F946" s="1">
        <v>42354</v>
      </c>
      <c r="G946" s="1">
        <v>231089</v>
      </c>
      <c r="H946">
        <v>311</v>
      </c>
      <c r="I946">
        <v>0.97</v>
      </c>
      <c r="J946">
        <v>6.29</v>
      </c>
      <c r="K946">
        <v>1.2</v>
      </c>
      <c r="L946">
        <v>4</v>
      </c>
      <c r="M946" s="1" t="e">
        <f>#N/A</f>
        <v>#N/A</v>
      </c>
      <c r="N946">
        <v>989</v>
      </c>
      <c r="Q946" t="s">
        <v>154</v>
      </c>
    </row>
    <row r="947" spans="1:17" x14ac:dyDescent="0.35">
      <c r="A947">
        <v>946</v>
      </c>
      <c r="B947">
        <v>2024</v>
      </c>
      <c r="C947">
        <v>6</v>
      </c>
      <c r="D947" t="s">
        <v>30</v>
      </c>
      <c r="E947" t="s">
        <v>77</v>
      </c>
      <c r="F947" s="1">
        <v>116720</v>
      </c>
      <c r="G947" s="1">
        <v>409014</v>
      </c>
      <c r="H947">
        <v>384</v>
      </c>
      <c r="I947">
        <v>0.97</v>
      </c>
      <c r="J947">
        <v>6.29</v>
      </c>
      <c r="K947">
        <v>1.2</v>
      </c>
      <c r="L947">
        <v>2</v>
      </c>
      <c r="M947" s="1" t="e">
        <f>#N/A</f>
        <v>#N/A</v>
      </c>
      <c r="N947">
        <v>868</v>
      </c>
      <c r="Q947" t="s">
        <v>154</v>
      </c>
    </row>
    <row r="948" spans="1:17" x14ac:dyDescent="0.35">
      <c r="A948">
        <v>947</v>
      </c>
      <c r="B948">
        <v>2024</v>
      </c>
      <c r="C948">
        <v>6</v>
      </c>
      <c r="D948" t="s">
        <v>35</v>
      </c>
      <c r="E948" t="s">
        <v>107</v>
      </c>
      <c r="F948" s="1">
        <v>63931</v>
      </c>
      <c r="G948" s="1">
        <v>314140</v>
      </c>
      <c r="H948">
        <v>108</v>
      </c>
      <c r="I948">
        <v>0.97</v>
      </c>
      <c r="J948">
        <v>6.29</v>
      </c>
      <c r="K948">
        <v>1.2</v>
      </c>
      <c r="L948">
        <v>4</v>
      </c>
      <c r="M948" s="1" t="e">
        <f>#N/A</f>
        <v>#N/A</v>
      </c>
      <c r="N948">
        <v>307</v>
      </c>
      <c r="Q948" t="s">
        <v>154</v>
      </c>
    </row>
    <row r="949" spans="1:17" x14ac:dyDescent="0.35">
      <c r="A949">
        <v>948</v>
      </c>
      <c r="B949">
        <v>2024</v>
      </c>
      <c r="C949">
        <v>6</v>
      </c>
      <c r="D949" t="s">
        <v>28</v>
      </c>
      <c r="E949" t="s">
        <v>125</v>
      </c>
      <c r="F949" s="1">
        <v>103694</v>
      </c>
      <c r="G949" s="1">
        <v>459861</v>
      </c>
      <c r="H949">
        <v>103</v>
      </c>
      <c r="I949">
        <v>0.97</v>
      </c>
      <c r="J949">
        <v>6.29</v>
      </c>
      <c r="K949">
        <v>1.2</v>
      </c>
      <c r="L949">
        <v>6</v>
      </c>
      <c r="M949" s="1" t="e">
        <f>#N/A</f>
        <v>#N/A</v>
      </c>
      <c r="N949">
        <v>527</v>
      </c>
      <c r="Q949" t="s">
        <v>155</v>
      </c>
    </row>
    <row r="950" spans="1:17" x14ac:dyDescent="0.35">
      <c r="A950">
        <v>949</v>
      </c>
      <c r="B950">
        <v>2024</v>
      </c>
      <c r="C950">
        <v>6</v>
      </c>
      <c r="D950" t="s">
        <v>28</v>
      </c>
      <c r="E950" t="s">
        <v>129</v>
      </c>
      <c r="F950" s="1">
        <v>80039</v>
      </c>
      <c r="G950" s="1">
        <v>269631</v>
      </c>
      <c r="H950">
        <v>109</v>
      </c>
      <c r="I950">
        <v>0.97</v>
      </c>
      <c r="J950">
        <v>6.29</v>
      </c>
      <c r="K950">
        <v>1.2</v>
      </c>
      <c r="L950">
        <v>10</v>
      </c>
      <c r="M950" s="1" t="e">
        <f>#N/A</f>
        <v>#N/A</v>
      </c>
      <c r="N950">
        <v>542</v>
      </c>
      <c r="Q950" t="s">
        <v>155</v>
      </c>
    </row>
    <row r="951" spans="1:17" x14ac:dyDescent="0.35">
      <c r="A951">
        <v>950</v>
      </c>
      <c r="B951">
        <v>2024</v>
      </c>
      <c r="C951">
        <v>6</v>
      </c>
      <c r="D951" t="s">
        <v>32</v>
      </c>
      <c r="E951" t="s">
        <v>129</v>
      </c>
      <c r="F951" s="1">
        <v>109797</v>
      </c>
      <c r="G951" s="1">
        <v>118369</v>
      </c>
      <c r="H951">
        <v>271</v>
      </c>
      <c r="I951">
        <v>0.97</v>
      </c>
      <c r="J951">
        <v>6.29</v>
      </c>
      <c r="K951">
        <v>1.2</v>
      </c>
      <c r="L951">
        <v>3</v>
      </c>
      <c r="M951" s="1" t="e">
        <f>#N/A</f>
        <v>#N/A</v>
      </c>
      <c r="N951">
        <v>720</v>
      </c>
      <c r="Q951" t="s">
        <v>155</v>
      </c>
    </row>
    <row r="952" spans="1:17" x14ac:dyDescent="0.35">
      <c r="A952">
        <v>951</v>
      </c>
      <c r="B952">
        <v>2024</v>
      </c>
      <c r="C952">
        <v>7</v>
      </c>
      <c r="D952" t="s">
        <v>21</v>
      </c>
      <c r="E952" t="s">
        <v>51</v>
      </c>
      <c r="F952" s="1">
        <v>62241</v>
      </c>
      <c r="G952" s="1">
        <v>403972</v>
      </c>
      <c r="H952">
        <v>198</v>
      </c>
      <c r="I952">
        <v>0.97</v>
      </c>
      <c r="J952">
        <v>6.29</v>
      </c>
      <c r="K952">
        <v>1.2</v>
      </c>
      <c r="L952">
        <v>8</v>
      </c>
      <c r="M952" s="1" t="e">
        <f>#N/A</f>
        <v>#N/A</v>
      </c>
      <c r="N952">
        <v>508</v>
      </c>
      <c r="Q952" t="s">
        <v>155</v>
      </c>
    </row>
    <row r="953" spans="1:17" x14ac:dyDescent="0.35">
      <c r="A953">
        <v>952</v>
      </c>
      <c r="B953">
        <v>2024</v>
      </c>
      <c r="C953">
        <v>7</v>
      </c>
      <c r="D953" t="s">
        <v>36</v>
      </c>
      <c r="E953" t="s">
        <v>63</v>
      </c>
      <c r="F953" s="1">
        <v>56638</v>
      </c>
      <c r="G953" s="1">
        <v>471175</v>
      </c>
      <c r="H953">
        <v>219</v>
      </c>
      <c r="I953">
        <v>0.97</v>
      </c>
      <c r="J953">
        <v>6.29</v>
      </c>
      <c r="K953">
        <v>1.2</v>
      </c>
      <c r="L953">
        <v>8</v>
      </c>
      <c r="M953" s="1" t="e">
        <f>#N/A</f>
        <v>#N/A</v>
      </c>
      <c r="N953">
        <v>790</v>
      </c>
      <c r="Q953" t="s">
        <v>155</v>
      </c>
    </row>
    <row r="954" spans="1:17" x14ac:dyDescent="0.35">
      <c r="A954">
        <v>953</v>
      </c>
      <c r="B954">
        <v>2024</v>
      </c>
      <c r="C954">
        <v>7</v>
      </c>
      <c r="D954" t="s">
        <v>36</v>
      </c>
      <c r="E954" t="s">
        <v>59</v>
      </c>
      <c r="F954" s="1">
        <v>41080</v>
      </c>
      <c r="G954" s="1">
        <v>348451</v>
      </c>
      <c r="H954">
        <v>328</v>
      </c>
      <c r="I954">
        <v>0.97</v>
      </c>
      <c r="J954">
        <v>6.29</v>
      </c>
      <c r="K954">
        <v>1.2</v>
      </c>
      <c r="L954">
        <v>9</v>
      </c>
      <c r="M954" s="1" t="e">
        <f>#N/A</f>
        <v>#N/A</v>
      </c>
      <c r="N954">
        <v>967</v>
      </c>
      <c r="Q954" t="s">
        <v>155</v>
      </c>
    </row>
    <row r="955" spans="1:17" x14ac:dyDescent="0.35">
      <c r="A955">
        <v>954</v>
      </c>
      <c r="B955">
        <v>2024</v>
      </c>
      <c r="C955">
        <v>7</v>
      </c>
      <c r="D955" t="s">
        <v>37</v>
      </c>
      <c r="E955" t="s">
        <v>76</v>
      </c>
      <c r="F955" s="1">
        <v>78390</v>
      </c>
      <c r="G955" s="1">
        <v>190399</v>
      </c>
      <c r="H955">
        <v>102</v>
      </c>
      <c r="I955">
        <v>0.97</v>
      </c>
      <c r="J955">
        <v>6.29</v>
      </c>
      <c r="K955">
        <v>1.2</v>
      </c>
      <c r="L955">
        <v>10</v>
      </c>
      <c r="M955" s="1" t="e">
        <f>#N/A</f>
        <v>#N/A</v>
      </c>
      <c r="N955">
        <v>448</v>
      </c>
      <c r="Q955" t="s">
        <v>155</v>
      </c>
    </row>
    <row r="956" spans="1:17" x14ac:dyDescent="0.35">
      <c r="A956">
        <v>955</v>
      </c>
      <c r="B956">
        <v>2024</v>
      </c>
      <c r="C956">
        <v>7</v>
      </c>
      <c r="D956" t="s">
        <v>38</v>
      </c>
      <c r="E956" t="s">
        <v>72</v>
      </c>
      <c r="F956" s="1">
        <v>37887</v>
      </c>
      <c r="G956" s="1">
        <v>201770</v>
      </c>
      <c r="H956">
        <v>194</v>
      </c>
      <c r="I956">
        <v>0.97</v>
      </c>
      <c r="J956">
        <v>6.29</v>
      </c>
      <c r="K956">
        <v>1.2</v>
      </c>
      <c r="L956">
        <v>1</v>
      </c>
      <c r="M956" s="1" t="e">
        <f>#N/A</f>
        <v>#N/A</v>
      </c>
      <c r="N956">
        <v>571</v>
      </c>
      <c r="Q956" t="s">
        <v>155</v>
      </c>
    </row>
    <row r="957" spans="1:17" x14ac:dyDescent="0.35">
      <c r="A957">
        <v>956</v>
      </c>
      <c r="B957">
        <v>2024</v>
      </c>
      <c r="C957">
        <v>7</v>
      </c>
      <c r="D957" t="s">
        <v>36</v>
      </c>
      <c r="E957" t="s">
        <v>91</v>
      </c>
      <c r="F957" s="1">
        <v>35946</v>
      </c>
      <c r="G957" s="1">
        <v>455881</v>
      </c>
      <c r="H957">
        <v>398</v>
      </c>
      <c r="I957">
        <v>0.97</v>
      </c>
      <c r="J957">
        <v>6.29</v>
      </c>
      <c r="K957">
        <v>1.2</v>
      </c>
      <c r="L957">
        <v>2</v>
      </c>
      <c r="M957" s="1" t="e">
        <f>#N/A</f>
        <v>#N/A</v>
      </c>
      <c r="N957">
        <v>871</v>
      </c>
      <c r="Q957" t="s">
        <v>155</v>
      </c>
    </row>
    <row r="958" spans="1:17" x14ac:dyDescent="0.35">
      <c r="A958">
        <v>957</v>
      </c>
      <c r="B958">
        <v>2024</v>
      </c>
      <c r="C958">
        <v>7</v>
      </c>
      <c r="D958" t="s">
        <v>25</v>
      </c>
      <c r="E958" t="s">
        <v>99</v>
      </c>
      <c r="F958" s="1">
        <v>73367</v>
      </c>
      <c r="G958" s="1">
        <v>462289</v>
      </c>
      <c r="H958">
        <v>215</v>
      </c>
      <c r="I958">
        <v>0.97</v>
      </c>
      <c r="J958">
        <v>6.29</v>
      </c>
      <c r="K958">
        <v>1.2</v>
      </c>
      <c r="L958">
        <v>4</v>
      </c>
      <c r="M958" s="1" t="e">
        <f>#N/A</f>
        <v>#N/A</v>
      </c>
      <c r="N958">
        <v>596</v>
      </c>
      <c r="Q958" t="s">
        <v>155</v>
      </c>
    </row>
    <row r="959" spans="1:17" x14ac:dyDescent="0.35">
      <c r="A959">
        <v>958</v>
      </c>
      <c r="B959">
        <v>2024</v>
      </c>
      <c r="C959">
        <v>7</v>
      </c>
      <c r="D959" t="s">
        <v>38</v>
      </c>
      <c r="E959" t="s">
        <v>133</v>
      </c>
      <c r="F959" s="1">
        <v>76910</v>
      </c>
      <c r="G959" s="1">
        <v>474429</v>
      </c>
      <c r="H959">
        <v>225</v>
      </c>
      <c r="I959">
        <v>0.97</v>
      </c>
      <c r="J959">
        <v>6.29</v>
      </c>
      <c r="K959">
        <v>1.2</v>
      </c>
      <c r="L959">
        <v>1</v>
      </c>
      <c r="M959" s="1" t="e">
        <f>#N/A</f>
        <v>#N/A</v>
      </c>
      <c r="N959">
        <v>686</v>
      </c>
      <c r="Q959" t="s">
        <v>155</v>
      </c>
    </row>
    <row r="960" spans="1:17" x14ac:dyDescent="0.35">
      <c r="A960">
        <v>959</v>
      </c>
      <c r="B960">
        <v>2024</v>
      </c>
      <c r="C960">
        <v>7</v>
      </c>
      <c r="D960" t="s">
        <v>21</v>
      </c>
      <c r="E960" t="s">
        <v>151</v>
      </c>
      <c r="F960" s="1">
        <v>76979</v>
      </c>
      <c r="G960" s="1">
        <v>267508</v>
      </c>
      <c r="H960">
        <v>310</v>
      </c>
      <c r="I960">
        <v>0.97</v>
      </c>
      <c r="J960">
        <v>6.29</v>
      </c>
      <c r="K960">
        <v>1.2</v>
      </c>
      <c r="L960">
        <v>7</v>
      </c>
      <c r="M960" s="1" t="e">
        <f>#N/A</f>
        <v>#N/A</v>
      </c>
      <c r="N960">
        <v>630</v>
      </c>
      <c r="Q960" t="s">
        <v>156</v>
      </c>
    </row>
    <row r="961" spans="1:17" x14ac:dyDescent="0.35">
      <c r="A961">
        <v>960</v>
      </c>
      <c r="B961">
        <v>2024</v>
      </c>
      <c r="C961">
        <v>7</v>
      </c>
      <c r="D961" t="s">
        <v>36</v>
      </c>
      <c r="E961" t="s">
        <v>145</v>
      </c>
      <c r="F961" s="1">
        <v>82922</v>
      </c>
      <c r="G961" s="1">
        <v>455932</v>
      </c>
      <c r="H961">
        <v>276</v>
      </c>
      <c r="I961">
        <v>0.97</v>
      </c>
      <c r="J961">
        <v>6.29</v>
      </c>
      <c r="K961">
        <v>1.2</v>
      </c>
      <c r="L961">
        <v>2</v>
      </c>
      <c r="M961" s="1" t="e">
        <f>#N/A</f>
        <v>#N/A</v>
      </c>
      <c r="N961">
        <v>853</v>
      </c>
      <c r="Q961" t="s">
        <v>156</v>
      </c>
    </row>
    <row r="962" spans="1:17" x14ac:dyDescent="0.35">
      <c r="A962">
        <v>961</v>
      </c>
      <c r="B962">
        <v>2024</v>
      </c>
      <c r="C962">
        <v>8</v>
      </c>
      <c r="D962" t="s">
        <v>30</v>
      </c>
      <c r="E962" t="s">
        <v>48</v>
      </c>
      <c r="F962" s="1">
        <v>57706</v>
      </c>
      <c r="G962" s="1">
        <v>487043</v>
      </c>
      <c r="H962">
        <v>235</v>
      </c>
      <c r="I962">
        <v>0.97</v>
      </c>
      <c r="J962">
        <v>6.29</v>
      </c>
      <c r="K962">
        <v>1.2</v>
      </c>
      <c r="L962">
        <v>3</v>
      </c>
      <c r="M962" s="1" t="e">
        <f>#N/A</f>
        <v>#N/A</v>
      </c>
      <c r="N962">
        <v>737</v>
      </c>
      <c r="Q962" t="s">
        <v>156</v>
      </c>
    </row>
    <row r="963" spans="1:17" x14ac:dyDescent="0.35">
      <c r="A963">
        <v>962</v>
      </c>
      <c r="B963">
        <v>2024</v>
      </c>
      <c r="C963">
        <v>8</v>
      </c>
      <c r="D963" t="s">
        <v>14</v>
      </c>
      <c r="E963" t="s">
        <v>46</v>
      </c>
      <c r="F963" s="1">
        <v>57813</v>
      </c>
      <c r="G963" s="1">
        <v>85362</v>
      </c>
      <c r="H963">
        <v>181</v>
      </c>
      <c r="I963">
        <v>0.97</v>
      </c>
      <c r="J963">
        <v>6.29</v>
      </c>
      <c r="K963">
        <v>1.2</v>
      </c>
      <c r="L963">
        <v>1</v>
      </c>
      <c r="M963" s="1" t="e">
        <f>#N/A</f>
        <v>#N/A</v>
      </c>
      <c r="N963">
        <v>514</v>
      </c>
      <c r="Q963" t="s">
        <v>156</v>
      </c>
    </row>
    <row r="964" spans="1:17" x14ac:dyDescent="0.35">
      <c r="A964">
        <v>963</v>
      </c>
      <c r="B964">
        <v>2024</v>
      </c>
      <c r="C964">
        <v>8</v>
      </c>
      <c r="D964" t="s">
        <v>25</v>
      </c>
      <c r="E964" t="s">
        <v>73</v>
      </c>
      <c r="F964" s="1">
        <v>84768</v>
      </c>
      <c r="G964" s="1">
        <v>257383</v>
      </c>
      <c r="H964">
        <v>130</v>
      </c>
      <c r="I964">
        <v>0.97</v>
      </c>
      <c r="J964">
        <v>6.29</v>
      </c>
      <c r="K964">
        <v>1.2</v>
      </c>
      <c r="L964">
        <v>6</v>
      </c>
      <c r="M964" s="1" t="e">
        <f>#N/A</f>
        <v>#N/A</v>
      </c>
      <c r="N964">
        <v>451</v>
      </c>
      <c r="Q964" t="s">
        <v>156</v>
      </c>
    </row>
    <row r="965" spans="1:17" x14ac:dyDescent="0.35">
      <c r="A965">
        <v>964</v>
      </c>
      <c r="B965">
        <v>2024</v>
      </c>
      <c r="C965">
        <v>8</v>
      </c>
      <c r="D965" t="s">
        <v>14</v>
      </c>
      <c r="E965" t="s">
        <v>89</v>
      </c>
      <c r="F965" s="1">
        <v>35901</v>
      </c>
      <c r="G965" s="1">
        <v>68830</v>
      </c>
      <c r="H965">
        <v>38</v>
      </c>
      <c r="I965">
        <v>0.97</v>
      </c>
      <c r="J965">
        <v>6.29</v>
      </c>
      <c r="K965">
        <v>1.2</v>
      </c>
      <c r="L965">
        <v>6</v>
      </c>
      <c r="M965" s="1" t="e">
        <f>#N/A</f>
        <v>#N/A</v>
      </c>
      <c r="N965">
        <v>207</v>
      </c>
      <c r="Q965" t="s">
        <v>156</v>
      </c>
    </row>
    <row r="966" spans="1:17" x14ac:dyDescent="0.35">
      <c r="A966">
        <v>965</v>
      </c>
      <c r="B966">
        <v>2024</v>
      </c>
      <c r="C966">
        <v>8</v>
      </c>
      <c r="D966" t="s">
        <v>37</v>
      </c>
      <c r="E966" t="s">
        <v>85</v>
      </c>
      <c r="F966" s="1">
        <v>92769</v>
      </c>
      <c r="G966" s="1">
        <v>440508</v>
      </c>
      <c r="H966">
        <v>234</v>
      </c>
      <c r="I966">
        <v>0.97</v>
      </c>
      <c r="J966">
        <v>6.29</v>
      </c>
      <c r="K966">
        <v>1.2</v>
      </c>
      <c r="L966">
        <v>10</v>
      </c>
      <c r="M966" s="1" t="e">
        <f>#N/A</f>
        <v>#N/A</v>
      </c>
      <c r="N966">
        <v>778</v>
      </c>
      <c r="Q966" t="s">
        <v>156</v>
      </c>
    </row>
    <row r="967" spans="1:17" x14ac:dyDescent="0.35">
      <c r="A967">
        <v>966</v>
      </c>
      <c r="B967">
        <v>2024</v>
      </c>
      <c r="C967">
        <v>8</v>
      </c>
      <c r="D967" t="s">
        <v>25</v>
      </c>
      <c r="E967" t="s">
        <v>96</v>
      </c>
      <c r="F967" s="1">
        <v>62856</v>
      </c>
      <c r="G967" s="1">
        <v>177536</v>
      </c>
      <c r="H967">
        <v>368</v>
      </c>
      <c r="I967">
        <v>0.97</v>
      </c>
      <c r="J967">
        <v>6.29</v>
      </c>
      <c r="K967">
        <v>1.2</v>
      </c>
      <c r="L967">
        <v>4</v>
      </c>
      <c r="M967" s="1" t="e">
        <f>#N/A</f>
        <v>#N/A</v>
      </c>
      <c r="N967">
        <v>869</v>
      </c>
      <c r="Q967" t="s">
        <v>156</v>
      </c>
    </row>
    <row r="968" spans="1:17" x14ac:dyDescent="0.35">
      <c r="A968">
        <v>967</v>
      </c>
      <c r="B968">
        <v>2024</v>
      </c>
      <c r="C968">
        <v>8</v>
      </c>
      <c r="D968" t="s">
        <v>32</v>
      </c>
      <c r="E968" t="s">
        <v>117</v>
      </c>
      <c r="F968" s="1">
        <v>97766</v>
      </c>
      <c r="G968" s="1">
        <v>193029</v>
      </c>
      <c r="H968">
        <v>111</v>
      </c>
      <c r="I968">
        <v>0.97</v>
      </c>
      <c r="J968">
        <v>6.29</v>
      </c>
      <c r="K968">
        <v>1.2</v>
      </c>
      <c r="L968">
        <v>5</v>
      </c>
      <c r="M968" s="1" t="e">
        <f>#N/A</f>
        <v>#N/A</v>
      </c>
      <c r="N968">
        <v>499</v>
      </c>
      <c r="Q968" t="s">
        <v>157</v>
      </c>
    </row>
    <row r="969" spans="1:17" x14ac:dyDescent="0.35">
      <c r="A969">
        <v>968</v>
      </c>
      <c r="B969">
        <v>2024</v>
      </c>
      <c r="C969">
        <v>8</v>
      </c>
      <c r="D969" t="s">
        <v>37</v>
      </c>
      <c r="E969" t="s">
        <v>120</v>
      </c>
      <c r="F969" s="1">
        <v>74867</v>
      </c>
      <c r="G969" s="1">
        <v>417508</v>
      </c>
      <c r="H969">
        <v>244</v>
      </c>
      <c r="I969">
        <v>0.97</v>
      </c>
      <c r="J969">
        <v>6.29</v>
      </c>
      <c r="K969">
        <v>1.2</v>
      </c>
      <c r="L969">
        <v>6</v>
      </c>
      <c r="M969" s="1" t="e">
        <f>#N/A</f>
        <v>#N/A</v>
      </c>
      <c r="N969">
        <v>951</v>
      </c>
      <c r="Q969" t="s">
        <v>157</v>
      </c>
    </row>
    <row r="970" spans="1:17" x14ac:dyDescent="0.35">
      <c r="A970">
        <v>969</v>
      </c>
      <c r="B970">
        <v>2024</v>
      </c>
      <c r="C970">
        <v>8</v>
      </c>
      <c r="D970" t="s">
        <v>35</v>
      </c>
      <c r="E970" t="s">
        <v>133</v>
      </c>
      <c r="F970" s="1">
        <v>80875</v>
      </c>
      <c r="G970" s="1">
        <v>322502</v>
      </c>
      <c r="H970">
        <v>244</v>
      </c>
      <c r="I970">
        <v>0.97</v>
      </c>
      <c r="J970">
        <v>6.29</v>
      </c>
      <c r="K970">
        <v>1.2</v>
      </c>
      <c r="L970">
        <v>2</v>
      </c>
      <c r="M970" s="1" t="e">
        <f>#N/A</f>
        <v>#N/A</v>
      </c>
      <c r="N970">
        <v>857</v>
      </c>
      <c r="Q970" t="s">
        <v>157</v>
      </c>
    </row>
    <row r="971" spans="1:17" x14ac:dyDescent="0.35">
      <c r="A971">
        <v>970</v>
      </c>
      <c r="B971">
        <v>2024</v>
      </c>
      <c r="C971">
        <v>9</v>
      </c>
      <c r="D971" t="s">
        <v>35</v>
      </c>
      <c r="E971" t="s">
        <v>79</v>
      </c>
      <c r="F971" s="1">
        <v>54627</v>
      </c>
      <c r="G971" s="1">
        <v>360714</v>
      </c>
      <c r="H971">
        <v>159</v>
      </c>
      <c r="I971">
        <v>0.97</v>
      </c>
      <c r="J971">
        <v>6.29</v>
      </c>
      <c r="K971">
        <v>1.2</v>
      </c>
      <c r="L971">
        <v>2</v>
      </c>
      <c r="M971" s="1" t="e">
        <f>#N/A</f>
        <v>#N/A</v>
      </c>
      <c r="N971">
        <v>697</v>
      </c>
      <c r="Q971" t="s">
        <v>157</v>
      </c>
    </row>
    <row r="972" spans="1:17" x14ac:dyDescent="0.35">
      <c r="A972">
        <v>971</v>
      </c>
      <c r="B972">
        <v>2024</v>
      </c>
      <c r="C972">
        <v>9</v>
      </c>
      <c r="D972" t="s">
        <v>35</v>
      </c>
      <c r="E972" t="s">
        <v>87</v>
      </c>
      <c r="F972" s="1">
        <v>42951</v>
      </c>
      <c r="G972" s="1">
        <v>206688</v>
      </c>
      <c r="H972">
        <v>136</v>
      </c>
      <c r="I972">
        <v>0.97</v>
      </c>
      <c r="J972">
        <v>6.29</v>
      </c>
      <c r="K972">
        <v>1.2</v>
      </c>
      <c r="L972">
        <v>10</v>
      </c>
      <c r="M972" s="1" t="e">
        <f>#N/A</f>
        <v>#N/A</v>
      </c>
      <c r="N972">
        <v>475</v>
      </c>
      <c r="Q972" t="s">
        <v>157</v>
      </c>
    </row>
    <row r="973" spans="1:17" x14ac:dyDescent="0.35">
      <c r="A973">
        <v>972</v>
      </c>
      <c r="B973">
        <v>2024</v>
      </c>
      <c r="C973">
        <v>9</v>
      </c>
      <c r="D973" t="s">
        <v>38</v>
      </c>
      <c r="E973" t="s">
        <v>129</v>
      </c>
      <c r="F973" s="1">
        <v>96957</v>
      </c>
      <c r="G973" s="1">
        <v>165140</v>
      </c>
      <c r="H973">
        <v>159</v>
      </c>
      <c r="I973">
        <v>0.97</v>
      </c>
      <c r="J973">
        <v>6.29</v>
      </c>
      <c r="K973">
        <v>1.2</v>
      </c>
      <c r="L973">
        <v>2</v>
      </c>
      <c r="M973" s="1" t="e">
        <f>#N/A</f>
        <v>#N/A</v>
      </c>
      <c r="N973">
        <v>605</v>
      </c>
      <c r="Q973" t="s">
        <v>158</v>
      </c>
    </row>
    <row r="974" spans="1:17" x14ac:dyDescent="0.35">
      <c r="A974">
        <v>973</v>
      </c>
      <c r="B974">
        <v>2024</v>
      </c>
      <c r="C974">
        <v>9</v>
      </c>
      <c r="D974" t="s">
        <v>21</v>
      </c>
      <c r="E974" t="s">
        <v>144</v>
      </c>
      <c r="F974" s="1">
        <v>96360</v>
      </c>
      <c r="G974" s="1">
        <v>403699</v>
      </c>
      <c r="H974">
        <v>139</v>
      </c>
      <c r="I974">
        <v>0.97</v>
      </c>
      <c r="J974">
        <v>6.29</v>
      </c>
      <c r="K974">
        <v>1.2</v>
      </c>
      <c r="L974">
        <v>6</v>
      </c>
      <c r="M974" s="1" t="e">
        <f>#N/A</f>
        <v>#N/A</v>
      </c>
      <c r="N974">
        <v>313</v>
      </c>
      <c r="Q974" t="s">
        <v>158</v>
      </c>
    </row>
    <row r="975" spans="1:17" x14ac:dyDescent="0.35">
      <c r="A975">
        <v>974</v>
      </c>
      <c r="B975">
        <v>2024</v>
      </c>
      <c r="C975">
        <v>9</v>
      </c>
      <c r="D975" t="s">
        <v>14</v>
      </c>
      <c r="E975" t="s">
        <v>141</v>
      </c>
      <c r="F975" s="1">
        <v>65734</v>
      </c>
      <c r="G975" s="1">
        <v>287474</v>
      </c>
      <c r="H975">
        <v>197</v>
      </c>
      <c r="I975">
        <v>0.97</v>
      </c>
      <c r="J975">
        <v>6.29</v>
      </c>
      <c r="K975">
        <v>1.2</v>
      </c>
      <c r="L975">
        <v>10</v>
      </c>
      <c r="M975" s="1" t="e">
        <f>#N/A</f>
        <v>#N/A</v>
      </c>
      <c r="N975">
        <v>409</v>
      </c>
      <c r="Q975" t="s">
        <v>158</v>
      </c>
    </row>
    <row r="976" spans="1:17" x14ac:dyDescent="0.35">
      <c r="A976">
        <v>975</v>
      </c>
      <c r="B976">
        <v>2024</v>
      </c>
      <c r="C976">
        <v>9</v>
      </c>
      <c r="D976" t="s">
        <v>30</v>
      </c>
      <c r="E976" t="s">
        <v>150</v>
      </c>
      <c r="F976" s="1">
        <v>54267</v>
      </c>
      <c r="G976" s="1">
        <v>319579</v>
      </c>
      <c r="H976">
        <v>380</v>
      </c>
      <c r="I976">
        <v>0.97</v>
      </c>
      <c r="J976">
        <v>6.29</v>
      </c>
      <c r="K976">
        <v>1.2</v>
      </c>
      <c r="L976">
        <v>10</v>
      </c>
      <c r="M976" s="1" t="e">
        <f>#N/A</f>
        <v>#N/A</v>
      </c>
      <c r="N976">
        <v>1149</v>
      </c>
      <c r="Q976" t="s">
        <v>158</v>
      </c>
    </row>
    <row r="977" spans="1:17" x14ac:dyDescent="0.35">
      <c r="A977">
        <v>976</v>
      </c>
      <c r="B977">
        <v>2024</v>
      </c>
      <c r="C977">
        <v>10</v>
      </c>
      <c r="D977" t="s">
        <v>37</v>
      </c>
      <c r="E977" t="s">
        <v>55</v>
      </c>
      <c r="F977" s="1">
        <v>52027</v>
      </c>
      <c r="G977" s="1">
        <v>141074</v>
      </c>
      <c r="H977">
        <v>99</v>
      </c>
      <c r="I977">
        <v>0.97</v>
      </c>
      <c r="J977">
        <v>6.29</v>
      </c>
      <c r="K977">
        <v>1.2</v>
      </c>
      <c r="L977">
        <v>2</v>
      </c>
      <c r="M977" s="1" t="e">
        <f>#N/A</f>
        <v>#N/A</v>
      </c>
      <c r="N977">
        <v>299</v>
      </c>
      <c r="Q977" t="s">
        <v>158</v>
      </c>
    </row>
    <row r="978" spans="1:17" x14ac:dyDescent="0.35">
      <c r="A978">
        <v>977</v>
      </c>
      <c r="B978">
        <v>2024</v>
      </c>
      <c r="C978">
        <v>10</v>
      </c>
      <c r="D978" t="s">
        <v>28</v>
      </c>
      <c r="E978" t="s">
        <v>73</v>
      </c>
      <c r="F978" s="1">
        <v>69980</v>
      </c>
      <c r="G978" s="1">
        <v>391524</v>
      </c>
      <c r="H978">
        <v>219</v>
      </c>
      <c r="I978">
        <v>0.97</v>
      </c>
      <c r="J978">
        <v>6.29</v>
      </c>
      <c r="K978">
        <v>1.2</v>
      </c>
      <c r="L978">
        <v>3</v>
      </c>
      <c r="M978" s="1" t="e">
        <f>#N/A</f>
        <v>#N/A</v>
      </c>
      <c r="N978">
        <v>914</v>
      </c>
      <c r="Q978" t="s">
        <v>159</v>
      </c>
    </row>
    <row r="979" spans="1:17" x14ac:dyDescent="0.35">
      <c r="A979">
        <v>978</v>
      </c>
      <c r="B979">
        <v>2024</v>
      </c>
      <c r="C979">
        <v>10</v>
      </c>
      <c r="D979" t="s">
        <v>32</v>
      </c>
      <c r="E979" t="s">
        <v>84</v>
      </c>
      <c r="F979" s="1">
        <v>64813</v>
      </c>
      <c r="G979" s="1">
        <v>126425</v>
      </c>
      <c r="H979">
        <v>177</v>
      </c>
      <c r="I979">
        <v>0.97</v>
      </c>
      <c r="J979">
        <v>6.29</v>
      </c>
      <c r="K979">
        <v>1.2</v>
      </c>
      <c r="L979">
        <v>1</v>
      </c>
      <c r="M979" s="1" t="e">
        <f>#N/A</f>
        <v>#N/A</v>
      </c>
      <c r="N979">
        <v>570</v>
      </c>
      <c r="Q979" t="s">
        <v>159</v>
      </c>
    </row>
    <row r="980" spans="1:17" x14ac:dyDescent="0.35">
      <c r="A980">
        <v>979</v>
      </c>
      <c r="B980">
        <v>2024</v>
      </c>
      <c r="C980">
        <v>10</v>
      </c>
      <c r="D980" t="s">
        <v>32</v>
      </c>
      <c r="E980" t="s">
        <v>154</v>
      </c>
      <c r="F980" s="1">
        <v>36539</v>
      </c>
      <c r="G980" s="1">
        <v>424416</v>
      </c>
      <c r="H980">
        <v>175</v>
      </c>
      <c r="I980">
        <v>0.97</v>
      </c>
      <c r="J980">
        <v>6.29</v>
      </c>
      <c r="K980">
        <v>1.2</v>
      </c>
      <c r="L980">
        <v>4</v>
      </c>
      <c r="M980" s="1" t="e">
        <f>#N/A</f>
        <v>#N/A</v>
      </c>
      <c r="N980">
        <v>686</v>
      </c>
      <c r="Q980" t="s">
        <v>159</v>
      </c>
    </row>
    <row r="981" spans="1:17" x14ac:dyDescent="0.35">
      <c r="A981">
        <v>980</v>
      </c>
      <c r="B981">
        <v>2024</v>
      </c>
      <c r="C981">
        <v>10</v>
      </c>
      <c r="D981" t="s">
        <v>32</v>
      </c>
      <c r="E981" t="s">
        <v>154</v>
      </c>
      <c r="F981" s="1">
        <v>118123</v>
      </c>
      <c r="G981" s="1">
        <v>378634</v>
      </c>
      <c r="H981">
        <v>264</v>
      </c>
      <c r="I981">
        <v>0.97</v>
      </c>
      <c r="J981">
        <v>6.29</v>
      </c>
      <c r="K981">
        <v>1.2</v>
      </c>
      <c r="L981">
        <v>9</v>
      </c>
      <c r="M981" s="1" t="e">
        <f>#N/A</f>
        <v>#N/A</v>
      </c>
      <c r="N981">
        <v>912</v>
      </c>
      <c r="Q981" t="s">
        <v>159</v>
      </c>
    </row>
    <row r="982" spans="1:17" x14ac:dyDescent="0.35">
      <c r="A982">
        <v>981</v>
      </c>
      <c r="B982">
        <v>2024</v>
      </c>
      <c r="C982">
        <v>11</v>
      </c>
      <c r="D982" t="s">
        <v>37</v>
      </c>
      <c r="E982" t="s">
        <v>46</v>
      </c>
      <c r="F982" s="1">
        <v>71405</v>
      </c>
      <c r="G982" s="1">
        <v>271421</v>
      </c>
      <c r="H982">
        <v>132</v>
      </c>
      <c r="I982">
        <v>0.97</v>
      </c>
      <c r="J982">
        <v>6.29</v>
      </c>
      <c r="K982">
        <v>1.2</v>
      </c>
      <c r="L982">
        <v>10</v>
      </c>
      <c r="M982" s="1" t="e">
        <f>#N/A</f>
        <v>#N/A</v>
      </c>
      <c r="N982">
        <v>348</v>
      </c>
      <c r="Q982" t="s">
        <v>159</v>
      </c>
    </row>
    <row r="983" spans="1:17" x14ac:dyDescent="0.35">
      <c r="A983">
        <v>982</v>
      </c>
      <c r="B983">
        <v>2024</v>
      </c>
      <c r="C983">
        <v>11</v>
      </c>
      <c r="D983" t="s">
        <v>32</v>
      </c>
      <c r="E983" t="s">
        <v>65</v>
      </c>
      <c r="F983" s="1">
        <v>65024</v>
      </c>
      <c r="G983" s="1">
        <v>130730</v>
      </c>
      <c r="H983">
        <v>207</v>
      </c>
      <c r="I983">
        <v>0.97</v>
      </c>
      <c r="J983">
        <v>6.29</v>
      </c>
      <c r="K983">
        <v>1.2</v>
      </c>
      <c r="L983">
        <v>7</v>
      </c>
      <c r="M983" s="1" t="e">
        <f>#N/A</f>
        <v>#N/A</v>
      </c>
      <c r="N983">
        <v>626</v>
      </c>
      <c r="Q983" t="s">
        <v>159</v>
      </c>
    </row>
    <row r="984" spans="1:17" x14ac:dyDescent="0.35">
      <c r="A984">
        <v>983</v>
      </c>
      <c r="B984">
        <v>2024</v>
      </c>
      <c r="C984">
        <v>11</v>
      </c>
      <c r="D984" t="s">
        <v>25</v>
      </c>
      <c r="E984" t="s">
        <v>75</v>
      </c>
      <c r="F984" s="1">
        <v>58154</v>
      </c>
      <c r="G984" s="1">
        <v>494874</v>
      </c>
      <c r="H984">
        <v>359</v>
      </c>
      <c r="I984">
        <v>0.97</v>
      </c>
      <c r="J984">
        <v>6.29</v>
      </c>
      <c r="K984">
        <v>1.2</v>
      </c>
      <c r="L984">
        <v>1</v>
      </c>
      <c r="M984" s="1" t="e">
        <f>#N/A</f>
        <v>#N/A</v>
      </c>
      <c r="N984">
        <v>1061</v>
      </c>
      <c r="Q984" t="s">
        <v>159</v>
      </c>
    </row>
    <row r="985" spans="1:17" x14ac:dyDescent="0.35">
      <c r="A985">
        <v>984</v>
      </c>
      <c r="B985">
        <v>2024</v>
      </c>
      <c r="C985">
        <v>11</v>
      </c>
      <c r="D985" t="s">
        <v>14</v>
      </c>
      <c r="E985" t="s">
        <v>82</v>
      </c>
      <c r="F985" s="1">
        <v>89970</v>
      </c>
      <c r="G985" s="1">
        <v>168910</v>
      </c>
      <c r="H985">
        <v>342</v>
      </c>
      <c r="I985">
        <v>0.97</v>
      </c>
      <c r="J985">
        <v>6.29</v>
      </c>
      <c r="K985">
        <v>1.2</v>
      </c>
      <c r="L985">
        <v>5</v>
      </c>
      <c r="M985" s="1" t="e">
        <f>#N/A</f>
        <v>#N/A</v>
      </c>
      <c r="N985">
        <v>798</v>
      </c>
      <c r="Q985" t="s">
        <v>159</v>
      </c>
    </row>
    <row r="986" spans="1:17" x14ac:dyDescent="0.35">
      <c r="A986">
        <v>985</v>
      </c>
      <c r="B986">
        <v>2024</v>
      </c>
      <c r="C986">
        <v>11</v>
      </c>
      <c r="D986" t="s">
        <v>21</v>
      </c>
      <c r="E986" t="s">
        <v>95</v>
      </c>
      <c r="F986" s="1">
        <v>97699</v>
      </c>
      <c r="G986" s="1">
        <v>77307</v>
      </c>
      <c r="H986">
        <v>291</v>
      </c>
      <c r="I986">
        <v>0.97</v>
      </c>
      <c r="J986">
        <v>6.29</v>
      </c>
      <c r="K986">
        <v>1.2</v>
      </c>
      <c r="L986">
        <v>3</v>
      </c>
      <c r="M986" s="1" t="e">
        <f>#N/A</f>
        <v>#N/A</v>
      </c>
      <c r="N986">
        <v>730</v>
      </c>
      <c r="Q986" t="s">
        <v>159</v>
      </c>
    </row>
    <row r="987" spans="1:17" x14ac:dyDescent="0.35">
      <c r="A987">
        <v>986</v>
      </c>
      <c r="B987">
        <v>2024</v>
      </c>
      <c r="C987">
        <v>11</v>
      </c>
      <c r="D987" t="s">
        <v>38</v>
      </c>
      <c r="E987" t="s">
        <v>119</v>
      </c>
      <c r="F987" s="1">
        <v>92656</v>
      </c>
      <c r="G987" s="1">
        <v>418615</v>
      </c>
      <c r="H987">
        <v>395</v>
      </c>
      <c r="I987">
        <v>0.97</v>
      </c>
      <c r="J987">
        <v>6.29</v>
      </c>
      <c r="K987">
        <v>1.2</v>
      </c>
      <c r="L987">
        <v>5</v>
      </c>
      <c r="M987" s="1" t="e">
        <f>#N/A</f>
        <v>#N/A</v>
      </c>
      <c r="N987">
        <v>1115</v>
      </c>
      <c r="Q987" t="s">
        <v>160</v>
      </c>
    </row>
    <row r="988" spans="1:17" x14ac:dyDescent="0.35">
      <c r="A988">
        <v>987</v>
      </c>
      <c r="B988">
        <v>2024</v>
      </c>
      <c r="C988">
        <v>11</v>
      </c>
      <c r="D988" t="s">
        <v>38</v>
      </c>
      <c r="E988" t="s">
        <v>147</v>
      </c>
      <c r="F988" s="1">
        <v>47379</v>
      </c>
      <c r="G988" s="1">
        <v>103997</v>
      </c>
      <c r="H988">
        <v>15</v>
      </c>
      <c r="I988">
        <v>0.97</v>
      </c>
      <c r="J988">
        <v>6.29</v>
      </c>
      <c r="K988">
        <v>1.2</v>
      </c>
      <c r="L988">
        <v>2</v>
      </c>
      <c r="M988" s="1" t="e">
        <f>#N/A</f>
        <v>#N/A</v>
      </c>
      <c r="N988">
        <v>59</v>
      </c>
      <c r="Q988" t="s">
        <v>160</v>
      </c>
    </row>
    <row r="989" spans="1:17" x14ac:dyDescent="0.35">
      <c r="A989">
        <v>988</v>
      </c>
      <c r="B989">
        <v>2024</v>
      </c>
      <c r="C989">
        <v>11</v>
      </c>
      <c r="D989" t="s">
        <v>28</v>
      </c>
      <c r="E989" t="s">
        <v>160</v>
      </c>
      <c r="F989" s="1">
        <v>110179</v>
      </c>
      <c r="G989" s="1">
        <v>205976</v>
      </c>
      <c r="H989">
        <v>185</v>
      </c>
      <c r="I989">
        <v>0.97</v>
      </c>
      <c r="J989">
        <v>6.29</v>
      </c>
      <c r="K989">
        <v>1.2</v>
      </c>
      <c r="L989">
        <v>3</v>
      </c>
      <c r="M989" s="1" t="e">
        <f>#N/A</f>
        <v>#N/A</v>
      </c>
      <c r="N989">
        <v>430</v>
      </c>
      <c r="Q989" t="s">
        <v>160</v>
      </c>
    </row>
    <row r="990" spans="1:17" x14ac:dyDescent="0.35">
      <c r="A990">
        <v>989</v>
      </c>
      <c r="B990">
        <v>2024</v>
      </c>
      <c r="C990">
        <v>11</v>
      </c>
      <c r="D990" t="s">
        <v>37</v>
      </c>
      <c r="E990" t="e">
        <v>#N/A</v>
      </c>
      <c r="F990" s="1">
        <v>101766</v>
      </c>
      <c r="G990" s="1">
        <v>153215</v>
      </c>
      <c r="H990">
        <v>272</v>
      </c>
      <c r="I990">
        <v>0.97</v>
      </c>
      <c r="J990">
        <v>6.29</v>
      </c>
      <c r="K990">
        <v>1.2</v>
      </c>
      <c r="L990">
        <v>9</v>
      </c>
      <c r="M990" s="1" t="e">
        <f>#N/A</f>
        <v>#N/A</v>
      </c>
      <c r="N990">
        <v>753</v>
      </c>
      <c r="Q990" t="s">
        <v>160</v>
      </c>
    </row>
    <row r="991" spans="1:17" x14ac:dyDescent="0.35">
      <c r="A991">
        <v>990</v>
      </c>
      <c r="B991">
        <v>2024</v>
      </c>
      <c r="C991">
        <v>12</v>
      </c>
      <c r="D991" t="s">
        <v>25</v>
      </c>
      <c r="E991" t="s">
        <v>49</v>
      </c>
      <c r="F991" s="1">
        <v>64709</v>
      </c>
      <c r="G991" s="1">
        <v>292599</v>
      </c>
      <c r="H991">
        <v>11</v>
      </c>
      <c r="I991">
        <v>0.97</v>
      </c>
      <c r="J991">
        <v>6.29</v>
      </c>
      <c r="K991">
        <v>1.2</v>
      </c>
      <c r="L991">
        <v>1</v>
      </c>
      <c r="M991" s="1" t="e">
        <f>#N/A</f>
        <v>#N/A</v>
      </c>
      <c r="N991">
        <v>130</v>
      </c>
      <c r="Q991" t="s">
        <v>160</v>
      </c>
    </row>
    <row r="992" spans="1:17" x14ac:dyDescent="0.35">
      <c r="A992">
        <v>991</v>
      </c>
      <c r="B992">
        <v>2024</v>
      </c>
      <c r="C992">
        <v>12</v>
      </c>
      <c r="D992" t="s">
        <v>32</v>
      </c>
      <c r="E992" t="s">
        <v>62</v>
      </c>
      <c r="F992" s="1">
        <v>96078</v>
      </c>
      <c r="G992" s="1">
        <v>446108</v>
      </c>
      <c r="H992">
        <v>252</v>
      </c>
      <c r="I992">
        <v>0.97</v>
      </c>
      <c r="J992">
        <v>6.29</v>
      </c>
      <c r="K992">
        <v>1.2</v>
      </c>
      <c r="L992">
        <v>6</v>
      </c>
      <c r="M992" s="1" t="e">
        <f>#N/A</f>
        <v>#N/A</v>
      </c>
      <c r="N992">
        <v>630</v>
      </c>
      <c r="Q992" t="s">
        <v>161</v>
      </c>
    </row>
    <row r="993" spans="1:17" x14ac:dyDescent="0.35">
      <c r="A993">
        <v>992</v>
      </c>
      <c r="B993">
        <v>2024</v>
      </c>
      <c r="C993">
        <v>12</v>
      </c>
      <c r="D993" t="s">
        <v>37</v>
      </c>
      <c r="E993" t="s">
        <v>70</v>
      </c>
      <c r="F993" s="1">
        <v>84646</v>
      </c>
      <c r="G993" s="1">
        <v>277966</v>
      </c>
      <c r="H993">
        <v>282</v>
      </c>
      <c r="I993">
        <v>0.97</v>
      </c>
      <c r="J993">
        <v>6.29</v>
      </c>
      <c r="K993">
        <v>1.2</v>
      </c>
      <c r="L993">
        <v>7</v>
      </c>
      <c r="M993" s="1" t="e">
        <f>#N/A</f>
        <v>#N/A</v>
      </c>
      <c r="N993">
        <v>736</v>
      </c>
      <c r="Q993" t="s">
        <v>161</v>
      </c>
    </row>
    <row r="994" spans="1:17" x14ac:dyDescent="0.35">
      <c r="A994">
        <v>993</v>
      </c>
      <c r="B994">
        <v>2024</v>
      </c>
      <c r="C994">
        <v>12</v>
      </c>
      <c r="D994" t="s">
        <v>37</v>
      </c>
      <c r="E994" t="s">
        <v>72</v>
      </c>
      <c r="F994" s="1">
        <v>67769</v>
      </c>
      <c r="G994" s="1">
        <v>164161</v>
      </c>
      <c r="H994">
        <v>339</v>
      </c>
      <c r="I994">
        <v>0.97</v>
      </c>
      <c r="J994">
        <v>6.29</v>
      </c>
      <c r="K994">
        <v>1.2</v>
      </c>
      <c r="L994">
        <v>2</v>
      </c>
      <c r="M994" s="1" t="e">
        <f>#N/A</f>
        <v>#N/A</v>
      </c>
      <c r="N994">
        <v>1095</v>
      </c>
      <c r="Q994" t="s">
        <v>161</v>
      </c>
    </row>
    <row r="995" spans="1:17" x14ac:dyDescent="0.35">
      <c r="A995">
        <v>994</v>
      </c>
      <c r="B995">
        <v>2024</v>
      </c>
      <c r="C995">
        <v>12</v>
      </c>
      <c r="D995" t="s">
        <v>28</v>
      </c>
      <c r="E995" t="s">
        <v>92</v>
      </c>
      <c r="F995" s="1">
        <v>118564</v>
      </c>
      <c r="G995" s="1">
        <v>349155</v>
      </c>
      <c r="H995">
        <v>172</v>
      </c>
      <c r="I995">
        <v>0.97</v>
      </c>
      <c r="J995">
        <v>6.29</v>
      </c>
      <c r="K995">
        <v>1.2</v>
      </c>
      <c r="L995">
        <v>6</v>
      </c>
      <c r="M995" s="1" t="e">
        <f>#N/A</f>
        <v>#N/A</v>
      </c>
      <c r="N995">
        <v>687</v>
      </c>
      <c r="Q995" t="s">
        <v>161</v>
      </c>
    </row>
    <row r="996" spans="1:17" x14ac:dyDescent="0.35">
      <c r="A996">
        <v>995</v>
      </c>
      <c r="B996">
        <v>2024</v>
      </c>
      <c r="C996">
        <v>12</v>
      </c>
      <c r="D996" t="s">
        <v>35</v>
      </c>
      <c r="E996" t="s">
        <v>95</v>
      </c>
      <c r="F996" s="1">
        <v>59354</v>
      </c>
      <c r="G996" s="1">
        <v>317614</v>
      </c>
      <c r="H996">
        <v>88</v>
      </c>
      <c r="I996">
        <v>0.97</v>
      </c>
      <c r="J996">
        <v>6.29</v>
      </c>
      <c r="K996">
        <v>1.2</v>
      </c>
      <c r="L996">
        <v>6</v>
      </c>
      <c r="M996" s="1" t="e">
        <f>#N/A</f>
        <v>#N/A</v>
      </c>
      <c r="N996">
        <v>426</v>
      </c>
      <c r="Q996" t="s">
        <v>161</v>
      </c>
    </row>
    <row r="997" spans="1:17" x14ac:dyDescent="0.35">
      <c r="A997">
        <v>996</v>
      </c>
      <c r="B997">
        <v>2024</v>
      </c>
      <c r="C997">
        <v>12</v>
      </c>
      <c r="D997" t="s">
        <v>35</v>
      </c>
      <c r="E997" t="s">
        <v>104</v>
      </c>
      <c r="F997" s="1">
        <v>51562</v>
      </c>
      <c r="G997" s="1">
        <v>318667</v>
      </c>
      <c r="H997">
        <v>102</v>
      </c>
      <c r="I997">
        <v>0.97</v>
      </c>
      <c r="J997">
        <v>6.29</v>
      </c>
      <c r="K997">
        <v>1.2</v>
      </c>
      <c r="L997">
        <v>2</v>
      </c>
      <c r="M997" s="1" t="e">
        <f>#N/A</f>
        <v>#N/A</v>
      </c>
      <c r="N997">
        <v>476</v>
      </c>
      <c r="Q997" t="s">
        <v>161</v>
      </c>
    </row>
    <row r="998" spans="1:17" x14ac:dyDescent="0.35">
      <c r="A998">
        <v>997</v>
      </c>
      <c r="B998">
        <v>2024</v>
      </c>
      <c r="C998">
        <v>12</v>
      </c>
      <c r="D998" t="s">
        <v>35</v>
      </c>
      <c r="E998" t="s">
        <v>110</v>
      </c>
      <c r="F998" s="1">
        <v>67016</v>
      </c>
      <c r="G998" s="1">
        <v>388246</v>
      </c>
      <c r="H998">
        <v>82</v>
      </c>
      <c r="I998">
        <v>0.97</v>
      </c>
      <c r="J998">
        <v>6.29</v>
      </c>
      <c r="K998">
        <v>1.2</v>
      </c>
      <c r="L998">
        <v>2</v>
      </c>
      <c r="M998" s="1" t="e">
        <f>#N/A</f>
        <v>#N/A</v>
      </c>
      <c r="N998">
        <v>641</v>
      </c>
      <c r="Q998" t="s">
        <v>161</v>
      </c>
    </row>
    <row r="999" spans="1:17" x14ac:dyDescent="0.35">
      <c r="A999">
        <v>998</v>
      </c>
      <c r="B999">
        <v>2024</v>
      </c>
      <c r="C999">
        <v>12</v>
      </c>
      <c r="D999" t="s">
        <v>37</v>
      </c>
      <c r="E999" t="s">
        <v>122</v>
      </c>
      <c r="F999" s="1">
        <v>36605</v>
      </c>
      <c r="G999" s="1">
        <v>258726</v>
      </c>
      <c r="H999">
        <v>186</v>
      </c>
      <c r="I999">
        <v>0.97</v>
      </c>
      <c r="J999">
        <v>6.29</v>
      </c>
      <c r="K999">
        <v>1.2</v>
      </c>
      <c r="L999">
        <v>8</v>
      </c>
      <c r="M999" s="1" t="e">
        <f>#N/A</f>
        <v>#N/A</v>
      </c>
      <c r="N999">
        <v>622</v>
      </c>
      <c r="Q999" t="s">
        <v>162</v>
      </c>
    </row>
    <row r="1000" spans="1:17" x14ac:dyDescent="0.35">
      <c r="A1000">
        <v>999</v>
      </c>
      <c r="B1000">
        <v>2024</v>
      </c>
      <c r="C1000">
        <v>12</v>
      </c>
      <c r="D1000" t="s">
        <v>25</v>
      </c>
      <c r="E1000" t="s">
        <v>157</v>
      </c>
      <c r="F1000" s="1">
        <v>118597</v>
      </c>
      <c r="G1000" s="1">
        <v>367188</v>
      </c>
      <c r="H1000">
        <v>140</v>
      </c>
      <c r="I1000">
        <v>0.97</v>
      </c>
      <c r="J1000">
        <v>6.29</v>
      </c>
      <c r="K1000">
        <v>1.2</v>
      </c>
      <c r="L1000">
        <v>7</v>
      </c>
      <c r="M1000" s="1" t="e">
        <f>#N/A</f>
        <v>#N/A</v>
      </c>
      <c r="N1000">
        <v>281</v>
      </c>
      <c r="Q1000" t="s">
        <v>162</v>
      </c>
    </row>
    <row r="1001" spans="1:17" x14ac:dyDescent="0.35">
      <c r="A1001">
        <v>1000</v>
      </c>
      <c r="B1001">
        <v>2024</v>
      </c>
      <c r="C1001">
        <v>12</v>
      </c>
      <c r="D1001" t="s">
        <v>36</v>
      </c>
      <c r="E1001" t="s">
        <v>153</v>
      </c>
      <c r="F1001" s="1">
        <v>35228</v>
      </c>
      <c r="G1001" s="1">
        <v>363045</v>
      </c>
      <c r="H1001">
        <v>35</v>
      </c>
      <c r="I1001">
        <v>0.97</v>
      </c>
      <c r="J1001">
        <v>6.29</v>
      </c>
      <c r="K1001">
        <v>1.2</v>
      </c>
      <c r="L1001">
        <v>5</v>
      </c>
      <c r="M1001" s="1" t="e">
        <f>#N/A</f>
        <v>#N/A</v>
      </c>
      <c r="N1001">
        <v>171</v>
      </c>
      <c r="Q1001" t="s">
        <v>162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5224-0FA4-4C5D-9305-34EDDA6EE86A}">
  <dimension ref="A1:J1002"/>
  <sheetViews>
    <sheetView tabSelected="1" workbookViewId="0">
      <selection activeCell="F6" sqref="F6"/>
    </sheetView>
  </sheetViews>
  <sheetFormatPr defaultRowHeight="14.5" x14ac:dyDescent="0.35"/>
  <cols>
    <col min="1" max="1" width="9.54296875" customWidth="1"/>
    <col min="2" max="2" width="8.453125" customWidth="1"/>
    <col min="3" max="4" width="10.81640625" customWidth="1"/>
    <col min="5" max="5" width="13.453125" bestFit="1" customWidth="1"/>
    <col min="6" max="6" width="21.453125" customWidth="1"/>
    <col min="7" max="7" width="21.81640625" bestFit="1" customWidth="1"/>
    <col min="8" max="8" width="21.7265625" bestFit="1" customWidth="1"/>
    <col min="9" max="9" width="18.81640625" bestFit="1" customWidth="1"/>
    <col min="10" max="10" width="18.81640625" customWidth="1"/>
    <col min="11" max="11" width="11.7265625" bestFit="1" customWidth="1"/>
  </cols>
  <sheetData>
    <row r="1" spans="1:10" x14ac:dyDescent="0.35">
      <c r="A1" t="s">
        <v>41</v>
      </c>
      <c r="B1" t="s">
        <v>174</v>
      </c>
      <c r="C1" t="s">
        <v>164</v>
      </c>
      <c r="D1" t="s">
        <v>163</v>
      </c>
      <c r="E1" s="1" t="s">
        <v>6</v>
      </c>
      <c r="F1" s="1" t="s">
        <v>7</v>
      </c>
      <c r="G1" t="s">
        <v>8</v>
      </c>
      <c r="H1" t="s">
        <v>12</v>
      </c>
      <c r="I1" t="s">
        <v>40</v>
      </c>
      <c r="J1" t="s">
        <v>13</v>
      </c>
    </row>
    <row r="2" spans="1:10" x14ac:dyDescent="0.35">
      <c r="A2">
        <v>1</v>
      </c>
      <c r="B2" t="s">
        <v>282</v>
      </c>
      <c r="C2" t="s">
        <v>52</v>
      </c>
      <c r="D2" t="s">
        <v>167</v>
      </c>
      <c r="E2" s="1">
        <v>55827</v>
      </c>
      <c r="F2" s="1">
        <v>425348</v>
      </c>
      <c r="G2">
        <v>198</v>
      </c>
      <c r="H2">
        <v>2</v>
      </c>
      <c r="I2" s="1">
        <f>fact[[#This Row],[units_sold]]*fact[[#This Row],[price_usd]]</f>
        <v>39413862</v>
      </c>
      <c r="J2">
        <v>706</v>
      </c>
    </row>
    <row r="3" spans="1:10" x14ac:dyDescent="0.35">
      <c r="A3">
        <v>2</v>
      </c>
      <c r="B3" t="s">
        <v>282</v>
      </c>
      <c r="C3" t="s">
        <v>74</v>
      </c>
      <c r="D3" t="s">
        <v>165</v>
      </c>
      <c r="E3" s="1">
        <v>60186</v>
      </c>
      <c r="F3" s="1">
        <v>305230</v>
      </c>
      <c r="G3">
        <v>312</v>
      </c>
      <c r="H3">
        <v>5</v>
      </c>
      <c r="I3" s="1">
        <f>fact[[#This Row],[units_sold]]*fact[[#This Row],[price_usd]]</f>
        <v>55491492</v>
      </c>
      <c r="J3">
        <v>922</v>
      </c>
    </row>
    <row r="4" spans="1:10" x14ac:dyDescent="0.35">
      <c r="A4">
        <v>3</v>
      </c>
      <c r="B4" t="s">
        <v>282</v>
      </c>
      <c r="C4" t="s">
        <v>88</v>
      </c>
      <c r="D4" t="s">
        <v>170</v>
      </c>
      <c r="E4" s="1">
        <v>118384</v>
      </c>
      <c r="F4" s="1">
        <v>462540</v>
      </c>
      <c r="G4">
        <v>56</v>
      </c>
      <c r="H4">
        <v>10</v>
      </c>
      <c r="I4" s="1">
        <f>fact[[#This Row],[units_sold]]*fact[[#This Row],[price_usd]]</f>
        <v>43565312</v>
      </c>
      <c r="J4">
        <v>368</v>
      </c>
    </row>
    <row r="5" spans="1:10" x14ac:dyDescent="0.35">
      <c r="A5">
        <v>4</v>
      </c>
      <c r="B5" t="s">
        <v>282</v>
      </c>
      <c r="C5" t="s">
        <v>94</v>
      </c>
      <c r="D5" t="s">
        <v>169</v>
      </c>
      <c r="E5" s="1">
        <v>44943</v>
      </c>
      <c r="F5" s="1">
        <v>241007</v>
      </c>
      <c r="G5">
        <v>247</v>
      </c>
      <c r="H5">
        <v>4</v>
      </c>
      <c r="I5" s="1">
        <f>fact[[#This Row],[units_sold]]*fact[[#This Row],[price_usd]]</f>
        <v>29078121</v>
      </c>
      <c r="J5">
        <v>647</v>
      </c>
    </row>
    <row r="6" spans="1:10" x14ac:dyDescent="0.35">
      <c r="A6">
        <v>5</v>
      </c>
      <c r="B6" t="s">
        <v>282</v>
      </c>
      <c r="C6" t="s">
        <v>114</v>
      </c>
      <c r="D6" t="s">
        <v>170</v>
      </c>
      <c r="E6" s="1">
        <v>63633</v>
      </c>
      <c r="F6" s="1">
        <v>176218</v>
      </c>
      <c r="G6">
        <v>280</v>
      </c>
      <c r="H6">
        <v>5</v>
      </c>
      <c r="I6" s="1">
        <f>fact[[#This Row],[units_sold]]*fact[[#This Row],[price_usd]]</f>
        <v>59878653</v>
      </c>
      <c r="J6">
        <v>941</v>
      </c>
    </row>
    <row r="7" spans="1:10" x14ac:dyDescent="0.35">
      <c r="A7">
        <v>6</v>
      </c>
      <c r="B7" t="s">
        <v>282</v>
      </c>
      <c r="C7" t="s">
        <v>123</v>
      </c>
      <c r="D7" t="s">
        <v>170</v>
      </c>
      <c r="E7" s="1">
        <v>104876</v>
      </c>
      <c r="F7" s="1">
        <v>229425</v>
      </c>
      <c r="G7">
        <v>322</v>
      </c>
      <c r="H7">
        <v>7</v>
      </c>
      <c r="I7" s="1">
        <f>fact[[#This Row],[units_sold]]*fact[[#This Row],[price_usd]]</f>
        <v>70791300</v>
      </c>
      <c r="J7">
        <v>675</v>
      </c>
    </row>
    <row r="8" spans="1:10" x14ac:dyDescent="0.35">
      <c r="A8">
        <v>7</v>
      </c>
      <c r="B8" t="s">
        <v>282</v>
      </c>
      <c r="C8" t="s">
        <v>123</v>
      </c>
      <c r="D8" t="s">
        <v>168</v>
      </c>
      <c r="E8" s="1">
        <v>41221</v>
      </c>
      <c r="F8" s="1">
        <v>216969</v>
      </c>
      <c r="G8">
        <v>88</v>
      </c>
      <c r="H8">
        <v>1</v>
      </c>
      <c r="I8" s="1">
        <f>fact[[#This Row],[units_sold]]*fact[[#This Row],[price_usd]]</f>
        <v>20280732</v>
      </c>
      <c r="J8">
        <v>492</v>
      </c>
    </row>
    <row r="9" spans="1:10" x14ac:dyDescent="0.35">
      <c r="A9">
        <v>8</v>
      </c>
      <c r="B9" t="s">
        <v>282</v>
      </c>
      <c r="C9" t="s">
        <v>151</v>
      </c>
      <c r="D9" t="s">
        <v>170</v>
      </c>
      <c r="E9" s="1">
        <v>83517</v>
      </c>
      <c r="F9" s="1">
        <v>190021</v>
      </c>
      <c r="G9">
        <v>311</v>
      </c>
      <c r="H9">
        <v>8</v>
      </c>
      <c r="I9" s="1">
        <f>fact[[#This Row],[units_sold]]*fact[[#This Row],[price_usd]]</f>
        <v>55288254</v>
      </c>
      <c r="J9">
        <v>662</v>
      </c>
    </row>
    <row r="10" spans="1:10" x14ac:dyDescent="0.35">
      <c r="A10">
        <v>9</v>
      </c>
      <c r="B10" t="s">
        <v>282</v>
      </c>
      <c r="C10" t="s">
        <v>147</v>
      </c>
      <c r="D10" t="s">
        <v>171</v>
      </c>
      <c r="E10" s="1">
        <v>67167</v>
      </c>
      <c r="F10" s="1">
        <v>210185</v>
      </c>
      <c r="G10">
        <v>139</v>
      </c>
      <c r="H10">
        <v>8</v>
      </c>
      <c r="I10" s="1">
        <f>fact[[#This Row],[units_sold]]*fact[[#This Row],[price_usd]]</f>
        <v>25523460</v>
      </c>
      <c r="J10">
        <v>380</v>
      </c>
    </row>
    <row r="11" spans="1:10" x14ac:dyDescent="0.35">
      <c r="A11">
        <v>10</v>
      </c>
      <c r="B11" t="s">
        <v>282</v>
      </c>
      <c r="C11" t="s">
        <v>156</v>
      </c>
      <c r="D11" t="s">
        <v>32</v>
      </c>
      <c r="E11" s="1">
        <v>76850</v>
      </c>
      <c r="F11" s="1">
        <v>197525</v>
      </c>
      <c r="G11">
        <v>62</v>
      </c>
      <c r="H11">
        <v>2</v>
      </c>
      <c r="I11" s="1">
        <f>fact[[#This Row],[units_sold]]*fact[[#This Row],[price_usd]]</f>
        <v>16215350</v>
      </c>
      <c r="J11">
        <v>211</v>
      </c>
    </row>
    <row r="12" spans="1:10" x14ac:dyDescent="0.35">
      <c r="A12">
        <v>11</v>
      </c>
      <c r="B12" t="s">
        <v>201</v>
      </c>
      <c r="C12" t="s">
        <v>46</v>
      </c>
      <c r="D12" t="s">
        <v>167</v>
      </c>
      <c r="E12" s="1">
        <v>102695</v>
      </c>
      <c r="F12" s="1">
        <v>463083</v>
      </c>
      <c r="G12">
        <v>223</v>
      </c>
      <c r="H12">
        <v>8</v>
      </c>
      <c r="I12" s="1">
        <f>fact[[#This Row],[units_sold]]*fact[[#This Row],[price_usd]]</f>
        <v>55249910</v>
      </c>
      <c r="J12">
        <v>538</v>
      </c>
    </row>
    <row r="13" spans="1:10" x14ac:dyDescent="0.35">
      <c r="A13">
        <v>12</v>
      </c>
      <c r="B13" t="s">
        <v>201</v>
      </c>
      <c r="C13" t="s">
        <v>51</v>
      </c>
      <c r="D13" t="s">
        <v>172</v>
      </c>
      <c r="E13" s="1">
        <v>50630</v>
      </c>
      <c r="F13" s="1">
        <v>101024</v>
      </c>
      <c r="G13">
        <v>191</v>
      </c>
      <c r="H13">
        <v>8</v>
      </c>
      <c r="I13" s="1">
        <f>fact[[#This Row],[units_sold]]*fact[[#This Row],[price_usd]]</f>
        <v>39491400</v>
      </c>
      <c r="J13">
        <v>780</v>
      </c>
    </row>
    <row r="14" spans="1:10" x14ac:dyDescent="0.35">
      <c r="A14">
        <v>13</v>
      </c>
      <c r="B14" t="s">
        <v>201</v>
      </c>
      <c r="C14" t="s">
        <v>62</v>
      </c>
      <c r="D14" t="s">
        <v>170</v>
      </c>
      <c r="E14" s="1">
        <v>116788</v>
      </c>
      <c r="F14" s="1">
        <v>306681</v>
      </c>
      <c r="G14">
        <v>171</v>
      </c>
      <c r="H14">
        <v>9</v>
      </c>
      <c r="I14" s="1">
        <f>fact[[#This Row],[units_sold]]*fact[[#This Row],[price_usd]]</f>
        <v>67153100</v>
      </c>
      <c r="J14">
        <v>575</v>
      </c>
    </row>
    <row r="15" spans="1:10" x14ac:dyDescent="0.35">
      <c r="A15">
        <v>14</v>
      </c>
      <c r="B15" t="s">
        <v>201</v>
      </c>
      <c r="C15" t="s">
        <v>72</v>
      </c>
      <c r="D15" t="s">
        <v>168</v>
      </c>
      <c r="E15" s="1">
        <v>37841</v>
      </c>
      <c r="F15" s="1">
        <v>347594</v>
      </c>
      <c r="G15">
        <v>152</v>
      </c>
      <c r="H15">
        <v>4</v>
      </c>
      <c r="I15" s="1">
        <f>fact[[#This Row],[units_sold]]*fact[[#This Row],[price_usd]]</f>
        <v>19563797</v>
      </c>
      <c r="J15">
        <v>517</v>
      </c>
    </row>
    <row r="16" spans="1:10" x14ac:dyDescent="0.35">
      <c r="A16">
        <v>15</v>
      </c>
      <c r="B16" t="s">
        <v>201</v>
      </c>
      <c r="C16" t="s">
        <v>68</v>
      </c>
      <c r="D16" t="s">
        <v>172</v>
      </c>
      <c r="E16" s="1">
        <v>79462</v>
      </c>
      <c r="F16" s="1">
        <v>351566</v>
      </c>
      <c r="G16">
        <v>98</v>
      </c>
      <c r="H16">
        <v>10</v>
      </c>
      <c r="I16" s="1">
        <f>fact[[#This Row],[units_sold]]*fact[[#This Row],[price_usd]]</f>
        <v>23679676</v>
      </c>
      <c r="J16">
        <v>298</v>
      </c>
    </row>
    <row r="17" spans="1:10" x14ac:dyDescent="0.35">
      <c r="A17">
        <v>16</v>
      </c>
      <c r="B17" t="s">
        <v>201</v>
      </c>
      <c r="C17" t="s">
        <v>72</v>
      </c>
      <c r="D17" t="s">
        <v>32</v>
      </c>
      <c r="E17" s="1">
        <v>114401</v>
      </c>
      <c r="F17" s="1">
        <v>413334</v>
      </c>
      <c r="G17">
        <v>84</v>
      </c>
      <c r="H17">
        <v>1</v>
      </c>
      <c r="I17" s="1">
        <f>fact[[#This Row],[units_sold]]*fact[[#This Row],[price_usd]]</f>
        <v>30659468</v>
      </c>
      <c r="J17">
        <v>268</v>
      </c>
    </row>
    <row r="18" spans="1:10" x14ac:dyDescent="0.35">
      <c r="A18">
        <v>17</v>
      </c>
      <c r="B18" t="s">
        <v>201</v>
      </c>
      <c r="C18" t="s">
        <v>84</v>
      </c>
      <c r="D18" t="s">
        <v>168</v>
      </c>
      <c r="E18" s="1">
        <v>91356</v>
      </c>
      <c r="F18" s="1">
        <v>192690</v>
      </c>
      <c r="G18">
        <v>21</v>
      </c>
      <c r="H18">
        <v>3</v>
      </c>
      <c r="I18" s="1">
        <f>fact[[#This Row],[units_sold]]*fact[[#This Row],[price_usd]]</f>
        <v>27954936</v>
      </c>
      <c r="J18">
        <v>306</v>
      </c>
    </row>
    <row r="19" spans="1:10" x14ac:dyDescent="0.35">
      <c r="A19">
        <v>18</v>
      </c>
      <c r="B19" t="s">
        <v>201</v>
      </c>
      <c r="C19" t="s">
        <v>123</v>
      </c>
      <c r="D19" t="s">
        <v>168</v>
      </c>
      <c r="E19" s="1">
        <v>35495</v>
      </c>
      <c r="F19" s="1">
        <v>412612</v>
      </c>
      <c r="G19">
        <v>304</v>
      </c>
      <c r="H19">
        <v>1</v>
      </c>
      <c r="I19" s="1">
        <f>fact[[#This Row],[units_sold]]*fact[[#This Row],[price_usd]]</f>
        <v>34536635</v>
      </c>
      <c r="J19">
        <v>973</v>
      </c>
    </row>
    <row r="20" spans="1:10" x14ac:dyDescent="0.35">
      <c r="A20">
        <v>19</v>
      </c>
      <c r="B20" t="s">
        <v>201</v>
      </c>
      <c r="C20" t="s">
        <v>122</v>
      </c>
      <c r="D20" t="s">
        <v>173</v>
      </c>
      <c r="E20" s="1">
        <v>48016</v>
      </c>
      <c r="F20" s="1">
        <v>486549</v>
      </c>
      <c r="G20">
        <v>346</v>
      </c>
      <c r="H20">
        <v>6</v>
      </c>
      <c r="I20" s="1">
        <f>fact[[#This Row],[units_sold]]*fact[[#This Row],[price_usd]]</f>
        <v>55506496</v>
      </c>
      <c r="J20">
        <v>1156</v>
      </c>
    </row>
    <row r="21" spans="1:10" x14ac:dyDescent="0.35">
      <c r="A21">
        <v>20</v>
      </c>
      <c r="B21" t="s">
        <v>201</v>
      </c>
      <c r="C21" t="s">
        <v>138</v>
      </c>
      <c r="D21" t="s">
        <v>168</v>
      </c>
      <c r="E21" s="1">
        <v>113291</v>
      </c>
      <c r="F21" s="1">
        <v>258281</v>
      </c>
      <c r="G21">
        <v>365</v>
      </c>
      <c r="H21">
        <v>6</v>
      </c>
      <c r="I21" s="1">
        <f>fact[[#This Row],[units_sold]]*fact[[#This Row],[price_usd]]</f>
        <v>116349857</v>
      </c>
      <c r="J21">
        <v>1027</v>
      </c>
    </row>
    <row r="22" spans="1:10" x14ac:dyDescent="0.35">
      <c r="A22">
        <v>21</v>
      </c>
      <c r="B22" t="s">
        <v>201</v>
      </c>
      <c r="C22" t="s">
        <v>152</v>
      </c>
      <c r="D22" t="s">
        <v>168</v>
      </c>
      <c r="E22" s="1">
        <v>75696</v>
      </c>
      <c r="F22" s="1">
        <v>68667</v>
      </c>
      <c r="G22">
        <v>38</v>
      </c>
      <c r="H22">
        <v>5</v>
      </c>
      <c r="I22" s="1">
        <f>fact[[#This Row],[units_sold]]*fact[[#This Row],[price_usd]]</f>
        <v>29370048</v>
      </c>
      <c r="J22">
        <v>388</v>
      </c>
    </row>
    <row r="23" spans="1:10" x14ac:dyDescent="0.35">
      <c r="A23">
        <v>22</v>
      </c>
      <c r="B23" t="s">
        <v>201</v>
      </c>
      <c r="C23" t="s">
        <v>156</v>
      </c>
      <c r="D23" t="s">
        <v>165</v>
      </c>
      <c r="E23" s="1">
        <v>102443</v>
      </c>
      <c r="F23" s="1">
        <v>411445</v>
      </c>
      <c r="G23">
        <v>175</v>
      </c>
      <c r="H23">
        <v>1</v>
      </c>
      <c r="I23" s="1">
        <f>fact[[#This Row],[units_sold]]*fact[[#This Row],[price_usd]]</f>
        <v>54602119</v>
      </c>
      <c r="J23">
        <v>533</v>
      </c>
    </row>
    <row r="24" spans="1:10" x14ac:dyDescent="0.35">
      <c r="A24">
        <v>23</v>
      </c>
      <c r="B24" t="s">
        <v>245</v>
      </c>
      <c r="C24" t="s">
        <v>55</v>
      </c>
      <c r="D24" t="s">
        <v>171</v>
      </c>
      <c r="E24" s="1">
        <v>108324</v>
      </c>
      <c r="F24" s="1">
        <v>381495</v>
      </c>
      <c r="G24">
        <v>389</v>
      </c>
      <c r="H24">
        <v>2</v>
      </c>
      <c r="I24" s="1">
        <f>fact[[#This Row],[units_sold]]*fact[[#This Row],[price_usd]]</f>
        <v>134538408</v>
      </c>
      <c r="J24">
        <v>1242</v>
      </c>
    </row>
    <row r="25" spans="1:10" x14ac:dyDescent="0.35">
      <c r="A25">
        <v>24</v>
      </c>
      <c r="B25" t="s">
        <v>245</v>
      </c>
      <c r="C25" t="s">
        <v>69</v>
      </c>
      <c r="D25" t="s">
        <v>168</v>
      </c>
      <c r="E25" s="1">
        <v>40037</v>
      </c>
      <c r="F25" s="1">
        <v>306306</v>
      </c>
      <c r="G25">
        <v>274</v>
      </c>
      <c r="H25">
        <v>1</v>
      </c>
      <c r="I25" s="1">
        <f>fact[[#This Row],[units_sold]]*fact[[#This Row],[price_usd]]</f>
        <v>30508194</v>
      </c>
      <c r="J25">
        <v>762</v>
      </c>
    </row>
    <row r="26" spans="1:10" x14ac:dyDescent="0.35">
      <c r="A26">
        <v>25</v>
      </c>
      <c r="B26" t="s">
        <v>245</v>
      </c>
      <c r="C26" t="s">
        <v>68</v>
      </c>
      <c r="D26" t="s">
        <v>171</v>
      </c>
      <c r="E26" s="1">
        <v>85494</v>
      </c>
      <c r="F26" s="1">
        <v>359044</v>
      </c>
      <c r="G26">
        <v>31</v>
      </c>
      <c r="H26">
        <v>6</v>
      </c>
      <c r="I26" s="1">
        <f>fact[[#This Row],[units_sold]]*fact[[#This Row],[price_usd]]</f>
        <v>8549400</v>
      </c>
      <c r="J26">
        <v>100</v>
      </c>
    </row>
    <row r="27" spans="1:10" x14ac:dyDescent="0.35">
      <c r="A27">
        <v>26</v>
      </c>
      <c r="B27" t="s">
        <v>245</v>
      </c>
      <c r="C27" t="s">
        <v>90</v>
      </c>
      <c r="D27" t="s">
        <v>167</v>
      </c>
      <c r="E27" s="1">
        <v>104453</v>
      </c>
      <c r="F27" s="1">
        <v>192226</v>
      </c>
      <c r="G27">
        <v>44</v>
      </c>
      <c r="H27">
        <v>6</v>
      </c>
      <c r="I27" s="1">
        <f>fact[[#This Row],[units_sold]]*fact[[#This Row],[price_usd]]</f>
        <v>27680045</v>
      </c>
      <c r="J27">
        <v>265</v>
      </c>
    </row>
    <row r="28" spans="1:10" x14ac:dyDescent="0.35">
      <c r="A28">
        <v>27</v>
      </c>
      <c r="B28" t="s">
        <v>245</v>
      </c>
      <c r="C28" t="s">
        <v>120</v>
      </c>
      <c r="D28" t="s">
        <v>170</v>
      </c>
      <c r="E28" s="1">
        <v>77598</v>
      </c>
      <c r="F28" s="1">
        <v>483603</v>
      </c>
      <c r="G28">
        <v>199</v>
      </c>
      <c r="H28">
        <v>2</v>
      </c>
      <c r="I28" s="1">
        <f>fact[[#This Row],[units_sold]]*fact[[#This Row],[price_usd]]</f>
        <v>66967074</v>
      </c>
      <c r="J28">
        <v>863</v>
      </c>
    </row>
    <row r="29" spans="1:10" x14ac:dyDescent="0.35">
      <c r="A29">
        <v>28</v>
      </c>
      <c r="B29" t="s">
        <v>245</v>
      </c>
      <c r="C29" t="s">
        <v>128</v>
      </c>
      <c r="D29" t="s">
        <v>167</v>
      </c>
      <c r="E29" s="1">
        <v>53610</v>
      </c>
      <c r="F29" s="1">
        <v>128840</v>
      </c>
      <c r="G29">
        <v>225</v>
      </c>
      <c r="H29">
        <v>4</v>
      </c>
      <c r="I29" s="1">
        <f>fact[[#This Row],[units_sold]]*fact[[#This Row],[price_usd]]</f>
        <v>36186750</v>
      </c>
      <c r="J29">
        <v>675</v>
      </c>
    </row>
    <row r="30" spans="1:10" x14ac:dyDescent="0.35">
      <c r="A30">
        <v>29</v>
      </c>
      <c r="B30" t="s">
        <v>245</v>
      </c>
      <c r="C30" t="s">
        <v>129</v>
      </c>
      <c r="D30" t="s">
        <v>173</v>
      </c>
      <c r="E30" s="1">
        <v>96078</v>
      </c>
      <c r="F30" s="1">
        <v>99476</v>
      </c>
      <c r="G30">
        <v>266</v>
      </c>
      <c r="H30">
        <v>5</v>
      </c>
      <c r="I30" s="1">
        <f>fact[[#This Row],[units_sold]]*fact[[#This Row],[price_usd]]</f>
        <v>61201686</v>
      </c>
      <c r="J30">
        <v>637</v>
      </c>
    </row>
    <row r="31" spans="1:10" x14ac:dyDescent="0.35">
      <c r="A31">
        <v>30</v>
      </c>
      <c r="B31" t="s">
        <v>250</v>
      </c>
      <c r="C31" t="s">
        <v>133</v>
      </c>
      <c r="D31" t="s">
        <v>32</v>
      </c>
      <c r="E31" s="1">
        <v>53157</v>
      </c>
      <c r="F31" s="1">
        <v>107786</v>
      </c>
      <c r="G31">
        <v>173</v>
      </c>
      <c r="H31">
        <v>8</v>
      </c>
      <c r="I31" s="1">
        <f>fact[[#This Row],[units_sold]]*fact[[#This Row],[price_usd]]</f>
        <v>35455719</v>
      </c>
      <c r="J31">
        <v>667</v>
      </c>
    </row>
    <row r="32" spans="1:10" x14ac:dyDescent="0.35">
      <c r="A32">
        <v>31</v>
      </c>
      <c r="B32" t="s">
        <v>250</v>
      </c>
      <c r="C32" t="s">
        <v>133</v>
      </c>
      <c r="D32" t="s">
        <v>167</v>
      </c>
      <c r="E32" s="1">
        <v>84556</v>
      </c>
      <c r="F32" s="1">
        <v>358645</v>
      </c>
      <c r="G32">
        <v>370</v>
      </c>
      <c r="H32">
        <v>4</v>
      </c>
      <c r="I32" s="1">
        <f>fact[[#This Row],[units_sold]]*fact[[#This Row],[price_usd]]</f>
        <v>68913140</v>
      </c>
      <c r="J32">
        <v>815</v>
      </c>
    </row>
    <row r="33" spans="1:10" x14ac:dyDescent="0.35">
      <c r="A33">
        <v>32</v>
      </c>
      <c r="B33" t="s">
        <v>250</v>
      </c>
      <c r="C33" t="s">
        <v>150</v>
      </c>
      <c r="D33" t="s">
        <v>167</v>
      </c>
      <c r="E33" s="1">
        <v>55213</v>
      </c>
      <c r="F33" s="1">
        <v>361741</v>
      </c>
      <c r="G33">
        <v>219</v>
      </c>
      <c r="H33">
        <v>1</v>
      </c>
      <c r="I33" s="1">
        <f>fact[[#This Row],[units_sold]]*fact[[#This Row],[price_usd]]</f>
        <v>39587721</v>
      </c>
      <c r="J33">
        <v>717</v>
      </c>
    </row>
    <row r="34" spans="1:10" x14ac:dyDescent="0.35">
      <c r="A34">
        <v>33</v>
      </c>
      <c r="B34" t="s">
        <v>250</v>
      </c>
      <c r="C34" t="s">
        <v>156</v>
      </c>
      <c r="D34" t="s">
        <v>165</v>
      </c>
      <c r="E34" s="1">
        <v>48029</v>
      </c>
      <c r="F34" s="1">
        <v>159321</v>
      </c>
      <c r="G34">
        <v>217</v>
      </c>
      <c r="H34">
        <v>7</v>
      </c>
      <c r="I34" s="1">
        <f>fact[[#This Row],[units_sold]]*fact[[#This Row],[price_usd]]</f>
        <v>29874038</v>
      </c>
      <c r="J34">
        <v>622</v>
      </c>
    </row>
    <row r="35" spans="1:10" x14ac:dyDescent="0.35">
      <c r="A35">
        <v>34</v>
      </c>
      <c r="B35" t="s">
        <v>250</v>
      </c>
      <c r="C35" t="s">
        <v>155</v>
      </c>
      <c r="D35" t="s">
        <v>32</v>
      </c>
      <c r="E35" s="1">
        <v>106916</v>
      </c>
      <c r="F35" s="1">
        <v>482348</v>
      </c>
      <c r="G35">
        <v>112</v>
      </c>
      <c r="H35">
        <v>8</v>
      </c>
      <c r="I35" s="1">
        <f>fact[[#This Row],[units_sold]]*fact[[#This Row],[price_usd]]</f>
        <v>43621728</v>
      </c>
      <c r="J35">
        <v>408</v>
      </c>
    </row>
    <row r="36" spans="1:10" x14ac:dyDescent="0.35">
      <c r="A36">
        <v>35</v>
      </c>
      <c r="B36" t="s">
        <v>192</v>
      </c>
      <c r="C36" t="s">
        <v>55</v>
      </c>
      <c r="D36" t="s">
        <v>168</v>
      </c>
      <c r="E36" s="1">
        <v>82645</v>
      </c>
      <c r="F36" s="1">
        <v>369248</v>
      </c>
      <c r="G36">
        <v>322</v>
      </c>
      <c r="H36">
        <v>5</v>
      </c>
      <c r="I36" s="1">
        <f>fact[[#This Row],[units_sold]]*fact[[#This Row],[price_usd]]</f>
        <v>68347415</v>
      </c>
      <c r="J36">
        <v>827</v>
      </c>
    </row>
    <row r="37" spans="1:10" x14ac:dyDescent="0.35">
      <c r="A37">
        <v>36</v>
      </c>
      <c r="B37" t="s">
        <v>192</v>
      </c>
      <c r="C37" t="s">
        <v>79</v>
      </c>
      <c r="D37" t="s">
        <v>172</v>
      </c>
      <c r="E37" s="1">
        <v>110242</v>
      </c>
      <c r="F37" s="1">
        <v>495625</v>
      </c>
      <c r="G37">
        <v>285</v>
      </c>
      <c r="H37">
        <v>7</v>
      </c>
      <c r="I37" s="1">
        <f>fact[[#This Row],[units_sold]]*fact[[#This Row],[price_usd]]</f>
        <v>103958206</v>
      </c>
      <c r="J37">
        <v>943</v>
      </c>
    </row>
    <row r="38" spans="1:10" x14ac:dyDescent="0.35">
      <c r="A38">
        <v>37</v>
      </c>
      <c r="B38" t="s">
        <v>192</v>
      </c>
      <c r="C38" t="s">
        <v>70</v>
      </c>
      <c r="D38" t="s">
        <v>165</v>
      </c>
      <c r="E38" s="1">
        <v>109024</v>
      </c>
      <c r="F38" s="1">
        <v>489978</v>
      </c>
      <c r="G38">
        <v>39</v>
      </c>
      <c r="H38">
        <v>9</v>
      </c>
      <c r="I38" s="1">
        <f>fact[[#This Row],[units_sold]]*fact[[#This Row],[price_usd]]</f>
        <v>53748832</v>
      </c>
      <c r="J38">
        <v>493</v>
      </c>
    </row>
    <row r="39" spans="1:10" x14ac:dyDescent="0.35">
      <c r="A39">
        <v>38</v>
      </c>
      <c r="B39" t="s">
        <v>192</v>
      </c>
      <c r="C39" t="s">
        <v>85</v>
      </c>
      <c r="D39" t="s">
        <v>167</v>
      </c>
      <c r="E39" s="1">
        <v>91396</v>
      </c>
      <c r="F39" s="1">
        <v>61549</v>
      </c>
      <c r="G39">
        <v>16</v>
      </c>
      <c r="H39">
        <v>7</v>
      </c>
      <c r="I39" s="1">
        <f>fact[[#This Row],[units_sold]]*fact[[#This Row],[price_usd]]</f>
        <v>1370940</v>
      </c>
      <c r="J39">
        <v>15</v>
      </c>
    </row>
    <row r="40" spans="1:10" x14ac:dyDescent="0.35">
      <c r="A40">
        <v>39</v>
      </c>
      <c r="B40" t="s">
        <v>192</v>
      </c>
      <c r="C40" t="s">
        <v>98</v>
      </c>
      <c r="D40" t="s">
        <v>167</v>
      </c>
      <c r="E40" s="1">
        <v>102616</v>
      </c>
      <c r="F40" s="1">
        <v>124205</v>
      </c>
      <c r="G40">
        <v>229</v>
      </c>
      <c r="H40">
        <v>7</v>
      </c>
      <c r="I40" s="1">
        <f>fact[[#This Row],[units_sold]]*fact[[#This Row],[price_usd]]</f>
        <v>70497192</v>
      </c>
      <c r="J40">
        <v>687</v>
      </c>
    </row>
    <row r="41" spans="1:10" x14ac:dyDescent="0.35">
      <c r="A41">
        <v>40</v>
      </c>
      <c r="B41" t="s">
        <v>192</v>
      </c>
      <c r="C41" t="s">
        <v>102</v>
      </c>
      <c r="D41" t="s">
        <v>169</v>
      </c>
      <c r="E41" s="1">
        <v>90739</v>
      </c>
      <c r="F41" s="1">
        <v>315976</v>
      </c>
      <c r="G41">
        <v>62</v>
      </c>
      <c r="H41">
        <v>3</v>
      </c>
      <c r="I41" s="1">
        <f>fact[[#This Row],[units_sold]]*fact[[#This Row],[price_usd]]</f>
        <v>47819453</v>
      </c>
      <c r="J41">
        <v>527</v>
      </c>
    </row>
    <row r="42" spans="1:10" x14ac:dyDescent="0.35">
      <c r="A42">
        <v>41</v>
      </c>
      <c r="B42" t="s">
        <v>192</v>
      </c>
      <c r="C42" t="s">
        <v>121</v>
      </c>
      <c r="D42" t="s">
        <v>172</v>
      </c>
      <c r="E42" s="1">
        <v>58760</v>
      </c>
      <c r="F42" s="1">
        <v>91269</v>
      </c>
      <c r="G42">
        <v>241</v>
      </c>
      <c r="H42">
        <v>6</v>
      </c>
      <c r="I42" s="1">
        <f>fact[[#This Row],[units_sold]]*fact[[#This Row],[price_usd]]</f>
        <v>53824160</v>
      </c>
      <c r="J42">
        <v>916</v>
      </c>
    </row>
    <row r="43" spans="1:10" x14ac:dyDescent="0.35">
      <c r="A43">
        <v>42</v>
      </c>
      <c r="B43" t="s">
        <v>192</v>
      </c>
      <c r="C43" t="s">
        <v>146</v>
      </c>
      <c r="D43" t="s">
        <v>171</v>
      </c>
      <c r="E43" s="1">
        <v>61140</v>
      </c>
      <c r="F43" s="1">
        <v>444485</v>
      </c>
      <c r="G43">
        <v>292</v>
      </c>
      <c r="H43">
        <v>6</v>
      </c>
      <c r="I43" s="1">
        <f>fact[[#This Row],[units_sold]]*fact[[#This Row],[price_usd]]</f>
        <v>63830160</v>
      </c>
      <c r="J43">
        <v>1044</v>
      </c>
    </row>
    <row r="44" spans="1:10" x14ac:dyDescent="0.35">
      <c r="A44">
        <v>43</v>
      </c>
      <c r="B44" t="s">
        <v>192</v>
      </c>
      <c r="C44" t="s">
        <v>162</v>
      </c>
      <c r="D44" t="s">
        <v>172</v>
      </c>
      <c r="E44" s="1">
        <v>112463</v>
      </c>
      <c r="F44" s="1">
        <v>239167</v>
      </c>
      <c r="G44">
        <v>234</v>
      </c>
      <c r="H44">
        <v>1</v>
      </c>
      <c r="I44" s="1">
        <f>fact[[#This Row],[units_sold]]*fact[[#This Row],[price_usd]]</f>
        <v>57018741</v>
      </c>
      <c r="J44">
        <v>507</v>
      </c>
    </row>
    <row r="45" spans="1:10" x14ac:dyDescent="0.35">
      <c r="A45">
        <v>44</v>
      </c>
      <c r="B45" t="s">
        <v>196</v>
      </c>
      <c r="C45" t="s">
        <v>56</v>
      </c>
      <c r="D45" t="s">
        <v>32</v>
      </c>
      <c r="E45" s="1">
        <v>63926</v>
      </c>
      <c r="F45" s="1">
        <v>248153</v>
      </c>
      <c r="G45">
        <v>336</v>
      </c>
      <c r="H45">
        <v>9</v>
      </c>
      <c r="I45" s="1">
        <f>fact[[#This Row],[units_sold]]*fact[[#This Row],[price_usd]]</f>
        <v>56382732</v>
      </c>
      <c r="J45">
        <v>882</v>
      </c>
    </row>
    <row r="46" spans="1:10" x14ac:dyDescent="0.35">
      <c r="A46">
        <v>45</v>
      </c>
      <c r="B46" t="s">
        <v>196</v>
      </c>
      <c r="C46" t="s">
        <v>79</v>
      </c>
      <c r="D46" t="s">
        <v>168</v>
      </c>
      <c r="E46" s="1">
        <v>103472</v>
      </c>
      <c r="F46" s="1">
        <v>407092</v>
      </c>
      <c r="G46">
        <v>121</v>
      </c>
      <c r="H46">
        <v>9</v>
      </c>
      <c r="I46" s="1">
        <f>fact[[#This Row],[units_sold]]*fact[[#This Row],[price_usd]]</f>
        <v>32386736</v>
      </c>
      <c r="J46">
        <v>313</v>
      </c>
    </row>
    <row r="47" spans="1:10" x14ac:dyDescent="0.35">
      <c r="A47">
        <v>46</v>
      </c>
      <c r="B47" t="s">
        <v>196</v>
      </c>
      <c r="C47" t="s">
        <v>82</v>
      </c>
      <c r="D47" t="s">
        <v>173</v>
      </c>
      <c r="E47" s="1">
        <v>118791</v>
      </c>
      <c r="F47" s="1">
        <v>443052</v>
      </c>
      <c r="G47">
        <v>339</v>
      </c>
      <c r="H47">
        <v>5</v>
      </c>
      <c r="I47" s="1">
        <f>fact[[#This Row],[units_sold]]*fact[[#This Row],[price_usd]]</f>
        <v>89212041</v>
      </c>
      <c r="J47">
        <v>751</v>
      </c>
    </row>
    <row r="48" spans="1:10" x14ac:dyDescent="0.35">
      <c r="A48">
        <v>47</v>
      </c>
      <c r="B48" t="s">
        <v>196</v>
      </c>
      <c r="C48" t="s">
        <v>92</v>
      </c>
      <c r="D48" t="s">
        <v>167</v>
      </c>
      <c r="E48" s="1">
        <v>76984</v>
      </c>
      <c r="F48" s="1">
        <v>64390</v>
      </c>
      <c r="G48">
        <v>380</v>
      </c>
      <c r="H48">
        <v>4</v>
      </c>
      <c r="I48" s="1">
        <f>fact[[#This Row],[units_sold]]*fact[[#This Row],[price_usd]]</f>
        <v>62664976</v>
      </c>
      <c r="J48">
        <v>814</v>
      </c>
    </row>
    <row r="49" spans="1:10" x14ac:dyDescent="0.35">
      <c r="A49">
        <v>48</v>
      </c>
      <c r="B49" t="s">
        <v>196</v>
      </c>
      <c r="C49" t="s">
        <v>127</v>
      </c>
      <c r="D49" t="s">
        <v>32</v>
      </c>
      <c r="E49" s="1">
        <v>87975</v>
      </c>
      <c r="F49" s="1">
        <v>160489</v>
      </c>
      <c r="G49">
        <v>356</v>
      </c>
      <c r="H49">
        <v>1</v>
      </c>
      <c r="I49" s="1">
        <f>fact[[#This Row],[units_sold]]*fact[[#This Row],[price_usd]]</f>
        <v>66069225</v>
      </c>
      <c r="J49">
        <v>751</v>
      </c>
    </row>
    <row r="50" spans="1:10" x14ac:dyDescent="0.35">
      <c r="A50">
        <v>49</v>
      </c>
      <c r="B50" t="s">
        <v>196</v>
      </c>
      <c r="C50" t="s">
        <v>126</v>
      </c>
      <c r="D50" t="s">
        <v>170</v>
      </c>
      <c r="E50" s="1">
        <v>113518</v>
      </c>
      <c r="F50" s="1">
        <v>206164</v>
      </c>
      <c r="G50">
        <v>373</v>
      </c>
      <c r="H50">
        <v>10</v>
      </c>
      <c r="I50" s="1">
        <f>fact[[#This Row],[units_sold]]*fact[[#This Row],[price_usd]]</f>
        <v>131226808</v>
      </c>
      <c r="J50">
        <v>1156</v>
      </c>
    </row>
    <row r="51" spans="1:10" x14ac:dyDescent="0.35">
      <c r="A51">
        <v>50</v>
      </c>
      <c r="B51" t="s">
        <v>196</v>
      </c>
      <c r="C51" t="s">
        <v>144</v>
      </c>
      <c r="D51" t="s">
        <v>165</v>
      </c>
      <c r="E51" s="1">
        <v>93502</v>
      </c>
      <c r="F51" s="1">
        <v>395744</v>
      </c>
      <c r="G51">
        <v>162</v>
      </c>
      <c r="H51">
        <v>7</v>
      </c>
      <c r="I51" s="1">
        <f>fact[[#This Row],[units_sold]]*fact[[#This Row],[price_usd]]</f>
        <v>55727192</v>
      </c>
      <c r="J51">
        <v>596</v>
      </c>
    </row>
    <row r="52" spans="1:10" x14ac:dyDescent="0.35">
      <c r="A52">
        <v>51</v>
      </c>
      <c r="B52" t="s">
        <v>238</v>
      </c>
      <c r="C52" t="s">
        <v>46</v>
      </c>
      <c r="D52" t="s">
        <v>172</v>
      </c>
      <c r="E52" s="1">
        <v>44927</v>
      </c>
      <c r="F52" s="1">
        <v>498013</v>
      </c>
      <c r="G52">
        <v>382</v>
      </c>
      <c r="H52">
        <v>9</v>
      </c>
      <c r="I52" s="1">
        <f>fact[[#This Row],[units_sold]]*fact[[#This Row],[price_usd]]</f>
        <v>41467621</v>
      </c>
      <c r="J52">
        <v>923</v>
      </c>
    </row>
    <row r="53" spans="1:10" x14ac:dyDescent="0.35">
      <c r="A53">
        <v>52</v>
      </c>
      <c r="B53" t="s">
        <v>238</v>
      </c>
      <c r="C53" t="s">
        <v>54</v>
      </c>
      <c r="D53" t="s">
        <v>169</v>
      </c>
      <c r="E53" s="1">
        <v>46279</v>
      </c>
      <c r="F53" s="1">
        <v>398594</v>
      </c>
      <c r="G53">
        <v>306</v>
      </c>
      <c r="H53">
        <v>1</v>
      </c>
      <c r="I53" s="1">
        <f>fact[[#This Row],[units_sold]]*fact[[#This Row],[price_usd]]</f>
        <v>46232721</v>
      </c>
      <c r="J53">
        <v>999</v>
      </c>
    </row>
    <row r="54" spans="1:10" x14ac:dyDescent="0.35">
      <c r="A54">
        <v>53</v>
      </c>
      <c r="B54" t="s">
        <v>238</v>
      </c>
      <c r="C54" t="s">
        <v>84</v>
      </c>
      <c r="D54" t="s">
        <v>170</v>
      </c>
      <c r="E54" s="1">
        <v>111976</v>
      </c>
      <c r="F54" s="1">
        <v>287989</v>
      </c>
      <c r="G54">
        <v>107</v>
      </c>
      <c r="H54">
        <v>5</v>
      </c>
      <c r="I54" s="1">
        <f>fact[[#This Row],[units_sold]]*fact[[#This Row],[price_usd]]</f>
        <v>61810752</v>
      </c>
      <c r="J54">
        <v>552</v>
      </c>
    </row>
    <row r="55" spans="1:10" x14ac:dyDescent="0.35">
      <c r="A55">
        <v>54</v>
      </c>
      <c r="B55" t="s">
        <v>238</v>
      </c>
      <c r="C55" t="s">
        <v>99</v>
      </c>
      <c r="D55" t="s">
        <v>170</v>
      </c>
      <c r="E55" s="1">
        <v>43876</v>
      </c>
      <c r="F55" s="1">
        <v>89148</v>
      </c>
      <c r="G55">
        <v>18</v>
      </c>
      <c r="H55">
        <v>7</v>
      </c>
      <c r="I55" s="1">
        <f>fact[[#This Row],[units_sold]]*fact[[#This Row],[price_usd]]</f>
        <v>20490092</v>
      </c>
      <c r="J55">
        <v>467</v>
      </c>
    </row>
    <row r="56" spans="1:10" x14ac:dyDescent="0.35">
      <c r="A56">
        <v>55</v>
      </c>
      <c r="B56" t="s">
        <v>238</v>
      </c>
      <c r="C56" t="s">
        <v>93</v>
      </c>
      <c r="D56" t="s">
        <v>171</v>
      </c>
      <c r="E56" s="1">
        <v>107394</v>
      </c>
      <c r="F56" s="1">
        <v>144202</v>
      </c>
      <c r="G56">
        <v>109</v>
      </c>
      <c r="H56">
        <v>9</v>
      </c>
      <c r="I56" s="1">
        <f>fact[[#This Row],[units_sold]]*fact[[#This Row],[price_usd]]</f>
        <v>24056256</v>
      </c>
      <c r="J56">
        <v>224</v>
      </c>
    </row>
    <row r="57" spans="1:10" x14ac:dyDescent="0.35">
      <c r="A57">
        <v>56</v>
      </c>
      <c r="B57" t="s">
        <v>238</v>
      </c>
      <c r="C57" t="s">
        <v>105</v>
      </c>
      <c r="D57" t="s">
        <v>170</v>
      </c>
      <c r="E57" s="1">
        <v>44637</v>
      </c>
      <c r="F57" s="1">
        <v>428824</v>
      </c>
      <c r="G57">
        <v>229</v>
      </c>
      <c r="H57">
        <v>10</v>
      </c>
      <c r="I57" s="1">
        <f>fact[[#This Row],[units_sold]]*fact[[#This Row],[price_usd]]</f>
        <v>38432457</v>
      </c>
      <c r="J57">
        <v>861</v>
      </c>
    </row>
    <row r="58" spans="1:10" x14ac:dyDescent="0.35">
      <c r="A58">
        <v>57</v>
      </c>
      <c r="B58" t="s">
        <v>238</v>
      </c>
      <c r="C58" t="s">
        <v>139</v>
      </c>
      <c r="D58" t="s">
        <v>170</v>
      </c>
      <c r="E58" s="1">
        <v>37895</v>
      </c>
      <c r="F58" s="1">
        <v>194491</v>
      </c>
      <c r="G58">
        <v>247</v>
      </c>
      <c r="H58">
        <v>5</v>
      </c>
      <c r="I58" s="1">
        <f>fact[[#This Row],[units_sold]]*fact[[#This Row],[price_usd]]</f>
        <v>28875990</v>
      </c>
      <c r="J58">
        <v>762</v>
      </c>
    </row>
    <row r="59" spans="1:10" x14ac:dyDescent="0.35">
      <c r="A59">
        <v>58</v>
      </c>
      <c r="B59" t="s">
        <v>238</v>
      </c>
      <c r="C59" t="s">
        <v>145</v>
      </c>
      <c r="D59" t="s">
        <v>168</v>
      </c>
      <c r="E59" s="1">
        <v>59299</v>
      </c>
      <c r="F59" s="1">
        <v>295160</v>
      </c>
      <c r="G59">
        <v>265</v>
      </c>
      <c r="H59">
        <v>10</v>
      </c>
      <c r="I59" s="1">
        <f>fact[[#This Row],[units_sold]]*fact[[#This Row],[price_usd]]</f>
        <v>53606296</v>
      </c>
      <c r="J59">
        <v>904</v>
      </c>
    </row>
    <row r="60" spans="1:10" x14ac:dyDescent="0.35">
      <c r="A60">
        <v>59</v>
      </c>
      <c r="B60" t="s">
        <v>238</v>
      </c>
      <c r="C60" t="s">
        <v>147</v>
      </c>
      <c r="D60" t="s">
        <v>32</v>
      </c>
      <c r="E60" s="1">
        <v>107635</v>
      </c>
      <c r="F60" s="1">
        <v>280063</v>
      </c>
      <c r="G60">
        <v>282</v>
      </c>
      <c r="H60">
        <v>10</v>
      </c>
      <c r="I60" s="1">
        <f>fact[[#This Row],[units_sold]]*fact[[#This Row],[price_usd]]</f>
        <v>71254370</v>
      </c>
      <c r="J60">
        <v>662</v>
      </c>
    </row>
    <row r="61" spans="1:10" x14ac:dyDescent="0.35">
      <c r="A61">
        <v>60</v>
      </c>
      <c r="B61" t="s">
        <v>238</v>
      </c>
      <c r="C61" t="s">
        <v>156</v>
      </c>
      <c r="D61" t="s">
        <v>165</v>
      </c>
      <c r="E61" s="1">
        <v>36378</v>
      </c>
      <c r="F61" s="1">
        <v>267394</v>
      </c>
      <c r="G61">
        <v>395</v>
      </c>
      <c r="H61">
        <v>10</v>
      </c>
      <c r="I61" s="1">
        <f>fact[[#This Row],[units_sold]]*fact[[#This Row],[price_usd]]</f>
        <v>34668234</v>
      </c>
      <c r="J61">
        <v>953</v>
      </c>
    </row>
    <row r="62" spans="1:10" x14ac:dyDescent="0.35">
      <c r="A62">
        <v>61</v>
      </c>
      <c r="B62" t="s">
        <v>214</v>
      </c>
      <c r="C62" t="s">
        <v>46</v>
      </c>
      <c r="D62" t="s">
        <v>168</v>
      </c>
      <c r="E62" s="1">
        <v>44837</v>
      </c>
      <c r="F62" s="1">
        <v>397299</v>
      </c>
      <c r="G62">
        <v>173</v>
      </c>
      <c r="H62">
        <v>6</v>
      </c>
      <c r="I62" s="1">
        <f>fact[[#This Row],[units_sold]]*fact[[#This Row],[price_usd]]</f>
        <v>30040790</v>
      </c>
      <c r="J62">
        <v>670</v>
      </c>
    </row>
    <row r="63" spans="1:10" x14ac:dyDescent="0.35">
      <c r="A63">
        <v>62</v>
      </c>
      <c r="B63" t="s">
        <v>214</v>
      </c>
      <c r="C63" t="s">
        <v>53</v>
      </c>
      <c r="D63" t="s">
        <v>165</v>
      </c>
      <c r="E63" s="1">
        <v>87982</v>
      </c>
      <c r="F63" s="1">
        <v>449594</v>
      </c>
      <c r="G63">
        <v>178</v>
      </c>
      <c r="H63">
        <v>2</v>
      </c>
      <c r="I63" s="1">
        <f>fact[[#This Row],[units_sold]]*fact[[#This Row],[price_usd]]</f>
        <v>43551090</v>
      </c>
      <c r="J63">
        <v>495</v>
      </c>
    </row>
    <row r="64" spans="1:10" x14ac:dyDescent="0.35">
      <c r="A64">
        <v>63</v>
      </c>
      <c r="B64" t="s">
        <v>214</v>
      </c>
      <c r="C64" t="s">
        <v>64</v>
      </c>
      <c r="D64" t="s">
        <v>170</v>
      </c>
      <c r="E64" s="1">
        <v>40583</v>
      </c>
      <c r="F64" s="1">
        <v>240715</v>
      </c>
      <c r="G64">
        <v>29</v>
      </c>
      <c r="H64">
        <v>6</v>
      </c>
      <c r="I64" s="1">
        <f>fact[[#This Row],[units_sold]]*fact[[#This Row],[price_usd]]</f>
        <v>16923111</v>
      </c>
      <c r="J64">
        <v>417</v>
      </c>
    </row>
    <row r="65" spans="1:10" x14ac:dyDescent="0.35">
      <c r="A65">
        <v>64</v>
      </c>
      <c r="B65" t="s">
        <v>214</v>
      </c>
      <c r="C65" t="s">
        <v>84</v>
      </c>
      <c r="D65" t="s">
        <v>167</v>
      </c>
      <c r="E65" s="1">
        <v>77065</v>
      </c>
      <c r="F65" s="1">
        <v>74502</v>
      </c>
      <c r="G65">
        <v>265</v>
      </c>
      <c r="H65">
        <v>9</v>
      </c>
      <c r="I65" s="1">
        <f>fact[[#This Row],[units_sold]]*fact[[#This Row],[price_usd]]</f>
        <v>71593385</v>
      </c>
      <c r="J65">
        <v>929</v>
      </c>
    </row>
    <row r="66" spans="1:10" x14ac:dyDescent="0.35">
      <c r="A66">
        <v>65</v>
      </c>
      <c r="B66" t="s">
        <v>214</v>
      </c>
      <c r="C66" t="s">
        <v>98</v>
      </c>
      <c r="D66" t="s">
        <v>171</v>
      </c>
      <c r="E66" s="1">
        <v>49414</v>
      </c>
      <c r="F66" s="1">
        <v>259087</v>
      </c>
      <c r="G66">
        <v>186</v>
      </c>
      <c r="H66">
        <v>1</v>
      </c>
      <c r="I66" s="1">
        <f>fact[[#This Row],[units_sold]]*fact[[#This Row],[price_usd]]</f>
        <v>27869496</v>
      </c>
      <c r="J66">
        <v>564</v>
      </c>
    </row>
    <row r="67" spans="1:10" x14ac:dyDescent="0.35">
      <c r="A67">
        <v>66</v>
      </c>
      <c r="B67" t="s">
        <v>214</v>
      </c>
      <c r="C67" t="s">
        <v>116</v>
      </c>
      <c r="D67" t="s">
        <v>173</v>
      </c>
      <c r="E67" s="1">
        <v>65930</v>
      </c>
      <c r="F67" s="1">
        <v>320001</v>
      </c>
      <c r="G67">
        <v>89</v>
      </c>
      <c r="H67">
        <v>1</v>
      </c>
      <c r="I67" s="1">
        <f>fact[[#This Row],[units_sold]]*fact[[#This Row],[price_usd]]</f>
        <v>19844930</v>
      </c>
      <c r="J67">
        <v>301</v>
      </c>
    </row>
    <row r="68" spans="1:10" x14ac:dyDescent="0.35">
      <c r="A68">
        <v>67</v>
      </c>
      <c r="B68" t="s">
        <v>214</v>
      </c>
      <c r="C68" t="s">
        <v>137</v>
      </c>
      <c r="D68" t="s">
        <v>169</v>
      </c>
      <c r="E68" s="1">
        <v>42533</v>
      </c>
      <c r="F68" s="1">
        <v>110654</v>
      </c>
      <c r="G68">
        <v>322</v>
      </c>
      <c r="H68">
        <v>5</v>
      </c>
      <c r="I68" s="1">
        <f>fact[[#This Row],[units_sold]]*fact[[#This Row],[price_usd]]</f>
        <v>30666293</v>
      </c>
      <c r="J68">
        <v>721</v>
      </c>
    </row>
    <row r="69" spans="1:10" x14ac:dyDescent="0.35">
      <c r="A69">
        <v>68</v>
      </c>
      <c r="B69" t="s">
        <v>214</v>
      </c>
      <c r="C69" t="s">
        <v>129</v>
      </c>
      <c r="D69" t="s">
        <v>171</v>
      </c>
      <c r="E69" s="1">
        <v>59648</v>
      </c>
      <c r="F69" s="1">
        <v>216991</v>
      </c>
      <c r="G69">
        <v>220</v>
      </c>
      <c r="H69">
        <v>9</v>
      </c>
      <c r="I69" s="1">
        <f>fact[[#This Row],[units_sold]]*fact[[#This Row],[price_usd]]</f>
        <v>43185152</v>
      </c>
      <c r="J69">
        <v>724</v>
      </c>
    </row>
    <row r="70" spans="1:10" x14ac:dyDescent="0.35">
      <c r="A70">
        <v>69</v>
      </c>
      <c r="B70" t="s">
        <v>214</v>
      </c>
      <c r="C70" t="s">
        <v>139</v>
      </c>
      <c r="D70" t="s">
        <v>169</v>
      </c>
      <c r="E70" s="1">
        <v>51075</v>
      </c>
      <c r="F70" s="1">
        <v>127095</v>
      </c>
      <c r="G70">
        <v>34</v>
      </c>
      <c r="H70">
        <v>2</v>
      </c>
      <c r="I70" s="1">
        <f>fact[[#This Row],[units_sold]]*fact[[#This Row],[price_usd]]</f>
        <v>19817100</v>
      </c>
      <c r="J70">
        <v>388</v>
      </c>
    </row>
    <row r="71" spans="1:10" x14ac:dyDescent="0.35">
      <c r="A71">
        <v>70</v>
      </c>
      <c r="B71" t="s">
        <v>214</v>
      </c>
      <c r="C71" t="s">
        <v>146</v>
      </c>
      <c r="D71" t="s">
        <v>171</v>
      </c>
      <c r="E71" s="1">
        <v>114823</v>
      </c>
      <c r="F71" s="1">
        <v>110282</v>
      </c>
      <c r="G71">
        <v>31</v>
      </c>
      <c r="H71">
        <v>2</v>
      </c>
      <c r="I71" s="1">
        <f>fact[[#This Row],[units_sold]]*fact[[#This Row],[price_usd]]</f>
        <v>45699554</v>
      </c>
      <c r="J71">
        <v>398</v>
      </c>
    </row>
    <row r="72" spans="1:10" x14ac:dyDescent="0.35">
      <c r="A72">
        <v>71</v>
      </c>
      <c r="B72" t="s">
        <v>214</v>
      </c>
      <c r="C72" t="s">
        <v>153</v>
      </c>
      <c r="D72" t="s">
        <v>166</v>
      </c>
      <c r="E72" s="1">
        <v>96861</v>
      </c>
      <c r="F72" s="1">
        <v>465685</v>
      </c>
      <c r="G72">
        <v>81</v>
      </c>
      <c r="H72">
        <v>3</v>
      </c>
      <c r="I72" s="1">
        <f>fact[[#This Row],[units_sold]]*fact[[#This Row],[price_usd]]</f>
        <v>43684311</v>
      </c>
      <c r="J72">
        <v>451</v>
      </c>
    </row>
    <row r="73" spans="1:10" x14ac:dyDescent="0.35">
      <c r="A73">
        <v>72</v>
      </c>
      <c r="B73" t="s">
        <v>214</v>
      </c>
      <c r="C73" t="s">
        <v>156</v>
      </c>
      <c r="D73" t="s">
        <v>32</v>
      </c>
      <c r="E73" s="1">
        <v>35893</v>
      </c>
      <c r="F73" s="1">
        <v>327648</v>
      </c>
      <c r="G73">
        <v>27</v>
      </c>
      <c r="H73">
        <v>10</v>
      </c>
      <c r="I73" s="1">
        <f>fact[[#This Row],[units_sold]]*fact[[#This Row],[price_usd]]</f>
        <v>7609316</v>
      </c>
      <c r="J73">
        <v>212</v>
      </c>
    </row>
    <row r="74" spans="1:10" x14ac:dyDescent="0.35">
      <c r="A74">
        <v>73</v>
      </c>
      <c r="B74" t="s">
        <v>277</v>
      </c>
      <c r="C74" t="s">
        <v>55</v>
      </c>
      <c r="D74" t="s">
        <v>165</v>
      </c>
      <c r="E74" s="1">
        <v>46772</v>
      </c>
      <c r="F74" s="1">
        <v>403330</v>
      </c>
      <c r="G74">
        <v>290</v>
      </c>
      <c r="H74">
        <v>3</v>
      </c>
      <c r="I74" s="1">
        <f>fact[[#This Row],[units_sold]]*fact[[#This Row],[price_usd]]</f>
        <v>48829968</v>
      </c>
      <c r="J74">
        <v>1044</v>
      </c>
    </row>
    <row r="75" spans="1:10" x14ac:dyDescent="0.35">
      <c r="A75">
        <v>74</v>
      </c>
      <c r="B75" t="s">
        <v>277</v>
      </c>
      <c r="C75" t="s">
        <v>88</v>
      </c>
      <c r="D75" t="s">
        <v>165</v>
      </c>
      <c r="E75" s="1">
        <v>75734</v>
      </c>
      <c r="F75" s="1">
        <v>265657</v>
      </c>
      <c r="G75">
        <v>362</v>
      </c>
      <c r="H75">
        <v>7</v>
      </c>
      <c r="I75" s="1">
        <f>fact[[#This Row],[units_sold]]*fact[[#This Row],[price_usd]]</f>
        <v>63313624</v>
      </c>
      <c r="J75">
        <v>836</v>
      </c>
    </row>
    <row r="76" spans="1:10" x14ac:dyDescent="0.35">
      <c r="A76">
        <v>75</v>
      </c>
      <c r="B76" t="s">
        <v>277</v>
      </c>
      <c r="C76" t="s">
        <v>124</v>
      </c>
      <c r="D76" t="s">
        <v>165</v>
      </c>
      <c r="E76" s="1">
        <v>101677</v>
      </c>
      <c r="F76" s="1">
        <v>316907</v>
      </c>
      <c r="G76">
        <v>56</v>
      </c>
      <c r="H76">
        <v>7</v>
      </c>
      <c r="I76" s="1">
        <f>fact[[#This Row],[units_sold]]*fact[[#This Row],[price_usd]]</f>
        <v>25927635</v>
      </c>
      <c r="J76">
        <v>255</v>
      </c>
    </row>
    <row r="77" spans="1:10" x14ac:dyDescent="0.35">
      <c r="A77">
        <v>76</v>
      </c>
      <c r="B77" t="s">
        <v>277</v>
      </c>
      <c r="C77" t="s">
        <v>121</v>
      </c>
      <c r="D77" t="s">
        <v>166</v>
      </c>
      <c r="E77" s="1">
        <v>72052</v>
      </c>
      <c r="F77" s="1">
        <v>172066</v>
      </c>
      <c r="G77">
        <v>332</v>
      </c>
      <c r="H77">
        <v>9</v>
      </c>
      <c r="I77" s="1">
        <f>fact[[#This Row],[units_sold]]*fact[[#This Row],[price_usd]]</f>
        <v>65423216</v>
      </c>
      <c r="J77">
        <v>908</v>
      </c>
    </row>
    <row r="78" spans="1:10" x14ac:dyDescent="0.35">
      <c r="A78">
        <v>77</v>
      </c>
      <c r="B78" t="s">
        <v>277</v>
      </c>
      <c r="C78" t="s">
        <v>136</v>
      </c>
      <c r="D78" t="s">
        <v>173</v>
      </c>
      <c r="E78" s="1">
        <v>96431</v>
      </c>
      <c r="F78" s="1">
        <v>482601</v>
      </c>
      <c r="G78">
        <v>337</v>
      </c>
      <c r="H78">
        <v>5</v>
      </c>
      <c r="I78" s="1">
        <f>fact[[#This Row],[units_sold]]*fact[[#This Row],[price_usd]]</f>
        <v>90355847</v>
      </c>
      <c r="J78">
        <v>937</v>
      </c>
    </row>
    <row r="79" spans="1:10" x14ac:dyDescent="0.35">
      <c r="A79">
        <v>78</v>
      </c>
      <c r="B79" t="s">
        <v>277</v>
      </c>
      <c r="C79" t="s">
        <v>133</v>
      </c>
      <c r="D79" t="s">
        <v>32</v>
      </c>
      <c r="E79" s="1">
        <v>41054</v>
      </c>
      <c r="F79" s="1">
        <v>202948</v>
      </c>
      <c r="G79">
        <v>257</v>
      </c>
      <c r="H79">
        <v>10</v>
      </c>
      <c r="I79" s="1">
        <f>fact[[#This Row],[units_sold]]*fact[[#This Row],[price_usd]]</f>
        <v>37153870</v>
      </c>
      <c r="J79">
        <v>905</v>
      </c>
    </row>
    <row r="80" spans="1:10" x14ac:dyDescent="0.35">
      <c r="A80">
        <v>79</v>
      </c>
      <c r="B80" t="s">
        <v>277</v>
      </c>
      <c r="C80" t="s">
        <v>135</v>
      </c>
      <c r="D80" t="s">
        <v>165</v>
      </c>
      <c r="E80" s="1">
        <v>119577</v>
      </c>
      <c r="F80" s="1">
        <v>252918</v>
      </c>
      <c r="G80">
        <v>301</v>
      </c>
      <c r="H80">
        <v>1</v>
      </c>
      <c r="I80" s="1">
        <f>fact[[#This Row],[units_sold]]*fact[[#This Row],[price_usd]]</f>
        <v>81073206</v>
      </c>
      <c r="J80">
        <v>678</v>
      </c>
    </row>
    <row r="81" spans="1:10" x14ac:dyDescent="0.35">
      <c r="A81">
        <v>80</v>
      </c>
      <c r="B81" t="s">
        <v>277</v>
      </c>
      <c r="C81" t="s">
        <v>145</v>
      </c>
      <c r="D81" t="s">
        <v>165</v>
      </c>
      <c r="E81" s="1">
        <v>81418</v>
      </c>
      <c r="F81" s="1">
        <v>416648</v>
      </c>
      <c r="G81">
        <v>33</v>
      </c>
      <c r="H81">
        <v>3</v>
      </c>
      <c r="I81" s="1">
        <f>fact[[#This Row],[units_sold]]*fact[[#This Row],[price_usd]]</f>
        <v>13189716</v>
      </c>
      <c r="J81">
        <v>162</v>
      </c>
    </row>
    <row r="82" spans="1:10" x14ac:dyDescent="0.35">
      <c r="A82">
        <v>81</v>
      </c>
      <c r="B82" t="s">
        <v>277</v>
      </c>
      <c r="C82" t="s">
        <v>140</v>
      </c>
      <c r="D82" t="s">
        <v>169</v>
      </c>
      <c r="E82" s="1">
        <v>88639</v>
      </c>
      <c r="F82" s="1">
        <v>394912</v>
      </c>
      <c r="G82">
        <v>158</v>
      </c>
      <c r="H82">
        <v>3</v>
      </c>
      <c r="I82" s="1">
        <f>fact[[#This Row],[units_sold]]*fact[[#This Row],[price_usd]]</f>
        <v>42723998</v>
      </c>
      <c r="J82">
        <v>482</v>
      </c>
    </row>
    <row r="83" spans="1:10" x14ac:dyDescent="0.35">
      <c r="A83">
        <v>82</v>
      </c>
      <c r="B83" t="s">
        <v>277</v>
      </c>
      <c r="C83" t="s">
        <v>160</v>
      </c>
      <c r="D83" t="s">
        <v>172</v>
      </c>
      <c r="E83" s="1">
        <v>103876</v>
      </c>
      <c r="F83" s="1">
        <v>315470</v>
      </c>
      <c r="G83">
        <v>109</v>
      </c>
      <c r="H83">
        <v>1</v>
      </c>
      <c r="I83" s="1">
        <f>fact[[#This Row],[units_sold]]*fact[[#This Row],[price_usd]]</f>
        <v>56093040</v>
      </c>
      <c r="J83">
        <v>540</v>
      </c>
    </row>
    <row r="84" spans="1:10" x14ac:dyDescent="0.35">
      <c r="A84">
        <v>83</v>
      </c>
      <c r="B84" t="s">
        <v>277</v>
      </c>
      <c r="C84" t="s">
        <v>156</v>
      </c>
      <c r="D84" t="s">
        <v>173</v>
      </c>
      <c r="E84" s="1">
        <v>65607</v>
      </c>
      <c r="F84" s="1">
        <v>165260</v>
      </c>
      <c r="G84">
        <v>181</v>
      </c>
      <c r="H84">
        <v>1</v>
      </c>
      <c r="I84" s="1">
        <f>fact[[#This Row],[units_sold]]*fact[[#This Row],[price_usd]]</f>
        <v>38576916</v>
      </c>
      <c r="J84">
        <v>588</v>
      </c>
    </row>
    <row r="85" spans="1:10" x14ac:dyDescent="0.35">
      <c r="A85">
        <v>84</v>
      </c>
      <c r="B85" t="s">
        <v>277</v>
      </c>
      <c r="C85" t="s">
        <v>152</v>
      </c>
      <c r="D85" t="s">
        <v>32</v>
      </c>
      <c r="E85" s="1">
        <v>75581</v>
      </c>
      <c r="F85" s="1">
        <v>221635</v>
      </c>
      <c r="G85">
        <v>295</v>
      </c>
      <c r="H85">
        <v>2</v>
      </c>
      <c r="I85" s="1">
        <f>fact[[#This Row],[units_sold]]*fact[[#This Row],[price_usd]]</f>
        <v>64092688</v>
      </c>
      <c r="J85">
        <v>848</v>
      </c>
    </row>
    <row r="86" spans="1:10" x14ac:dyDescent="0.35">
      <c r="A86">
        <v>85</v>
      </c>
      <c r="B86" t="s">
        <v>275</v>
      </c>
      <c r="C86" t="s">
        <v>51</v>
      </c>
      <c r="D86" t="s">
        <v>167</v>
      </c>
      <c r="E86" s="1">
        <v>112004</v>
      </c>
      <c r="F86" s="1">
        <v>498927</v>
      </c>
      <c r="G86">
        <v>18</v>
      </c>
      <c r="H86">
        <v>7</v>
      </c>
      <c r="I86" s="1">
        <f>fact[[#This Row],[units_sold]]*fact[[#This Row],[price_usd]]</f>
        <v>14560520</v>
      </c>
      <c r="J86">
        <v>130</v>
      </c>
    </row>
    <row r="87" spans="1:10" x14ac:dyDescent="0.35">
      <c r="A87">
        <v>86</v>
      </c>
      <c r="B87" t="s">
        <v>275</v>
      </c>
      <c r="C87" t="s">
        <v>67</v>
      </c>
      <c r="D87" t="s">
        <v>169</v>
      </c>
      <c r="E87" s="1">
        <v>80760</v>
      </c>
      <c r="F87" s="1">
        <v>380724</v>
      </c>
      <c r="G87">
        <v>362</v>
      </c>
      <c r="H87">
        <v>1</v>
      </c>
      <c r="I87" s="1">
        <f>fact[[#This Row],[units_sold]]*fact[[#This Row],[price_usd]]</f>
        <v>77610360</v>
      </c>
      <c r="J87">
        <v>961</v>
      </c>
    </row>
    <row r="88" spans="1:10" x14ac:dyDescent="0.35">
      <c r="A88">
        <v>87</v>
      </c>
      <c r="B88" t="s">
        <v>275</v>
      </c>
      <c r="C88" t="s">
        <v>78</v>
      </c>
      <c r="D88" t="s">
        <v>170</v>
      </c>
      <c r="E88" s="1">
        <v>115846</v>
      </c>
      <c r="F88" s="1">
        <v>164919</v>
      </c>
      <c r="G88">
        <v>25</v>
      </c>
      <c r="H88">
        <v>5</v>
      </c>
      <c r="I88" s="1">
        <f>fact[[#This Row],[units_sold]]*fact[[#This Row],[price_usd]]</f>
        <v>41588714</v>
      </c>
      <c r="J88">
        <v>359</v>
      </c>
    </row>
    <row r="89" spans="1:10" x14ac:dyDescent="0.35">
      <c r="A89">
        <v>88</v>
      </c>
      <c r="B89" t="s">
        <v>275</v>
      </c>
      <c r="C89" t="s">
        <v>69</v>
      </c>
      <c r="D89" t="s">
        <v>165</v>
      </c>
      <c r="E89" s="1">
        <v>71561</v>
      </c>
      <c r="F89" s="1">
        <v>253179</v>
      </c>
      <c r="G89">
        <v>115</v>
      </c>
      <c r="H89">
        <v>6</v>
      </c>
      <c r="I89" s="1">
        <f>fact[[#This Row],[units_sold]]*fact[[#This Row],[price_usd]]</f>
        <v>20323324</v>
      </c>
      <c r="J89">
        <v>284</v>
      </c>
    </row>
    <row r="90" spans="1:10" x14ac:dyDescent="0.35">
      <c r="A90">
        <v>89</v>
      </c>
      <c r="B90" t="s">
        <v>275</v>
      </c>
      <c r="C90" t="s">
        <v>94</v>
      </c>
      <c r="D90" t="s">
        <v>167</v>
      </c>
      <c r="E90" s="1">
        <v>75277</v>
      </c>
      <c r="F90" s="1">
        <v>230427</v>
      </c>
      <c r="G90">
        <v>103</v>
      </c>
      <c r="H90">
        <v>9</v>
      </c>
      <c r="I90" s="1">
        <f>fact[[#This Row],[units_sold]]*fact[[#This Row],[price_usd]]</f>
        <v>20701175</v>
      </c>
      <c r="J90">
        <v>275</v>
      </c>
    </row>
    <row r="91" spans="1:10" x14ac:dyDescent="0.35">
      <c r="A91">
        <v>90</v>
      </c>
      <c r="B91" t="s">
        <v>275</v>
      </c>
      <c r="C91" t="s">
        <v>121</v>
      </c>
      <c r="D91" t="s">
        <v>173</v>
      </c>
      <c r="E91" s="1">
        <v>42349</v>
      </c>
      <c r="F91" s="1">
        <v>258886</v>
      </c>
      <c r="G91">
        <v>119</v>
      </c>
      <c r="H91">
        <v>2</v>
      </c>
      <c r="I91" s="1">
        <f>fact[[#This Row],[units_sold]]*fact[[#This Row],[price_usd]]</f>
        <v>15753828</v>
      </c>
      <c r="J91">
        <v>372</v>
      </c>
    </row>
    <row r="92" spans="1:10" x14ac:dyDescent="0.35">
      <c r="A92">
        <v>91</v>
      </c>
      <c r="B92" t="s">
        <v>275</v>
      </c>
      <c r="C92" t="s">
        <v>130</v>
      </c>
      <c r="D92" t="s">
        <v>167</v>
      </c>
      <c r="E92" s="1">
        <v>63557</v>
      </c>
      <c r="F92" s="1">
        <v>420635</v>
      </c>
      <c r="G92">
        <v>218</v>
      </c>
      <c r="H92">
        <v>9</v>
      </c>
      <c r="I92" s="1">
        <f>fact[[#This Row],[units_sold]]*fact[[#This Row],[price_usd]]</f>
        <v>34447894</v>
      </c>
      <c r="J92">
        <v>542</v>
      </c>
    </row>
    <row r="93" spans="1:10" x14ac:dyDescent="0.35">
      <c r="A93">
        <v>92</v>
      </c>
      <c r="B93" t="s">
        <v>275</v>
      </c>
      <c r="C93" t="s">
        <v>146</v>
      </c>
      <c r="D93" t="s">
        <v>165</v>
      </c>
      <c r="E93" s="1">
        <v>61123</v>
      </c>
      <c r="F93" s="1">
        <v>212007</v>
      </c>
      <c r="G93">
        <v>230</v>
      </c>
      <c r="H93">
        <v>1</v>
      </c>
      <c r="I93" s="1">
        <f>fact[[#This Row],[units_sold]]*fact[[#This Row],[price_usd]]</f>
        <v>48164924</v>
      </c>
      <c r="J93">
        <v>788</v>
      </c>
    </row>
    <row r="94" spans="1:10" x14ac:dyDescent="0.35">
      <c r="A94">
        <v>93</v>
      </c>
      <c r="B94" t="s">
        <v>275</v>
      </c>
      <c r="C94" t="s">
        <v>161</v>
      </c>
      <c r="D94" t="s">
        <v>167</v>
      </c>
      <c r="E94" s="1">
        <v>67634</v>
      </c>
      <c r="F94" s="1">
        <v>490977</v>
      </c>
      <c r="G94">
        <v>284</v>
      </c>
      <c r="H94">
        <v>10</v>
      </c>
      <c r="I94" s="1">
        <f>fact[[#This Row],[units_sold]]*fact[[#This Row],[price_usd]]</f>
        <v>57421266</v>
      </c>
      <c r="J94">
        <v>849</v>
      </c>
    </row>
    <row r="95" spans="1:10" x14ac:dyDescent="0.35">
      <c r="A95">
        <v>94</v>
      </c>
      <c r="B95" t="s">
        <v>217</v>
      </c>
      <c r="C95" t="s">
        <v>45</v>
      </c>
      <c r="D95" t="s">
        <v>32</v>
      </c>
      <c r="E95" s="1">
        <v>115863</v>
      </c>
      <c r="F95" s="1">
        <v>99156</v>
      </c>
      <c r="G95">
        <v>190</v>
      </c>
      <c r="H95">
        <v>6</v>
      </c>
      <c r="I95" s="1">
        <f>fact[[#This Row],[units_sold]]*fact[[#This Row],[price_usd]]</f>
        <v>54803199</v>
      </c>
      <c r="J95">
        <v>473</v>
      </c>
    </row>
    <row r="96" spans="1:10" x14ac:dyDescent="0.35">
      <c r="A96">
        <v>95</v>
      </c>
      <c r="B96" t="s">
        <v>217</v>
      </c>
      <c r="C96" t="s">
        <v>52</v>
      </c>
      <c r="D96" t="s">
        <v>165</v>
      </c>
      <c r="E96" s="1">
        <v>55711</v>
      </c>
      <c r="F96" s="1">
        <v>345276</v>
      </c>
      <c r="G96">
        <v>55</v>
      </c>
      <c r="H96">
        <v>9</v>
      </c>
      <c r="I96" s="1">
        <f>fact[[#This Row],[units_sold]]*fact[[#This Row],[price_usd]]</f>
        <v>9470870</v>
      </c>
      <c r="J96">
        <v>170</v>
      </c>
    </row>
    <row r="97" spans="1:10" x14ac:dyDescent="0.35">
      <c r="A97">
        <v>96</v>
      </c>
      <c r="B97" t="s">
        <v>217</v>
      </c>
      <c r="C97" t="s">
        <v>44</v>
      </c>
      <c r="D97" t="s">
        <v>169</v>
      </c>
      <c r="E97" s="1">
        <v>45143</v>
      </c>
      <c r="F97" s="1">
        <v>141288</v>
      </c>
      <c r="G97">
        <v>224</v>
      </c>
      <c r="H97">
        <v>2</v>
      </c>
      <c r="I97" s="1">
        <f>fact[[#This Row],[units_sold]]*fact[[#This Row],[price_usd]]</f>
        <v>29388093</v>
      </c>
      <c r="J97">
        <v>651</v>
      </c>
    </row>
    <row r="98" spans="1:10" x14ac:dyDescent="0.35">
      <c r="A98">
        <v>97</v>
      </c>
      <c r="B98" t="s">
        <v>217</v>
      </c>
      <c r="C98" t="s">
        <v>52</v>
      </c>
      <c r="D98" t="s">
        <v>32</v>
      </c>
      <c r="E98" s="1">
        <v>38775</v>
      </c>
      <c r="F98" s="1">
        <v>238788</v>
      </c>
      <c r="G98">
        <v>332</v>
      </c>
      <c r="H98">
        <v>10</v>
      </c>
      <c r="I98" s="1">
        <f>fact[[#This Row],[units_sold]]*fact[[#This Row],[price_usd]]</f>
        <v>32377125</v>
      </c>
      <c r="J98">
        <v>835</v>
      </c>
    </row>
    <row r="99" spans="1:10" x14ac:dyDescent="0.35">
      <c r="A99">
        <v>98</v>
      </c>
      <c r="B99" t="s">
        <v>217</v>
      </c>
      <c r="C99" t="s">
        <v>63</v>
      </c>
      <c r="D99" t="s">
        <v>165</v>
      </c>
      <c r="E99" s="1">
        <v>86702</v>
      </c>
      <c r="F99" s="1">
        <v>76128</v>
      </c>
      <c r="G99">
        <v>85</v>
      </c>
      <c r="H99">
        <v>4</v>
      </c>
      <c r="I99" s="1">
        <f>fact[[#This Row],[units_sold]]*fact[[#This Row],[price_usd]]</f>
        <v>26357408</v>
      </c>
      <c r="J99">
        <v>304</v>
      </c>
    </row>
    <row r="100" spans="1:10" x14ac:dyDescent="0.35">
      <c r="A100">
        <v>99</v>
      </c>
      <c r="B100" t="s">
        <v>217</v>
      </c>
      <c r="C100" t="s">
        <v>65</v>
      </c>
      <c r="D100" t="s">
        <v>169</v>
      </c>
      <c r="E100" s="1">
        <v>81032</v>
      </c>
      <c r="F100" s="1">
        <v>231323</v>
      </c>
      <c r="G100">
        <v>10</v>
      </c>
      <c r="H100">
        <v>4</v>
      </c>
      <c r="I100" s="1">
        <f>fact[[#This Row],[units_sold]]*fact[[#This Row],[price_usd]]</f>
        <v>20014904</v>
      </c>
      <c r="J100">
        <v>247</v>
      </c>
    </row>
    <row r="101" spans="1:10" x14ac:dyDescent="0.35">
      <c r="A101">
        <v>100</v>
      </c>
      <c r="B101" t="s">
        <v>217</v>
      </c>
      <c r="C101" t="s">
        <v>63</v>
      </c>
      <c r="D101" t="s">
        <v>172</v>
      </c>
      <c r="E101" s="1">
        <v>67919</v>
      </c>
      <c r="F101" s="1">
        <v>435546</v>
      </c>
      <c r="G101">
        <v>190</v>
      </c>
      <c r="H101">
        <v>1</v>
      </c>
      <c r="I101" s="1">
        <f>fact[[#This Row],[units_sold]]*fact[[#This Row],[price_usd]]</f>
        <v>40751400</v>
      </c>
      <c r="J101">
        <v>600</v>
      </c>
    </row>
    <row r="102" spans="1:10" x14ac:dyDescent="0.35">
      <c r="A102">
        <v>101</v>
      </c>
      <c r="B102" t="s">
        <v>217</v>
      </c>
      <c r="C102" t="s">
        <v>82</v>
      </c>
      <c r="D102" t="s">
        <v>167</v>
      </c>
      <c r="E102" s="1">
        <v>100911</v>
      </c>
      <c r="F102" s="1">
        <v>276486</v>
      </c>
      <c r="G102">
        <v>367</v>
      </c>
      <c r="H102">
        <v>7</v>
      </c>
      <c r="I102" s="1">
        <f>fact[[#This Row],[units_sold]]*fact[[#This Row],[price_usd]]</f>
        <v>115543095</v>
      </c>
      <c r="J102">
        <v>1145</v>
      </c>
    </row>
    <row r="103" spans="1:10" x14ac:dyDescent="0.35">
      <c r="A103">
        <v>102</v>
      </c>
      <c r="B103" t="s">
        <v>217</v>
      </c>
      <c r="C103" t="s">
        <v>87</v>
      </c>
      <c r="D103" t="s">
        <v>172</v>
      </c>
      <c r="E103" s="1">
        <v>112239</v>
      </c>
      <c r="F103" s="1">
        <v>170507</v>
      </c>
      <c r="G103">
        <v>34</v>
      </c>
      <c r="H103">
        <v>1</v>
      </c>
      <c r="I103" s="1">
        <f>fact[[#This Row],[units_sold]]*fact[[#This Row],[price_usd]]</f>
        <v>50058594</v>
      </c>
      <c r="J103">
        <v>446</v>
      </c>
    </row>
    <row r="104" spans="1:10" x14ac:dyDescent="0.35">
      <c r="A104">
        <v>103</v>
      </c>
      <c r="B104" t="s">
        <v>217</v>
      </c>
      <c r="C104" t="s">
        <v>96</v>
      </c>
      <c r="D104" t="s">
        <v>168</v>
      </c>
      <c r="E104" s="1">
        <v>69159</v>
      </c>
      <c r="F104" s="1">
        <v>160084</v>
      </c>
      <c r="G104">
        <v>323</v>
      </c>
      <c r="H104">
        <v>10</v>
      </c>
      <c r="I104" s="1">
        <f>fact[[#This Row],[units_sold]]*fact[[#This Row],[price_usd]]</f>
        <v>68744046</v>
      </c>
      <c r="J104">
        <v>994</v>
      </c>
    </row>
    <row r="105" spans="1:10" x14ac:dyDescent="0.35">
      <c r="A105">
        <v>104</v>
      </c>
      <c r="B105" t="s">
        <v>217</v>
      </c>
      <c r="C105" t="s">
        <v>110</v>
      </c>
      <c r="D105" t="s">
        <v>170</v>
      </c>
      <c r="E105" s="1">
        <v>87057</v>
      </c>
      <c r="F105" s="1">
        <v>493942</v>
      </c>
      <c r="G105">
        <v>362</v>
      </c>
      <c r="H105">
        <v>6</v>
      </c>
      <c r="I105" s="1">
        <f>fact[[#This Row],[units_sold]]*fact[[#This Row],[price_usd]]</f>
        <v>104120172</v>
      </c>
      <c r="J105">
        <v>1196</v>
      </c>
    </row>
    <row r="106" spans="1:10" x14ac:dyDescent="0.35">
      <c r="A106">
        <v>105</v>
      </c>
      <c r="B106" t="s">
        <v>217</v>
      </c>
      <c r="C106" t="s">
        <v>119</v>
      </c>
      <c r="D106" t="s">
        <v>32</v>
      </c>
      <c r="E106" s="1">
        <v>107573</v>
      </c>
      <c r="F106" s="1">
        <v>287268</v>
      </c>
      <c r="G106">
        <v>192</v>
      </c>
      <c r="H106">
        <v>6</v>
      </c>
      <c r="I106" s="1">
        <f>fact[[#This Row],[units_sold]]*fact[[#This Row],[price_usd]]</f>
        <v>81647907</v>
      </c>
      <c r="J106">
        <v>759</v>
      </c>
    </row>
    <row r="107" spans="1:10" x14ac:dyDescent="0.35">
      <c r="A107">
        <v>106</v>
      </c>
      <c r="B107" t="s">
        <v>217</v>
      </c>
      <c r="C107" t="s">
        <v>120</v>
      </c>
      <c r="D107" t="s">
        <v>170</v>
      </c>
      <c r="E107" s="1">
        <v>78459</v>
      </c>
      <c r="F107" s="1">
        <v>377329</v>
      </c>
      <c r="G107">
        <v>93</v>
      </c>
      <c r="H107">
        <v>2</v>
      </c>
      <c r="I107" s="1">
        <f>fact[[#This Row],[units_sold]]*fact[[#This Row],[price_usd]]</f>
        <v>45192384</v>
      </c>
      <c r="J107">
        <v>576</v>
      </c>
    </row>
    <row r="108" spans="1:10" x14ac:dyDescent="0.35">
      <c r="A108">
        <v>107</v>
      </c>
      <c r="B108" t="s">
        <v>217</v>
      </c>
      <c r="C108" t="s">
        <v>133</v>
      </c>
      <c r="D108" t="s">
        <v>172</v>
      </c>
      <c r="E108" s="1">
        <v>91548</v>
      </c>
      <c r="F108" s="1">
        <v>454499</v>
      </c>
      <c r="G108">
        <v>224</v>
      </c>
      <c r="H108">
        <v>8</v>
      </c>
      <c r="I108" s="1">
        <f>fact[[#This Row],[units_sold]]*fact[[#This Row],[price_usd]]</f>
        <v>81203076</v>
      </c>
      <c r="J108">
        <v>887</v>
      </c>
    </row>
    <row r="109" spans="1:10" x14ac:dyDescent="0.35">
      <c r="A109">
        <v>108</v>
      </c>
      <c r="B109" t="s">
        <v>217</v>
      </c>
      <c r="C109" t="s">
        <v>142</v>
      </c>
      <c r="D109" t="s">
        <v>170</v>
      </c>
      <c r="E109" s="1">
        <v>47720</v>
      </c>
      <c r="F109" s="1">
        <v>172989</v>
      </c>
      <c r="G109">
        <v>246</v>
      </c>
      <c r="H109">
        <v>5</v>
      </c>
      <c r="I109" s="1">
        <f>fact[[#This Row],[units_sold]]*fact[[#This Row],[price_usd]]</f>
        <v>32306440</v>
      </c>
      <c r="J109">
        <v>677</v>
      </c>
    </row>
    <row r="110" spans="1:10" x14ac:dyDescent="0.35">
      <c r="A110">
        <v>109</v>
      </c>
      <c r="B110" t="s">
        <v>177</v>
      </c>
      <c r="C110" t="s">
        <v>45</v>
      </c>
      <c r="D110" t="s">
        <v>32</v>
      </c>
      <c r="E110" s="1">
        <v>54065</v>
      </c>
      <c r="F110" s="1">
        <v>402513</v>
      </c>
      <c r="G110">
        <v>177</v>
      </c>
      <c r="H110">
        <v>8</v>
      </c>
      <c r="I110" s="1">
        <f>fact[[#This Row],[units_sold]]*fact[[#This Row],[price_usd]]</f>
        <v>38548345</v>
      </c>
      <c r="J110">
        <v>713</v>
      </c>
    </row>
    <row r="111" spans="1:10" x14ac:dyDescent="0.35">
      <c r="A111">
        <v>110</v>
      </c>
      <c r="B111" t="s">
        <v>177</v>
      </c>
      <c r="C111" t="s">
        <v>56</v>
      </c>
      <c r="D111" t="s">
        <v>172</v>
      </c>
      <c r="E111" s="1">
        <v>85435</v>
      </c>
      <c r="F111" s="1">
        <v>50882</v>
      </c>
      <c r="G111">
        <v>367</v>
      </c>
      <c r="H111">
        <v>7</v>
      </c>
      <c r="I111" s="1">
        <f>fact[[#This Row],[units_sold]]*fact[[#This Row],[price_usd]]</f>
        <v>88681530</v>
      </c>
      <c r="J111">
        <v>1038</v>
      </c>
    </row>
    <row r="112" spans="1:10" x14ac:dyDescent="0.35">
      <c r="A112">
        <v>111</v>
      </c>
      <c r="B112" t="s">
        <v>177</v>
      </c>
      <c r="C112" t="s">
        <v>68</v>
      </c>
      <c r="D112" t="s">
        <v>171</v>
      </c>
      <c r="E112" s="1">
        <v>39321</v>
      </c>
      <c r="F112" s="1">
        <v>308916</v>
      </c>
      <c r="G112">
        <v>115</v>
      </c>
      <c r="H112">
        <v>4</v>
      </c>
      <c r="I112" s="1">
        <f>fact[[#This Row],[units_sold]]*fact[[#This Row],[price_usd]]</f>
        <v>14430807</v>
      </c>
      <c r="J112">
        <v>367</v>
      </c>
    </row>
    <row r="113" spans="1:10" x14ac:dyDescent="0.35">
      <c r="A113">
        <v>112</v>
      </c>
      <c r="B113" t="s">
        <v>177</v>
      </c>
      <c r="C113" t="s">
        <v>89</v>
      </c>
      <c r="D113" t="s">
        <v>171</v>
      </c>
      <c r="E113" s="1">
        <v>118860</v>
      </c>
      <c r="F113" s="1">
        <v>207403</v>
      </c>
      <c r="G113">
        <v>396</v>
      </c>
      <c r="H113">
        <v>4</v>
      </c>
      <c r="I113" s="1">
        <f>fact[[#This Row],[units_sold]]*fact[[#This Row],[price_usd]]</f>
        <v>128131080</v>
      </c>
      <c r="J113">
        <v>1078</v>
      </c>
    </row>
    <row r="114" spans="1:10" x14ac:dyDescent="0.35">
      <c r="A114">
        <v>113</v>
      </c>
      <c r="B114" t="s">
        <v>177</v>
      </c>
      <c r="C114" t="s">
        <v>86</v>
      </c>
      <c r="D114" t="s">
        <v>169</v>
      </c>
      <c r="E114" s="1">
        <v>108843</v>
      </c>
      <c r="F114" s="1">
        <v>308072</v>
      </c>
      <c r="G114">
        <v>365</v>
      </c>
      <c r="H114">
        <v>10</v>
      </c>
      <c r="I114" s="1">
        <f>fact[[#This Row],[units_sold]]*fact[[#This Row],[price_usd]]</f>
        <v>89468946</v>
      </c>
      <c r="J114">
        <v>822</v>
      </c>
    </row>
    <row r="115" spans="1:10" x14ac:dyDescent="0.35">
      <c r="A115">
        <v>114</v>
      </c>
      <c r="B115" t="s">
        <v>177</v>
      </c>
      <c r="C115" t="s">
        <v>122</v>
      </c>
      <c r="D115" t="s">
        <v>170</v>
      </c>
      <c r="E115" s="1">
        <v>117476</v>
      </c>
      <c r="F115" s="1">
        <v>73777</v>
      </c>
      <c r="G115">
        <v>334</v>
      </c>
      <c r="H115">
        <v>1</v>
      </c>
      <c r="I115" s="1">
        <f>fact[[#This Row],[units_sold]]*fact[[#This Row],[price_usd]]</f>
        <v>120412900</v>
      </c>
      <c r="J115">
        <v>1025</v>
      </c>
    </row>
    <row r="116" spans="1:10" x14ac:dyDescent="0.35">
      <c r="A116">
        <v>115</v>
      </c>
      <c r="B116" t="s">
        <v>177</v>
      </c>
      <c r="C116" t="s">
        <v>128</v>
      </c>
      <c r="D116" t="s">
        <v>170</v>
      </c>
      <c r="E116" s="1">
        <v>58649</v>
      </c>
      <c r="F116" s="1">
        <v>301063</v>
      </c>
      <c r="G116">
        <v>343</v>
      </c>
      <c r="H116">
        <v>4</v>
      </c>
      <c r="I116" s="1">
        <f>fact[[#This Row],[units_sold]]*fact[[#This Row],[price_usd]]</f>
        <v>62813079</v>
      </c>
      <c r="J116">
        <v>1071</v>
      </c>
    </row>
    <row r="117" spans="1:10" x14ac:dyDescent="0.35">
      <c r="A117">
        <v>116</v>
      </c>
      <c r="B117" t="s">
        <v>177</v>
      </c>
      <c r="C117" t="s">
        <v>136</v>
      </c>
      <c r="D117" t="s">
        <v>168</v>
      </c>
      <c r="E117" s="1">
        <v>53100</v>
      </c>
      <c r="F117" s="1">
        <v>414543</v>
      </c>
      <c r="G117">
        <v>76</v>
      </c>
      <c r="H117">
        <v>1</v>
      </c>
      <c r="I117" s="1">
        <f>fact[[#This Row],[units_sold]]*fact[[#This Row],[price_usd]]</f>
        <v>16992000</v>
      </c>
      <c r="J117">
        <v>320</v>
      </c>
    </row>
    <row r="118" spans="1:10" x14ac:dyDescent="0.35">
      <c r="A118">
        <v>117</v>
      </c>
      <c r="B118" t="s">
        <v>177</v>
      </c>
      <c r="C118" t="s">
        <v>144</v>
      </c>
      <c r="D118" t="s">
        <v>172</v>
      </c>
      <c r="E118" s="1">
        <v>81546</v>
      </c>
      <c r="F118" s="1">
        <v>287103</v>
      </c>
      <c r="G118">
        <v>78</v>
      </c>
      <c r="H118">
        <v>3</v>
      </c>
      <c r="I118" s="1">
        <f>fact[[#This Row],[units_sold]]*fact[[#This Row],[price_usd]]</f>
        <v>43382472</v>
      </c>
      <c r="J118">
        <v>532</v>
      </c>
    </row>
    <row r="119" spans="1:10" x14ac:dyDescent="0.35">
      <c r="A119">
        <v>118</v>
      </c>
      <c r="B119" t="s">
        <v>177</v>
      </c>
      <c r="C119" t="s">
        <v>148</v>
      </c>
      <c r="D119" t="s">
        <v>165</v>
      </c>
      <c r="E119" s="1">
        <v>83665</v>
      </c>
      <c r="F119" s="1">
        <v>422454</v>
      </c>
      <c r="G119">
        <v>150</v>
      </c>
      <c r="H119">
        <v>2</v>
      </c>
      <c r="I119" s="1">
        <f>fact[[#This Row],[units_sold]]*fact[[#This Row],[price_usd]]</f>
        <v>46266745</v>
      </c>
      <c r="J119">
        <v>553</v>
      </c>
    </row>
    <row r="120" spans="1:10" x14ac:dyDescent="0.35">
      <c r="A120">
        <v>119</v>
      </c>
      <c r="B120" t="s">
        <v>272</v>
      </c>
      <c r="C120" t="s">
        <v>69</v>
      </c>
      <c r="D120" t="s">
        <v>171</v>
      </c>
      <c r="E120" s="1">
        <v>60081</v>
      </c>
      <c r="F120" s="1">
        <v>375724</v>
      </c>
      <c r="G120">
        <v>35</v>
      </c>
      <c r="H120">
        <v>8</v>
      </c>
      <c r="I120" s="1">
        <f>fact[[#This Row],[units_sold]]*fact[[#This Row],[price_usd]]</f>
        <v>6008100</v>
      </c>
      <c r="J120">
        <v>100</v>
      </c>
    </row>
    <row r="121" spans="1:10" x14ac:dyDescent="0.35">
      <c r="A121">
        <v>120</v>
      </c>
      <c r="B121" t="s">
        <v>272</v>
      </c>
      <c r="C121" t="s">
        <v>75</v>
      </c>
      <c r="D121" t="s">
        <v>173</v>
      </c>
      <c r="E121" s="1">
        <v>80246</v>
      </c>
      <c r="F121" s="1">
        <v>354094</v>
      </c>
      <c r="G121">
        <v>107</v>
      </c>
      <c r="H121">
        <v>1</v>
      </c>
      <c r="I121" s="1">
        <f>fact[[#This Row],[units_sold]]*fact[[#This Row],[price_usd]]</f>
        <v>38437834</v>
      </c>
      <c r="J121">
        <v>479</v>
      </c>
    </row>
    <row r="122" spans="1:10" x14ac:dyDescent="0.35">
      <c r="A122">
        <v>121</v>
      </c>
      <c r="B122" t="s">
        <v>272</v>
      </c>
      <c r="C122" t="s">
        <v>99</v>
      </c>
      <c r="D122" t="s">
        <v>172</v>
      </c>
      <c r="E122" s="1">
        <v>45681</v>
      </c>
      <c r="F122" s="1">
        <v>161915</v>
      </c>
      <c r="G122">
        <v>223</v>
      </c>
      <c r="H122">
        <v>9</v>
      </c>
      <c r="I122" s="1">
        <f>fact[[#This Row],[units_sold]]*fact[[#This Row],[price_usd]]</f>
        <v>23342991</v>
      </c>
      <c r="J122">
        <v>511</v>
      </c>
    </row>
    <row r="123" spans="1:10" x14ac:dyDescent="0.35">
      <c r="A123">
        <v>122</v>
      </c>
      <c r="B123" t="s">
        <v>272</v>
      </c>
      <c r="C123" t="s">
        <v>135</v>
      </c>
      <c r="D123" t="s">
        <v>169</v>
      </c>
      <c r="E123" s="1">
        <v>76798</v>
      </c>
      <c r="F123" s="1">
        <v>197764</v>
      </c>
      <c r="G123">
        <v>366</v>
      </c>
      <c r="H123">
        <v>7</v>
      </c>
      <c r="I123" s="1">
        <f>fact[[#This Row],[units_sold]]*fact[[#This Row],[price_usd]]</f>
        <v>84784992</v>
      </c>
      <c r="J123">
        <v>1104</v>
      </c>
    </row>
    <row r="124" spans="1:10" x14ac:dyDescent="0.35">
      <c r="A124">
        <v>123</v>
      </c>
      <c r="B124" t="s">
        <v>258</v>
      </c>
      <c r="C124" t="s">
        <v>64</v>
      </c>
      <c r="D124" t="s">
        <v>166</v>
      </c>
      <c r="E124" s="1">
        <v>42797</v>
      </c>
      <c r="F124" s="1">
        <v>122534</v>
      </c>
      <c r="G124">
        <v>398</v>
      </c>
      <c r="H124">
        <v>8</v>
      </c>
      <c r="I124" s="1">
        <f>fact[[#This Row],[units_sold]]*fact[[#This Row],[price_usd]]</f>
        <v>43909722</v>
      </c>
      <c r="J124">
        <v>1026</v>
      </c>
    </row>
    <row r="125" spans="1:10" x14ac:dyDescent="0.35">
      <c r="A125">
        <v>124</v>
      </c>
      <c r="B125" t="s">
        <v>258</v>
      </c>
      <c r="C125" t="s">
        <v>61</v>
      </c>
      <c r="D125" t="s">
        <v>172</v>
      </c>
      <c r="E125" s="1">
        <v>58600</v>
      </c>
      <c r="F125" s="1">
        <v>284784</v>
      </c>
      <c r="G125">
        <v>151</v>
      </c>
      <c r="H125">
        <v>8</v>
      </c>
      <c r="I125" s="1">
        <f>fact[[#This Row],[units_sold]]*fact[[#This Row],[price_usd]]</f>
        <v>38324400</v>
      </c>
      <c r="J125">
        <v>654</v>
      </c>
    </row>
    <row r="126" spans="1:10" x14ac:dyDescent="0.35">
      <c r="A126">
        <v>125</v>
      </c>
      <c r="B126" t="s">
        <v>258</v>
      </c>
      <c r="C126" t="s">
        <v>78</v>
      </c>
      <c r="D126" t="s">
        <v>32</v>
      </c>
      <c r="E126" s="1">
        <v>103116</v>
      </c>
      <c r="F126" s="1">
        <v>395452</v>
      </c>
      <c r="G126">
        <v>101</v>
      </c>
      <c r="H126">
        <v>4</v>
      </c>
      <c r="I126" s="1">
        <f>fact[[#This Row],[units_sold]]*fact[[#This Row],[price_usd]]</f>
        <v>23819796</v>
      </c>
      <c r="J126">
        <v>231</v>
      </c>
    </row>
    <row r="127" spans="1:10" x14ac:dyDescent="0.35">
      <c r="A127">
        <v>126</v>
      </c>
      <c r="B127" t="s">
        <v>258</v>
      </c>
      <c r="C127" t="s">
        <v>75</v>
      </c>
      <c r="D127" t="s">
        <v>165</v>
      </c>
      <c r="E127" s="1">
        <v>115960</v>
      </c>
      <c r="F127" s="1">
        <v>464627</v>
      </c>
      <c r="G127">
        <v>381</v>
      </c>
      <c r="H127">
        <v>9</v>
      </c>
      <c r="I127" s="1">
        <f>fact[[#This Row],[units_sold]]*fact[[#This Row],[price_usd]]</f>
        <v>93347800</v>
      </c>
      <c r="J127">
        <v>805</v>
      </c>
    </row>
    <row r="128" spans="1:10" x14ac:dyDescent="0.35">
      <c r="A128">
        <v>127</v>
      </c>
      <c r="B128" t="s">
        <v>258</v>
      </c>
      <c r="C128" t="s">
        <v>113</v>
      </c>
      <c r="D128" t="s">
        <v>173</v>
      </c>
      <c r="E128" s="1">
        <v>75860</v>
      </c>
      <c r="F128" s="1">
        <v>187815</v>
      </c>
      <c r="G128">
        <v>101</v>
      </c>
      <c r="H128">
        <v>2</v>
      </c>
      <c r="I128" s="1">
        <f>fact[[#This Row],[units_sold]]*fact[[#This Row],[price_usd]]</f>
        <v>25033800</v>
      </c>
      <c r="J128">
        <v>330</v>
      </c>
    </row>
    <row r="129" spans="1:10" x14ac:dyDescent="0.35">
      <c r="A129">
        <v>128</v>
      </c>
      <c r="B129" t="s">
        <v>258</v>
      </c>
      <c r="C129" t="s">
        <v>118</v>
      </c>
      <c r="D129" t="s">
        <v>172</v>
      </c>
      <c r="E129" s="1">
        <v>68302</v>
      </c>
      <c r="F129" s="1">
        <v>231726</v>
      </c>
      <c r="G129">
        <v>28</v>
      </c>
      <c r="H129">
        <v>5</v>
      </c>
      <c r="I129" s="1">
        <f>fact[[#This Row],[units_sold]]*fact[[#This Row],[price_usd]]</f>
        <v>29916276</v>
      </c>
      <c r="J129">
        <v>438</v>
      </c>
    </row>
    <row r="130" spans="1:10" x14ac:dyDescent="0.35">
      <c r="A130">
        <v>129</v>
      </c>
      <c r="B130" t="s">
        <v>258</v>
      </c>
      <c r="C130" t="s">
        <v>162</v>
      </c>
      <c r="D130" t="s">
        <v>168</v>
      </c>
      <c r="E130" s="1">
        <v>95739</v>
      </c>
      <c r="F130" s="1">
        <v>307831</v>
      </c>
      <c r="G130">
        <v>30</v>
      </c>
      <c r="H130">
        <v>7</v>
      </c>
      <c r="I130" s="1">
        <f>fact[[#This Row],[units_sold]]*fact[[#This Row],[price_usd]]</f>
        <v>17615976</v>
      </c>
      <c r="J130">
        <v>184</v>
      </c>
    </row>
    <row r="131" spans="1:10" x14ac:dyDescent="0.35">
      <c r="A131">
        <v>130</v>
      </c>
      <c r="B131" t="s">
        <v>258</v>
      </c>
      <c r="C131" t="s">
        <v>159</v>
      </c>
      <c r="D131" t="s">
        <v>173</v>
      </c>
      <c r="E131" s="1">
        <v>44190</v>
      </c>
      <c r="F131" s="1">
        <v>495527</v>
      </c>
      <c r="G131">
        <v>252</v>
      </c>
      <c r="H131">
        <v>6</v>
      </c>
      <c r="I131" s="1">
        <f>fact[[#This Row],[units_sold]]*fact[[#This Row],[price_usd]]</f>
        <v>27928080</v>
      </c>
      <c r="J131">
        <v>632</v>
      </c>
    </row>
    <row r="132" spans="1:10" x14ac:dyDescent="0.35">
      <c r="A132">
        <v>131</v>
      </c>
      <c r="B132" t="s">
        <v>258</v>
      </c>
      <c r="C132" t="s">
        <v>160</v>
      </c>
      <c r="D132" t="s">
        <v>170</v>
      </c>
      <c r="E132" s="1">
        <v>105990</v>
      </c>
      <c r="F132" s="1">
        <v>198866</v>
      </c>
      <c r="G132">
        <v>339</v>
      </c>
      <c r="H132">
        <v>1</v>
      </c>
      <c r="I132" s="1">
        <f>fact[[#This Row],[units_sold]]*fact[[#This Row],[price_usd]]</f>
        <v>108533760</v>
      </c>
      <c r="J132">
        <v>1024</v>
      </c>
    </row>
    <row r="133" spans="1:10" x14ac:dyDescent="0.35">
      <c r="A133">
        <v>132</v>
      </c>
      <c r="B133" t="s">
        <v>229</v>
      </c>
      <c r="C133" t="s">
        <v>87</v>
      </c>
      <c r="D133" t="s">
        <v>168</v>
      </c>
      <c r="E133" s="1">
        <v>50187</v>
      </c>
      <c r="F133" s="1">
        <v>237035</v>
      </c>
      <c r="G133">
        <v>116</v>
      </c>
      <c r="H133">
        <v>1</v>
      </c>
      <c r="I133" s="1">
        <f>fact[[#This Row],[units_sold]]*fact[[#This Row],[price_usd]]</f>
        <v>35532396</v>
      </c>
      <c r="J133">
        <v>708</v>
      </c>
    </row>
    <row r="134" spans="1:10" x14ac:dyDescent="0.35">
      <c r="A134">
        <v>133</v>
      </c>
      <c r="B134" t="s">
        <v>229</v>
      </c>
      <c r="C134" t="s">
        <v>88</v>
      </c>
      <c r="D134" t="s">
        <v>168</v>
      </c>
      <c r="E134" s="1">
        <v>98080</v>
      </c>
      <c r="F134" s="1">
        <v>233683</v>
      </c>
      <c r="G134">
        <v>78</v>
      </c>
      <c r="H134">
        <v>8</v>
      </c>
      <c r="I134" s="1">
        <f>fact[[#This Row],[units_sold]]*fact[[#This Row],[price_usd]]</f>
        <v>31091360</v>
      </c>
      <c r="J134">
        <v>317</v>
      </c>
    </row>
    <row r="135" spans="1:10" x14ac:dyDescent="0.35">
      <c r="A135">
        <v>134</v>
      </c>
      <c r="B135" t="s">
        <v>229</v>
      </c>
      <c r="C135" t="s">
        <v>106</v>
      </c>
      <c r="D135" t="s">
        <v>170</v>
      </c>
      <c r="E135" s="1">
        <v>119817</v>
      </c>
      <c r="F135" s="1">
        <v>359732</v>
      </c>
      <c r="G135">
        <v>294</v>
      </c>
      <c r="H135">
        <v>1</v>
      </c>
      <c r="I135" s="1">
        <f>fact[[#This Row],[units_sold]]*fact[[#This Row],[price_usd]]</f>
        <v>87466410</v>
      </c>
      <c r="J135">
        <v>730</v>
      </c>
    </row>
    <row r="136" spans="1:10" x14ac:dyDescent="0.35">
      <c r="A136">
        <v>135</v>
      </c>
      <c r="B136" t="s">
        <v>229</v>
      </c>
      <c r="C136" t="s">
        <v>121</v>
      </c>
      <c r="D136" t="s">
        <v>173</v>
      </c>
      <c r="E136" s="1">
        <v>85013</v>
      </c>
      <c r="F136" s="1">
        <v>275414</v>
      </c>
      <c r="G136">
        <v>51</v>
      </c>
      <c r="H136">
        <v>6</v>
      </c>
      <c r="I136" s="1">
        <f>fact[[#This Row],[units_sold]]*fact[[#This Row],[price_usd]]</f>
        <v>29499511</v>
      </c>
      <c r="J136">
        <v>347</v>
      </c>
    </row>
    <row r="137" spans="1:10" x14ac:dyDescent="0.35">
      <c r="A137">
        <v>136</v>
      </c>
      <c r="B137" t="s">
        <v>229</v>
      </c>
      <c r="C137" t="s">
        <v>120</v>
      </c>
      <c r="D137" t="s">
        <v>166</v>
      </c>
      <c r="E137" s="1">
        <v>78254</v>
      </c>
      <c r="F137" s="1">
        <v>286770</v>
      </c>
      <c r="G137">
        <v>73</v>
      </c>
      <c r="H137">
        <v>7</v>
      </c>
      <c r="I137" s="1">
        <f>fact[[#This Row],[units_sold]]*fact[[#This Row],[price_usd]]</f>
        <v>29501758</v>
      </c>
      <c r="J137">
        <v>377</v>
      </c>
    </row>
    <row r="138" spans="1:10" x14ac:dyDescent="0.35">
      <c r="A138">
        <v>137</v>
      </c>
      <c r="B138" t="s">
        <v>229</v>
      </c>
      <c r="C138" t="s">
        <v>117</v>
      </c>
      <c r="D138" t="s">
        <v>167</v>
      </c>
      <c r="E138" s="1">
        <v>38114</v>
      </c>
      <c r="F138" s="1">
        <v>486946</v>
      </c>
      <c r="G138">
        <v>246</v>
      </c>
      <c r="H138">
        <v>2</v>
      </c>
      <c r="I138" s="1">
        <f>fact[[#This Row],[units_sold]]*fact[[#This Row],[price_usd]]</f>
        <v>36894352</v>
      </c>
      <c r="J138">
        <v>968</v>
      </c>
    </row>
    <row r="139" spans="1:10" x14ac:dyDescent="0.35">
      <c r="A139">
        <v>138</v>
      </c>
      <c r="B139" t="s">
        <v>229</v>
      </c>
      <c r="C139" t="s">
        <v>143</v>
      </c>
      <c r="D139" t="s">
        <v>32</v>
      </c>
      <c r="E139" s="1">
        <v>50989</v>
      </c>
      <c r="F139" s="1">
        <v>399317</v>
      </c>
      <c r="G139">
        <v>202</v>
      </c>
      <c r="H139">
        <v>9</v>
      </c>
      <c r="I139" s="1">
        <f>fact[[#This Row],[units_sold]]*fact[[#This Row],[price_usd]]</f>
        <v>33193839</v>
      </c>
      <c r="J139">
        <v>651</v>
      </c>
    </row>
    <row r="140" spans="1:10" x14ac:dyDescent="0.35">
      <c r="A140">
        <v>139</v>
      </c>
      <c r="B140" t="s">
        <v>229</v>
      </c>
      <c r="C140" t="s">
        <v>152</v>
      </c>
      <c r="D140" t="s">
        <v>169</v>
      </c>
      <c r="E140" s="1">
        <v>88473</v>
      </c>
      <c r="F140" s="1">
        <v>81625</v>
      </c>
      <c r="G140">
        <v>185</v>
      </c>
      <c r="H140">
        <v>1</v>
      </c>
      <c r="I140" s="1">
        <f>fact[[#This Row],[units_sold]]*fact[[#This Row],[price_usd]]</f>
        <v>47775420</v>
      </c>
      <c r="J140">
        <v>540</v>
      </c>
    </row>
    <row r="141" spans="1:10" x14ac:dyDescent="0.35">
      <c r="A141">
        <v>140</v>
      </c>
      <c r="B141" t="s">
        <v>246</v>
      </c>
      <c r="C141" t="s">
        <v>56</v>
      </c>
      <c r="D141" t="s">
        <v>32</v>
      </c>
      <c r="E141" s="1">
        <v>61950</v>
      </c>
      <c r="F141" s="1">
        <v>101012</v>
      </c>
      <c r="G141">
        <v>386</v>
      </c>
      <c r="H141">
        <v>9</v>
      </c>
      <c r="I141" s="1">
        <f>fact[[#This Row],[units_sold]]*fact[[#This Row],[price_usd]]</f>
        <v>57675450</v>
      </c>
      <c r="J141">
        <v>931</v>
      </c>
    </row>
    <row r="142" spans="1:10" x14ac:dyDescent="0.35">
      <c r="A142">
        <v>141</v>
      </c>
      <c r="B142" t="s">
        <v>246</v>
      </c>
      <c r="C142" t="s">
        <v>78</v>
      </c>
      <c r="D142" t="s">
        <v>173</v>
      </c>
      <c r="E142" s="1">
        <v>85210</v>
      </c>
      <c r="F142" s="1">
        <v>286824</v>
      </c>
      <c r="G142">
        <v>309</v>
      </c>
      <c r="H142">
        <v>1</v>
      </c>
      <c r="I142" s="1">
        <f>fact[[#This Row],[units_sold]]*fact[[#This Row],[price_usd]]</f>
        <v>73706650</v>
      </c>
      <c r="J142">
        <v>865</v>
      </c>
    </row>
    <row r="143" spans="1:10" x14ac:dyDescent="0.35">
      <c r="A143">
        <v>142</v>
      </c>
      <c r="B143" t="s">
        <v>246</v>
      </c>
      <c r="C143" t="s">
        <v>80</v>
      </c>
      <c r="D143" t="s">
        <v>168</v>
      </c>
      <c r="E143" s="1">
        <v>62281</v>
      </c>
      <c r="F143" s="1">
        <v>398951</v>
      </c>
      <c r="G143">
        <v>137</v>
      </c>
      <c r="H143">
        <v>9</v>
      </c>
      <c r="I143" s="1">
        <f>fact[[#This Row],[units_sold]]*fact[[#This Row],[price_usd]]</f>
        <v>39859840</v>
      </c>
      <c r="J143">
        <v>640</v>
      </c>
    </row>
    <row r="144" spans="1:10" x14ac:dyDescent="0.35">
      <c r="A144">
        <v>143</v>
      </c>
      <c r="B144" t="s">
        <v>246</v>
      </c>
      <c r="C144" t="s">
        <v>89</v>
      </c>
      <c r="D144" t="s">
        <v>170</v>
      </c>
      <c r="E144" s="1">
        <v>41191</v>
      </c>
      <c r="F144" s="1">
        <v>331321</v>
      </c>
      <c r="G144">
        <v>383</v>
      </c>
      <c r="H144">
        <v>5</v>
      </c>
      <c r="I144" s="1">
        <f>fact[[#This Row],[units_sold]]*fact[[#This Row],[price_usd]]</f>
        <v>49305627</v>
      </c>
      <c r="J144">
        <v>1197</v>
      </c>
    </row>
    <row r="145" spans="1:10" x14ac:dyDescent="0.35">
      <c r="A145">
        <v>144</v>
      </c>
      <c r="B145" t="s">
        <v>246</v>
      </c>
      <c r="C145" t="s">
        <v>93</v>
      </c>
      <c r="D145" t="s">
        <v>171</v>
      </c>
      <c r="E145" s="1">
        <v>36301</v>
      </c>
      <c r="F145" s="1">
        <v>142837</v>
      </c>
      <c r="G145">
        <v>69</v>
      </c>
      <c r="H145">
        <v>1</v>
      </c>
      <c r="I145" s="1">
        <f>fact[[#This Row],[units_sold]]*fact[[#This Row],[price_usd]]</f>
        <v>21599095</v>
      </c>
      <c r="J145">
        <v>595</v>
      </c>
    </row>
    <row r="146" spans="1:10" x14ac:dyDescent="0.35">
      <c r="A146">
        <v>145</v>
      </c>
      <c r="B146" t="s">
        <v>246</v>
      </c>
      <c r="C146" t="s">
        <v>106</v>
      </c>
      <c r="D146" t="s">
        <v>172</v>
      </c>
      <c r="E146" s="1">
        <v>64424</v>
      </c>
      <c r="F146" s="1">
        <v>299836</v>
      </c>
      <c r="G146">
        <v>40</v>
      </c>
      <c r="H146">
        <v>9</v>
      </c>
      <c r="I146" s="1">
        <f>fact[[#This Row],[units_sold]]*fact[[#This Row],[price_usd]]</f>
        <v>29377344</v>
      </c>
      <c r="J146">
        <v>456</v>
      </c>
    </row>
    <row r="147" spans="1:10" x14ac:dyDescent="0.35">
      <c r="A147">
        <v>146</v>
      </c>
      <c r="B147" t="s">
        <v>176</v>
      </c>
      <c r="C147" t="s">
        <v>47</v>
      </c>
      <c r="D147" t="s">
        <v>171</v>
      </c>
      <c r="E147" s="1">
        <v>119694</v>
      </c>
      <c r="F147" s="1">
        <v>326393</v>
      </c>
      <c r="G147">
        <v>55</v>
      </c>
      <c r="H147">
        <v>6</v>
      </c>
      <c r="I147" s="1">
        <f>fact[[#This Row],[units_sold]]*fact[[#This Row],[price_usd]]</f>
        <v>64155984</v>
      </c>
      <c r="J147">
        <v>536</v>
      </c>
    </row>
    <row r="148" spans="1:10" x14ac:dyDescent="0.35">
      <c r="A148">
        <v>147</v>
      </c>
      <c r="B148" t="s">
        <v>176</v>
      </c>
      <c r="C148" t="s">
        <v>48</v>
      </c>
      <c r="D148" t="s">
        <v>172</v>
      </c>
      <c r="E148" s="1">
        <v>86567</v>
      </c>
      <c r="F148" s="1">
        <v>299717</v>
      </c>
      <c r="G148">
        <v>148</v>
      </c>
      <c r="H148">
        <v>3</v>
      </c>
      <c r="I148" s="1">
        <f>fact[[#This Row],[units_sold]]*fact[[#This Row],[price_usd]]</f>
        <v>40080521</v>
      </c>
      <c r="J148">
        <v>463</v>
      </c>
    </row>
    <row r="149" spans="1:10" x14ac:dyDescent="0.35">
      <c r="A149">
        <v>148</v>
      </c>
      <c r="B149" t="s">
        <v>176</v>
      </c>
      <c r="C149" t="s">
        <v>59</v>
      </c>
      <c r="D149" t="s">
        <v>171</v>
      </c>
      <c r="E149" s="1">
        <v>79066</v>
      </c>
      <c r="F149" s="1">
        <v>260765</v>
      </c>
      <c r="G149">
        <v>201</v>
      </c>
      <c r="H149">
        <v>2</v>
      </c>
      <c r="I149" s="1">
        <f>fact[[#This Row],[units_sold]]*fact[[#This Row],[price_usd]]</f>
        <v>46411742</v>
      </c>
      <c r="J149">
        <v>587</v>
      </c>
    </row>
    <row r="150" spans="1:10" x14ac:dyDescent="0.35">
      <c r="A150">
        <v>149</v>
      </c>
      <c r="B150" t="s">
        <v>176</v>
      </c>
      <c r="C150" t="s">
        <v>74</v>
      </c>
      <c r="D150" t="s">
        <v>172</v>
      </c>
      <c r="E150" s="1">
        <v>55918</v>
      </c>
      <c r="F150" s="1">
        <v>50654</v>
      </c>
      <c r="G150">
        <v>238</v>
      </c>
      <c r="H150">
        <v>4</v>
      </c>
      <c r="I150" s="1">
        <f>fact[[#This Row],[units_sold]]*fact[[#This Row],[price_usd]]</f>
        <v>38024240</v>
      </c>
      <c r="J150">
        <v>680</v>
      </c>
    </row>
    <row r="151" spans="1:10" x14ac:dyDescent="0.35">
      <c r="A151">
        <v>150</v>
      </c>
      <c r="B151" t="s">
        <v>176</v>
      </c>
      <c r="C151" t="s">
        <v>79</v>
      </c>
      <c r="D151" t="s">
        <v>173</v>
      </c>
      <c r="E151" s="1">
        <v>102691</v>
      </c>
      <c r="F151" s="1">
        <v>183114</v>
      </c>
      <c r="G151">
        <v>129</v>
      </c>
      <c r="H151">
        <v>5</v>
      </c>
      <c r="I151" s="1">
        <f>fact[[#This Row],[units_sold]]*fact[[#This Row],[price_usd]]</f>
        <v>40049490</v>
      </c>
      <c r="J151">
        <v>390</v>
      </c>
    </row>
    <row r="152" spans="1:10" x14ac:dyDescent="0.35">
      <c r="A152">
        <v>151</v>
      </c>
      <c r="B152" t="s">
        <v>176</v>
      </c>
      <c r="C152" t="s">
        <v>82</v>
      </c>
      <c r="D152" t="s">
        <v>32</v>
      </c>
      <c r="E152" s="1">
        <v>102684</v>
      </c>
      <c r="F152" s="1">
        <v>76505</v>
      </c>
      <c r="G152">
        <v>30</v>
      </c>
      <c r="H152">
        <v>2</v>
      </c>
      <c r="I152" s="1">
        <f>fact[[#This Row],[units_sold]]*fact[[#This Row],[price_usd]]</f>
        <v>34501824</v>
      </c>
      <c r="J152">
        <v>336</v>
      </c>
    </row>
    <row r="153" spans="1:10" x14ac:dyDescent="0.35">
      <c r="A153">
        <v>152</v>
      </c>
      <c r="B153" t="s">
        <v>176</v>
      </c>
      <c r="C153" t="s">
        <v>111</v>
      </c>
      <c r="D153" t="s">
        <v>173</v>
      </c>
      <c r="E153" s="1">
        <v>69474</v>
      </c>
      <c r="F153" s="1">
        <v>218733</v>
      </c>
      <c r="G153">
        <v>110</v>
      </c>
      <c r="H153">
        <v>9</v>
      </c>
      <c r="I153" s="1">
        <f>fact[[#This Row],[units_sold]]*fact[[#This Row],[price_usd]]</f>
        <v>38071752</v>
      </c>
      <c r="J153">
        <v>548</v>
      </c>
    </row>
    <row r="154" spans="1:10" x14ac:dyDescent="0.35">
      <c r="A154">
        <v>153</v>
      </c>
      <c r="B154" t="s">
        <v>176</v>
      </c>
      <c r="C154" t="s">
        <v>133</v>
      </c>
      <c r="D154" t="s">
        <v>169</v>
      </c>
      <c r="E154" s="1">
        <v>59162</v>
      </c>
      <c r="F154" s="1">
        <v>334965</v>
      </c>
      <c r="G154">
        <v>155</v>
      </c>
      <c r="H154">
        <v>5</v>
      </c>
      <c r="I154" s="1">
        <f>fact[[#This Row],[units_sold]]*fact[[#This Row],[price_usd]]</f>
        <v>32065804</v>
      </c>
      <c r="J154">
        <v>542</v>
      </c>
    </row>
    <row r="155" spans="1:10" x14ac:dyDescent="0.35">
      <c r="A155">
        <v>154</v>
      </c>
      <c r="B155" t="s">
        <v>176</v>
      </c>
      <c r="C155" t="s">
        <v>142</v>
      </c>
      <c r="D155" t="s">
        <v>170</v>
      </c>
      <c r="E155" s="1">
        <v>74661</v>
      </c>
      <c r="F155" s="1">
        <v>303078</v>
      </c>
      <c r="G155">
        <v>110</v>
      </c>
      <c r="H155">
        <v>1</v>
      </c>
      <c r="I155" s="1">
        <f>fact[[#This Row],[units_sold]]*fact[[#This Row],[price_usd]]</f>
        <v>39495669</v>
      </c>
      <c r="J155">
        <v>529</v>
      </c>
    </row>
    <row r="156" spans="1:10" x14ac:dyDescent="0.35">
      <c r="A156">
        <v>155</v>
      </c>
      <c r="B156" t="s">
        <v>176</v>
      </c>
      <c r="C156" t="s">
        <v>144</v>
      </c>
      <c r="D156" t="s">
        <v>171</v>
      </c>
      <c r="E156" s="1">
        <v>78066</v>
      </c>
      <c r="F156" s="1">
        <v>296103</v>
      </c>
      <c r="G156">
        <v>30</v>
      </c>
      <c r="H156">
        <v>7</v>
      </c>
      <c r="I156" s="1">
        <f>fact[[#This Row],[units_sold]]*fact[[#This Row],[price_usd]]</f>
        <v>14598342</v>
      </c>
      <c r="J156">
        <v>187</v>
      </c>
    </row>
    <row r="157" spans="1:10" x14ac:dyDescent="0.35">
      <c r="A157">
        <v>156</v>
      </c>
      <c r="B157" t="s">
        <v>190</v>
      </c>
      <c r="C157" t="s">
        <v>61</v>
      </c>
      <c r="D157" t="s">
        <v>170</v>
      </c>
      <c r="E157" s="1">
        <v>69493</v>
      </c>
      <c r="F157" s="1">
        <v>211323</v>
      </c>
      <c r="G157">
        <v>311</v>
      </c>
      <c r="H157">
        <v>4</v>
      </c>
      <c r="I157" s="1">
        <f>fact[[#This Row],[units_sold]]*fact[[#This Row],[price_usd]]</f>
        <v>67199731</v>
      </c>
      <c r="J157">
        <v>967</v>
      </c>
    </row>
    <row r="158" spans="1:10" x14ac:dyDescent="0.35">
      <c r="A158">
        <v>157</v>
      </c>
      <c r="B158" t="s">
        <v>190</v>
      </c>
      <c r="C158" t="s">
        <v>58</v>
      </c>
      <c r="D158" t="s">
        <v>166</v>
      </c>
      <c r="E158" s="1">
        <v>58834</v>
      </c>
      <c r="F158" s="1">
        <v>58720</v>
      </c>
      <c r="G158">
        <v>368</v>
      </c>
      <c r="H158">
        <v>6</v>
      </c>
      <c r="I158" s="1">
        <f>fact[[#This Row],[units_sold]]*fact[[#This Row],[price_usd]]</f>
        <v>59187004</v>
      </c>
      <c r="J158">
        <v>1006</v>
      </c>
    </row>
    <row r="159" spans="1:10" x14ac:dyDescent="0.35">
      <c r="A159">
        <v>158</v>
      </c>
      <c r="B159" t="s">
        <v>190</v>
      </c>
      <c r="C159" t="s">
        <v>114</v>
      </c>
      <c r="D159" t="s">
        <v>173</v>
      </c>
      <c r="E159" s="1">
        <v>97217</v>
      </c>
      <c r="F159" s="1">
        <v>91139</v>
      </c>
      <c r="G159">
        <v>37</v>
      </c>
      <c r="H159">
        <v>7</v>
      </c>
      <c r="I159" s="1">
        <f>fact[[#This Row],[units_sold]]*fact[[#This Row],[price_usd]]</f>
        <v>39956187</v>
      </c>
      <c r="J159">
        <v>411</v>
      </c>
    </row>
    <row r="160" spans="1:10" x14ac:dyDescent="0.35">
      <c r="A160">
        <v>159</v>
      </c>
      <c r="B160" t="s">
        <v>247</v>
      </c>
      <c r="C160" t="s">
        <v>52</v>
      </c>
      <c r="D160" t="s">
        <v>32</v>
      </c>
      <c r="E160" s="1">
        <v>35507</v>
      </c>
      <c r="F160" s="1">
        <v>241313</v>
      </c>
      <c r="G160">
        <v>380</v>
      </c>
      <c r="H160">
        <v>6</v>
      </c>
      <c r="I160" s="1">
        <f>fact[[#This Row],[units_sold]]*fact[[#This Row],[price_usd]]</f>
        <v>41507683</v>
      </c>
      <c r="J160">
        <v>1169</v>
      </c>
    </row>
    <row r="161" spans="1:10" x14ac:dyDescent="0.35">
      <c r="A161">
        <v>160</v>
      </c>
      <c r="B161" t="s">
        <v>247</v>
      </c>
      <c r="C161" t="s">
        <v>120</v>
      </c>
      <c r="D161" t="s">
        <v>169</v>
      </c>
      <c r="E161" s="1">
        <v>113002</v>
      </c>
      <c r="F161" s="1">
        <v>101482</v>
      </c>
      <c r="G161">
        <v>126</v>
      </c>
      <c r="H161">
        <v>9</v>
      </c>
      <c r="I161" s="1">
        <f>fact[[#This Row],[units_sold]]*fact[[#This Row],[price_usd]]</f>
        <v>35934636</v>
      </c>
      <c r="J161">
        <v>318</v>
      </c>
    </row>
    <row r="162" spans="1:10" x14ac:dyDescent="0.35">
      <c r="A162">
        <v>161</v>
      </c>
      <c r="B162" t="s">
        <v>247</v>
      </c>
      <c r="C162" t="s">
        <v>118</v>
      </c>
      <c r="D162" t="s">
        <v>168</v>
      </c>
      <c r="E162" s="1">
        <v>43320</v>
      </c>
      <c r="F162" s="1">
        <v>189681</v>
      </c>
      <c r="G162">
        <v>227</v>
      </c>
      <c r="H162">
        <v>4</v>
      </c>
      <c r="I162" s="1">
        <f>fact[[#This Row],[units_sold]]*fact[[#This Row],[price_usd]]</f>
        <v>27768120</v>
      </c>
      <c r="J162">
        <v>641</v>
      </c>
    </row>
    <row r="163" spans="1:10" x14ac:dyDescent="0.35">
      <c r="A163">
        <v>162</v>
      </c>
      <c r="B163" t="s">
        <v>207</v>
      </c>
      <c r="C163" t="s">
        <v>67</v>
      </c>
      <c r="D163" t="s">
        <v>165</v>
      </c>
      <c r="E163" s="1">
        <v>116502</v>
      </c>
      <c r="F163" s="1">
        <v>163783</v>
      </c>
      <c r="G163">
        <v>134</v>
      </c>
      <c r="H163">
        <v>8</v>
      </c>
      <c r="I163" s="1">
        <f>fact[[#This Row],[units_sold]]*fact[[#This Row],[price_usd]]</f>
        <v>45785286</v>
      </c>
      <c r="J163">
        <v>393</v>
      </c>
    </row>
    <row r="164" spans="1:10" x14ac:dyDescent="0.35">
      <c r="A164">
        <v>163</v>
      </c>
      <c r="B164" t="s">
        <v>207</v>
      </c>
      <c r="C164" t="s">
        <v>71</v>
      </c>
      <c r="D164" t="s">
        <v>167</v>
      </c>
      <c r="E164" s="1">
        <v>62052</v>
      </c>
      <c r="F164" s="1">
        <v>145965</v>
      </c>
      <c r="G164">
        <v>93</v>
      </c>
      <c r="H164">
        <v>4</v>
      </c>
      <c r="I164" s="1">
        <f>fact[[#This Row],[units_sold]]*fact[[#This Row],[price_usd]]</f>
        <v>32142936</v>
      </c>
      <c r="J164">
        <v>518</v>
      </c>
    </row>
    <row r="165" spans="1:10" x14ac:dyDescent="0.35">
      <c r="A165">
        <v>164</v>
      </c>
      <c r="B165" t="s">
        <v>207</v>
      </c>
      <c r="C165" t="s">
        <v>75</v>
      </c>
      <c r="D165" t="s">
        <v>172</v>
      </c>
      <c r="E165" s="1">
        <v>49605</v>
      </c>
      <c r="F165" s="1">
        <v>105501</v>
      </c>
      <c r="G165">
        <v>163</v>
      </c>
      <c r="H165">
        <v>9</v>
      </c>
      <c r="I165" s="1">
        <f>fact[[#This Row],[units_sold]]*fact[[#This Row],[price_usd]]</f>
        <v>37650195</v>
      </c>
      <c r="J165">
        <v>759</v>
      </c>
    </row>
    <row r="166" spans="1:10" x14ac:dyDescent="0.35">
      <c r="A166">
        <v>165</v>
      </c>
      <c r="B166" t="s">
        <v>207</v>
      </c>
      <c r="C166" t="s">
        <v>78</v>
      </c>
      <c r="D166" t="s">
        <v>171</v>
      </c>
      <c r="E166" s="1">
        <v>45345</v>
      </c>
      <c r="F166" s="1">
        <v>274866</v>
      </c>
      <c r="G166">
        <v>398</v>
      </c>
      <c r="H166">
        <v>8</v>
      </c>
      <c r="I166" s="1">
        <f>fact[[#This Row],[units_sold]]*fact[[#This Row],[price_usd]]</f>
        <v>41536020</v>
      </c>
      <c r="J166">
        <v>916</v>
      </c>
    </row>
    <row r="167" spans="1:10" x14ac:dyDescent="0.35">
      <c r="A167">
        <v>166</v>
      </c>
      <c r="B167" t="s">
        <v>207</v>
      </c>
      <c r="C167" t="s">
        <v>85</v>
      </c>
      <c r="D167" t="s">
        <v>167</v>
      </c>
      <c r="E167" s="1">
        <v>42853</v>
      </c>
      <c r="F167" s="1">
        <v>104362</v>
      </c>
      <c r="G167">
        <v>235</v>
      </c>
      <c r="H167">
        <v>3</v>
      </c>
      <c r="I167" s="1">
        <f>fact[[#This Row],[units_sold]]*fact[[#This Row],[price_usd]]</f>
        <v>28540098</v>
      </c>
      <c r="J167">
        <v>666</v>
      </c>
    </row>
    <row r="168" spans="1:10" x14ac:dyDescent="0.35">
      <c r="A168">
        <v>167</v>
      </c>
      <c r="B168" t="s">
        <v>207</v>
      </c>
      <c r="C168" t="s">
        <v>97</v>
      </c>
      <c r="D168" t="s">
        <v>172</v>
      </c>
      <c r="E168" s="1">
        <v>75745</v>
      </c>
      <c r="F168" s="1">
        <v>249618</v>
      </c>
      <c r="G168">
        <v>289</v>
      </c>
      <c r="H168">
        <v>4</v>
      </c>
      <c r="I168" s="1">
        <f>fact[[#This Row],[units_sold]]*fact[[#This Row],[price_usd]]</f>
        <v>76047980</v>
      </c>
      <c r="J168">
        <v>1004</v>
      </c>
    </row>
    <row r="169" spans="1:10" x14ac:dyDescent="0.35">
      <c r="A169">
        <v>168</v>
      </c>
      <c r="B169" t="s">
        <v>207</v>
      </c>
      <c r="C169" t="s">
        <v>97</v>
      </c>
      <c r="D169" t="s">
        <v>168</v>
      </c>
      <c r="E169" s="1">
        <v>119518</v>
      </c>
      <c r="F169" s="1">
        <v>270326</v>
      </c>
      <c r="G169">
        <v>332</v>
      </c>
      <c r="H169">
        <v>4</v>
      </c>
      <c r="I169" s="1">
        <f>fact[[#This Row],[units_sold]]*fact[[#This Row],[price_usd]]</f>
        <v>101231746</v>
      </c>
      <c r="J169">
        <v>847</v>
      </c>
    </row>
    <row r="170" spans="1:10" x14ac:dyDescent="0.35">
      <c r="A170">
        <v>169</v>
      </c>
      <c r="B170" t="s">
        <v>207</v>
      </c>
      <c r="C170" t="s">
        <v>118</v>
      </c>
      <c r="D170" t="s">
        <v>166</v>
      </c>
      <c r="E170" s="1">
        <v>95430</v>
      </c>
      <c r="F170" s="1">
        <v>369532</v>
      </c>
      <c r="G170">
        <v>214</v>
      </c>
      <c r="H170">
        <v>1</v>
      </c>
      <c r="I170" s="1">
        <f>fact[[#This Row],[units_sold]]*fact[[#This Row],[price_usd]]</f>
        <v>48669300</v>
      </c>
      <c r="J170">
        <v>510</v>
      </c>
    </row>
    <row r="171" spans="1:10" x14ac:dyDescent="0.35">
      <c r="A171">
        <v>170</v>
      </c>
      <c r="B171" t="s">
        <v>207</v>
      </c>
      <c r="C171" t="s">
        <v>131</v>
      </c>
      <c r="D171" t="s">
        <v>32</v>
      </c>
      <c r="E171" s="1">
        <v>35490</v>
      </c>
      <c r="F171" s="1">
        <v>70836</v>
      </c>
      <c r="G171">
        <v>217</v>
      </c>
      <c r="H171">
        <v>9</v>
      </c>
      <c r="I171" s="1">
        <f>fact[[#This Row],[units_sold]]*fact[[#This Row],[price_usd]]</f>
        <v>15970500</v>
      </c>
      <c r="J171">
        <v>450</v>
      </c>
    </row>
    <row r="172" spans="1:10" x14ac:dyDescent="0.35">
      <c r="A172">
        <v>171</v>
      </c>
      <c r="B172" t="s">
        <v>207</v>
      </c>
      <c r="C172" t="s">
        <v>144</v>
      </c>
      <c r="D172" t="s">
        <v>171</v>
      </c>
      <c r="E172" s="1">
        <v>64670</v>
      </c>
      <c r="F172" s="1">
        <v>140054</v>
      </c>
      <c r="G172">
        <v>224</v>
      </c>
      <c r="H172">
        <v>4</v>
      </c>
      <c r="I172" s="1">
        <f>fact[[#This Row],[units_sold]]*fact[[#This Row],[price_usd]]</f>
        <v>51736000</v>
      </c>
      <c r="J172">
        <v>800</v>
      </c>
    </row>
    <row r="173" spans="1:10" x14ac:dyDescent="0.35">
      <c r="A173">
        <v>172</v>
      </c>
      <c r="B173" t="s">
        <v>237</v>
      </c>
      <c r="C173" t="s">
        <v>49</v>
      </c>
      <c r="D173" t="s">
        <v>32</v>
      </c>
      <c r="E173" s="1">
        <v>95942</v>
      </c>
      <c r="F173" s="1">
        <v>250003</v>
      </c>
      <c r="G173">
        <v>297</v>
      </c>
      <c r="H173">
        <v>2</v>
      </c>
      <c r="I173" s="1">
        <f>fact[[#This Row],[units_sold]]*fact[[#This Row],[price_usd]]</f>
        <v>85580264</v>
      </c>
      <c r="J173">
        <v>892</v>
      </c>
    </row>
    <row r="174" spans="1:10" x14ac:dyDescent="0.35">
      <c r="A174">
        <v>173</v>
      </c>
      <c r="B174" t="s">
        <v>237</v>
      </c>
      <c r="C174" t="s">
        <v>76</v>
      </c>
      <c r="D174" t="s">
        <v>172</v>
      </c>
      <c r="E174" s="1">
        <v>96269</v>
      </c>
      <c r="F174" s="1">
        <v>102344</v>
      </c>
      <c r="G174">
        <v>240</v>
      </c>
      <c r="H174">
        <v>5</v>
      </c>
      <c r="I174" s="1">
        <f>fact[[#This Row],[units_sold]]*fact[[#This Row],[price_usd]]</f>
        <v>56606172</v>
      </c>
      <c r="J174">
        <v>588</v>
      </c>
    </row>
    <row r="175" spans="1:10" x14ac:dyDescent="0.35">
      <c r="A175">
        <v>174</v>
      </c>
      <c r="B175" t="s">
        <v>237</v>
      </c>
      <c r="C175" t="s">
        <v>75</v>
      </c>
      <c r="D175" t="s">
        <v>166</v>
      </c>
      <c r="E175" s="1">
        <v>116418</v>
      </c>
      <c r="F175" s="1">
        <v>355063</v>
      </c>
      <c r="G175">
        <v>358</v>
      </c>
      <c r="H175">
        <v>10</v>
      </c>
      <c r="I175" s="1">
        <f>fact[[#This Row],[units_sold]]*fact[[#This Row],[price_usd]]</f>
        <v>86498574</v>
      </c>
      <c r="J175">
        <v>743</v>
      </c>
    </row>
    <row r="176" spans="1:10" x14ac:dyDescent="0.35">
      <c r="A176">
        <v>175</v>
      </c>
      <c r="B176" t="s">
        <v>237</v>
      </c>
      <c r="C176" t="s">
        <v>82</v>
      </c>
      <c r="D176" t="s">
        <v>167</v>
      </c>
      <c r="E176" s="1">
        <v>61081</v>
      </c>
      <c r="F176" s="1">
        <v>399880</v>
      </c>
      <c r="G176">
        <v>279</v>
      </c>
      <c r="H176">
        <v>9</v>
      </c>
      <c r="I176" s="1">
        <f>fact[[#This Row],[units_sold]]*fact[[#This Row],[price_usd]]</f>
        <v>51796688</v>
      </c>
      <c r="J176">
        <v>848</v>
      </c>
    </row>
    <row r="177" spans="1:10" x14ac:dyDescent="0.35">
      <c r="A177">
        <v>176</v>
      </c>
      <c r="B177" t="s">
        <v>237</v>
      </c>
      <c r="C177" t="s">
        <v>124</v>
      </c>
      <c r="D177" t="s">
        <v>172</v>
      </c>
      <c r="E177" s="1">
        <v>114079</v>
      </c>
      <c r="F177" s="1">
        <v>89041</v>
      </c>
      <c r="G177">
        <v>73</v>
      </c>
      <c r="H177">
        <v>10</v>
      </c>
      <c r="I177" s="1">
        <f>fact[[#This Row],[units_sold]]*fact[[#This Row],[price_usd]]</f>
        <v>45175284</v>
      </c>
      <c r="J177">
        <v>396</v>
      </c>
    </row>
    <row r="178" spans="1:10" x14ac:dyDescent="0.35">
      <c r="A178">
        <v>177</v>
      </c>
      <c r="B178" t="s">
        <v>237</v>
      </c>
      <c r="C178" t="s">
        <v>126</v>
      </c>
      <c r="D178" t="s">
        <v>168</v>
      </c>
      <c r="E178" s="1">
        <v>42465</v>
      </c>
      <c r="F178" s="1">
        <v>306427</v>
      </c>
      <c r="G178">
        <v>255</v>
      </c>
      <c r="H178">
        <v>5</v>
      </c>
      <c r="I178" s="1">
        <f>fact[[#This Row],[units_sold]]*fact[[#This Row],[price_usd]]</f>
        <v>32910375</v>
      </c>
      <c r="J178">
        <v>775</v>
      </c>
    </row>
    <row r="179" spans="1:10" x14ac:dyDescent="0.35">
      <c r="A179">
        <v>178</v>
      </c>
      <c r="B179" t="s">
        <v>237</v>
      </c>
      <c r="C179" t="s">
        <v>128</v>
      </c>
      <c r="D179" t="s">
        <v>166</v>
      </c>
      <c r="E179" s="1">
        <v>37809</v>
      </c>
      <c r="F179" s="1">
        <v>126208</v>
      </c>
      <c r="G179">
        <v>57</v>
      </c>
      <c r="H179">
        <v>10</v>
      </c>
      <c r="I179" s="1">
        <f>fact[[#This Row],[units_sold]]*fact[[#This Row],[price_usd]]</f>
        <v>20000961</v>
      </c>
      <c r="J179">
        <v>529</v>
      </c>
    </row>
    <row r="180" spans="1:10" x14ac:dyDescent="0.35">
      <c r="A180">
        <v>179</v>
      </c>
      <c r="B180" t="s">
        <v>237</v>
      </c>
      <c r="C180" t="s">
        <v>134</v>
      </c>
      <c r="D180" t="s">
        <v>171</v>
      </c>
      <c r="E180" s="1">
        <v>77818</v>
      </c>
      <c r="F180" s="1">
        <v>497421</v>
      </c>
      <c r="G180">
        <v>300</v>
      </c>
      <c r="H180">
        <v>4</v>
      </c>
      <c r="I180" s="1">
        <f>fact[[#This Row],[units_sold]]*fact[[#This Row],[price_usd]]</f>
        <v>53227512</v>
      </c>
      <c r="J180">
        <v>684</v>
      </c>
    </row>
    <row r="181" spans="1:10" x14ac:dyDescent="0.35">
      <c r="A181">
        <v>180</v>
      </c>
      <c r="B181" t="s">
        <v>237</v>
      </c>
      <c r="C181" t="s">
        <v>146</v>
      </c>
      <c r="D181" t="s">
        <v>172</v>
      </c>
      <c r="E181" s="1">
        <v>92473</v>
      </c>
      <c r="F181" s="1">
        <v>436791</v>
      </c>
      <c r="G181">
        <v>329</v>
      </c>
      <c r="H181">
        <v>9</v>
      </c>
      <c r="I181" s="1">
        <f>fact[[#This Row],[units_sold]]*fact[[#This Row],[price_usd]]</f>
        <v>86462255</v>
      </c>
      <c r="J181">
        <v>935</v>
      </c>
    </row>
    <row r="182" spans="1:10" x14ac:dyDescent="0.35">
      <c r="A182">
        <v>181</v>
      </c>
      <c r="B182" t="s">
        <v>237</v>
      </c>
      <c r="C182" t="s">
        <v>156</v>
      </c>
      <c r="D182" t="s">
        <v>165</v>
      </c>
      <c r="E182" s="1">
        <v>118111</v>
      </c>
      <c r="F182" s="1">
        <v>372245</v>
      </c>
      <c r="G182">
        <v>41</v>
      </c>
      <c r="H182">
        <v>3</v>
      </c>
      <c r="I182" s="1">
        <f>fact[[#This Row],[units_sold]]*fact[[#This Row],[price_usd]]</f>
        <v>34252190</v>
      </c>
      <c r="J182">
        <v>290</v>
      </c>
    </row>
    <row r="183" spans="1:10" x14ac:dyDescent="0.35">
      <c r="A183">
        <v>182</v>
      </c>
      <c r="B183" t="s">
        <v>280</v>
      </c>
      <c r="C183" t="s">
        <v>47</v>
      </c>
      <c r="D183" t="s">
        <v>171</v>
      </c>
      <c r="E183" s="1">
        <v>35515</v>
      </c>
      <c r="F183" s="1">
        <v>340477</v>
      </c>
      <c r="G183">
        <v>195</v>
      </c>
      <c r="H183">
        <v>7</v>
      </c>
      <c r="I183" s="1">
        <f>fact[[#This Row],[units_sold]]*fact[[#This Row],[price_usd]]</f>
        <v>19923915</v>
      </c>
      <c r="J183">
        <v>561</v>
      </c>
    </row>
    <row r="184" spans="1:10" x14ac:dyDescent="0.35">
      <c r="A184">
        <v>183</v>
      </c>
      <c r="B184" t="s">
        <v>280</v>
      </c>
      <c r="C184" t="s">
        <v>62</v>
      </c>
      <c r="D184" t="s">
        <v>172</v>
      </c>
      <c r="E184" s="1">
        <v>39136</v>
      </c>
      <c r="F184" s="1">
        <v>173714</v>
      </c>
      <c r="G184">
        <v>123</v>
      </c>
      <c r="H184">
        <v>4</v>
      </c>
      <c r="I184" s="1">
        <f>fact[[#This Row],[units_sold]]*fact[[#This Row],[price_usd]]</f>
        <v>15145632</v>
      </c>
      <c r="J184">
        <v>387</v>
      </c>
    </row>
    <row r="185" spans="1:10" x14ac:dyDescent="0.35">
      <c r="A185">
        <v>184</v>
      </c>
      <c r="B185" t="s">
        <v>280</v>
      </c>
      <c r="C185" t="s">
        <v>96</v>
      </c>
      <c r="D185" t="s">
        <v>165</v>
      </c>
      <c r="E185" s="1">
        <v>77431</v>
      </c>
      <c r="F185" s="1">
        <v>239518</v>
      </c>
      <c r="G185">
        <v>188</v>
      </c>
      <c r="H185">
        <v>7</v>
      </c>
      <c r="I185" s="1">
        <f>fact[[#This Row],[units_sold]]*fact[[#This Row],[price_usd]]</f>
        <v>42045033</v>
      </c>
      <c r="J185">
        <v>543</v>
      </c>
    </row>
    <row r="186" spans="1:10" x14ac:dyDescent="0.35">
      <c r="A186">
        <v>185</v>
      </c>
      <c r="B186" t="s">
        <v>280</v>
      </c>
      <c r="C186" t="s">
        <v>126</v>
      </c>
      <c r="D186" t="s">
        <v>173</v>
      </c>
      <c r="E186" s="1">
        <v>87091</v>
      </c>
      <c r="F186" s="1">
        <v>313551</v>
      </c>
      <c r="G186">
        <v>360</v>
      </c>
      <c r="H186">
        <v>8</v>
      </c>
      <c r="I186" s="1">
        <f>fact[[#This Row],[units_sold]]*fact[[#This Row],[price_usd]]</f>
        <v>72198439</v>
      </c>
      <c r="J186">
        <v>829</v>
      </c>
    </row>
    <row r="187" spans="1:10" x14ac:dyDescent="0.35">
      <c r="A187">
        <v>186</v>
      </c>
      <c r="B187" t="s">
        <v>280</v>
      </c>
      <c r="C187" t="s">
        <v>121</v>
      </c>
      <c r="D187" t="s">
        <v>32</v>
      </c>
      <c r="E187" s="1">
        <v>62160</v>
      </c>
      <c r="F187" s="1">
        <v>445797</v>
      </c>
      <c r="G187">
        <v>24</v>
      </c>
      <c r="H187">
        <v>5</v>
      </c>
      <c r="I187" s="1">
        <f>fact[[#This Row],[units_sold]]*fact[[#This Row],[price_usd]]</f>
        <v>25236960</v>
      </c>
      <c r="J187">
        <v>406</v>
      </c>
    </row>
    <row r="188" spans="1:10" x14ac:dyDescent="0.35">
      <c r="A188">
        <v>187</v>
      </c>
      <c r="B188" t="s">
        <v>280</v>
      </c>
      <c r="C188" t="s">
        <v>131</v>
      </c>
      <c r="D188" t="s">
        <v>166</v>
      </c>
      <c r="E188" s="1">
        <v>106138</v>
      </c>
      <c r="F188" s="1">
        <v>494244</v>
      </c>
      <c r="G188">
        <v>115</v>
      </c>
      <c r="H188">
        <v>3</v>
      </c>
      <c r="I188" s="1">
        <f>fact[[#This Row],[units_sold]]*fact[[#This Row],[price_usd]]</f>
        <v>68671286</v>
      </c>
      <c r="J188">
        <v>647</v>
      </c>
    </row>
    <row r="189" spans="1:10" x14ac:dyDescent="0.35">
      <c r="A189">
        <v>188</v>
      </c>
      <c r="B189" t="s">
        <v>267</v>
      </c>
      <c r="C189" t="s">
        <v>52</v>
      </c>
      <c r="D189" t="s">
        <v>170</v>
      </c>
      <c r="E189" s="1">
        <v>54581</v>
      </c>
      <c r="F189" s="1">
        <v>346379</v>
      </c>
      <c r="G189">
        <v>108</v>
      </c>
      <c r="H189">
        <v>4</v>
      </c>
      <c r="I189" s="1">
        <f>fact[[#This Row],[units_sold]]*fact[[#This Row],[price_usd]]</f>
        <v>18885026</v>
      </c>
      <c r="J189">
        <v>346</v>
      </c>
    </row>
    <row r="190" spans="1:10" x14ac:dyDescent="0.35">
      <c r="A190">
        <v>189</v>
      </c>
      <c r="B190" t="s">
        <v>267</v>
      </c>
      <c r="C190" t="s">
        <v>47</v>
      </c>
      <c r="D190" t="s">
        <v>167</v>
      </c>
      <c r="E190" s="1">
        <v>55977</v>
      </c>
      <c r="F190" s="1">
        <v>481888</v>
      </c>
      <c r="G190">
        <v>146</v>
      </c>
      <c r="H190">
        <v>10</v>
      </c>
      <c r="I190" s="1">
        <f>fact[[#This Row],[units_sold]]*fact[[#This Row],[price_usd]]</f>
        <v>33586200</v>
      </c>
      <c r="J190">
        <v>600</v>
      </c>
    </row>
    <row r="191" spans="1:10" x14ac:dyDescent="0.35">
      <c r="A191">
        <v>190</v>
      </c>
      <c r="B191" t="s">
        <v>267</v>
      </c>
      <c r="C191" t="s">
        <v>86</v>
      </c>
      <c r="D191" t="s">
        <v>169</v>
      </c>
      <c r="E191" s="1">
        <v>65573</v>
      </c>
      <c r="F191" s="1">
        <v>344499</v>
      </c>
      <c r="G191">
        <v>111</v>
      </c>
      <c r="H191">
        <v>10</v>
      </c>
      <c r="I191" s="1">
        <f>fact[[#This Row],[units_sold]]*fact[[#This Row],[price_usd]]</f>
        <v>37901194</v>
      </c>
      <c r="J191">
        <v>578</v>
      </c>
    </row>
    <row r="192" spans="1:10" x14ac:dyDescent="0.35">
      <c r="A192">
        <v>191</v>
      </c>
      <c r="B192" t="s">
        <v>267</v>
      </c>
      <c r="C192" t="s">
        <v>89</v>
      </c>
      <c r="D192" t="s">
        <v>170</v>
      </c>
      <c r="E192" s="1">
        <v>115428</v>
      </c>
      <c r="F192" s="1">
        <v>418893</v>
      </c>
      <c r="G192">
        <v>253</v>
      </c>
      <c r="H192">
        <v>10</v>
      </c>
      <c r="I192" s="1">
        <f>fact[[#This Row],[units_sold]]*fact[[#This Row],[price_usd]]</f>
        <v>61523124</v>
      </c>
      <c r="J192">
        <v>533</v>
      </c>
    </row>
    <row r="193" spans="1:10" x14ac:dyDescent="0.35">
      <c r="A193">
        <v>192</v>
      </c>
      <c r="B193" t="s">
        <v>267</v>
      </c>
      <c r="C193" t="s">
        <v>116</v>
      </c>
      <c r="D193" t="s">
        <v>173</v>
      </c>
      <c r="E193" s="1">
        <v>88775</v>
      </c>
      <c r="F193" s="1">
        <v>145864</v>
      </c>
      <c r="G193">
        <v>342</v>
      </c>
      <c r="H193">
        <v>3</v>
      </c>
      <c r="I193" s="1">
        <f>fact[[#This Row],[units_sold]]*fact[[#This Row],[price_usd]]</f>
        <v>80785250</v>
      </c>
      <c r="J193">
        <v>910</v>
      </c>
    </row>
    <row r="194" spans="1:10" x14ac:dyDescent="0.35">
      <c r="A194">
        <v>193</v>
      </c>
      <c r="B194" t="s">
        <v>267</v>
      </c>
      <c r="C194" t="s">
        <v>116</v>
      </c>
      <c r="D194" t="s">
        <v>165</v>
      </c>
      <c r="E194" s="1">
        <v>77624</v>
      </c>
      <c r="F194" s="1">
        <v>215837</v>
      </c>
      <c r="G194">
        <v>115</v>
      </c>
      <c r="H194">
        <v>7</v>
      </c>
      <c r="I194" s="1">
        <f>fact[[#This Row],[units_sold]]*fact[[#This Row],[price_usd]]</f>
        <v>33611192</v>
      </c>
      <c r="J194">
        <v>433</v>
      </c>
    </row>
    <row r="195" spans="1:10" x14ac:dyDescent="0.35">
      <c r="A195">
        <v>194</v>
      </c>
      <c r="B195" t="s">
        <v>267</v>
      </c>
      <c r="C195" t="s">
        <v>150</v>
      </c>
      <c r="D195" t="s">
        <v>166</v>
      </c>
      <c r="E195" s="1">
        <v>102598</v>
      </c>
      <c r="F195" s="1">
        <v>475643</v>
      </c>
      <c r="G195">
        <v>170</v>
      </c>
      <c r="H195">
        <v>10</v>
      </c>
      <c r="I195" s="1">
        <f>fact[[#This Row],[units_sold]]*fact[[#This Row],[price_usd]]</f>
        <v>64123750</v>
      </c>
      <c r="J195">
        <v>625</v>
      </c>
    </row>
    <row r="196" spans="1:10" x14ac:dyDescent="0.35">
      <c r="A196">
        <v>195</v>
      </c>
      <c r="B196" t="s">
        <v>188</v>
      </c>
      <c r="C196" t="s">
        <v>46</v>
      </c>
      <c r="D196" t="s">
        <v>32</v>
      </c>
      <c r="E196" s="1">
        <v>111382</v>
      </c>
      <c r="F196" s="1">
        <v>321189</v>
      </c>
      <c r="G196">
        <v>225</v>
      </c>
      <c r="H196">
        <v>4</v>
      </c>
      <c r="I196" s="1">
        <f>fact[[#This Row],[units_sold]]*fact[[#This Row],[price_usd]]</f>
        <v>98350306</v>
      </c>
      <c r="J196">
        <v>883</v>
      </c>
    </row>
    <row r="197" spans="1:10" x14ac:dyDescent="0.35">
      <c r="A197">
        <v>196</v>
      </c>
      <c r="B197" t="s">
        <v>188</v>
      </c>
      <c r="C197" t="s">
        <v>63</v>
      </c>
      <c r="D197" t="s">
        <v>169</v>
      </c>
      <c r="E197" s="1">
        <v>92724</v>
      </c>
      <c r="F197" s="1">
        <v>166220</v>
      </c>
      <c r="G197">
        <v>347</v>
      </c>
      <c r="H197">
        <v>9</v>
      </c>
      <c r="I197" s="1">
        <f>fact[[#This Row],[units_sold]]*fact[[#This Row],[price_usd]]</f>
        <v>99214680</v>
      </c>
      <c r="J197">
        <v>1070</v>
      </c>
    </row>
    <row r="198" spans="1:10" x14ac:dyDescent="0.35">
      <c r="A198">
        <v>197</v>
      </c>
      <c r="B198" t="s">
        <v>188</v>
      </c>
      <c r="C198" t="s">
        <v>73</v>
      </c>
      <c r="D198" t="s">
        <v>165</v>
      </c>
      <c r="E198" s="1">
        <v>108531</v>
      </c>
      <c r="F198" s="1">
        <v>188439</v>
      </c>
      <c r="G198">
        <v>377</v>
      </c>
      <c r="H198">
        <v>1</v>
      </c>
      <c r="I198" s="1">
        <f>fact[[#This Row],[units_sold]]*fact[[#This Row],[price_usd]]</f>
        <v>85196835</v>
      </c>
      <c r="J198">
        <v>785</v>
      </c>
    </row>
    <row r="199" spans="1:10" x14ac:dyDescent="0.35">
      <c r="A199">
        <v>198</v>
      </c>
      <c r="B199" t="s">
        <v>188</v>
      </c>
      <c r="C199" t="s">
        <v>82</v>
      </c>
      <c r="D199" t="s">
        <v>166</v>
      </c>
      <c r="E199" s="1">
        <v>69758</v>
      </c>
      <c r="F199" s="1">
        <v>72486</v>
      </c>
      <c r="G199">
        <v>290</v>
      </c>
      <c r="H199">
        <v>9</v>
      </c>
      <c r="I199" s="1">
        <f>fact[[#This Row],[units_sold]]*fact[[#This Row],[price_usd]]</f>
        <v>68153566</v>
      </c>
      <c r="J199">
        <v>977</v>
      </c>
    </row>
    <row r="200" spans="1:10" x14ac:dyDescent="0.35">
      <c r="A200">
        <v>199</v>
      </c>
      <c r="B200" t="s">
        <v>188</v>
      </c>
      <c r="C200" t="s">
        <v>95</v>
      </c>
      <c r="D200" t="s">
        <v>166</v>
      </c>
      <c r="E200" s="1">
        <v>52796</v>
      </c>
      <c r="F200" s="1">
        <v>255782</v>
      </c>
      <c r="G200">
        <v>302</v>
      </c>
      <c r="H200">
        <v>6</v>
      </c>
      <c r="I200" s="1">
        <f>fact[[#This Row],[units_sold]]*fact[[#This Row],[price_usd]]</f>
        <v>50314588</v>
      </c>
      <c r="J200">
        <v>953</v>
      </c>
    </row>
    <row r="201" spans="1:10" x14ac:dyDescent="0.35">
      <c r="A201">
        <v>200</v>
      </c>
      <c r="B201" t="s">
        <v>188</v>
      </c>
      <c r="C201" t="s">
        <v>141</v>
      </c>
      <c r="D201" t="s">
        <v>170</v>
      </c>
      <c r="E201" s="1">
        <v>92608</v>
      </c>
      <c r="F201" s="1">
        <v>57837</v>
      </c>
      <c r="G201">
        <v>170</v>
      </c>
      <c r="H201">
        <v>3</v>
      </c>
      <c r="I201" s="1">
        <f>fact[[#This Row],[units_sold]]*fact[[#This Row],[price_usd]]</f>
        <v>57602176</v>
      </c>
      <c r="J201">
        <v>622</v>
      </c>
    </row>
    <row r="202" spans="1:10" x14ac:dyDescent="0.35">
      <c r="A202">
        <v>201</v>
      </c>
      <c r="B202" t="s">
        <v>188</v>
      </c>
      <c r="C202" t="s">
        <v>146</v>
      </c>
      <c r="D202" t="s">
        <v>166</v>
      </c>
      <c r="E202" s="1">
        <v>110900</v>
      </c>
      <c r="F202" s="1">
        <v>108123</v>
      </c>
      <c r="G202">
        <v>236</v>
      </c>
      <c r="H202">
        <v>9</v>
      </c>
      <c r="I202" s="1">
        <f>fact[[#This Row],[units_sold]]*fact[[#This Row],[price_usd]]</f>
        <v>96261200</v>
      </c>
      <c r="J202">
        <v>868</v>
      </c>
    </row>
    <row r="203" spans="1:10" x14ac:dyDescent="0.35">
      <c r="A203">
        <v>202</v>
      </c>
      <c r="B203" t="s">
        <v>210</v>
      </c>
      <c r="C203" t="s">
        <v>54</v>
      </c>
      <c r="D203" t="s">
        <v>165</v>
      </c>
      <c r="E203" s="1">
        <v>39603</v>
      </c>
      <c r="F203" s="1">
        <v>431028</v>
      </c>
      <c r="G203">
        <v>255</v>
      </c>
      <c r="H203">
        <v>2</v>
      </c>
      <c r="I203" s="1">
        <f>fact[[#This Row],[units_sold]]*fact[[#This Row],[price_usd]]</f>
        <v>30811134</v>
      </c>
      <c r="J203">
        <v>778</v>
      </c>
    </row>
    <row r="204" spans="1:10" x14ac:dyDescent="0.35">
      <c r="A204">
        <v>203</v>
      </c>
      <c r="B204" t="s">
        <v>210</v>
      </c>
      <c r="C204" t="s">
        <v>54</v>
      </c>
      <c r="D204" t="s">
        <v>168</v>
      </c>
      <c r="E204" s="1">
        <v>52272</v>
      </c>
      <c r="F204" s="1">
        <v>411484</v>
      </c>
      <c r="G204">
        <v>315</v>
      </c>
      <c r="H204">
        <v>9</v>
      </c>
      <c r="I204" s="1">
        <f>fact[[#This Row],[units_sold]]*fact[[#This Row],[price_usd]]</f>
        <v>54153792</v>
      </c>
      <c r="J204">
        <v>1036</v>
      </c>
    </row>
    <row r="205" spans="1:10" x14ac:dyDescent="0.35">
      <c r="A205">
        <v>204</v>
      </c>
      <c r="B205" t="s">
        <v>210</v>
      </c>
      <c r="C205" t="s">
        <v>55</v>
      </c>
      <c r="D205" t="s">
        <v>167</v>
      </c>
      <c r="E205" s="1">
        <v>105190</v>
      </c>
      <c r="F205" s="1">
        <v>284561</v>
      </c>
      <c r="G205">
        <v>150</v>
      </c>
      <c r="H205">
        <v>1</v>
      </c>
      <c r="I205" s="1">
        <f>fact[[#This Row],[units_sold]]*fact[[#This Row],[price_usd]]</f>
        <v>54172850</v>
      </c>
      <c r="J205">
        <v>515</v>
      </c>
    </row>
    <row r="206" spans="1:10" x14ac:dyDescent="0.35">
      <c r="A206">
        <v>205</v>
      </c>
      <c r="B206" t="s">
        <v>210</v>
      </c>
      <c r="C206" t="s">
        <v>71</v>
      </c>
      <c r="D206" t="s">
        <v>173</v>
      </c>
      <c r="E206" s="1">
        <v>97894</v>
      </c>
      <c r="F206" s="1">
        <v>408320</v>
      </c>
      <c r="G206">
        <v>78</v>
      </c>
      <c r="H206">
        <v>1</v>
      </c>
      <c r="I206" s="1">
        <f>fact[[#This Row],[units_sold]]*fact[[#This Row],[price_usd]]</f>
        <v>44737558</v>
      </c>
      <c r="J206">
        <v>457</v>
      </c>
    </row>
    <row r="207" spans="1:10" x14ac:dyDescent="0.35">
      <c r="A207">
        <v>206</v>
      </c>
      <c r="B207" t="s">
        <v>210</v>
      </c>
      <c r="C207" t="s">
        <v>87</v>
      </c>
      <c r="D207" t="s">
        <v>165</v>
      </c>
      <c r="E207" s="1">
        <v>96816</v>
      </c>
      <c r="F207" s="1">
        <v>221128</v>
      </c>
      <c r="G207">
        <v>30</v>
      </c>
      <c r="H207">
        <v>6</v>
      </c>
      <c r="I207" s="1">
        <f>fact[[#This Row],[units_sold]]*fact[[#This Row],[price_usd]]</f>
        <v>36112368</v>
      </c>
      <c r="J207">
        <v>373</v>
      </c>
    </row>
    <row r="208" spans="1:10" x14ac:dyDescent="0.35">
      <c r="A208">
        <v>207</v>
      </c>
      <c r="B208" t="s">
        <v>210</v>
      </c>
      <c r="C208" t="s">
        <v>86</v>
      </c>
      <c r="D208" t="s">
        <v>173</v>
      </c>
      <c r="E208" s="1">
        <v>97320</v>
      </c>
      <c r="F208" s="1">
        <v>211149</v>
      </c>
      <c r="G208">
        <v>91</v>
      </c>
      <c r="H208">
        <v>4</v>
      </c>
      <c r="I208" s="1">
        <f>fact[[#This Row],[units_sold]]*fact[[#This Row],[price_usd]]</f>
        <v>38538720</v>
      </c>
      <c r="J208">
        <v>396</v>
      </c>
    </row>
    <row r="209" spans="1:10" x14ac:dyDescent="0.35">
      <c r="A209">
        <v>208</v>
      </c>
      <c r="B209" t="s">
        <v>210</v>
      </c>
      <c r="C209" t="s">
        <v>87</v>
      </c>
      <c r="D209" t="s">
        <v>170</v>
      </c>
      <c r="E209" s="1">
        <v>92204</v>
      </c>
      <c r="F209" s="1">
        <v>139326</v>
      </c>
      <c r="G209">
        <v>335</v>
      </c>
      <c r="H209">
        <v>4</v>
      </c>
      <c r="I209" s="1">
        <f>fact[[#This Row],[units_sold]]*fact[[#This Row],[price_usd]]</f>
        <v>64358392</v>
      </c>
      <c r="J209">
        <v>698</v>
      </c>
    </row>
    <row r="210" spans="1:10" x14ac:dyDescent="0.35">
      <c r="A210">
        <v>209</v>
      </c>
      <c r="B210" t="s">
        <v>210</v>
      </c>
      <c r="C210" t="s">
        <v>104</v>
      </c>
      <c r="D210" t="s">
        <v>167</v>
      </c>
      <c r="E210" s="1">
        <v>50960</v>
      </c>
      <c r="F210" s="1">
        <v>72738</v>
      </c>
      <c r="G210">
        <v>371</v>
      </c>
      <c r="H210">
        <v>3</v>
      </c>
      <c r="I210" s="1">
        <f>fact[[#This Row],[units_sold]]*fact[[#This Row],[price_usd]]</f>
        <v>38678640</v>
      </c>
      <c r="J210">
        <v>759</v>
      </c>
    </row>
    <row r="211" spans="1:10" x14ac:dyDescent="0.35">
      <c r="A211">
        <v>210</v>
      </c>
      <c r="B211" t="s">
        <v>210</v>
      </c>
      <c r="C211" t="s">
        <v>110</v>
      </c>
      <c r="D211" t="s">
        <v>165</v>
      </c>
      <c r="E211" s="1">
        <v>69635</v>
      </c>
      <c r="F211" s="1">
        <v>79777</v>
      </c>
      <c r="G211">
        <v>113</v>
      </c>
      <c r="H211">
        <v>7</v>
      </c>
      <c r="I211" s="1">
        <f>fact[[#This Row],[units_sold]]*fact[[#This Row],[price_usd]]</f>
        <v>37115455</v>
      </c>
      <c r="J211">
        <v>533</v>
      </c>
    </row>
    <row r="212" spans="1:10" x14ac:dyDescent="0.35">
      <c r="A212">
        <v>211</v>
      </c>
      <c r="B212" t="s">
        <v>210</v>
      </c>
      <c r="C212" t="s">
        <v>133</v>
      </c>
      <c r="D212" t="s">
        <v>169</v>
      </c>
      <c r="E212" s="1">
        <v>78059</v>
      </c>
      <c r="F212" s="1">
        <v>226326</v>
      </c>
      <c r="G212">
        <v>384</v>
      </c>
      <c r="H212">
        <v>8</v>
      </c>
      <c r="I212" s="1">
        <f>fact[[#This Row],[units_sold]]*fact[[#This Row],[price_usd]]</f>
        <v>92187679</v>
      </c>
      <c r="J212">
        <v>1181</v>
      </c>
    </row>
    <row r="213" spans="1:10" x14ac:dyDescent="0.35">
      <c r="A213">
        <v>212</v>
      </c>
      <c r="B213" t="s">
        <v>210</v>
      </c>
      <c r="C213" t="s">
        <v>131</v>
      </c>
      <c r="D213" t="s">
        <v>170</v>
      </c>
      <c r="E213" s="1">
        <v>113543</v>
      </c>
      <c r="F213" s="1">
        <v>110038</v>
      </c>
      <c r="G213">
        <v>85</v>
      </c>
      <c r="H213">
        <v>6</v>
      </c>
      <c r="I213" s="1">
        <f>fact[[#This Row],[units_sold]]*fact[[#This Row],[price_usd]]</f>
        <v>66536198</v>
      </c>
      <c r="J213">
        <v>586</v>
      </c>
    </row>
    <row r="214" spans="1:10" x14ac:dyDescent="0.35">
      <c r="A214">
        <v>213</v>
      </c>
      <c r="B214" t="s">
        <v>210</v>
      </c>
      <c r="C214" t="s">
        <v>141</v>
      </c>
      <c r="D214" t="s">
        <v>169</v>
      </c>
      <c r="E214" s="1">
        <v>119573</v>
      </c>
      <c r="F214" s="1">
        <v>452681</v>
      </c>
      <c r="G214">
        <v>30</v>
      </c>
      <c r="H214">
        <v>8</v>
      </c>
      <c r="I214" s="1">
        <f>fact[[#This Row],[units_sold]]*fact[[#This Row],[price_usd]]</f>
        <v>8011391</v>
      </c>
      <c r="J214">
        <v>67</v>
      </c>
    </row>
    <row r="215" spans="1:10" x14ac:dyDescent="0.35">
      <c r="A215">
        <v>214</v>
      </c>
      <c r="B215" t="s">
        <v>208</v>
      </c>
      <c r="C215" t="s">
        <v>48</v>
      </c>
      <c r="D215" t="s">
        <v>171</v>
      </c>
      <c r="E215" s="1">
        <v>63369</v>
      </c>
      <c r="F215" s="1">
        <v>274522</v>
      </c>
      <c r="G215">
        <v>153</v>
      </c>
      <c r="H215">
        <v>5</v>
      </c>
      <c r="I215" s="1">
        <f>fact[[#This Row],[units_sold]]*fact[[#This Row],[price_usd]]</f>
        <v>33712308</v>
      </c>
      <c r="J215">
        <v>532</v>
      </c>
    </row>
    <row r="216" spans="1:10" x14ac:dyDescent="0.35">
      <c r="A216">
        <v>215</v>
      </c>
      <c r="B216" t="s">
        <v>208</v>
      </c>
      <c r="C216" t="s">
        <v>56</v>
      </c>
      <c r="D216" t="s">
        <v>167</v>
      </c>
      <c r="E216" s="1">
        <v>49506</v>
      </c>
      <c r="F216" s="1">
        <v>71341</v>
      </c>
      <c r="G216">
        <v>295</v>
      </c>
      <c r="H216">
        <v>5</v>
      </c>
      <c r="I216" s="1">
        <f>fact[[#This Row],[units_sold]]*fact[[#This Row],[price_usd]]</f>
        <v>33367044</v>
      </c>
      <c r="J216">
        <v>674</v>
      </c>
    </row>
    <row r="217" spans="1:10" x14ac:dyDescent="0.35">
      <c r="A217">
        <v>216</v>
      </c>
      <c r="B217" t="s">
        <v>208</v>
      </c>
      <c r="C217" t="s">
        <v>77</v>
      </c>
      <c r="D217" t="s">
        <v>168</v>
      </c>
      <c r="E217" s="1">
        <v>117733</v>
      </c>
      <c r="F217" s="1">
        <v>75938</v>
      </c>
      <c r="G217">
        <v>301</v>
      </c>
      <c r="H217">
        <v>3</v>
      </c>
      <c r="I217" s="1">
        <f>fact[[#This Row],[units_sold]]*fact[[#This Row],[price_usd]]</f>
        <v>92067206</v>
      </c>
      <c r="J217">
        <v>782</v>
      </c>
    </row>
    <row r="218" spans="1:10" x14ac:dyDescent="0.35">
      <c r="A218">
        <v>217</v>
      </c>
      <c r="B218" t="s">
        <v>208</v>
      </c>
      <c r="C218" t="s">
        <v>91</v>
      </c>
      <c r="D218" t="s">
        <v>165</v>
      </c>
      <c r="E218" s="1">
        <v>95892</v>
      </c>
      <c r="F218" s="1">
        <v>285652</v>
      </c>
      <c r="G218">
        <v>286</v>
      </c>
      <c r="H218">
        <v>2</v>
      </c>
      <c r="I218" s="1">
        <f>fact[[#This Row],[units_sold]]*fact[[#This Row],[price_usd]]</f>
        <v>77097168</v>
      </c>
      <c r="J218">
        <v>804</v>
      </c>
    </row>
    <row r="219" spans="1:10" x14ac:dyDescent="0.35">
      <c r="A219">
        <v>218</v>
      </c>
      <c r="B219" t="s">
        <v>208</v>
      </c>
      <c r="C219" t="s">
        <v>101</v>
      </c>
      <c r="D219" t="s">
        <v>169</v>
      </c>
      <c r="E219" s="1">
        <v>42933</v>
      </c>
      <c r="F219" s="1">
        <v>332260</v>
      </c>
      <c r="G219">
        <v>99</v>
      </c>
      <c r="H219">
        <v>7</v>
      </c>
      <c r="I219" s="1">
        <f>fact[[#This Row],[units_sold]]*fact[[#This Row],[price_usd]]</f>
        <v>15498813</v>
      </c>
      <c r="J219">
        <v>361</v>
      </c>
    </row>
    <row r="220" spans="1:10" x14ac:dyDescent="0.35">
      <c r="A220">
        <v>219</v>
      </c>
      <c r="B220" t="s">
        <v>208</v>
      </c>
      <c r="C220" t="s">
        <v>109</v>
      </c>
      <c r="D220" t="s">
        <v>172</v>
      </c>
      <c r="E220" s="1">
        <v>51932</v>
      </c>
      <c r="F220" s="1">
        <v>398848</v>
      </c>
      <c r="G220">
        <v>216</v>
      </c>
      <c r="H220">
        <v>8</v>
      </c>
      <c r="I220" s="1">
        <f>fact[[#This Row],[units_sold]]*fact[[#This Row],[price_usd]]</f>
        <v>36923652</v>
      </c>
      <c r="J220">
        <v>711</v>
      </c>
    </row>
    <row r="221" spans="1:10" x14ac:dyDescent="0.35">
      <c r="A221">
        <v>220</v>
      </c>
      <c r="B221" t="s">
        <v>208</v>
      </c>
      <c r="C221" t="s">
        <v>124</v>
      </c>
      <c r="D221" t="s">
        <v>167</v>
      </c>
      <c r="E221" s="1">
        <v>52857</v>
      </c>
      <c r="F221" s="1">
        <v>239216</v>
      </c>
      <c r="G221">
        <v>213</v>
      </c>
      <c r="H221">
        <v>1</v>
      </c>
      <c r="I221" s="1">
        <f>fact[[#This Row],[units_sold]]*fact[[#This Row],[price_usd]]</f>
        <v>27644211</v>
      </c>
      <c r="J221">
        <v>523</v>
      </c>
    </row>
    <row r="222" spans="1:10" x14ac:dyDescent="0.35">
      <c r="A222">
        <v>221</v>
      </c>
      <c r="B222" t="s">
        <v>208</v>
      </c>
      <c r="C222" t="s">
        <v>124</v>
      </c>
      <c r="D222" t="s">
        <v>167</v>
      </c>
      <c r="E222" s="1">
        <v>45400</v>
      </c>
      <c r="F222" s="1">
        <v>274970</v>
      </c>
      <c r="G222">
        <v>67</v>
      </c>
      <c r="H222">
        <v>7</v>
      </c>
      <c r="I222" s="1">
        <f>fact[[#This Row],[units_sold]]*fact[[#This Row],[price_usd]]</f>
        <v>12984400</v>
      </c>
      <c r="J222">
        <v>286</v>
      </c>
    </row>
    <row r="223" spans="1:10" x14ac:dyDescent="0.35">
      <c r="A223">
        <v>222</v>
      </c>
      <c r="B223" t="s">
        <v>208</v>
      </c>
      <c r="C223" t="s">
        <v>125</v>
      </c>
      <c r="D223" t="s">
        <v>165</v>
      </c>
      <c r="E223" s="1">
        <v>96304</v>
      </c>
      <c r="F223" s="1">
        <v>83085</v>
      </c>
      <c r="G223">
        <v>198</v>
      </c>
      <c r="H223">
        <v>3</v>
      </c>
      <c r="I223" s="1">
        <f>fact[[#This Row],[units_sold]]*fact[[#This Row],[price_usd]]</f>
        <v>64331072</v>
      </c>
      <c r="J223">
        <v>668</v>
      </c>
    </row>
    <row r="224" spans="1:10" x14ac:dyDescent="0.35">
      <c r="A224">
        <v>223</v>
      </c>
      <c r="B224" t="s">
        <v>208</v>
      </c>
      <c r="C224" t="s">
        <v>132</v>
      </c>
      <c r="D224" t="s">
        <v>167</v>
      </c>
      <c r="E224" s="1">
        <v>35390</v>
      </c>
      <c r="F224" s="1">
        <v>451954</v>
      </c>
      <c r="G224">
        <v>360</v>
      </c>
      <c r="H224">
        <v>2</v>
      </c>
      <c r="I224" s="1">
        <f>fact[[#This Row],[units_sold]]*fact[[#This Row],[price_usd]]</f>
        <v>35637730</v>
      </c>
      <c r="J224">
        <v>1007</v>
      </c>
    </row>
    <row r="225" spans="1:10" x14ac:dyDescent="0.35">
      <c r="A225">
        <v>224</v>
      </c>
      <c r="B225" t="s">
        <v>208</v>
      </c>
      <c r="C225" t="s">
        <v>134</v>
      </c>
      <c r="D225" t="s">
        <v>173</v>
      </c>
      <c r="E225" s="1">
        <v>51574</v>
      </c>
      <c r="F225" s="1">
        <v>282931</v>
      </c>
      <c r="G225">
        <v>129</v>
      </c>
      <c r="H225">
        <v>4</v>
      </c>
      <c r="I225" s="1">
        <f>fact[[#This Row],[units_sold]]*fact[[#This Row],[price_usd]]</f>
        <v>30480234</v>
      </c>
      <c r="J225">
        <v>591</v>
      </c>
    </row>
    <row r="226" spans="1:10" x14ac:dyDescent="0.35">
      <c r="A226">
        <v>225</v>
      </c>
      <c r="B226" t="s">
        <v>208</v>
      </c>
      <c r="C226" t="s">
        <v>141</v>
      </c>
      <c r="D226" t="s">
        <v>32</v>
      </c>
      <c r="E226" s="1">
        <v>50689</v>
      </c>
      <c r="F226" s="1">
        <v>427078</v>
      </c>
      <c r="G226">
        <v>39</v>
      </c>
      <c r="H226">
        <v>6</v>
      </c>
      <c r="I226" s="1">
        <f>fact[[#This Row],[units_sold]]*fact[[#This Row],[price_usd]]</f>
        <v>20579734</v>
      </c>
      <c r="J226">
        <v>406</v>
      </c>
    </row>
    <row r="227" spans="1:10" x14ac:dyDescent="0.35">
      <c r="A227">
        <v>226</v>
      </c>
      <c r="B227" t="s">
        <v>208</v>
      </c>
      <c r="C227" t="s">
        <v>148</v>
      </c>
      <c r="D227" t="s">
        <v>172</v>
      </c>
      <c r="E227" s="1">
        <v>35798</v>
      </c>
      <c r="F227" s="1">
        <v>441670</v>
      </c>
      <c r="G227">
        <v>25</v>
      </c>
      <c r="H227">
        <v>6</v>
      </c>
      <c r="I227" s="1">
        <f>fact[[#This Row],[units_sold]]*fact[[#This Row],[price_usd]]</f>
        <v>5405498</v>
      </c>
      <c r="J227">
        <v>151</v>
      </c>
    </row>
    <row r="228" spans="1:10" x14ac:dyDescent="0.35">
      <c r="A228">
        <v>227</v>
      </c>
      <c r="B228" t="s">
        <v>208</v>
      </c>
      <c r="C228" t="s">
        <v>142</v>
      </c>
      <c r="D228" t="s">
        <v>170</v>
      </c>
      <c r="E228" s="1">
        <v>67330</v>
      </c>
      <c r="F228" s="1">
        <v>242718</v>
      </c>
      <c r="G228">
        <v>278</v>
      </c>
      <c r="H228">
        <v>3</v>
      </c>
      <c r="I228" s="1">
        <f>fact[[#This Row],[units_sold]]*fact[[#This Row],[price_usd]]</f>
        <v>60327680</v>
      </c>
      <c r="J228">
        <v>896</v>
      </c>
    </row>
    <row r="229" spans="1:10" x14ac:dyDescent="0.35">
      <c r="A229">
        <v>228</v>
      </c>
      <c r="B229" t="s">
        <v>225</v>
      </c>
      <c r="C229" t="s">
        <v>62</v>
      </c>
      <c r="D229" t="s">
        <v>170</v>
      </c>
      <c r="E229" s="1">
        <v>108755</v>
      </c>
      <c r="F229" s="1">
        <v>296983</v>
      </c>
      <c r="G229">
        <v>243</v>
      </c>
      <c r="H229">
        <v>9</v>
      </c>
      <c r="I229" s="1">
        <f>fact[[#This Row],[units_sold]]*fact[[#This Row],[price_usd]]</f>
        <v>62860390</v>
      </c>
      <c r="J229">
        <v>578</v>
      </c>
    </row>
    <row r="230" spans="1:10" x14ac:dyDescent="0.35">
      <c r="A230">
        <v>229</v>
      </c>
      <c r="B230" t="s">
        <v>225</v>
      </c>
      <c r="C230" t="s">
        <v>112</v>
      </c>
      <c r="D230" t="s">
        <v>167</v>
      </c>
      <c r="E230" s="1">
        <v>46569</v>
      </c>
      <c r="F230" s="1">
        <v>79709</v>
      </c>
      <c r="G230">
        <v>385</v>
      </c>
      <c r="H230">
        <v>8</v>
      </c>
      <c r="I230" s="1">
        <f>fact[[#This Row],[units_sold]]*fact[[#This Row],[price_usd]]</f>
        <v>40701306</v>
      </c>
      <c r="J230">
        <v>874</v>
      </c>
    </row>
    <row r="231" spans="1:10" x14ac:dyDescent="0.35">
      <c r="A231">
        <v>230</v>
      </c>
      <c r="B231" t="s">
        <v>225</v>
      </c>
      <c r="C231" t="s">
        <v>115</v>
      </c>
      <c r="D231" t="s">
        <v>168</v>
      </c>
      <c r="E231" s="1">
        <v>113863</v>
      </c>
      <c r="F231" s="1">
        <v>83477</v>
      </c>
      <c r="G231">
        <v>205</v>
      </c>
      <c r="H231">
        <v>10</v>
      </c>
      <c r="I231" s="1">
        <f>fact[[#This Row],[units_sold]]*fact[[#This Row],[price_usd]]</f>
        <v>78907059</v>
      </c>
      <c r="J231">
        <v>693</v>
      </c>
    </row>
    <row r="232" spans="1:10" x14ac:dyDescent="0.35">
      <c r="A232">
        <v>231</v>
      </c>
      <c r="B232" t="s">
        <v>225</v>
      </c>
      <c r="C232" t="s">
        <v>127</v>
      </c>
      <c r="D232" t="s">
        <v>172</v>
      </c>
      <c r="E232" s="1">
        <v>109229</v>
      </c>
      <c r="F232" s="1">
        <v>225037</v>
      </c>
      <c r="G232">
        <v>195</v>
      </c>
      <c r="H232">
        <v>9</v>
      </c>
      <c r="I232" s="1">
        <f>fact[[#This Row],[units_sold]]*fact[[#This Row],[price_usd]]</f>
        <v>78207964</v>
      </c>
      <c r="J232">
        <v>716</v>
      </c>
    </row>
    <row r="233" spans="1:10" x14ac:dyDescent="0.35">
      <c r="A233">
        <v>232</v>
      </c>
      <c r="B233" t="s">
        <v>225</v>
      </c>
      <c r="C233" t="s">
        <v>132</v>
      </c>
      <c r="D233" t="s">
        <v>166</v>
      </c>
      <c r="E233" s="1">
        <v>69650</v>
      </c>
      <c r="F233" s="1">
        <v>381588</v>
      </c>
      <c r="G233">
        <v>71</v>
      </c>
      <c r="H233">
        <v>7</v>
      </c>
      <c r="I233" s="1">
        <f>fact[[#This Row],[units_sold]]*fact[[#This Row],[price_usd]]</f>
        <v>13721050</v>
      </c>
      <c r="J233">
        <v>197</v>
      </c>
    </row>
    <row r="234" spans="1:10" x14ac:dyDescent="0.35">
      <c r="A234">
        <v>233</v>
      </c>
      <c r="B234" t="s">
        <v>225</v>
      </c>
      <c r="C234" t="s">
        <v>154</v>
      </c>
      <c r="D234" t="s">
        <v>168</v>
      </c>
      <c r="E234" s="1">
        <v>64086</v>
      </c>
      <c r="F234" s="1">
        <v>383404</v>
      </c>
      <c r="G234">
        <v>152</v>
      </c>
      <c r="H234">
        <v>3</v>
      </c>
      <c r="I234" s="1">
        <f>fact[[#This Row],[units_sold]]*fact[[#This Row],[price_usd]]</f>
        <v>24416766</v>
      </c>
      <c r="J234">
        <v>381</v>
      </c>
    </row>
    <row r="235" spans="1:10" x14ac:dyDescent="0.35">
      <c r="A235">
        <v>234</v>
      </c>
      <c r="B235" t="s">
        <v>261</v>
      </c>
      <c r="C235" t="s">
        <v>50</v>
      </c>
      <c r="D235" t="s">
        <v>166</v>
      </c>
      <c r="E235" s="1">
        <v>115158</v>
      </c>
      <c r="F235" s="1">
        <v>249519</v>
      </c>
      <c r="G235">
        <v>12</v>
      </c>
      <c r="H235">
        <v>6</v>
      </c>
      <c r="I235" s="1">
        <f>fact[[#This Row],[units_sold]]*fact[[#This Row],[price_usd]]</f>
        <v>8291376</v>
      </c>
      <c r="J235">
        <v>72</v>
      </c>
    </row>
    <row r="236" spans="1:10" x14ac:dyDescent="0.35">
      <c r="A236">
        <v>235</v>
      </c>
      <c r="B236" t="s">
        <v>261</v>
      </c>
      <c r="C236" t="s">
        <v>50</v>
      </c>
      <c r="D236" t="s">
        <v>173</v>
      </c>
      <c r="E236" s="1">
        <v>35992</v>
      </c>
      <c r="F236" s="1">
        <v>127994</v>
      </c>
      <c r="G236">
        <v>296</v>
      </c>
      <c r="H236">
        <v>3</v>
      </c>
      <c r="I236" s="1">
        <f>fact[[#This Row],[units_sold]]*fact[[#This Row],[price_usd]]</f>
        <v>32644744</v>
      </c>
      <c r="J236">
        <v>907</v>
      </c>
    </row>
    <row r="237" spans="1:10" x14ac:dyDescent="0.35">
      <c r="A237">
        <v>236</v>
      </c>
      <c r="B237" t="s">
        <v>261</v>
      </c>
      <c r="C237" t="s">
        <v>68</v>
      </c>
      <c r="D237" t="s">
        <v>32</v>
      </c>
      <c r="E237" s="1">
        <v>79439</v>
      </c>
      <c r="F237" s="1">
        <v>484352</v>
      </c>
      <c r="G237">
        <v>11</v>
      </c>
      <c r="H237">
        <v>7</v>
      </c>
      <c r="I237" s="1">
        <f>fact[[#This Row],[units_sold]]*fact[[#This Row],[price_usd]]</f>
        <v>33364380</v>
      </c>
      <c r="J237">
        <v>420</v>
      </c>
    </row>
    <row r="238" spans="1:10" x14ac:dyDescent="0.35">
      <c r="A238">
        <v>237</v>
      </c>
      <c r="B238" t="s">
        <v>261</v>
      </c>
      <c r="C238" t="s">
        <v>80</v>
      </c>
      <c r="D238" t="s">
        <v>165</v>
      </c>
      <c r="E238" s="1">
        <v>114526</v>
      </c>
      <c r="F238" s="1">
        <v>129183</v>
      </c>
      <c r="G238">
        <v>107</v>
      </c>
      <c r="H238">
        <v>10</v>
      </c>
      <c r="I238" s="1">
        <f>fact[[#This Row],[units_sold]]*fact[[#This Row],[price_usd]]</f>
        <v>50276914</v>
      </c>
      <c r="J238">
        <v>439</v>
      </c>
    </row>
    <row r="239" spans="1:10" x14ac:dyDescent="0.35">
      <c r="A239">
        <v>238</v>
      </c>
      <c r="B239" t="s">
        <v>261</v>
      </c>
      <c r="C239" t="s">
        <v>101</v>
      </c>
      <c r="D239" t="s">
        <v>167</v>
      </c>
      <c r="E239" s="1">
        <v>111396</v>
      </c>
      <c r="F239" s="1">
        <v>387164</v>
      </c>
      <c r="G239">
        <v>306</v>
      </c>
      <c r="H239">
        <v>10</v>
      </c>
      <c r="I239" s="1">
        <f>fact[[#This Row],[units_sold]]*fact[[#This Row],[price_usd]]</f>
        <v>107385744</v>
      </c>
      <c r="J239">
        <v>964</v>
      </c>
    </row>
    <row r="240" spans="1:10" x14ac:dyDescent="0.35">
      <c r="A240">
        <v>239</v>
      </c>
      <c r="B240" t="s">
        <v>261</v>
      </c>
      <c r="C240" t="s">
        <v>148</v>
      </c>
      <c r="D240" t="s">
        <v>172</v>
      </c>
      <c r="E240" s="1">
        <v>73871</v>
      </c>
      <c r="F240" s="1">
        <v>470661</v>
      </c>
      <c r="G240">
        <v>209</v>
      </c>
      <c r="H240">
        <v>4</v>
      </c>
      <c r="I240" s="1">
        <f>fact[[#This Row],[units_sold]]*fact[[#This Row],[price_usd]]</f>
        <v>38782275</v>
      </c>
      <c r="J240">
        <v>525</v>
      </c>
    </row>
    <row r="241" spans="1:10" x14ac:dyDescent="0.35">
      <c r="A241">
        <v>240</v>
      </c>
      <c r="B241" t="s">
        <v>184</v>
      </c>
      <c r="C241" t="s">
        <v>51</v>
      </c>
      <c r="D241" t="s">
        <v>171</v>
      </c>
      <c r="E241" s="1">
        <v>51374</v>
      </c>
      <c r="F241" s="1">
        <v>219330</v>
      </c>
      <c r="G241">
        <v>330</v>
      </c>
      <c r="H241">
        <v>2</v>
      </c>
      <c r="I241" s="1">
        <f>fact[[#This Row],[units_sold]]*fact[[#This Row],[price_usd]]</f>
        <v>56305904</v>
      </c>
      <c r="J241">
        <v>1096</v>
      </c>
    </row>
    <row r="242" spans="1:10" x14ac:dyDescent="0.35">
      <c r="A242">
        <v>241</v>
      </c>
      <c r="B242" t="s">
        <v>184</v>
      </c>
      <c r="C242" t="s">
        <v>106</v>
      </c>
      <c r="D242" t="s">
        <v>166</v>
      </c>
      <c r="E242" s="1">
        <v>36184</v>
      </c>
      <c r="F242" s="1">
        <v>320012</v>
      </c>
      <c r="G242">
        <v>67</v>
      </c>
      <c r="H242">
        <v>7</v>
      </c>
      <c r="I242" s="1">
        <f>fact[[#This Row],[units_sold]]*fact[[#This Row],[price_usd]]</f>
        <v>19394624</v>
      </c>
      <c r="J242">
        <v>536</v>
      </c>
    </row>
    <row r="243" spans="1:10" x14ac:dyDescent="0.35">
      <c r="A243">
        <v>242</v>
      </c>
      <c r="B243" t="s">
        <v>184</v>
      </c>
      <c r="C243" t="s">
        <v>111</v>
      </c>
      <c r="D243" t="s">
        <v>32</v>
      </c>
      <c r="E243" s="1">
        <v>111946</v>
      </c>
      <c r="F243" s="1">
        <v>194615</v>
      </c>
      <c r="G243">
        <v>276</v>
      </c>
      <c r="H243">
        <v>4</v>
      </c>
      <c r="I243" s="1">
        <f>fact[[#This Row],[units_sold]]*fact[[#This Row],[price_usd]]</f>
        <v>101087238</v>
      </c>
      <c r="J243">
        <v>903</v>
      </c>
    </row>
    <row r="244" spans="1:10" x14ac:dyDescent="0.35">
      <c r="A244">
        <v>243</v>
      </c>
      <c r="B244" t="s">
        <v>184</v>
      </c>
      <c r="C244" t="s">
        <v>118</v>
      </c>
      <c r="D244" t="s">
        <v>166</v>
      </c>
      <c r="E244" s="1">
        <v>83128</v>
      </c>
      <c r="F244" s="1">
        <v>119093</v>
      </c>
      <c r="G244">
        <v>191</v>
      </c>
      <c r="H244">
        <v>8</v>
      </c>
      <c r="I244" s="1">
        <f>fact[[#This Row],[units_sold]]*fact[[#This Row],[price_usd]]</f>
        <v>42561536</v>
      </c>
      <c r="J244">
        <v>512</v>
      </c>
    </row>
    <row r="245" spans="1:10" x14ac:dyDescent="0.35">
      <c r="A245">
        <v>244</v>
      </c>
      <c r="B245" t="s">
        <v>184</v>
      </c>
      <c r="C245" t="s">
        <v>117</v>
      </c>
      <c r="D245" t="s">
        <v>168</v>
      </c>
      <c r="E245" s="1">
        <v>54810</v>
      </c>
      <c r="F245" s="1">
        <v>96705</v>
      </c>
      <c r="G245">
        <v>167</v>
      </c>
      <c r="H245">
        <v>6</v>
      </c>
      <c r="I245" s="1">
        <f>fact[[#This Row],[units_sold]]*fact[[#This Row],[price_usd]]</f>
        <v>36339030</v>
      </c>
      <c r="J245">
        <v>663</v>
      </c>
    </row>
    <row r="246" spans="1:10" x14ac:dyDescent="0.35">
      <c r="A246">
        <v>245</v>
      </c>
      <c r="B246" t="s">
        <v>184</v>
      </c>
      <c r="C246" t="s">
        <v>135</v>
      </c>
      <c r="D246" t="s">
        <v>172</v>
      </c>
      <c r="E246" s="1">
        <v>116417</v>
      </c>
      <c r="F246" s="1">
        <v>54137</v>
      </c>
      <c r="G246">
        <v>256</v>
      </c>
      <c r="H246">
        <v>10</v>
      </c>
      <c r="I246" s="1">
        <f>fact[[#This Row],[units_sold]]*fact[[#This Row],[price_usd]]</f>
        <v>82073985</v>
      </c>
      <c r="J246">
        <v>705</v>
      </c>
    </row>
    <row r="247" spans="1:10" x14ac:dyDescent="0.35">
      <c r="A247">
        <v>246</v>
      </c>
      <c r="B247" t="s">
        <v>184</v>
      </c>
      <c r="C247" t="s">
        <v>150</v>
      </c>
      <c r="D247" t="s">
        <v>165</v>
      </c>
      <c r="E247" s="1">
        <v>108984</v>
      </c>
      <c r="F247" s="1">
        <v>210212</v>
      </c>
      <c r="G247">
        <v>241</v>
      </c>
      <c r="H247">
        <v>8</v>
      </c>
      <c r="I247" s="1">
        <f>fact[[#This Row],[units_sold]]*fact[[#This Row],[price_usd]]</f>
        <v>51440448</v>
      </c>
      <c r="J247">
        <v>472</v>
      </c>
    </row>
    <row r="248" spans="1:10" x14ac:dyDescent="0.35">
      <c r="A248">
        <v>247</v>
      </c>
      <c r="B248" t="s">
        <v>292</v>
      </c>
      <c r="C248" t="s">
        <v>70</v>
      </c>
      <c r="D248" t="s">
        <v>170</v>
      </c>
      <c r="E248" s="1">
        <v>61655</v>
      </c>
      <c r="F248" s="1">
        <v>246314</v>
      </c>
      <c r="G248">
        <v>310</v>
      </c>
      <c r="H248">
        <v>8</v>
      </c>
      <c r="I248" s="1">
        <f>fact[[#This Row],[units_sold]]*fact[[#This Row],[price_usd]]</f>
        <v>65724230</v>
      </c>
      <c r="J248">
        <v>1066</v>
      </c>
    </row>
    <row r="249" spans="1:10" x14ac:dyDescent="0.35">
      <c r="A249">
        <v>248</v>
      </c>
      <c r="B249" t="s">
        <v>292</v>
      </c>
      <c r="C249" t="s">
        <v>86</v>
      </c>
      <c r="D249" t="s">
        <v>172</v>
      </c>
      <c r="E249" s="1">
        <v>67924</v>
      </c>
      <c r="F249" s="1">
        <v>494958</v>
      </c>
      <c r="G249">
        <v>158</v>
      </c>
      <c r="H249">
        <v>5</v>
      </c>
      <c r="I249" s="1">
        <f>fact[[#This Row],[units_sold]]*fact[[#This Row],[price_usd]]</f>
        <v>39124224</v>
      </c>
      <c r="J249">
        <v>576</v>
      </c>
    </row>
    <row r="250" spans="1:10" x14ac:dyDescent="0.35">
      <c r="A250">
        <v>249</v>
      </c>
      <c r="B250" t="s">
        <v>292</v>
      </c>
      <c r="C250" t="s">
        <v>109</v>
      </c>
      <c r="D250" t="s">
        <v>166</v>
      </c>
      <c r="E250" s="1">
        <v>47254</v>
      </c>
      <c r="F250" s="1">
        <v>355761</v>
      </c>
      <c r="G250">
        <v>163</v>
      </c>
      <c r="H250">
        <v>7</v>
      </c>
      <c r="I250" s="1">
        <f>fact[[#This Row],[units_sold]]*fact[[#This Row],[price_usd]]</f>
        <v>18381806</v>
      </c>
      <c r="J250">
        <v>389</v>
      </c>
    </row>
    <row r="251" spans="1:10" x14ac:dyDescent="0.35">
      <c r="A251">
        <v>250</v>
      </c>
      <c r="B251" t="s">
        <v>292</v>
      </c>
      <c r="C251" t="s">
        <v>112</v>
      </c>
      <c r="D251" t="s">
        <v>168</v>
      </c>
      <c r="E251" s="1">
        <v>70932</v>
      </c>
      <c r="F251" s="1">
        <v>286042</v>
      </c>
      <c r="G251">
        <v>58</v>
      </c>
      <c r="H251">
        <v>9</v>
      </c>
      <c r="I251" s="1">
        <f>fact[[#This Row],[units_sold]]*fact[[#This Row],[price_usd]]</f>
        <v>35607864</v>
      </c>
      <c r="J251">
        <v>502</v>
      </c>
    </row>
    <row r="252" spans="1:10" x14ac:dyDescent="0.35">
      <c r="A252">
        <v>251</v>
      </c>
      <c r="B252" t="s">
        <v>292</v>
      </c>
      <c r="C252" t="s">
        <v>106</v>
      </c>
      <c r="D252" t="s">
        <v>171</v>
      </c>
      <c r="E252" s="1">
        <v>109807</v>
      </c>
      <c r="F252" s="1">
        <v>231143</v>
      </c>
      <c r="G252">
        <v>157</v>
      </c>
      <c r="H252">
        <v>1</v>
      </c>
      <c r="I252" s="1">
        <f>fact[[#This Row],[units_sold]]*fact[[#This Row],[price_usd]]</f>
        <v>41726660</v>
      </c>
      <c r="J252">
        <v>380</v>
      </c>
    </row>
    <row r="253" spans="1:10" x14ac:dyDescent="0.35">
      <c r="A253">
        <v>252</v>
      </c>
      <c r="B253" t="s">
        <v>292</v>
      </c>
      <c r="C253" t="s">
        <v>110</v>
      </c>
      <c r="D253" t="s">
        <v>173</v>
      </c>
      <c r="E253" s="1">
        <v>106927</v>
      </c>
      <c r="F253" s="1">
        <v>291766</v>
      </c>
      <c r="G253">
        <v>341</v>
      </c>
      <c r="H253">
        <v>6</v>
      </c>
      <c r="I253" s="1">
        <f>fact[[#This Row],[units_sold]]*fact[[#This Row],[price_usd]]</f>
        <v>99762891</v>
      </c>
      <c r="J253">
        <v>933</v>
      </c>
    </row>
    <row r="254" spans="1:10" x14ac:dyDescent="0.35">
      <c r="A254">
        <v>253</v>
      </c>
      <c r="B254" t="s">
        <v>194</v>
      </c>
      <c r="C254" t="s">
        <v>52</v>
      </c>
      <c r="D254" t="s">
        <v>172</v>
      </c>
      <c r="E254" s="1">
        <v>79414</v>
      </c>
      <c r="F254" s="1">
        <v>249757</v>
      </c>
      <c r="G254">
        <v>222</v>
      </c>
      <c r="H254">
        <v>10</v>
      </c>
      <c r="I254" s="1">
        <f>fact[[#This Row],[units_sold]]*fact[[#This Row],[price_usd]]</f>
        <v>50189648</v>
      </c>
      <c r="J254">
        <v>632</v>
      </c>
    </row>
    <row r="255" spans="1:10" x14ac:dyDescent="0.35">
      <c r="A255">
        <v>254</v>
      </c>
      <c r="B255" t="s">
        <v>194</v>
      </c>
      <c r="C255" t="s">
        <v>85</v>
      </c>
      <c r="D255" t="s">
        <v>172</v>
      </c>
      <c r="E255" s="1">
        <v>52297</v>
      </c>
      <c r="F255" s="1">
        <v>171225</v>
      </c>
      <c r="G255">
        <v>271</v>
      </c>
      <c r="H255">
        <v>7</v>
      </c>
      <c r="I255" s="1">
        <f>fact[[#This Row],[units_sold]]*fact[[#This Row],[price_usd]]</f>
        <v>38595186</v>
      </c>
      <c r="J255">
        <v>738</v>
      </c>
    </row>
    <row r="256" spans="1:10" x14ac:dyDescent="0.35">
      <c r="A256">
        <v>255</v>
      </c>
      <c r="B256" t="s">
        <v>194</v>
      </c>
      <c r="C256" t="s">
        <v>103</v>
      </c>
      <c r="D256" t="s">
        <v>167</v>
      </c>
      <c r="E256" s="1">
        <v>60425</v>
      </c>
      <c r="F256" s="1">
        <v>191900</v>
      </c>
      <c r="G256">
        <v>48</v>
      </c>
      <c r="H256">
        <v>10</v>
      </c>
      <c r="I256" s="1">
        <f>fact[[#This Row],[units_sold]]*fact[[#This Row],[price_usd]]</f>
        <v>18248350</v>
      </c>
      <c r="J256">
        <v>302</v>
      </c>
    </row>
    <row r="257" spans="1:10" x14ac:dyDescent="0.35">
      <c r="A257">
        <v>256</v>
      </c>
      <c r="B257" t="s">
        <v>194</v>
      </c>
      <c r="C257" t="s">
        <v>104</v>
      </c>
      <c r="D257" t="s">
        <v>168</v>
      </c>
      <c r="E257" s="1">
        <v>96822</v>
      </c>
      <c r="F257" s="1">
        <v>227169</v>
      </c>
      <c r="G257">
        <v>302</v>
      </c>
      <c r="H257">
        <v>2</v>
      </c>
      <c r="I257" s="1">
        <f>fact[[#This Row],[units_sold]]*fact[[#This Row],[price_usd]]</f>
        <v>91109502</v>
      </c>
      <c r="J257">
        <v>941</v>
      </c>
    </row>
    <row r="258" spans="1:10" x14ac:dyDescent="0.35">
      <c r="A258">
        <v>257</v>
      </c>
      <c r="B258" t="s">
        <v>194</v>
      </c>
      <c r="C258" t="s">
        <v>105</v>
      </c>
      <c r="D258" t="s">
        <v>171</v>
      </c>
      <c r="E258" s="1">
        <v>82766</v>
      </c>
      <c r="F258" s="1">
        <v>123568</v>
      </c>
      <c r="G258">
        <v>51</v>
      </c>
      <c r="H258">
        <v>10</v>
      </c>
      <c r="I258" s="1">
        <f>fact[[#This Row],[units_sold]]*fact[[#This Row],[price_usd]]</f>
        <v>8773196</v>
      </c>
      <c r="J258">
        <v>106</v>
      </c>
    </row>
    <row r="259" spans="1:10" x14ac:dyDescent="0.35">
      <c r="A259">
        <v>258</v>
      </c>
      <c r="B259" t="s">
        <v>194</v>
      </c>
      <c r="C259" t="s">
        <v>137</v>
      </c>
      <c r="D259" t="s">
        <v>170</v>
      </c>
      <c r="E259" s="1">
        <v>70398</v>
      </c>
      <c r="F259" s="1">
        <v>306323</v>
      </c>
      <c r="G259">
        <v>324</v>
      </c>
      <c r="H259">
        <v>10</v>
      </c>
      <c r="I259" s="1">
        <f>fact[[#This Row],[units_sold]]*fact[[#This Row],[price_usd]]</f>
        <v>66948498</v>
      </c>
      <c r="J259">
        <v>951</v>
      </c>
    </row>
    <row r="260" spans="1:10" x14ac:dyDescent="0.35">
      <c r="A260">
        <v>259</v>
      </c>
      <c r="B260" t="s">
        <v>194</v>
      </c>
      <c r="C260" t="s">
        <v>150</v>
      </c>
      <c r="D260" t="s">
        <v>166</v>
      </c>
      <c r="E260" s="1">
        <v>116533</v>
      </c>
      <c r="F260" s="1">
        <v>400218</v>
      </c>
      <c r="G260">
        <v>346</v>
      </c>
      <c r="H260">
        <v>2</v>
      </c>
      <c r="I260" s="1">
        <f>fact[[#This Row],[units_sold]]*fact[[#This Row],[price_usd]]</f>
        <v>118747127</v>
      </c>
      <c r="J260">
        <v>1019</v>
      </c>
    </row>
    <row r="261" spans="1:10" x14ac:dyDescent="0.35">
      <c r="A261">
        <v>260</v>
      </c>
      <c r="B261" t="s">
        <v>194</v>
      </c>
      <c r="C261" t="s">
        <v>151</v>
      </c>
      <c r="D261" t="s">
        <v>168</v>
      </c>
      <c r="E261" s="1">
        <v>41772</v>
      </c>
      <c r="F261" s="1">
        <v>61831</v>
      </c>
      <c r="G261">
        <v>54</v>
      </c>
      <c r="H261">
        <v>5</v>
      </c>
      <c r="I261" s="1">
        <f>fact[[#This Row],[units_sold]]*fact[[#This Row],[price_usd]]</f>
        <v>14661972</v>
      </c>
      <c r="J261">
        <v>351</v>
      </c>
    </row>
    <row r="262" spans="1:10" x14ac:dyDescent="0.35">
      <c r="A262">
        <v>261</v>
      </c>
      <c r="B262" t="s">
        <v>194</v>
      </c>
      <c r="C262" t="s">
        <v>155</v>
      </c>
      <c r="D262" t="s">
        <v>165</v>
      </c>
      <c r="E262" s="1">
        <v>86272</v>
      </c>
      <c r="F262" s="1">
        <v>254354</v>
      </c>
      <c r="G262">
        <v>57</v>
      </c>
      <c r="H262">
        <v>3</v>
      </c>
      <c r="I262" s="1">
        <f>fact[[#This Row],[units_sold]]*fact[[#This Row],[price_usd]]</f>
        <v>12940800</v>
      </c>
      <c r="J262">
        <v>150</v>
      </c>
    </row>
    <row r="263" spans="1:10" x14ac:dyDescent="0.35">
      <c r="A263">
        <v>262</v>
      </c>
      <c r="B263" t="s">
        <v>228</v>
      </c>
      <c r="C263" t="s">
        <v>51</v>
      </c>
      <c r="D263" t="s">
        <v>166</v>
      </c>
      <c r="E263" s="1">
        <v>65063</v>
      </c>
      <c r="F263" s="1">
        <v>208761</v>
      </c>
      <c r="G263">
        <v>65</v>
      </c>
      <c r="H263">
        <v>8</v>
      </c>
      <c r="I263" s="1">
        <f>fact[[#This Row],[units_sold]]*fact[[#This Row],[price_usd]]</f>
        <v>15940435</v>
      </c>
      <c r="J263">
        <v>245</v>
      </c>
    </row>
    <row r="264" spans="1:10" x14ac:dyDescent="0.35">
      <c r="A264">
        <v>263</v>
      </c>
      <c r="B264" t="s">
        <v>228</v>
      </c>
      <c r="C264" t="s">
        <v>66</v>
      </c>
      <c r="D264" t="s">
        <v>172</v>
      </c>
      <c r="E264" s="1">
        <v>101985</v>
      </c>
      <c r="F264" s="1">
        <v>246292</v>
      </c>
      <c r="G264">
        <v>225</v>
      </c>
      <c r="H264">
        <v>10</v>
      </c>
      <c r="I264" s="1">
        <f>fact[[#This Row],[units_sold]]*fact[[#This Row],[price_usd]]</f>
        <v>46199205</v>
      </c>
      <c r="J264">
        <v>453</v>
      </c>
    </row>
    <row r="265" spans="1:10" x14ac:dyDescent="0.35">
      <c r="A265">
        <v>264</v>
      </c>
      <c r="B265" t="s">
        <v>228</v>
      </c>
      <c r="C265" t="s">
        <v>74</v>
      </c>
      <c r="D265" t="s">
        <v>166</v>
      </c>
      <c r="E265" s="1">
        <v>103244</v>
      </c>
      <c r="F265" s="1">
        <v>349266</v>
      </c>
      <c r="G265">
        <v>211</v>
      </c>
      <c r="H265">
        <v>10</v>
      </c>
      <c r="I265" s="1">
        <f>fact[[#This Row],[units_sold]]*fact[[#This Row],[price_usd]]</f>
        <v>84763324</v>
      </c>
      <c r="J265">
        <v>821</v>
      </c>
    </row>
    <row r="266" spans="1:10" x14ac:dyDescent="0.35">
      <c r="A266">
        <v>265</v>
      </c>
      <c r="B266" t="s">
        <v>228</v>
      </c>
      <c r="C266" t="s">
        <v>85</v>
      </c>
      <c r="D266" t="s">
        <v>171</v>
      </c>
      <c r="E266" s="1">
        <v>100066</v>
      </c>
      <c r="F266" s="1">
        <v>399903</v>
      </c>
      <c r="G266">
        <v>92</v>
      </c>
      <c r="H266">
        <v>6</v>
      </c>
      <c r="I266" s="1">
        <f>fact[[#This Row],[units_sold]]*fact[[#This Row],[price_usd]]</f>
        <v>43628776</v>
      </c>
      <c r="J266">
        <v>436</v>
      </c>
    </row>
    <row r="267" spans="1:10" x14ac:dyDescent="0.35">
      <c r="A267">
        <v>266</v>
      </c>
      <c r="B267" t="s">
        <v>228</v>
      </c>
      <c r="C267" t="s">
        <v>93</v>
      </c>
      <c r="D267" t="s">
        <v>32</v>
      </c>
      <c r="E267" s="1">
        <v>108373</v>
      </c>
      <c r="F267" s="1">
        <v>276305</v>
      </c>
      <c r="G267">
        <v>301</v>
      </c>
      <c r="H267">
        <v>6</v>
      </c>
      <c r="I267" s="1">
        <f>fact[[#This Row],[units_sold]]*fact[[#This Row],[price_usd]]</f>
        <v>108047881</v>
      </c>
      <c r="J267">
        <v>997</v>
      </c>
    </row>
    <row r="268" spans="1:10" x14ac:dyDescent="0.35">
      <c r="A268">
        <v>267</v>
      </c>
      <c r="B268" t="s">
        <v>228</v>
      </c>
      <c r="C268" t="s">
        <v>111</v>
      </c>
      <c r="D268" t="s">
        <v>32</v>
      </c>
      <c r="E268" s="1">
        <v>71993</v>
      </c>
      <c r="F268" s="1">
        <v>81556</v>
      </c>
      <c r="G268">
        <v>240</v>
      </c>
      <c r="H268">
        <v>2</v>
      </c>
      <c r="I268" s="1">
        <f>fact[[#This Row],[units_sold]]*fact[[#This Row],[price_usd]]</f>
        <v>55146638</v>
      </c>
      <c r="J268">
        <v>766</v>
      </c>
    </row>
    <row r="269" spans="1:10" x14ac:dyDescent="0.35">
      <c r="A269">
        <v>268</v>
      </c>
      <c r="B269" t="s">
        <v>228</v>
      </c>
      <c r="C269" t="s">
        <v>104</v>
      </c>
      <c r="D269" t="s">
        <v>171</v>
      </c>
      <c r="E269" s="1">
        <v>76081</v>
      </c>
      <c r="F269" s="1">
        <v>265757</v>
      </c>
      <c r="G269">
        <v>339</v>
      </c>
      <c r="H269">
        <v>5</v>
      </c>
      <c r="I269" s="1">
        <f>fact[[#This Row],[units_sold]]*fact[[#This Row],[price_usd]]</f>
        <v>66875199</v>
      </c>
      <c r="J269">
        <v>879</v>
      </c>
    </row>
    <row r="270" spans="1:10" x14ac:dyDescent="0.35">
      <c r="A270">
        <v>269</v>
      </c>
      <c r="B270" t="s">
        <v>228</v>
      </c>
      <c r="C270" t="s">
        <v>119</v>
      </c>
      <c r="D270" t="s">
        <v>173</v>
      </c>
      <c r="E270" s="1">
        <v>82975</v>
      </c>
      <c r="F270" s="1">
        <v>237646</v>
      </c>
      <c r="G270">
        <v>321</v>
      </c>
      <c r="H270">
        <v>5</v>
      </c>
      <c r="I270" s="1">
        <f>fact[[#This Row],[units_sold]]*fact[[#This Row],[price_usd]]</f>
        <v>54099700</v>
      </c>
      <c r="J270">
        <v>652</v>
      </c>
    </row>
    <row r="271" spans="1:10" x14ac:dyDescent="0.35">
      <c r="A271">
        <v>270</v>
      </c>
      <c r="B271" t="s">
        <v>228</v>
      </c>
      <c r="C271" t="s">
        <v>146</v>
      </c>
      <c r="D271" t="s">
        <v>168</v>
      </c>
      <c r="E271" s="1">
        <v>41449</v>
      </c>
      <c r="F271" s="1">
        <v>323326</v>
      </c>
      <c r="G271">
        <v>388</v>
      </c>
      <c r="H271">
        <v>6</v>
      </c>
      <c r="I271" s="1">
        <f>fact[[#This Row],[units_sold]]*fact[[#This Row],[price_usd]]</f>
        <v>46381431</v>
      </c>
      <c r="J271">
        <v>1119</v>
      </c>
    </row>
    <row r="272" spans="1:10" x14ac:dyDescent="0.35">
      <c r="A272">
        <v>271</v>
      </c>
      <c r="B272" t="s">
        <v>228</v>
      </c>
      <c r="C272" t="s">
        <v>157</v>
      </c>
      <c r="D272" t="s">
        <v>171</v>
      </c>
      <c r="E272" s="1">
        <v>90371</v>
      </c>
      <c r="F272" s="1">
        <v>277693</v>
      </c>
      <c r="G272">
        <v>132</v>
      </c>
      <c r="H272">
        <v>2</v>
      </c>
      <c r="I272" s="1">
        <f>fact[[#This Row],[units_sold]]*fact[[#This Row],[price_usd]]</f>
        <v>64886378</v>
      </c>
      <c r="J272">
        <v>718</v>
      </c>
    </row>
    <row r="273" spans="1:10" x14ac:dyDescent="0.35">
      <c r="A273">
        <v>272</v>
      </c>
      <c r="B273" t="s">
        <v>269</v>
      </c>
      <c r="C273" t="s">
        <v>53</v>
      </c>
      <c r="D273" t="s">
        <v>170</v>
      </c>
      <c r="E273" s="1">
        <v>52174</v>
      </c>
      <c r="F273" s="1">
        <v>401770</v>
      </c>
      <c r="G273">
        <v>36</v>
      </c>
      <c r="H273">
        <v>9</v>
      </c>
      <c r="I273" s="1">
        <f>fact[[#This Row],[units_sold]]*fact[[#This Row],[price_usd]]</f>
        <v>7773926</v>
      </c>
      <c r="J273">
        <v>149</v>
      </c>
    </row>
    <row r="274" spans="1:10" x14ac:dyDescent="0.35">
      <c r="A274">
        <v>273</v>
      </c>
      <c r="B274" t="s">
        <v>269</v>
      </c>
      <c r="C274" t="s">
        <v>66</v>
      </c>
      <c r="D274" t="s">
        <v>167</v>
      </c>
      <c r="E274" s="1">
        <v>119101</v>
      </c>
      <c r="F274" s="1">
        <v>336647</v>
      </c>
      <c r="G274">
        <v>112</v>
      </c>
      <c r="H274">
        <v>8</v>
      </c>
      <c r="I274" s="1">
        <f>fact[[#This Row],[units_sold]]*fact[[#This Row],[price_usd]]</f>
        <v>53119046</v>
      </c>
      <c r="J274">
        <v>446</v>
      </c>
    </row>
    <row r="275" spans="1:10" x14ac:dyDescent="0.35">
      <c r="A275">
        <v>274</v>
      </c>
      <c r="B275" t="s">
        <v>269</v>
      </c>
      <c r="C275" t="s">
        <v>76</v>
      </c>
      <c r="D275" t="s">
        <v>173</v>
      </c>
      <c r="E275" s="1">
        <v>58488</v>
      </c>
      <c r="F275" s="1">
        <v>180193</v>
      </c>
      <c r="G275">
        <v>139</v>
      </c>
      <c r="H275">
        <v>3</v>
      </c>
      <c r="I275" s="1">
        <f>fact[[#This Row],[units_sold]]*fact[[#This Row],[price_usd]]</f>
        <v>24915888</v>
      </c>
      <c r="J275">
        <v>426</v>
      </c>
    </row>
    <row r="276" spans="1:10" x14ac:dyDescent="0.35">
      <c r="A276">
        <v>275</v>
      </c>
      <c r="B276" t="s">
        <v>269</v>
      </c>
      <c r="C276" t="s">
        <v>81</v>
      </c>
      <c r="D276" t="s">
        <v>172</v>
      </c>
      <c r="E276" s="1">
        <v>112606</v>
      </c>
      <c r="F276" s="1">
        <v>160361</v>
      </c>
      <c r="G276">
        <v>225</v>
      </c>
      <c r="H276">
        <v>3</v>
      </c>
      <c r="I276" s="1">
        <f>fact[[#This Row],[units_sold]]*fact[[#This Row],[price_usd]]</f>
        <v>74882990</v>
      </c>
      <c r="J276">
        <v>665</v>
      </c>
    </row>
    <row r="277" spans="1:10" x14ac:dyDescent="0.35">
      <c r="A277">
        <v>276</v>
      </c>
      <c r="B277" t="s">
        <v>269</v>
      </c>
      <c r="C277" t="s">
        <v>94</v>
      </c>
      <c r="D277" t="s">
        <v>169</v>
      </c>
      <c r="E277" s="1">
        <v>105411</v>
      </c>
      <c r="F277" s="1">
        <v>469543</v>
      </c>
      <c r="G277">
        <v>62</v>
      </c>
      <c r="H277">
        <v>8</v>
      </c>
      <c r="I277" s="1">
        <f>fact[[#This Row],[units_sold]]*fact[[#This Row],[price_usd]]</f>
        <v>18868569</v>
      </c>
      <c r="J277">
        <v>179</v>
      </c>
    </row>
    <row r="278" spans="1:10" x14ac:dyDescent="0.35">
      <c r="A278">
        <v>277</v>
      </c>
      <c r="B278" t="s">
        <v>269</v>
      </c>
      <c r="C278" t="s">
        <v>92</v>
      </c>
      <c r="D278" t="s">
        <v>170</v>
      </c>
      <c r="E278" s="1">
        <v>84699</v>
      </c>
      <c r="F278" s="1">
        <v>239103</v>
      </c>
      <c r="G278">
        <v>297</v>
      </c>
      <c r="H278">
        <v>3</v>
      </c>
      <c r="I278" s="1">
        <f>fact[[#This Row],[units_sold]]*fact[[#This Row],[price_usd]]</f>
        <v>67420404</v>
      </c>
      <c r="J278">
        <v>796</v>
      </c>
    </row>
    <row r="279" spans="1:10" x14ac:dyDescent="0.35">
      <c r="A279">
        <v>278</v>
      </c>
      <c r="B279" t="s">
        <v>269</v>
      </c>
      <c r="C279" t="s">
        <v>105</v>
      </c>
      <c r="D279" t="s">
        <v>173</v>
      </c>
      <c r="E279" s="1">
        <v>55470</v>
      </c>
      <c r="F279" s="1">
        <v>203857</v>
      </c>
      <c r="G279">
        <v>344</v>
      </c>
      <c r="H279">
        <v>1</v>
      </c>
      <c r="I279" s="1">
        <f>fact[[#This Row],[units_sold]]*fact[[#This Row],[price_usd]]</f>
        <v>56135640</v>
      </c>
      <c r="J279">
        <v>1012</v>
      </c>
    </row>
    <row r="280" spans="1:10" x14ac:dyDescent="0.35">
      <c r="A280">
        <v>279</v>
      </c>
      <c r="B280" t="s">
        <v>269</v>
      </c>
      <c r="C280" t="s">
        <v>137</v>
      </c>
      <c r="D280" t="s">
        <v>171</v>
      </c>
      <c r="E280" s="1">
        <v>100497</v>
      </c>
      <c r="F280" s="1">
        <v>147493</v>
      </c>
      <c r="G280">
        <v>298</v>
      </c>
      <c r="H280">
        <v>7</v>
      </c>
      <c r="I280" s="1">
        <f>fact[[#This Row],[units_sold]]*fact[[#This Row],[price_usd]]</f>
        <v>62509134</v>
      </c>
      <c r="J280">
        <v>622</v>
      </c>
    </row>
    <row r="281" spans="1:10" x14ac:dyDescent="0.35">
      <c r="A281">
        <v>280</v>
      </c>
      <c r="B281" t="s">
        <v>269</v>
      </c>
      <c r="C281" t="s">
        <v>150</v>
      </c>
      <c r="D281" t="s">
        <v>171</v>
      </c>
      <c r="E281" s="1">
        <v>37716</v>
      </c>
      <c r="F281" s="1">
        <v>453602</v>
      </c>
      <c r="G281">
        <v>140</v>
      </c>
      <c r="H281">
        <v>8</v>
      </c>
      <c r="I281" s="1">
        <f>fact[[#This Row],[units_sold]]*fact[[#This Row],[price_usd]]</f>
        <v>12333132</v>
      </c>
      <c r="J281">
        <v>327</v>
      </c>
    </row>
    <row r="282" spans="1:10" x14ac:dyDescent="0.35">
      <c r="A282">
        <v>281</v>
      </c>
      <c r="B282" t="s">
        <v>269</v>
      </c>
      <c r="C282" t="s">
        <v>153</v>
      </c>
      <c r="D282" t="s">
        <v>167</v>
      </c>
      <c r="E282" s="1">
        <v>101727</v>
      </c>
      <c r="F282" s="1">
        <v>333817</v>
      </c>
      <c r="G282">
        <v>314</v>
      </c>
      <c r="H282">
        <v>7</v>
      </c>
      <c r="I282" s="1">
        <f>fact[[#This Row],[units_sold]]*fact[[#This Row],[price_usd]]</f>
        <v>90435303</v>
      </c>
      <c r="J282">
        <v>889</v>
      </c>
    </row>
    <row r="283" spans="1:10" x14ac:dyDescent="0.35">
      <c r="A283">
        <v>282</v>
      </c>
      <c r="B283" t="s">
        <v>269</v>
      </c>
      <c r="C283" t="s">
        <v>161</v>
      </c>
      <c r="D283" t="s">
        <v>169</v>
      </c>
      <c r="E283" s="1">
        <v>117263</v>
      </c>
      <c r="F283" s="1">
        <v>274699</v>
      </c>
      <c r="G283">
        <v>373</v>
      </c>
      <c r="H283">
        <v>4</v>
      </c>
      <c r="I283" s="1">
        <f>fact[[#This Row],[units_sold]]*fact[[#This Row],[price_usd]]</f>
        <v>103191440</v>
      </c>
      <c r="J283">
        <v>880</v>
      </c>
    </row>
    <row r="284" spans="1:10" x14ac:dyDescent="0.35">
      <c r="A284">
        <v>283</v>
      </c>
      <c r="B284" t="s">
        <v>285</v>
      </c>
      <c r="C284" t="s">
        <v>49</v>
      </c>
      <c r="D284" t="s">
        <v>166</v>
      </c>
      <c r="E284" s="1">
        <v>69678</v>
      </c>
      <c r="F284" s="1">
        <v>467230</v>
      </c>
      <c r="G284">
        <v>236</v>
      </c>
      <c r="H284">
        <v>6</v>
      </c>
      <c r="I284" s="1">
        <f>fact[[#This Row],[units_sold]]*fact[[#This Row],[price_usd]]</f>
        <v>61943742</v>
      </c>
      <c r="J284">
        <v>889</v>
      </c>
    </row>
    <row r="285" spans="1:10" x14ac:dyDescent="0.35">
      <c r="A285">
        <v>284</v>
      </c>
      <c r="B285" t="s">
        <v>285</v>
      </c>
      <c r="C285" t="s">
        <v>61</v>
      </c>
      <c r="D285" t="s">
        <v>168</v>
      </c>
      <c r="E285" s="1">
        <v>118886</v>
      </c>
      <c r="F285" s="1">
        <v>186066</v>
      </c>
      <c r="G285">
        <v>106</v>
      </c>
      <c r="H285">
        <v>3</v>
      </c>
      <c r="I285" s="1">
        <f>fact[[#This Row],[units_sold]]*fact[[#This Row],[price_usd]]</f>
        <v>42442302</v>
      </c>
      <c r="J285">
        <v>357</v>
      </c>
    </row>
    <row r="286" spans="1:10" x14ac:dyDescent="0.35">
      <c r="A286">
        <v>285</v>
      </c>
      <c r="B286" t="s">
        <v>285</v>
      </c>
      <c r="C286" t="s">
        <v>68</v>
      </c>
      <c r="D286" t="s">
        <v>169</v>
      </c>
      <c r="E286" s="1">
        <v>40033</v>
      </c>
      <c r="F286" s="1">
        <v>349479</v>
      </c>
      <c r="G286">
        <v>390</v>
      </c>
      <c r="H286">
        <v>10</v>
      </c>
      <c r="I286" s="1">
        <f>fact[[#This Row],[units_sold]]*fact[[#This Row],[price_usd]]</f>
        <v>44756894</v>
      </c>
      <c r="J286">
        <v>1118</v>
      </c>
    </row>
    <row r="287" spans="1:10" x14ac:dyDescent="0.35">
      <c r="A287">
        <v>286</v>
      </c>
      <c r="B287" t="s">
        <v>285</v>
      </c>
      <c r="C287" t="s">
        <v>88</v>
      </c>
      <c r="D287" t="s">
        <v>167</v>
      </c>
      <c r="E287" s="1">
        <v>98927</v>
      </c>
      <c r="F287" s="1">
        <v>333353</v>
      </c>
      <c r="G287">
        <v>62</v>
      </c>
      <c r="H287">
        <v>9</v>
      </c>
      <c r="I287" s="1">
        <f>fact[[#This Row],[units_sold]]*fact[[#This Row],[price_usd]]</f>
        <v>51738821</v>
      </c>
      <c r="J287">
        <v>523</v>
      </c>
    </row>
    <row r="288" spans="1:10" x14ac:dyDescent="0.35">
      <c r="A288">
        <v>287</v>
      </c>
      <c r="B288" t="s">
        <v>285</v>
      </c>
      <c r="C288" t="s">
        <v>83</v>
      </c>
      <c r="D288" t="s">
        <v>32</v>
      </c>
      <c r="E288" s="1">
        <v>97874</v>
      </c>
      <c r="F288" s="1">
        <v>248110</v>
      </c>
      <c r="G288">
        <v>225</v>
      </c>
      <c r="H288">
        <v>4</v>
      </c>
      <c r="I288" s="1">
        <f>fact[[#This Row],[units_sold]]*fact[[#This Row],[price_usd]]</f>
        <v>47175268</v>
      </c>
      <c r="J288">
        <v>482</v>
      </c>
    </row>
    <row r="289" spans="1:10" x14ac:dyDescent="0.35">
      <c r="A289">
        <v>288</v>
      </c>
      <c r="B289" t="s">
        <v>285</v>
      </c>
      <c r="C289" t="s">
        <v>138</v>
      </c>
      <c r="D289" t="s">
        <v>170</v>
      </c>
      <c r="E289" s="1">
        <v>91652</v>
      </c>
      <c r="F289" s="1">
        <v>494503</v>
      </c>
      <c r="G289">
        <v>213</v>
      </c>
      <c r="H289">
        <v>6</v>
      </c>
      <c r="I289" s="1">
        <f>fact[[#This Row],[units_sold]]*fact[[#This Row],[price_usd]]</f>
        <v>66447700</v>
      </c>
      <c r="J289">
        <v>725</v>
      </c>
    </row>
    <row r="290" spans="1:10" x14ac:dyDescent="0.35">
      <c r="A290">
        <v>289</v>
      </c>
      <c r="B290" t="s">
        <v>285</v>
      </c>
      <c r="C290" t="s">
        <v>144</v>
      </c>
      <c r="D290" t="s">
        <v>170</v>
      </c>
      <c r="E290" s="1">
        <v>98772</v>
      </c>
      <c r="F290" s="1">
        <v>385834</v>
      </c>
      <c r="G290">
        <v>149</v>
      </c>
      <c r="H290">
        <v>2</v>
      </c>
      <c r="I290" s="1">
        <f>fact[[#This Row],[units_sold]]*fact[[#This Row],[price_usd]]</f>
        <v>40101432</v>
      </c>
      <c r="J290">
        <v>406</v>
      </c>
    </row>
    <row r="291" spans="1:10" x14ac:dyDescent="0.35">
      <c r="A291">
        <v>290</v>
      </c>
      <c r="B291" t="s">
        <v>285</v>
      </c>
      <c r="C291" t="s">
        <v>143</v>
      </c>
      <c r="D291" t="s">
        <v>173</v>
      </c>
      <c r="E291" s="1">
        <v>115440</v>
      </c>
      <c r="F291" s="1">
        <v>277544</v>
      </c>
      <c r="G291">
        <v>160</v>
      </c>
      <c r="H291">
        <v>9</v>
      </c>
      <c r="I291" s="1">
        <f>fact[[#This Row],[units_sold]]*fact[[#This Row],[price_usd]]</f>
        <v>60836880</v>
      </c>
      <c r="J291">
        <v>527</v>
      </c>
    </row>
    <row r="292" spans="1:10" x14ac:dyDescent="0.35">
      <c r="A292">
        <v>291</v>
      </c>
      <c r="B292" t="s">
        <v>262</v>
      </c>
      <c r="C292" t="s">
        <v>59</v>
      </c>
      <c r="D292" t="s">
        <v>170</v>
      </c>
      <c r="E292" s="1">
        <v>118434</v>
      </c>
      <c r="F292" s="1">
        <v>442704</v>
      </c>
      <c r="G292">
        <v>64</v>
      </c>
      <c r="H292">
        <v>4</v>
      </c>
      <c r="I292" s="1">
        <f>fact[[#This Row],[units_sold]]*fact[[#This Row],[price_usd]]</f>
        <v>25581744</v>
      </c>
      <c r="J292">
        <v>216</v>
      </c>
    </row>
    <row r="293" spans="1:10" x14ac:dyDescent="0.35">
      <c r="A293">
        <v>292</v>
      </c>
      <c r="B293" t="s">
        <v>262</v>
      </c>
      <c r="C293" t="s">
        <v>72</v>
      </c>
      <c r="D293" t="s">
        <v>169</v>
      </c>
      <c r="E293" s="1">
        <v>66658</v>
      </c>
      <c r="F293" s="1">
        <v>194233</v>
      </c>
      <c r="G293">
        <v>91</v>
      </c>
      <c r="H293">
        <v>1</v>
      </c>
      <c r="I293" s="1">
        <f>fact[[#This Row],[units_sold]]*fact[[#This Row],[price_usd]]</f>
        <v>33262342</v>
      </c>
      <c r="J293">
        <v>499</v>
      </c>
    </row>
    <row r="294" spans="1:10" x14ac:dyDescent="0.35">
      <c r="A294">
        <v>293</v>
      </c>
      <c r="B294" t="s">
        <v>262</v>
      </c>
      <c r="C294" t="s">
        <v>88</v>
      </c>
      <c r="D294" t="s">
        <v>32</v>
      </c>
      <c r="E294" s="1">
        <v>116441</v>
      </c>
      <c r="F294" s="1">
        <v>339819</v>
      </c>
      <c r="G294">
        <v>392</v>
      </c>
      <c r="H294">
        <v>6</v>
      </c>
      <c r="I294" s="1">
        <f>fact[[#This Row],[units_sold]]*fact[[#This Row],[price_usd]]</f>
        <v>119584907</v>
      </c>
      <c r="J294">
        <v>1027</v>
      </c>
    </row>
    <row r="295" spans="1:10" x14ac:dyDescent="0.35">
      <c r="A295">
        <v>294</v>
      </c>
      <c r="B295" t="s">
        <v>262</v>
      </c>
      <c r="C295" t="s">
        <v>102</v>
      </c>
      <c r="D295" t="s">
        <v>168</v>
      </c>
      <c r="E295" s="1">
        <v>89675</v>
      </c>
      <c r="F295" s="1">
        <v>300694</v>
      </c>
      <c r="G295">
        <v>315</v>
      </c>
      <c r="H295">
        <v>3</v>
      </c>
      <c r="I295" s="1">
        <f>fact[[#This Row],[units_sold]]*fact[[#This Row],[price_usd]]</f>
        <v>92275575</v>
      </c>
      <c r="J295">
        <v>1029</v>
      </c>
    </row>
    <row r="296" spans="1:10" x14ac:dyDescent="0.35">
      <c r="A296">
        <v>295</v>
      </c>
      <c r="B296" t="s">
        <v>262</v>
      </c>
      <c r="C296" t="s">
        <v>136</v>
      </c>
      <c r="D296" t="s">
        <v>170</v>
      </c>
      <c r="E296" s="1">
        <v>44095</v>
      </c>
      <c r="F296" s="1">
        <v>275568</v>
      </c>
      <c r="G296">
        <v>202</v>
      </c>
      <c r="H296">
        <v>1</v>
      </c>
      <c r="I296" s="1">
        <f>fact[[#This Row],[units_sold]]*fact[[#This Row],[price_usd]]</f>
        <v>37921700</v>
      </c>
      <c r="J296">
        <v>860</v>
      </c>
    </row>
    <row r="297" spans="1:10" x14ac:dyDescent="0.35">
      <c r="A297">
        <v>296</v>
      </c>
      <c r="B297" t="s">
        <v>262</v>
      </c>
      <c r="C297" t="s">
        <v>132</v>
      </c>
      <c r="D297" t="s">
        <v>166</v>
      </c>
      <c r="E297" s="1">
        <v>81751</v>
      </c>
      <c r="F297" s="1">
        <v>211297</v>
      </c>
      <c r="G297">
        <v>118</v>
      </c>
      <c r="H297">
        <v>7</v>
      </c>
      <c r="I297" s="1">
        <f>fact[[#This Row],[units_sold]]*fact[[#This Row],[price_usd]]</f>
        <v>29021605</v>
      </c>
      <c r="J297">
        <v>355</v>
      </c>
    </row>
    <row r="298" spans="1:10" x14ac:dyDescent="0.35">
      <c r="A298">
        <v>297</v>
      </c>
      <c r="B298" t="s">
        <v>262</v>
      </c>
      <c r="C298" t="s">
        <v>136</v>
      </c>
      <c r="D298" t="s">
        <v>172</v>
      </c>
      <c r="E298" s="1">
        <v>65951</v>
      </c>
      <c r="F298" s="1">
        <v>408511</v>
      </c>
      <c r="G298">
        <v>366</v>
      </c>
      <c r="H298">
        <v>10</v>
      </c>
      <c r="I298" s="1">
        <f>fact[[#This Row],[units_sold]]*fact[[#This Row],[price_usd]]</f>
        <v>53486261</v>
      </c>
      <c r="J298">
        <v>811</v>
      </c>
    </row>
    <row r="299" spans="1:10" x14ac:dyDescent="0.35">
      <c r="A299">
        <v>298</v>
      </c>
      <c r="B299" t="s">
        <v>262</v>
      </c>
      <c r="C299" t="s">
        <v>131</v>
      </c>
      <c r="D299" t="s">
        <v>168</v>
      </c>
      <c r="E299" s="1">
        <v>99384</v>
      </c>
      <c r="F299" s="1">
        <v>196025</v>
      </c>
      <c r="G299">
        <v>162</v>
      </c>
      <c r="H299">
        <v>10</v>
      </c>
      <c r="I299" s="1">
        <f>fact[[#This Row],[units_sold]]*fact[[#This Row],[price_usd]]</f>
        <v>51182760</v>
      </c>
      <c r="J299">
        <v>515</v>
      </c>
    </row>
    <row r="300" spans="1:10" x14ac:dyDescent="0.35">
      <c r="A300">
        <v>299</v>
      </c>
      <c r="B300" t="s">
        <v>262</v>
      </c>
      <c r="C300" t="s">
        <v>146</v>
      </c>
      <c r="D300" t="s">
        <v>171</v>
      </c>
      <c r="E300" s="1">
        <v>61928</v>
      </c>
      <c r="F300" s="1">
        <v>260387</v>
      </c>
      <c r="G300">
        <v>378</v>
      </c>
      <c r="H300">
        <v>9</v>
      </c>
      <c r="I300" s="1">
        <f>fact[[#This Row],[units_sold]]*fact[[#This Row],[price_usd]]</f>
        <v>49418544</v>
      </c>
      <c r="J300">
        <v>798</v>
      </c>
    </row>
    <row r="301" spans="1:10" x14ac:dyDescent="0.35">
      <c r="A301">
        <v>300</v>
      </c>
      <c r="B301" t="s">
        <v>262</v>
      </c>
      <c r="C301" t="s">
        <v>155</v>
      </c>
      <c r="D301" t="s">
        <v>32</v>
      </c>
      <c r="E301" s="1">
        <v>66973</v>
      </c>
      <c r="F301" s="1">
        <v>131515</v>
      </c>
      <c r="G301">
        <v>332</v>
      </c>
      <c r="H301">
        <v>7</v>
      </c>
      <c r="I301" s="1">
        <f>fact[[#This Row],[units_sold]]*fact[[#This Row],[price_usd]]</f>
        <v>49359101</v>
      </c>
      <c r="J301">
        <v>737</v>
      </c>
    </row>
    <row r="302" spans="1:10" x14ac:dyDescent="0.35">
      <c r="A302">
        <v>301</v>
      </c>
      <c r="B302" t="s">
        <v>235</v>
      </c>
      <c r="C302" t="s">
        <v>53</v>
      </c>
      <c r="D302" t="s">
        <v>170</v>
      </c>
      <c r="E302" s="1">
        <v>117936</v>
      </c>
      <c r="F302" s="1">
        <v>291532</v>
      </c>
      <c r="G302">
        <v>58</v>
      </c>
      <c r="H302">
        <v>9</v>
      </c>
      <c r="I302" s="1">
        <f>fact[[#This Row],[units_sold]]*fact[[#This Row],[price_usd]]</f>
        <v>52009776</v>
      </c>
      <c r="J302">
        <v>441</v>
      </c>
    </row>
    <row r="303" spans="1:10" x14ac:dyDescent="0.35">
      <c r="A303">
        <v>302</v>
      </c>
      <c r="B303" t="s">
        <v>235</v>
      </c>
      <c r="C303" t="s">
        <v>87</v>
      </c>
      <c r="D303" t="s">
        <v>170</v>
      </c>
      <c r="E303" s="1">
        <v>64001</v>
      </c>
      <c r="F303" s="1">
        <v>296231</v>
      </c>
      <c r="G303">
        <v>268</v>
      </c>
      <c r="H303">
        <v>9</v>
      </c>
      <c r="I303" s="1">
        <f>fact[[#This Row],[units_sold]]*fact[[#This Row],[price_usd]]</f>
        <v>45376709</v>
      </c>
      <c r="J303">
        <v>709</v>
      </c>
    </row>
    <row r="304" spans="1:10" x14ac:dyDescent="0.35">
      <c r="A304">
        <v>303</v>
      </c>
      <c r="B304" t="s">
        <v>235</v>
      </c>
      <c r="C304" t="s">
        <v>82</v>
      </c>
      <c r="D304" t="s">
        <v>168</v>
      </c>
      <c r="E304" s="1">
        <v>96868</v>
      </c>
      <c r="F304" s="1">
        <v>451634</v>
      </c>
      <c r="G304">
        <v>116</v>
      </c>
      <c r="H304">
        <v>8</v>
      </c>
      <c r="I304" s="1">
        <f>fact[[#This Row],[units_sold]]*fact[[#This Row],[price_usd]]</f>
        <v>44074940</v>
      </c>
      <c r="J304">
        <v>455</v>
      </c>
    </row>
    <row r="305" spans="1:10" x14ac:dyDescent="0.35">
      <c r="A305">
        <v>304</v>
      </c>
      <c r="B305" t="s">
        <v>235</v>
      </c>
      <c r="C305" t="s">
        <v>108</v>
      </c>
      <c r="D305" t="s">
        <v>172</v>
      </c>
      <c r="E305" s="1">
        <v>74884</v>
      </c>
      <c r="F305" s="1">
        <v>87860</v>
      </c>
      <c r="G305">
        <v>345</v>
      </c>
      <c r="H305">
        <v>6</v>
      </c>
      <c r="I305" s="1">
        <f>fact[[#This Row],[units_sold]]*fact[[#This Row],[price_usd]]</f>
        <v>62603024</v>
      </c>
      <c r="J305">
        <v>836</v>
      </c>
    </row>
    <row r="306" spans="1:10" x14ac:dyDescent="0.35">
      <c r="A306">
        <v>305</v>
      </c>
      <c r="B306" t="s">
        <v>235</v>
      </c>
      <c r="C306" t="s">
        <v>132</v>
      </c>
      <c r="D306" t="s">
        <v>166</v>
      </c>
      <c r="E306" s="1">
        <v>40974</v>
      </c>
      <c r="F306" s="1">
        <v>236720</v>
      </c>
      <c r="G306">
        <v>279</v>
      </c>
      <c r="H306">
        <v>4</v>
      </c>
      <c r="I306" s="1">
        <f>fact[[#This Row],[units_sold]]*fact[[#This Row],[price_usd]]</f>
        <v>28640826</v>
      </c>
      <c r="J306">
        <v>699</v>
      </c>
    </row>
    <row r="307" spans="1:10" x14ac:dyDescent="0.35">
      <c r="A307">
        <v>306</v>
      </c>
      <c r="B307" t="s">
        <v>235</v>
      </c>
      <c r="C307" t="s">
        <v>131</v>
      </c>
      <c r="D307" t="s">
        <v>168</v>
      </c>
      <c r="E307" s="1">
        <v>72344</v>
      </c>
      <c r="F307" s="1">
        <v>386643</v>
      </c>
      <c r="G307">
        <v>309</v>
      </c>
      <c r="H307">
        <v>4</v>
      </c>
      <c r="I307" s="1">
        <f>fact[[#This Row],[units_sold]]*fact[[#This Row],[price_usd]]</f>
        <v>67352264</v>
      </c>
      <c r="J307">
        <v>931</v>
      </c>
    </row>
    <row r="308" spans="1:10" x14ac:dyDescent="0.35">
      <c r="A308">
        <v>307</v>
      </c>
      <c r="B308" t="s">
        <v>235</v>
      </c>
      <c r="C308" t="s">
        <v>139</v>
      </c>
      <c r="D308" t="s">
        <v>165</v>
      </c>
      <c r="E308" s="1">
        <v>100364</v>
      </c>
      <c r="F308" s="1">
        <v>152877</v>
      </c>
      <c r="G308">
        <v>179</v>
      </c>
      <c r="H308">
        <v>6</v>
      </c>
      <c r="I308" s="1">
        <f>fact[[#This Row],[units_sold]]*fact[[#This Row],[price_usd]]</f>
        <v>64132596</v>
      </c>
      <c r="J308">
        <v>639</v>
      </c>
    </row>
    <row r="309" spans="1:10" x14ac:dyDescent="0.35">
      <c r="A309">
        <v>308</v>
      </c>
      <c r="B309" t="s">
        <v>235</v>
      </c>
      <c r="C309" t="s">
        <v>144</v>
      </c>
      <c r="D309" t="s">
        <v>173</v>
      </c>
      <c r="E309" s="1">
        <v>56164</v>
      </c>
      <c r="F309" s="1">
        <v>361438</v>
      </c>
      <c r="G309">
        <v>335</v>
      </c>
      <c r="H309">
        <v>2</v>
      </c>
      <c r="I309" s="1">
        <f>fact[[#This Row],[units_sold]]*fact[[#This Row],[price_usd]]</f>
        <v>46166808</v>
      </c>
      <c r="J309">
        <v>822</v>
      </c>
    </row>
    <row r="310" spans="1:10" x14ac:dyDescent="0.35">
      <c r="A310">
        <v>309</v>
      </c>
      <c r="B310" t="s">
        <v>235</v>
      </c>
      <c r="C310" t="s">
        <v>144</v>
      </c>
      <c r="D310" t="s">
        <v>172</v>
      </c>
      <c r="E310" s="1">
        <v>40730</v>
      </c>
      <c r="F310" s="1">
        <v>414271</v>
      </c>
      <c r="G310">
        <v>398</v>
      </c>
      <c r="H310">
        <v>2</v>
      </c>
      <c r="I310" s="1">
        <f>fact[[#This Row],[units_sold]]*fact[[#This Row],[price_usd]]</f>
        <v>44640080</v>
      </c>
      <c r="J310">
        <v>1096</v>
      </c>
    </row>
    <row r="311" spans="1:10" x14ac:dyDescent="0.35">
      <c r="A311">
        <v>310</v>
      </c>
      <c r="B311" t="s">
        <v>235</v>
      </c>
      <c r="C311" t="s">
        <v>145</v>
      </c>
      <c r="D311" t="s">
        <v>170</v>
      </c>
      <c r="E311" s="1">
        <v>49271</v>
      </c>
      <c r="F311" s="1">
        <v>488744</v>
      </c>
      <c r="G311">
        <v>356</v>
      </c>
      <c r="H311">
        <v>3</v>
      </c>
      <c r="I311" s="1">
        <f>fact[[#This Row],[units_sold]]*fact[[#This Row],[price_usd]]</f>
        <v>47645057</v>
      </c>
      <c r="J311">
        <v>967</v>
      </c>
    </row>
    <row r="312" spans="1:10" x14ac:dyDescent="0.35">
      <c r="A312">
        <v>311</v>
      </c>
      <c r="B312" t="s">
        <v>235</v>
      </c>
      <c r="C312" t="s">
        <v>140</v>
      </c>
      <c r="D312" t="s">
        <v>169</v>
      </c>
      <c r="E312" s="1">
        <v>38720</v>
      </c>
      <c r="F312" s="1">
        <v>107836</v>
      </c>
      <c r="G312">
        <v>99</v>
      </c>
      <c r="H312">
        <v>6</v>
      </c>
      <c r="I312" s="1">
        <f>fact[[#This Row],[units_sold]]*fact[[#This Row],[price_usd]]</f>
        <v>13513280</v>
      </c>
      <c r="J312">
        <v>349</v>
      </c>
    </row>
    <row r="313" spans="1:10" x14ac:dyDescent="0.35">
      <c r="A313">
        <v>312</v>
      </c>
      <c r="B313" t="s">
        <v>212</v>
      </c>
      <c r="C313" t="s">
        <v>53</v>
      </c>
      <c r="D313" t="s">
        <v>166</v>
      </c>
      <c r="E313" s="1">
        <v>95610</v>
      </c>
      <c r="F313" s="1">
        <v>73548</v>
      </c>
      <c r="G313">
        <v>224</v>
      </c>
      <c r="H313">
        <v>8</v>
      </c>
      <c r="I313" s="1">
        <f>fact[[#This Row],[units_sold]]*fact[[#This Row],[price_usd]]</f>
        <v>65492850</v>
      </c>
      <c r="J313">
        <v>685</v>
      </c>
    </row>
    <row r="314" spans="1:10" x14ac:dyDescent="0.35">
      <c r="A314">
        <v>313</v>
      </c>
      <c r="B314" t="s">
        <v>212</v>
      </c>
      <c r="C314" t="s">
        <v>46</v>
      </c>
      <c r="D314" t="s">
        <v>170</v>
      </c>
      <c r="E314" s="1">
        <v>106792</v>
      </c>
      <c r="F314" s="1">
        <v>361714</v>
      </c>
      <c r="G314">
        <v>130</v>
      </c>
      <c r="H314">
        <v>6</v>
      </c>
      <c r="I314" s="1">
        <f>fact[[#This Row],[units_sold]]*fact[[#This Row],[price_usd]]</f>
        <v>52968832</v>
      </c>
      <c r="J314">
        <v>496</v>
      </c>
    </row>
    <row r="315" spans="1:10" x14ac:dyDescent="0.35">
      <c r="A315">
        <v>314</v>
      </c>
      <c r="B315" t="s">
        <v>212</v>
      </c>
      <c r="C315" t="s">
        <v>63</v>
      </c>
      <c r="D315" t="s">
        <v>171</v>
      </c>
      <c r="E315" s="1">
        <v>45310</v>
      </c>
      <c r="F315" s="1">
        <v>463440</v>
      </c>
      <c r="G315">
        <v>183</v>
      </c>
      <c r="H315">
        <v>8</v>
      </c>
      <c r="I315" s="1">
        <f>fact[[#This Row],[units_sold]]*fact[[#This Row],[price_usd]]</f>
        <v>19075510</v>
      </c>
      <c r="J315">
        <v>421</v>
      </c>
    </row>
    <row r="316" spans="1:10" x14ac:dyDescent="0.35">
      <c r="A316">
        <v>315</v>
      </c>
      <c r="B316" t="s">
        <v>212</v>
      </c>
      <c r="C316" t="s">
        <v>74</v>
      </c>
      <c r="D316" t="s">
        <v>172</v>
      </c>
      <c r="E316" s="1">
        <v>42211</v>
      </c>
      <c r="F316" s="1">
        <v>453708</v>
      </c>
      <c r="G316">
        <v>23</v>
      </c>
      <c r="H316">
        <v>10</v>
      </c>
      <c r="I316" s="1">
        <f>fact[[#This Row],[units_sold]]*fact[[#This Row],[price_usd]]</f>
        <v>5107531</v>
      </c>
      <c r="J316">
        <v>121</v>
      </c>
    </row>
    <row r="317" spans="1:10" x14ac:dyDescent="0.35">
      <c r="A317">
        <v>316</v>
      </c>
      <c r="B317" t="s">
        <v>212</v>
      </c>
      <c r="C317" t="s">
        <v>89</v>
      </c>
      <c r="D317" t="s">
        <v>170</v>
      </c>
      <c r="E317" s="1">
        <v>90432</v>
      </c>
      <c r="F317" s="1">
        <v>398216</v>
      </c>
      <c r="G317">
        <v>381</v>
      </c>
      <c r="H317">
        <v>9</v>
      </c>
      <c r="I317" s="1">
        <f>fact[[#This Row],[units_sold]]*fact[[#This Row],[price_usd]]</f>
        <v>108066240</v>
      </c>
      <c r="J317">
        <v>1195</v>
      </c>
    </row>
    <row r="318" spans="1:10" x14ac:dyDescent="0.35">
      <c r="A318">
        <v>317</v>
      </c>
      <c r="B318" t="s">
        <v>212</v>
      </c>
      <c r="C318" t="s">
        <v>95</v>
      </c>
      <c r="D318" t="s">
        <v>167</v>
      </c>
      <c r="E318" s="1">
        <v>57092</v>
      </c>
      <c r="F318" s="1">
        <v>276905</v>
      </c>
      <c r="G318">
        <v>240</v>
      </c>
      <c r="H318">
        <v>8</v>
      </c>
      <c r="I318" s="1">
        <f>fact[[#This Row],[units_sold]]*fact[[#This Row],[price_usd]]</f>
        <v>41049148</v>
      </c>
      <c r="J318">
        <v>719</v>
      </c>
    </row>
    <row r="319" spans="1:10" x14ac:dyDescent="0.35">
      <c r="A319">
        <v>318</v>
      </c>
      <c r="B319" t="s">
        <v>205</v>
      </c>
      <c r="C319" t="s">
        <v>47</v>
      </c>
      <c r="D319" t="s">
        <v>171</v>
      </c>
      <c r="E319" s="1">
        <v>36893</v>
      </c>
      <c r="F319" s="1">
        <v>403791</v>
      </c>
      <c r="G319">
        <v>232</v>
      </c>
      <c r="H319">
        <v>2</v>
      </c>
      <c r="I319" s="1">
        <f>fact[[#This Row],[units_sold]]*fact[[#This Row],[price_usd]]</f>
        <v>19700862</v>
      </c>
      <c r="J319">
        <v>534</v>
      </c>
    </row>
    <row r="320" spans="1:10" x14ac:dyDescent="0.35">
      <c r="A320">
        <v>319</v>
      </c>
      <c r="B320" t="s">
        <v>205</v>
      </c>
      <c r="C320" t="s">
        <v>79</v>
      </c>
      <c r="D320" t="s">
        <v>172</v>
      </c>
      <c r="E320" s="1">
        <v>65699</v>
      </c>
      <c r="F320" s="1">
        <v>463532</v>
      </c>
      <c r="G320">
        <v>267</v>
      </c>
      <c r="H320">
        <v>9</v>
      </c>
      <c r="I320" s="1">
        <f>fact[[#This Row],[units_sold]]*fact[[#This Row],[price_usd]]</f>
        <v>38236818</v>
      </c>
      <c r="J320">
        <v>582</v>
      </c>
    </row>
    <row r="321" spans="1:10" x14ac:dyDescent="0.35">
      <c r="A321">
        <v>320</v>
      </c>
      <c r="B321" t="s">
        <v>205</v>
      </c>
      <c r="C321" t="s">
        <v>91</v>
      </c>
      <c r="D321" t="s">
        <v>170</v>
      </c>
      <c r="E321" s="1">
        <v>35066</v>
      </c>
      <c r="F321" s="1">
        <v>183501</v>
      </c>
      <c r="G321">
        <v>273</v>
      </c>
      <c r="H321">
        <v>1</v>
      </c>
      <c r="I321" s="1">
        <f>fact[[#This Row],[units_sold]]*fact[[#This Row],[price_usd]]</f>
        <v>30787948</v>
      </c>
      <c r="J321">
        <v>878</v>
      </c>
    </row>
    <row r="322" spans="1:10" x14ac:dyDescent="0.35">
      <c r="A322">
        <v>321</v>
      </c>
      <c r="B322" t="s">
        <v>205</v>
      </c>
      <c r="C322" t="s">
        <v>89</v>
      </c>
      <c r="D322" t="s">
        <v>173</v>
      </c>
      <c r="E322" s="1">
        <v>117916</v>
      </c>
      <c r="F322" s="1">
        <v>269057</v>
      </c>
      <c r="G322">
        <v>110</v>
      </c>
      <c r="H322">
        <v>6</v>
      </c>
      <c r="I322" s="1">
        <f>fact[[#This Row],[units_sold]]*fact[[#This Row],[price_usd]]</f>
        <v>42449760</v>
      </c>
      <c r="J322">
        <v>360</v>
      </c>
    </row>
    <row r="323" spans="1:10" x14ac:dyDescent="0.35">
      <c r="A323">
        <v>322</v>
      </c>
      <c r="B323" t="s">
        <v>205</v>
      </c>
      <c r="C323" t="s">
        <v>92</v>
      </c>
      <c r="D323" t="s">
        <v>167</v>
      </c>
      <c r="E323" s="1">
        <v>57499</v>
      </c>
      <c r="F323" s="1">
        <v>69403</v>
      </c>
      <c r="G323">
        <v>172</v>
      </c>
      <c r="H323">
        <v>1</v>
      </c>
      <c r="I323" s="1">
        <f>fact[[#This Row],[units_sold]]*fact[[#This Row],[price_usd]]</f>
        <v>43986735</v>
      </c>
      <c r="J323">
        <v>765</v>
      </c>
    </row>
    <row r="324" spans="1:10" x14ac:dyDescent="0.35">
      <c r="A324">
        <v>323</v>
      </c>
      <c r="B324" t="s">
        <v>205</v>
      </c>
      <c r="C324" t="s">
        <v>94</v>
      </c>
      <c r="D324" t="s">
        <v>166</v>
      </c>
      <c r="E324" s="1">
        <v>90421</v>
      </c>
      <c r="F324" s="1">
        <v>239607</v>
      </c>
      <c r="G324">
        <v>233</v>
      </c>
      <c r="H324">
        <v>3</v>
      </c>
      <c r="I324" s="1">
        <f>fact[[#This Row],[units_sold]]*fact[[#This Row],[price_usd]]</f>
        <v>53438811</v>
      </c>
      <c r="J324">
        <v>591</v>
      </c>
    </row>
    <row r="325" spans="1:10" x14ac:dyDescent="0.35">
      <c r="A325">
        <v>324</v>
      </c>
      <c r="B325" t="s">
        <v>205</v>
      </c>
      <c r="C325" t="s">
        <v>106</v>
      </c>
      <c r="D325" t="s">
        <v>32</v>
      </c>
      <c r="E325" s="1">
        <v>39368</v>
      </c>
      <c r="F325" s="1">
        <v>157669</v>
      </c>
      <c r="G325">
        <v>289</v>
      </c>
      <c r="H325">
        <v>6</v>
      </c>
      <c r="I325" s="1">
        <f>fact[[#This Row],[units_sold]]*fact[[#This Row],[price_usd]]</f>
        <v>38226328</v>
      </c>
      <c r="J325">
        <v>971</v>
      </c>
    </row>
    <row r="326" spans="1:10" x14ac:dyDescent="0.35">
      <c r="A326">
        <v>325</v>
      </c>
      <c r="B326" t="s">
        <v>205</v>
      </c>
      <c r="C326" t="s">
        <v>128</v>
      </c>
      <c r="D326" t="s">
        <v>169</v>
      </c>
      <c r="E326" s="1">
        <v>98212</v>
      </c>
      <c r="F326" s="1">
        <v>341619</v>
      </c>
      <c r="G326">
        <v>240</v>
      </c>
      <c r="H326">
        <v>9</v>
      </c>
      <c r="I326" s="1">
        <f>fact[[#This Row],[units_sold]]*fact[[#This Row],[price_usd]]</f>
        <v>89471132</v>
      </c>
      <c r="J326">
        <v>911</v>
      </c>
    </row>
    <row r="327" spans="1:10" x14ac:dyDescent="0.35">
      <c r="A327">
        <v>326</v>
      </c>
      <c r="B327" t="s">
        <v>205</v>
      </c>
      <c r="C327" t="s">
        <v>149</v>
      </c>
      <c r="D327" t="s">
        <v>166</v>
      </c>
      <c r="E327" s="1">
        <v>116384</v>
      </c>
      <c r="F327" s="1">
        <v>220635</v>
      </c>
      <c r="G327">
        <v>294</v>
      </c>
      <c r="H327">
        <v>5</v>
      </c>
      <c r="I327" s="1">
        <f>fact[[#This Row],[units_sold]]*fact[[#This Row],[price_usd]]</f>
        <v>89499296</v>
      </c>
      <c r="J327">
        <v>769</v>
      </c>
    </row>
    <row r="328" spans="1:10" x14ac:dyDescent="0.35">
      <c r="A328">
        <v>327</v>
      </c>
      <c r="B328" t="s">
        <v>205</v>
      </c>
      <c r="C328" t="s">
        <v>151</v>
      </c>
      <c r="D328" t="s">
        <v>168</v>
      </c>
      <c r="E328" s="1">
        <v>114737</v>
      </c>
      <c r="F328" s="1">
        <v>192339</v>
      </c>
      <c r="G328">
        <v>162</v>
      </c>
      <c r="H328">
        <v>4</v>
      </c>
      <c r="I328" s="1">
        <f>fact[[#This Row],[units_sold]]*fact[[#This Row],[price_usd]]</f>
        <v>85708539</v>
      </c>
      <c r="J328">
        <v>747</v>
      </c>
    </row>
    <row r="329" spans="1:10" x14ac:dyDescent="0.35">
      <c r="A329">
        <v>328</v>
      </c>
      <c r="B329" t="s">
        <v>205</v>
      </c>
      <c r="C329" t="s">
        <v>155</v>
      </c>
      <c r="D329" t="s">
        <v>166</v>
      </c>
      <c r="E329" s="1">
        <v>95758</v>
      </c>
      <c r="F329" s="1">
        <v>106116</v>
      </c>
      <c r="G329">
        <v>269</v>
      </c>
      <c r="H329">
        <v>7</v>
      </c>
      <c r="I329" s="1">
        <f>fact[[#This Row],[units_sold]]*fact[[#This Row],[price_usd]]</f>
        <v>69424550</v>
      </c>
      <c r="J329">
        <v>725</v>
      </c>
    </row>
    <row r="330" spans="1:10" x14ac:dyDescent="0.35">
      <c r="A330">
        <v>329</v>
      </c>
      <c r="B330" t="s">
        <v>268</v>
      </c>
      <c r="C330" t="s">
        <v>62</v>
      </c>
      <c r="D330" t="s">
        <v>172</v>
      </c>
      <c r="E330" s="1">
        <v>73990</v>
      </c>
      <c r="F330" s="1">
        <v>423704</v>
      </c>
      <c r="G330">
        <v>287</v>
      </c>
      <c r="H330">
        <v>9</v>
      </c>
      <c r="I330" s="1">
        <f>fact[[#This Row],[units_sold]]*fact[[#This Row],[price_usd]]</f>
        <v>68810700</v>
      </c>
      <c r="J330">
        <v>930</v>
      </c>
    </row>
    <row r="331" spans="1:10" x14ac:dyDescent="0.35">
      <c r="A331">
        <v>330</v>
      </c>
      <c r="B331" t="s">
        <v>268</v>
      </c>
      <c r="C331" t="s">
        <v>80</v>
      </c>
      <c r="D331" t="s">
        <v>168</v>
      </c>
      <c r="E331" s="1">
        <v>38956</v>
      </c>
      <c r="F331" s="1">
        <v>223501</v>
      </c>
      <c r="G331">
        <v>138</v>
      </c>
      <c r="H331">
        <v>1</v>
      </c>
      <c r="I331" s="1">
        <f>fact[[#This Row],[units_sold]]*fact[[#This Row],[price_usd]]</f>
        <v>17802892</v>
      </c>
      <c r="J331">
        <v>457</v>
      </c>
    </row>
    <row r="332" spans="1:10" x14ac:dyDescent="0.35">
      <c r="A332">
        <v>331</v>
      </c>
      <c r="B332" t="s">
        <v>268</v>
      </c>
      <c r="C332" t="s">
        <v>91</v>
      </c>
      <c r="D332" t="s">
        <v>173</v>
      </c>
      <c r="E332" s="1">
        <v>93755</v>
      </c>
      <c r="F332" s="1">
        <v>303017</v>
      </c>
      <c r="G332">
        <v>20</v>
      </c>
      <c r="H332">
        <v>8</v>
      </c>
      <c r="I332" s="1">
        <f>fact[[#This Row],[units_sold]]*fact[[#This Row],[price_usd]]</f>
        <v>39095835</v>
      </c>
      <c r="J332">
        <v>417</v>
      </c>
    </row>
    <row r="333" spans="1:10" x14ac:dyDescent="0.35">
      <c r="A333">
        <v>332</v>
      </c>
      <c r="B333" t="s">
        <v>268</v>
      </c>
      <c r="C333" t="s">
        <v>84</v>
      </c>
      <c r="D333" t="s">
        <v>173</v>
      </c>
      <c r="E333" s="1">
        <v>39011</v>
      </c>
      <c r="F333" s="1">
        <v>449346</v>
      </c>
      <c r="G333">
        <v>228</v>
      </c>
      <c r="H333">
        <v>4</v>
      </c>
      <c r="I333" s="1">
        <f>fact[[#This Row],[units_sold]]*fact[[#This Row],[price_usd]]</f>
        <v>37099461</v>
      </c>
      <c r="J333">
        <v>951</v>
      </c>
    </row>
    <row r="334" spans="1:10" x14ac:dyDescent="0.35">
      <c r="A334">
        <v>333</v>
      </c>
      <c r="B334" t="s">
        <v>268</v>
      </c>
      <c r="C334" t="s">
        <v>133</v>
      </c>
      <c r="D334" t="s">
        <v>168</v>
      </c>
      <c r="E334" s="1">
        <v>109852</v>
      </c>
      <c r="F334" s="1">
        <v>375361</v>
      </c>
      <c r="G334">
        <v>258</v>
      </c>
      <c r="H334">
        <v>9</v>
      </c>
      <c r="I334" s="1">
        <f>fact[[#This Row],[units_sold]]*fact[[#This Row],[price_usd]]</f>
        <v>57013188</v>
      </c>
      <c r="J334">
        <v>519</v>
      </c>
    </row>
    <row r="335" spans="1:10" x14ac:dyDescent="0.35">
      <c r="A335">
        <v>334</v>
      </c>
      <c r="B335" t="s">
        <v>268</v>
      </c>
      <c r="C335" t="s">
        <v>138</v>
      </c>
      <c r="D335" t="s">
        <v>172</v>
      </c>
      <c r="E335" s="1">
        <v>67966</v>
      </c>
      <c r="F335" s="1">
        <v>146952</v>
      </c>
      <c r="G335">
        <v>224</v>
      </c>
      <c r="H335">
        <v>7</v>
      </c>
      <c r="I335" s="1">
        <f>fact[[#This Row],[units_sold]]*fact[[#This Row],[price_usd]]</f>
        <v>32623680</v>
      </c>
      <c r="J335">
        <v>480</v>
      </c>
    </row>
    <row r="336" spans="1:10" x14ac:dyDescent="0.35">
      <c r="A336">
        <v>335</v>
      </c>
      <c r="B336" t="s">
        <v>268</v>
      </c>
      <c r="C336" t="s">
        <v>144</v>
      </c>
      <c r="D336" t="s">
        <v>165</v>
      </c>
      <c r="E336" s="1">
        <v>47615</v>
      </c>
      <c r="F336" s="1">
        <v>343459</v>
      </c>
      <c r="G336">
        <v>38</v>
      </c>
      <c r="H336">
        <v>4</v>
      </c>
      <c r="I336" s="1">
        <f>fact[[#This Row],[units_sold]]*fact[[#This Row],[price_usd]]</f>
        <v>10713375</v>
      </c>
      <c r="J336">
        <v>225</v>
      </c>
    </row>
    <row r="337" spans="1:10" x14ac:dyDescent="0.35">
      <c r="A337">
        <v>336</v>
      </c>
      <c r="B337" t="s">
        <v>268</v>
      </c>
      <c r="C337" t="s">
        <v>151</v>
      </c>
      <c r="D337" t="s">
        <v>173</v>
      </c>
      <c r="E337" s="1">
        <v>68139</v>
      </c>
      <c r="F337" s="1">
        <v>322869</v>
      </c>
      <c r="G337">
        <v>33</v>
      </c>
      <c r="H337">
        <v>3</v>
      </c>
      <c r="I337" s="1">
        <f>fact[[#This Row],[units_sold]]*fact[[#This Row],[price_usd]]</f>
        <v>31275801</v>
      </c>
      <c r="J337">
        <v>459</v>
      </c>
    </row>
    <row r="338" spans="1:10" x14ac:dyDescent="0.35">
      <c r="A338">
        <v>337</v>
      </c>
      <c r="B338" t="s">
        <v>268</v>
      </c>
      <c r="C338" t="s">
        <v>158</v>
      </c>
      <c r="D338" t="s">
        <v>171</v>
      </c>
      <c r="E338" s="1">
        <v>84737</v>
      </c>
      <c r="F338" s="1">
        <v>153619</v>
      </c>
      <c r="G338">
        <v>27</v>
      </c>
      <c r="H338">
        <v>5</v>
      </c>
      <c r="I338" s="1">
        <f>fact[[#This Row],[units_sold]]*fact[[#This Row],[price_usd]]</f>
        <v>18981088</v>
      </c>
      <c r="J338">
        <v>224</v>
      </c>
    </row>
    <row r="339" spans="1:10" x14ac:dyDescent="0.35">
      <c r="A339">
        <v>338</v>
      </c>
      <c r="B339" t="s">
        <v>242</v>
      </c>
      <c r="C339" t="s">
        <v>60</v>
      </c>
      <c r="D339" t="s">
        <v>169</v>
      </c>
      <c r="E339" s="1">
        <v>38174</v>
      </c>
      <c r="F339" s="1">
        <v>431186</v>
      </c>
      <c r="G339">
        <v>40</v>
      </c>
      <c r="H339">
        <v>9</v>
      </c>
      <c r="I339" s="1">
        <f>fact[[#This Row],[units_sold]]*fact[[#This Row],[price_usd]]</f>
        <v>16033080</v>
      </c>
      <c r="J339">
        <v>420</v>
      </c>
    </row>
    <row r="340" spans="1:10" x14ac:dyDescent="0.35">
      <c r="A340">
        <v>339</v>
      </c>
      <c r="B340" t="s">
        <v>242</v>
      </c>
      <c r="C340" t="s">
        <v>87</v>
      </c>
      <c r="D340" t="s">
        <v>167</v>
      </c>
      <c r="E340" s="1">
        <v>38225</v>
      </c>
      <c r="F340" s="1">
        <v>498016</v>
      </c>
      <c r="G340">
        <v>326</v>
      </c>
      <c r="H340">
        <v>2</v>
      </c>
      <c r="I340" s="1">
        <f>fact[[#This Row],[units_sold]]*fact[[#This Row],[price_usd]]</f>
        <v>42735550</v>
      </c>
      <c r="J340">
        <v>1118</v>
      </c>
    </row>
    <row r="341" spans="1:10" x14ac:dyDescent="0.35">
      <c r="A341">
        <v>340</v>
      </c>
      <c r="B341" t="s">
        <v>242</v>
      </c>
      <c r="C341" t="s">
        <v>137</v>
      </c>
      <c r="D341" t="s">
        <v>166</v>
      </c>
      <c r="E341" s="1">
        <v>71824</v>
      </c>
      <c r="F341" s="1">
        <v>411390</v>
      </c>
      <c r="G341">
        <v>37</v>
      </c>
      <c r="H341">
        <v>4</v>
      </c>
      <c r="I341" s="1">
        <f>fact[[#This Row],[units_sold]]*fact[[#This Row],[price_usd]]</f>
        <v>13718384</v>
      </c>
      <c r="J341">
        <v>191</v>
      </c>
    </row>
    <row r="342" spans="1:10" x14ac:dyDescent="0.35">
      <c r="A342">
        <v>341</v>
      </c>
      <c r="B342" t="s">
        <v>242</v>
      </c>
      <c r="C342" t="s">
        <v>130</v>
      </c>
      <c r="D342" t="s">
        <v>170</v>
      </c>
      <c r="E342" s="1">
        <v>91398</v>
      </c>
      <c r="F342" s="1">
        <v>93539</v>
      </c>
      <c r="G342">
        <v>130</v>
      </c>
      <c r="H342">
        <v>4</v>
      </c>
      <c r="I342" s="1">
        <f>fact[[#This Row],[units_sold]]*fact[[#This Row],[price_usd]]</f>
        <v>51091482</v>
      </c>
      <c r="J342">
        <v>559</v>
      </c>
    </row>
    <row r="343" spans="1:10" x14ac:dyDescent="0.35">
      <c r="A343">
        <v>342</v>
      </c>
      <c r="B343" t="s">
        <v>266</v>
      </c>
      <c r="C343" t="s">
        <v>59</v>
      </c>
      <c r="D343" t="s">
        <v>32</v>
      </c>
      <c r="E343" s="1">
        <v>92514</v>
      </c>
      <c r="F343" s="1">
        <v>228986</v>
      </c>
      <c r="G343">
        <v>178</v>
      </c>
      <c r="H343">
        <v>2</v>
      </c>
      <c r="I343" s="1">
        <f>fact[[#This Row],[units_sold]]*fact[[#This Row],[price_usd]]</f>
        <v>41353758</v>
      </c>
      <c r="J343">
        <v>447</v>
      </c>
    </row>
    <row r="344" spans="1:10" x14ac:dyDescent="0.35">
      <c r="A344">
        <v>343</v>
      </c>
      <c r="B344" t="s">
        <v>266</v>
      </c>
      <c r="C344" t="s">
        <v>66</v>
      </c>
      <c r="D344" t="s">
        <v>172</v>
      </c>
      <c r="E344" s="1">
        <v>106154</v>
      </c>
      <c r="F344" s="1">
        <v>320561</v>
      </c>
      <c r="G344">
        <v>78</v>
      </c>
      <c r="H344">
        <v>9</v>
      </c>
      <c r="I344" s="1">
        <f>fact[[#This Row],[units_sold]]*fact[[#This Row],[price_usd]]</f>
        <v>32376970</v>
      </c>
      <c r="J344">
        <v>305</v>
      </c>
    </row>
    <row r="345" spans="1:10" x14ac:dyDescent="0.35">
      <c r="A345">
        <v>344</v>
      </c>
      <c r="B345" t="s">
        <v>266</v>
      </c>
      <c r="C345" t="s">
        <v>85</v>
      </c>
      <c r="D345" t="s">
        <v>167</v>
      </c>
      <c r="E345" s="1">
        <v>95973</v>
      </c>
      <c r="F345" s="1">
        <v>395072</v>
      </c>
      <c r="G345">
        <v>71</v>
      </c>
      <c r="H345">
        <v>1</v>
      </c>
      <c r="I345" s="1">
        <f>fact[[#This Row],[units_sold]]*fact[[#This Row],[price_usd]]</f>
        <v>51441528</v>
      </c>
      <c r="J345">
        <v>536</v>
      </c>
    </row>
    <row r="346" spans="1:10" x14ac:dyDescent="0.35">
      <c r="A346">
        <v>345</v>
      </c>
      <c r="B346" t="s">
        <v>266</v>
      </c>
      <c r="C346" t="s">
        <v>95</v>
      </c>
      <c r="D346" t="s">
        <v>167</v>
      </c>
      <c r="E346" s="1">
        <v>92174</v>
      </c>
      <c r="F346" s="1">
        <v>496242</v>
      </c>
      <c r="G346">
        <v>112</v>
      </c>
      <c r="H346">
        <v>4</v>
      </c>
      <c r="I346" s="1">
        <f>fact[[#This Row],[units_sold]]*fact[[#This Row],[price_usd]]</f>
        <v>50050482</v>
      </c>
      <c r="J346">
        <v>543</v>
      </c>
    </row>
    <row r="347" spans="1:10" x14ac:dyDescent="0.35">
      <c r="A347">
        <v>346</v>
      </c>
      <c r="B347" t="s">
        <v>266</v>
      </c>
      <c r="C347" t="s">
        <v>112</v>
      </c>
      <c r="D347" t="s">
        <v>166</v>
      </c>
      <c r="E347" s="1">
        <v>106042</v>
      </c>
      <c r="F347" s="1">
        <v>411185</v>
      </c>
      <c r="G347">
        <v>44</v>
      </c>
      <c r="H347">
        <v>6</v>
      </c>
      <c r="I347" s="1">
        <f>fact[[#This Row],[units_sold]]*fact[[#This Row],[price_usd]]</f>
        <v>16118384</v>
      </c>
      <c r="J347">
        <v>152</v>
      </c>
    </row>
    <row r="348" spans="1:10" x14ac:dyDescent="0.35">
      <c r="A348">
        <v>347</v>
      </c>
      <c r="B348" t="s">
        <v>266</v>
      </c>
      <c r="C348" t="s">
        <v>135</v>
      </c>
      <c r="D348" t="s">
        <v>168</v>
      </c>
      <c r="E348" s="1">
        <v>55039</v>
      </c>
      <c r="F348" s="1">
        <v>143944</v>
      </c>
      <c r="G348">
        <v>175</v>
      </c>
      <c r="H348">
        <v>2</v>
      </c>
      <c r="I348" s="1">
        <f>fact[[#This Row],[units_sold]]*fact[[#This Row],[price_usd]]</f>
        <v>36766052</v>
      </c>
      <c r="J348">
        <v>668</v>
      </c>
    </row>
    <row r="349" spans="1:10" x14ac:dyDescent="0.35">
      <c r="A349">
        <v>348</v>
      </c>
      <c r="B349" t="s">
        <v>266</v>
      </c>
      <c r="C349" t="s">
        <v>131</v>
      </c>
      <c r="D349" t="s">
        <v>172</v>
      </c>
      <c r="E349" s="1">
        <v>115859</v>
      </c>
      <c r="F349" s="1">
        <v>326601</v>
      </c>
      <c r="G349">
        <v>298</v>
      </c>
      <c r="H349">
        <v>8</v>
      </c>
      <c r="I349" s="1">
        <f>fact[[#This Row],[units_sold]]*fact[[#This Row],[price_usd]]</f>
        <v>74149760</v>
      </c>
      <c r="J349">
        <v>640</v>
      </c>
    </row>
    <row r="350" spans="1:10" x14ac:dyDescent="0.35">
      <c r="A350">
        <v>349</v>
      </c>
      <c r="B350" t="s">
        <v>266</v>
      </c>
      <c r="C350" t="s">
        <v>150</v>
      </c>
      <c r="D350" t="s">
        <v>172</v>
      </c>
      <c r="E350" s="1">
        <v>95197</v>
      </c>
      <c r="F350" s="1">
        <v>395665</v>
      </c>
      <c r="G350">
        <v>191</v>
      </c>
      <c r="H350">
        <v>2</v>
      </c>
      <c r="I350" s="1">
        <f>fact[[#This Row],[units_sold]]*fact[[#This Row],[price_usd]]</f>
        <v>76633585</v>
      </c>
      <c r="J350">
        <v>805</v>
      </c>
    </row>
    <row r="351" spans="1:10" x14ac:dyDescent="0.35">
      <c r="A351">
        <v>350</v>
      </c>
      <c r="B351" t="s">
        <v>198</v>
      </c>
      <c r="C351" t="s">
        <v>52</v>
      </c>
      <c r="D351" t="s">
        <v>173</v>
      </c>
      <c r="E351" s="1">
        <v>74779</v>
      </c>
      <c r="F351" s="1">
        <v>321733</v>
      </c>
      <c r="G351">
        <v>347</v>
      </c>
      <c r="H351">
        <v>6</v>
      </c>
      <c r="I351" s="1">
        <f>fact[[#This Row],[units_sold]]*fact[[#This Row],[price_usd]]</f>
        <v>54289554</v>
      </c>
      <c r="J351">
        <v>726</v>
      </c>
    </row>
    <row r="352" spans="1:10" x14ac:dyDescent="0.35">
      <c r="A352">
        <v>351</v>
      </c>
      <c r="B352" t="s">
        <v>198</v>
      </c>
      <c r="C352" t="s">
        <v>61</v>
      </c>
      <c r="D352" t="s">
        <v>171</v>
      </c>
      <c r="E352" s="1">
        <v>55746</v>
      </c>
      <c r="F352" s="1">
        <v>262235</v>
      </c>
      <c r="G352">
        <v>212</v>
      </c>
      <c r="H352">
        <v>7</v>
      </c>
      <c r="I352" s="1">
        <f>fact[[#This Row],[units_sold]]*fact[[#This Row],[price_usd]]</f>
        <v>37851534</v>
      </c>
      <c r="J352">
        <v>679</v>
      </c>
    </row>
    <row r="353" spans="1:10" x14ac:dyDescent="0.35">
      <c r="A353">
        <v>352</v>
      </c>
      <c r="B353" t="s">
        <v>198</v>
      </c>
      <c r="C353" t="s">
        <v>58</v>
      </c>
      <c r="D353" t="s">
        <v>165</v>
      </c>
      <c r="E353" s="1">
        <v>85492</v>
      </c>
      <c r="F353" s="1">
        <v>391701</v>
      </c>
      <c r="G353">
        <v>38</v>
      </c>
      <c r="H353">
        <v>10</v>
      </c>
      <c r="I353" s="1">
        <f>fact[[#This Row],[units_sold]]*fact[[#This Row],[price_usd]]</f>
        <v>30264168</v>
      </c>
      <c r="J353">
        <v>354</v>
      </c>
    </row>
    <row r="354" spans="1:10" x14ac:dyDescent="0.35">
      <c r="A354">
        <v>353</v>
      </c>
      <c r="B354" t="s">
        <v>198</v>
      </c>
      <c r="C354" t="s">
        <v>77</v>
      </c>
      <c r="D354" t="s">
        <v>167</v>
      </c>
      <c r="E354" s="1">
        <v>87248</v>
      </c>
      <c r="F354" s="1">
        <v>183851</v>
      </c>
      <c r="G354">
        <v>33</v>
      </c>
      <c r="H354">
        <v>1</v>
      </c>
      <c r="I354" s="1">
        <f>fact[[#This Row],[units_sold]]*fact[[#This Row],[price_usd]]</f>
        <v>41617296</v>
      </c>
      <c r="J354">
        <v>477</v>
      </c>
    </row>
    <row r="355" spans="1:10" x14ac:dyDescent="0.35">
      <c r="A355">
        <v>354</v>
      </c>
      <c r="B355" t="s">
        <v>198</v>
      </c>
      <c r="C355" t="s">
        <v>88</v>
      </c>
      <c r="D355" t="s">
        <v>167</v>
      </c>
      <c r="E355" s="1">
        <v>98014</v>
      </c>
      <c r="F355" s="1">
        <v>65116</v>
      </c>
      <c r="G355">
        <v>47</v>
      </c>
      <c r="H355">
        <v>2</v>
      </c>
      <c r="I355" s="1">
        <f>fact[[#This Row],[units_sold]]*fact[[#This Row],[price_usd]]</f>
        <v>38911558</v>
      </c>
      <c r="J355">
        <v>397</v>
      </c>
    </row>
    <row r="356" spans="1:10" x14ac:dyDescent="0.35">
      <c r="A356">
        <v>355</v>
      </c>
      <c r="B356" t="s">
        <v>198</v>
      </c>
      <c r="C356" t="s">
        <v>84</v>
      </c>
      <c r="D356" t="s">
        <v>172</v>
      </c>
      <c r="E356" s="1">
        <v>40269</v>
      </c>
      <c r="F356" s="1">
        <v>348162</v>
      </c>
      <c r="G356">
        <v>20</v>
      </c>
      <c r="H356">
        <v>10</v>
      </c>
      <c r="I356" s="1">
        <f>fact[[#This Row],[units_sold]]*fact[[#This Row],[price_usd]]</f>
        <v>19168044</v>
      </c>
      <c r="J356">
        <v>476</v>
      </c>
    </row>
    <row r="357" spans="1:10" x14ac:dyDescent="0.35">
      <c r="A357">
        <v>356</v>
      </c>
      <c r="B357" t="s">
        <v>198</v>
      </c>
      <c r="C357" t="s">
        <v>100</v>
      </c>
      <c r="D357" t="s">
        <v>168</v>
      </c>
      <c r="E357" s="1">
        <v>42987</v>
      </c>
      <c r="F357" s="1">
        <v>149477</v>
      </c>
      <c r="G357">
        <v>109</v>
      </c>
      <c r="H357">
        <v>4</v>
      </c>
      <c r="I357" s="1">
        <f>fact[[#This Row],[units_sold]]*fact[[#This Row],[price_usd]]</f>
        <v>12724152</v>
      </c>
      <c r="J357">
        <v>296</v>
      </c>
    </row>
    <row r="358" spans="1:10" x14ac:dyDescent="0.35">
      <c r="A358">
        <v>357</v>
      </c>
      <c r="B358" t="s">
        <v>198</v>
      </c>
      <c r="C358" t="s">
        <v>139</v>
      </c>
      <c r="D358" t="s">
        <v>173</v>
      </c>
      <c r="E358" s="1">
        <v>78129</v>
      </c>
      <c r="F358" s="1">
        <v>390497</v>
      </c>
      <c r="G358">
        <v>227</v>
      </c>
      <c r="H358">
        <v>10</v>
      </c>
      <c r="I358" s="1">
        <f>fact[[#This Row],[units_sold]]*fact[[#This Row],[price_usd]]</f>
        <v>42033402</v>
      </c>
      <c r="J358">
        <v>538</v>
      </c>
    </row>
    <row r="359" spans="1:10" x14ac:dyDescent="0.35">
      <c r="A359">
        <v>358</v>
      </c>
      <c r="B359" t="s">
        <v>198</v>
      </c>
      <c r="C359" t="s">
        <v>139</v>
      </c>
      <c r="D359" t="s">
        <v>172</v>
      </c>
      <c r="E359" s="1">
        <v>49130</v>
      </c>
      <c r="F359" s="1">
        <v>335291</v>
      </c>
      <c r="G359">
        <v>200</v>
      </c>
      <c r="H359">
        <v>9</v>
      </c>
      <c r="I359" s="1">
        <f>fact[[#This Row],[units_sold]]*fact[[#This Row],[price_usd]]</f>
        <v>26186290</v>
      </c>
      <c r="J359">
        <v>533</v>
      </c>
    </row>
    <row r="360" spans="1:10" x14ac:dyDescent="0.35">
      <c r="A360">
        <v>359</v>
      </c>
      <c r="B360" t="s">
        <v>198</v>
      </c>
      <c r="C360" t="s">
        <v>151</v>
      </c>
      <c r="D360" t="s">
        <v>168</v>
      </c>
      <c r="E360" s="1">
        <v>36577</v>
      </c>
      <c r="F360" s="1">
        <v>316294</v>
      </c>
      <c r="G360">
        <v>81</v>
      </c>
      <c r="H360">
        <v>3</v>
      </c>
      <c r="I360" s="1">
        <f>fact[[#This Row],[units_sold]]*fact[[#This Row],[price_usd]]</f>
        <v>22897202</v>
      </c>
      <c r="J360">
        <v>626</v>
      </c>
    </row>
    <row r="361" spans="1:10" x14ac:dyDescent="0.35">
      <c r="A361">
        <v>360</v>
      </c>
      <c r="B361" t="s">
        <v>198</v>
      </c>
      <c r="C361" t="s">
        <v>143</v>
      </c>
      <c r="D361" t="s">
        <v>173</v>
      </c>
      <c r="E361" s="1">
        <v>68686</v>
      </c>
      <c r="F361" s="1">
        <v>246243</v>
      </c>
      <c r="G361">
        <v>316</v>
      </c>
      <c r="H361">
        <v>4</v>
      </c>
      <c r="I361" s="1">
        <f>fact[[#This Row],[units_sold]]*fact[[#This Row],[price_usd]]</f>
        <v>57284124</v>
      </c>
      <c r="J361">
        <v>834</v>
      </c>
    </row>
    <row r="362" spans="1:10" x14ac:dyDescent="0.35">
      <c r="A362">
        <v>361</v>
      </c>
      <c r="B362" t="s">
        <v>198</v>
      </c>
      <c r="C362" t="s">
        <v>156</v>
      </c>
      <c r="D362" t="s">
        <v>165</v>
      </c>
      <c r="E362" s="1">
        <v>94470</v>
      </c>
      <c r="F362" s="1">
        <v>153475</v>
      </c>
      <c r="G362">
        <v>268</v>
      </c>
      <c r="H362">
        <v>9</v>
      </c>
      <c r="I362" s="1">
        <f>fact[[#This Row],[units_sold]]*fact[[#This Row],[price_usd]]</f>
        <v>69246510</v>
      </c>
      <c r="J362">
        <v>733</v>
      </c>
    </row>
    <row r="363" spans="1:10" x14ac:dyDescent="0.35">
      <c r="A363">
        <v>362</v>
      </c>
      <c r="B363" t="s">
        <v>203</v>
      </c>
      <c r="C363" t="s">
        <v>53</v>
      </c>
      <c r="D363" t="s">
        <v>173</v>
      </c>
      <c r="E363" s="1">
        <v>55085</v>
      </c>
      <c r="F363" s="1">
        <v>469972</v>
      </c>
      <c r="G363">
        <v>380</v>
      </c>
      <c r="H363">
        <v>1</v>
      </c>
      <c r="I363" s="1">
        <f>fact[[#This Row],[units_sold]]*fact[[#This Row],[price_usd]]</f>
        <v>48474800</v>
      </c>
      <c r="J363">
        <v>880</v>
      </c>
    </row>
    <row r="364" spans="1:10" x14ac:dyDescent="0.35">
      <c r="A364">
        <v>363</v>
      </c>
      <c r="B364" t="s">
        <v>203</v>
      </c>
      <c r="C364" t="s">
        <v>87</v>
      </c>
      <c r="D364" t="s">
        <v>167</v>
      </c>
      <c r="E364" s="1">
        <v>39758</v>
      </c>
      <c r="F364" s="1">
        <v>439187</v>
      </c>
      <c r="G364">
        <v>344</v>
      </c>
      <c r="H364">
        <v>10</v>
      </c>
      <c r="I364" s="1">
        <f>fact[[#This Row],[units_sold]]*fact[[#This Row],[price_usd]]</f>
        <v>37133972</v>
      </c>
      <c r="J364">
        <v>934</v>
      </c>
    </row>
    <row r="365" spans="1:10" x14ac:dyDescent="0.35">
      <c r="A365">
        <v>364</v>
      </c>
      <c r="B365" t="s">
        <v>203</v>
      </c>
      <c r="C365" t="s">
        <v>83</v>
      </c>
      <c r="D365" t="s">
        <v>171</v>
      </c>
      <c r="E365" s="1">
        <v>35786</v>
      </c>
      <c r="F365" s="1">
        <v>266398</v>
      </c>
      <c r="G365">
        <v>246</v>
      </c>
      <c r="H365">
        <v>9</v>
      </c>
      <c r="I365" s="1">
        <f>fact[[#This Row],[units_sold]]*fact[[#This Row],[price_usd]]</f>
        <v>20576950</v>
      </c>
      <c r="J365">
        <v>575</v>
      </c>
    </row>
    <row r="366" spans="1:10" x14ac:dyDescent="0.35">
      <c r="A366">
        <v>365</v>
      </c>
      <c r="B366" t="s">
        <v>203</v>
      </c>
      <c r="C366" t="s">
        <v>104</v>
      </c>
      <c r="D366" t="s">
        <v>171</v>
      </c>
      <c r="E366" s="1">
        <v>36462</v>
      </c>
      <c r="F366" s="1">
        <v>69122</v>
      </c>
      <c r="G366">
        <v>60</v>
      </c>
      <c r="H366">
        <v>8</v>
      </c>
      <c r="I366" s="1">
        <f>fact[[#This Row],[units_sold]]*fact[[#This Row],[price_usd]]</f>
        <v>6636084</v>
      </c>
      <c r="J366">
        <v>182</v>
      </c>
    </row>
    <row r="367" spans="1:10" x14ac:dyDescent="0.35">
      <c r="A367">
        <v>366</v>
      </c>
      <c r="B367" t="s">
        <v>203</v>
      </c>
      <c r="C367" t="s">
        <v>116</v>
      </c>
      <c r="D367" t="s">
        <v>173</v>
      </c>
      <c r="E367" s="1">
        <v>98965</v>
      </c>
      <c r="F367" s="1">
        <v>417371</v>
      </c>
      <c r="G367">
        <v>226</v>
      </c>
      <c r="H367">
        <v>2</v>
      </c>
      <c r="I367" s="1">
        <f>fact[[#This Row],[units_sold]]*fact[[#This Row],[price_usd]]</f>
        <v>54529715</v>
      </c>
      <c r="J367">
        <v>551</v>
      </c>
    </row>
    <row r="368" spans="1:10" x14ac:dyDescent="0.35">
      <c r="A368">
        <v>367</v>
      </c>
      <c r="B368" t="s">
        <v>203</v>
      </c>
      <c r="C368" t="s">
        <v>132</v>
      </c>
      <c r="D368" t="s">
        <v>173</v>
      </c>
      <c r="E368" s="1">
        <v>43947</v>
      </c>
      <c r="F368" s="1">
        <v>474041</v>
      </c>
      <c r="G368">
        <v>208</v>
      </c>
      <c r="H368">
        <v>3</v>
      </c>
      <c r="I368" s="1">
        <f>fact[[#This Row],[units_sold]]*fact[[#This Row],[price_usd]]</f>
        <v>36783639</v>
      </c>
      <c r="J368">
        <v>837</v>
      </c>
    </row>
    <row r="369" spans="1:10" x14ac:dyDescent="0.35">
      <c r="A369">
        <v>368</v>
      </c>
      <c r="B369" t="s">
        <v>281</v>
      </c>
      <c r="C369" t="s">
        <v>49</v>
      </c>
      <c r="D369" t="s">
        <v>168</v>
      </c>
      <c r="E369" s="1">
        <v>74516</v>
      </c>
      <c r="F369" s="1">
        <v>477991</v>
      </c>
      <c r="G369">
        <v>11</v>
      </c>
      <c r="H369">
        <v>8</v>
      </c>
      <c r="I369" s="1">
        <f>fact[[#This Row],[units_sold]]*fact[[#This Row],[price_usd]]</f>
        <v>10581272</v>
      </c>
      <c r="J369">
        <v>142</v>
      </c>
    </row>
    <row r="370" spans="1:10" x14ac:dyDescent="0.35">
      <c r="A370">
        <v>369</v>
      </c>
      <c r="B370" t="s">
        <v>281</v>
      </c>
      <c r="C370" t="s">
        <v>51</v>
      </c>
      <c r="D370" t="s">
        <v>168</v>
      </c>
      <c r="E370" s="1">
        <v>87349</v>
      </c>
      <c r="F370" s="1">
        <v>175851</v>
      </c>
      <c r="G370">
        <v>279</v>
      </c>
      <c r="H370">
        <v>5</v>
      </c>
      <c r="I370" s="1">
        <f>fact[[#This Row],[units_sold]]*fact[[#This Row],[price_usd]]</f>
        <v>61231649</v>
      </c>
      <c r="J370">
        <v>701</v>
      </c>
    </row>
    <row r="371" spans="1:10" x14ac:dyDescent="0.35">
      <c r="A371">
        <v>370</v>
      </c>
      <c r="B371" t="s">
        <v>281</v>
      </c>
      <c r="C371" t="s">
        <v>52</v>
      </c>
      <c r="D371" t="s">
        <v>167</v>
      </c>
      <c r="E371" s="1">
        <v>81854</v>
      </c>
      <c r="F371" s="1">
        <v>372534</v>
      </c>
      <c r="G371">
        <v>353</v>
      </c>
      <c r="H371">
        <v>6</v>
      </c>
      <c r="I371" s="1">
        <f>fact[[#This Row],[units_sold]]*fact[[#This Row],[price_usd]]</f>
        <v>72604498</v>
      </c>
      <c r="J371">
        <v>887</v>
      </c>
    </row>
    <row r="372" spans="1:10" x14ac:dyDescent="0.35">
      <c r="A372">
        <v>371</v>
      </c>
      <c r="B372" t="s">
        <v>281</v>
      </c>
      <c r="C372" t="s">
        <v>56</v>
      </c>
      <c r="D372" t="s">
        <v>173</v>
      </c>
      <c r="E372" s="1">
        <v>80264</v>
      </c>
      <c r="F372" s="1">
        <v>198790</v>
      </c>
      <c r="G372">
        <v>361</v>
      </c>
      <c r="H372">
        <v>6</v>
      </c>
      <c r="I372" s="1">
        <f>fact[[#This Row],[units_sold]]*fact[[#This Row],[price_usd]]</f>
        <v>75127104</v>
      </c>
      <c r="J372">
        <v>936</v>
      </c>
    </row>
    <row r="373" spans="1:10" x14ac:dyDescent="0.35">
      <c r="A373">
        <v>372</v>
      </c>
      <c r="B373" t="s">
        <v>281</v>
      </c>
      <c r="C373" t="s">
        <v>66</v>
      </c>
      <c r="D373" t="s">
        <v>172</v>
      </c>
      <c r="E373" s="1">
        <v>68896</v>
      </c>
      <c r="F373" s="1">
        <v>464336</v>
      </c>
      <c r="G373">
        <v>189</v>
      </c>
      <c r="H373">
        <v>7</v>
      </c>
      <c r="I373" s="1">
        <f>fact[[#This Row],[units_sold]]*fact[[#This Row],[price_usd]]</f>
        <v>48778368</v>
      </c>
      <c r="J373">
        <v>708</v>
      </c>
    </row>
    <row r="374" spans="1:10" x14ac:dyDescent="0.35">
      <c r="A374">
        <v>373</v>
      </c>
      <c r="B374" t="s">
        <v>281</v>
      </c>
      <c r="C374" t="s">
        <v>70</v>
      </c>
      <c r="D374" t="s">
        <v>168</v>
      </c>
      <c r="E374" s="1">
        <v>79237</v>
      </c>
      <c r="F374" s="1">
        <v>443922</v>
      </c>
      <c r="G374">
        <v>178</v>
      </c>
      <c r="H374">
        <v>7</v>
      </c>
      <c r="I374" s="1">
        <f>fact[[#This Row],[units_sold]]*fact[[#This Row],[price_usd]]</f>
        <v>63944259</v>
      </c>
      <c r="J374">
        <v>807</v>
      </c>
    </row>
    <row r="375" spans="1:10" x14ac:dyDescent="0.35">
      <c r="A375">
        <v>374</v>
      </c>
      <c r="B375" t="s">
        <v>281</v>
      </c>
      <c r="C375" t="s">
        <v>75</v>
      </c>
      <c r="D375" t="s">
        <v>166</v>
      </c>
      <c r="E375" s="1">
        <v>73762</v>
      </c>
      <c r="F375" s="1">
        <v>243587</v>
      </c>
      <c r="G375">
        <v>165</v>
      </c>
      <c r="H375">
        <v>9</v>
      </c>
      <c r="I375" s="1">
        <f>fact[[#This Row],[units_sold]]*fact[[#This Row],[price_usd]]</f>
        <v>24488984</v>
      </c>
      <c r="J375">
        <v>332</v>
      </c>
    </row>
    <row r="376" spans="1:10" x14ac:dyDescent="0.35">
      <c r="A376">
        <v>375</v>
      </c>
      <c r="B376" t="s">
        <v>281</v>
      </c>
      <c r="C376" t="s">
        <v>84</v>
      </c>
      <c r="D376" t="s">
        <v>173</v>
      </c>
      <c r="E376" s="1">
        <v>82291</v>
      </c>
      <c r="F376" s="1">
        <v>447798</v>
      </c>
      <c r="G376">
        <v>234</v>
      </c>
      <c r="H376">
        <v>7</v>
      </c>
      <c r="I376" s="1">
        <f>fact[[#This Row],[units_sold]]*fact[[#This Row],[price_usd]]</f>
        <v>45753796</v>
      </c>
      <c r="J376">
        <v>556</v>
      </c>
    </row>
    <row r="377" spans="1:10" x14ac:dyDescent="0.35">
      <c r="A377">
        <v>376</v>
      </c>
      <c r="B377" t="s">
        <v>281</v>
      </c>
      <c r="C377" t="s">
        <v>86</v>
      </c>
      <c r="D377" t="s">
        <v>172</v>
      </c>
      <c r="E377" s="1">
        <v>44290</v>
      </c>
      <c r="F377" s="1">
        <v>301071</v>
      </c>
      <c r="G377">
        <v>300</v>
      </c>
      <c r="H377">
        <v>9</v>
      </c>
      <c r="I377" s="1">
        <f>fact[[#This Row],[units_sold]]*fact[[#This Row],[price_usd]]</f>
        <v>42119790</v>
      </c>
      <c r="J377">
        <v>951</v>
      </c>
    </row>
    <row r="378" spans="1:10" x14ac:dyDescent="0.35">
      <c r="A378">
        <v>377</v>
      </c>
      <c r="B378" t="s">
        <v>281</v>
      </c>
      <c r="C378" t="s">
        <v>92</v>
      </c>
      <c r="D378" t="s">
        <v>168</v>
      </c>
      <c r="E378" s="1">
        <v>57504</v>
      </c>
      <c r="F378" s="1">
        <v>304043</v>
      </c>
      <c r="G378">
        <v>21</v>
      </c>
      <c r="H378">
        <v>3</v>
      </c>
      <c r="I378" s="1">
        <f>fact[[#This Row],[units_sold]]*fact[[#This Row],[price_usd]]</f>
        <v>22254048</v>
      </c>
      <c r="J378">
        <v>387</v>
      </c>
    </row>
    <row r="379" spans="1:10" x14ac:dyDescent="0.35">
      <c r="A379">
        <v>378</v>
      </c>
      <c r="B379" t="s">
        <v>281</v>
      </c>
      <c r="C379" t="s">
        <v>118</v>
      </c>
      <c r="D379" t="s">
        <v>165</v>
      </c>
      <c r="E379" s="1">
        <v>98382</v>
      </c>
      <c r="F379" s="1">
        <v>283378</v>
      </c>
      <c r="G379">
        <v>56</v>
      </c>
      <c r="H379">
        <v>4</v>
      </c>
      <c r="I379" s="1">
        <f>fact[[#This Row],[units_sold]]*fact[[#This Row],[price_usd]]</f>
        <v>39352800</v>
      </c>
      <c r="J379">
        <v>400</v>
      </c>
    </row>
    <row r="380" spans="1:10" x14ac:dyDescent="0.35">
      <c r="A380">
        <v>379</v>
      </c>
      <c r="B380" t="s">
        <v>281</v>
      </c>
      <c r="C380" t="s">
        <v>153</v>
      </c>
      <c r="D380" t="s">
        <v>170</v>
      </c>
      <c r="E380" s="1">
        <v>51122</v>
      </c>
      <c r="F380" s="1">
        <v>320665</v>
      </c>
      <c r="G380">
        <v>67</v>
      </c>
      <c r="H380">
        <v>1</v>
      </c>
      <c r="I380" s="1">
        <f>fact[[#This Row],[units_sold]]*fact[[#This Row],[price_usd]]</f>
        <v>27094660</v>
      </c>
      <c r="J380">
        <v>530</v>
      </c>
    </row>
    <row r="381" spans="1:10" x14ac:dyDescent="0.35">
      <c r="A381">
        <v>380</v>
      </c>
      <c r="B381" t="s">
        <v>281</v>
      </c>
      <c r="C381" t="s">
        <v>155</v>
      </c>
      <c r="D381" t="s">
        <v>32</v>
      </c>
      <c r="E381" s="1">
        <v>108779</v>
      </c>
      <c r="F381" s="1">
        <v>188266</v>
      </c>
      <c r="G381">
        <v>194</v>
      </c>
      <c r="H381">
        <v>2</v>
      </c>
      <c r="I381" s="1">
        <f>fact[[#This Row],[units_sold]]*fact[[#This Row],[price_usd]]</f>
        <v>89960233</v>
      </c>
      <c r="J381">
        <v>827</v>
      </c>
    </row>
    <row r="382" spans="1:10" x14ac:dyDescent="0.35">
      <c r="A382">
        <v>381</v>
      </c>
      <c r="B382" t="s">
        <v>223</v>
      </c>
      <c r="C382" t="s">
        <v>53</v>
      </c>
      <c r="D382" t="s">
        <v>169</v>
      </c>
      <c r="E382" s="1">
        <v>64793</v>
      </c>
      <c r="F382" s="1">
        <v>289654</v>
      </c>
      <c r="G382">
        <v>96</v>
      </c>
      <c r="H382">
        <v>9</v>
      </c>
      <c r="I382" s="1">
        <f>fact[[#This Row],[units_sold]]*fact[[#This Row],[price_usd]]</f>
        <v>32396500</v>
      </c>
      <c r="J382">
        <v>500</v>
      </c>
    </row>
    <row r="383" spans="1:10" x14ac:dyDescent="0.35">
      <c r="A383">
        <v>382</v>
      </c>
      <c r="B383" t="s">
        <v>223</v>
      </c>
      <c r="C383" t="s">
        <v>47</v>
      </c>
      <c r="D383" t="s">
        <v>172</v>
      </c>
      <c r="E383" s="1">
        <v>105832</v>
      </c>
      <c r="F383" s="1">
        <v>79087</v>
      </c>
      <c r="G383">
        <v>256</v>
      </c>
      <c r="H383">
        <v>8</v>
      </c>
      <c r="I383" s="1">
        <f>fact[[#This Row],[units_sold]]*fact[[#This Row],[price_usd]]</f>
        <v>69531624</v>
      </c>
      <c r="J383">
        <v>657</v>
      </c>
    </row>
    <row r="384" spans="1:10" x14ac:dyDescent="0.35">
      <c r="A384">
        <v>383</v>
      </c>
      <c r="B384" t="s">
        <v>223</v>
      </c>
      <c r="C384" t="s">
        <v>96</v>
      </c>
      <c r="D384" t="s">
        <v>32</v>
      </c>
      <c r="E384" s="1">
        <v>94199</v>
      </c>
      <c r="F384" s="1">
        <v>196895</v>
      </c>
      <c r="G384">
        <v>92</v>
      </c>
      <c r="H384">
        <v>10</v>
      </c>
      <c r="I384" s="1">
        <f>fact[[#This Row],[units_sold]]*fact[[#This Row],[price_usd]]</f>
        <v>48229888</v>
      </c>
      <c r="J384">
        <v>512</v>
      </c>
    </row>
    <row r="385" spans="1:10" x14ac:dyDescent="0.35">
      <c r="A385">
        <v>384</v>
      </c>
      <c r="B385" t="s">
        <v>223</v>
      </c>
      <c r="C385" t="s">
        <v>123</v>
      </c>
      <c r="D385" t="s">
        <v>167</v>
      </c>
      <c r="E385" s="1">
        <v>48854</v>
      </c>
      <c r="F385" s="1">
        <v>392424</v>
      </c>
      <c r="G385">
        <v>334</v>
      </c>
      <c r="H385">
        <v>10</v>
      </c>
      <c r="I385" s="1">
        <f>fact[[#This Row],[units_sold]]*fact[[#This Row],[price_usd]]</f>
        <v>47192964</v>
      </c>
      <c r="J385">
        <v>966</v>
      </c>
    </row>
    <row r="386" spans="1:10" x14ac:dyDescent="0.35">
      <c r="A386">
        <v>385</v>
      </c>
      <c r="B386" t="s">
        <v>223</v>
      </c>
      <c r="C386" t="s">
        <v>136</v>
      </c>
      <c r="D386" t="s">
        <v>169</v>
      </c>
      <c r="E386" s="1">
        <v>40622</v>
      </c>
      <c r="F386" s="1">
        <v>349189</v>
      </c>
      <c r="G386">
        <v>295</v>
      </c>
      <c r="H386">
        <v>4</v>
      </c>
      <c r="I386" s="1">
        <f>fact[[#This Row],[units_sold]]*fact[[#This Row],[price_usd]]</f>
        <v>26973008</v>
      </c>
      <c r="J386">
        <v>664</v>
      </c>
    </row>
    <row r="387" spans="1:10" x14ac:dyDescent="0.35">
      <c r="A387">
        <v>386</v>
      </c>
      <c r="B387" t="s">
        <v>223</v>
      </c>
      <c r="C387" t="s">
        <v>161</v>
      </c>
      <c r="D387" t="s">
        <v>173</v>
      </c>
      <c r="E387" s="1">
        <v>77137</v>
      </c>
      <c r="F387" s="1">
        <v>484044</v>
      </c>
      <c r="G387">
        <v>52</v>
      </c>
      <c r="H387">
        <v>8</v>
      </c>
      <c r="I387" s="1">
        <f>fact[[#This Row],[units_sold]]*fact[[#This Row],[price_usd]]</f>
        <v>18744291</v>
      </c>
      <c r="J387">
        <v>243</v>
      </c>
    </row>
    <row r="388" spans="1:10" x14ac:dyDescent="0.35">
      <c r="A388">
        <v>387</v>
      </c>
      <c r="B388" t="s">
        <v>226</v>
      </c>
      <c r="C388" t="s">
        <v>64</v>
      </c>
      <c r="D388" t="s">
        <v>172</v>
      </c>
      <c r="E388" s="1">
        <v>70081</v>
      </c>
      <c r="F388" s="1">
        <v>164881</v>
      </c>
      <c r="G388">
        <v>141</v>
      </c>
      <c r="H388">
        <v>9</v>
      </c>
      <c r="I388" s="1">
        <f>fact[[#This Row],[units_sold]]*fact[[#This Row],[price_usd]]</f>
        <v>37072849</v>
      </c>
      <c r="J388">
        <v>529</v>
      </c>
    </row>
    <row r="389" spans="1:10" x14ac:dyDescent="0.35">
      <c r="A389">
        <v>388</v>
      </c>
      <c r="B389" t="s">
        <v>226</v>
      </c>
      <c r="C389" t="s">
        <v>97</v>
      </c>
      <c r="D389" t="s">
        <v>167</v>
      </c>
      <c r="E389" s="1">
        <v>70929</v>
      </c>
      <c r="F389" s="1">
        <v>401224</v>
      </c>
      <c r="G389">
        <v>294</v>
      </c>
      <c r="H389">
        <v>7</v>
      </c>
      <c r="I389" s="1">
        <f>fact[[#This Row],[units_sold]]*fact[[#This Row],[price_usd]]</f>
        <v>61637301</v>
      </c>
      <c r="J389">
        <v>869</v>
      </c>
    </row>
    <row r="390" spans="1:10" x14ac:dyDescent="0.35">
      <c r="A390">
        <v>389</v>
      </c>
      <c r="B390" t="s">
        <v>226</v>
      </c>
      <c r="C390" t="s">
        <v>110</v>
      </c>
      <c r="D390" t="s">
        <v>170</v>
      </c>
      <c r="E390" s="1">
        <v>50240</v>
      </c>
      <c r="F390" s="1">
        <v>80270</v>
      </c>
      <c r="G390">
        <v>239</v>
      </c>
      <c r="H390">
        <v>5</v>
      </c>
      <c r="I390" s="1">
        <f>fact[[#This Row],[units_sold]]*fact[[#This Row],[price_usd]]</f>
        <v>35318720</v>
      </c>
      <c r="J390">
        <v>703</v>
      </c>
    </row>
    <row r="391" spans="1:10" x14ac:dyDescent="0.35">
      <c r="A391">
        <v>390</v>
      </c>
      <c r="B391" t="s">
        <v>226</v>
      </c>
      <c r="C391" t="s">
        <v>158</v>
      </c>
      <c r="D391" t="s">
        <v>170</v>
      </c>
      <c r="E391" s="1">
        <v>98851</v>
      </c>
      <c r="F391" s="1">
        <v>375897</v>
      </c>
      <c r="G391">
        <v>15</v>
      </c>
      <c r="H391">
        <v>10</v>
      </c>
      <c r="I391" s="1">
        <f>fact[[#This Row],[units_sold]]*fact[[#This Row],[price_usd]]</f>
        <v>17101223</v>
      </c>
      <c r="J391">
        <v>173</v>
      </c>
    </row>
    <row r="392" spans="1:10" x14ac:dyDescent="0.35">
      <c r="A392">
        <v>391</v>
      </c>
      <c r="B392" t="s">
        <v>283</v>
      </c>
      <c r="C392" t="s">
        <v>52</v>
      </c>
      <c r="D392" t="s">
        <v>166</v>
      </c>
      <c r="E392" s="1">
        <v>79116</v>
      </c>
      <c r="F392" s="1">
        <v>181827</v>
      </c>
      <c r="G392">
        <v>221</v>
      </c>
      <c r="H392">
        <v>10</v>
      </c>
      <c r="I392" s="1">
        <f>fact[[#This Row],[units_sold]]*fact[[#This Row],[price_usd]]</f>
        <v>61789596</v>
      </c>
      <c r="J392">
        <v>781</v>
      </c>
    </row>
    <row r="393" spans="1:10" x14ac:dyDescent="0.35">
      <c r="A393">
        <v>392</v>
      </c>
      <c r="B393" t="s">
        <v>283</v>
      </c>
      <c r="C393" t="s">
        <v>105</v>
      </c>
      <c r="D393" t="s">
        <v>165</v>
      </c>
      <c r="E393" s="1">
        <v>85383</v>
      </c>
      <c r="F393" s="1">
        <v>327721</v>
      </c>
      <c r="G393">
        <v>126</v>
      </c>
      <c r="H393">
        <v>2</v>
      </c>
      <c r="I393" s="1">
        <f>fact[[#This Row],[units_sold]]*fact[[#This Row],[price_usd]]</f>
        <v>54132822</v>
      </c>
      <c r="J393">
        <v>634</v>
      </c>
    </row>
    <row r="394" spans="1:10" x14ac:dyDescent="0.35">
      <c r="A394">
        <v>393</v>
      </c>
      <c r="B394" t="s">
        <v>283</v>
      </c>
      <c r="C394" t="s">
        <v>126</v>
      </c>
      <c r="D394" t="s">
        <v>173</v>
      </c>
      <c r="E394" s="1">
        <v>50696</v>
      </c>
      <c r="F394" s="1">
        <v>305095</v>
      </c>
      <c r="G394">
        <v>340</v>
      </c>
      <c r="H394">
        <v>7</v>
      </c>
      <c r="I394" s="1">
        <f>fact[[#This Row],[units_sold]]*fact[[#This Row],[price_usd]]</f>
        <v>45525008</v>
      </c>
      <c r="J394">
        <v>898</v>
      </c>
    </row>
    <row r="395" spans="1:10" x14ac:dyDescent="0.35">
      <c r="A395">
        <v>394</v>
      </c>
      <c r="B395" t="s">
        <v>283</v>
      </c>
      <c r="C395" t="s">
        <v>129</v>
      </c>
      <c r="D395" t="s">
        <v>167</v>
      </c>
      <c r="E395" s="1">
        <v>75644</v>
      </c>
      <c r="F395" s="1">
        <v>446875</v>
      </c>
      <c r="G395">
        <v>393</v>
      </c>
      <c r="H395">
        <v>6</v>
      </c>
      <c r="I395" s="1">
        <f>fact[[#This Row],[units_sold]]*fact[[#This Row],[price_usd]]</f>
        <v>67096228</v>
      </c>
      <c r="J395">
        <v>887</v>
      </c>
    </row>
    <row r="396" spans="1:10" x14ac:dyDescent="0.35">
      <c r="A396">
        <v>395</v>
      </c>
      <c r="B396" t="s">
        <v>283</v>
      </c>
      <c r="C396" t="s">
        <v>142</v>
      </c>
      <c r="D396" t="s">
        <v>171</v>
      </c>
      <c r="E396" s="1">
        <v>56199</v>
      </c>
      <c r="F396" s="1">
        <v>429553</v>
      </c>
      <c r="G396">
        <v>173</v>
      </c>
      <c r="H396">
        <v>3</v>
      </c>
      <c r="I396" s="1">
        <f>fact[[#This Row],[units_sold]]*fact[[#This Row],[price_usd]]</f>
        <v>30010266</v>
      </c>
      <c r="J396">
        <v>534</v>
      </c>
    </row>
    <row r="397" spans="1:10" x14ac:dyDescent="0.35">
      <c r="A397">
        <v>396</v>
      </c>
      <c r="B397" t="s">
        <v>271</v>
      </c>
      <c r="C397" t="s">
        <v>90</v>
      </c>
      <c r="D397" t="s">
        <v>172</v>
      </c>
      <c r="E397" s="1">
        <v>86448</v>
      </c>
      <c r="F397" s="1">
        <v>154824</v>
      </c>
      <c r="G397">
        <v>123</v>
      </c>
      <c r="H397">
        <v>7</v>
      </c>
      <c r="I397" s="1">
        <f>fact[[#This Row],[units_sold]]*fact[[#This Row],[price_usd]]</f>
        <v>50226288</v>
      </c>
      <c r="J397">
        <v>581</v>
      </c>
    </row>
    <row r="398" spans="1:10" x14ac:dyDescent="0.35">
      <c r="A398">
        <v>397</v>
      </c>
      <c r="B398" t="s">
        <v>271</v>
      </c>
      <c r="C398" t="s">
        <v>88</v>
      </c>
      <c r="D398" t="s">
        <v>166</v>
      </c>
      <c r="E398" s="1">
        <v>40529</v>
      </c>
      <c r="F398" s="1">
        <v>308121</v>
      </c>
      <c r="G398">
        <v>250</v>
      </c>
      <c r="H398">
        <v>7</v>
      </c>
      <c r="I398" s="1">
        <f>fact[[#This Row],[units_sold]]*fact[[#This Row],[price_usd]]</f>
        <v>26830198</v>
      </c>
      <c r="J398">
        <v>662</v>
      </c>
    </row>
    <row r="399" spans="1:10" x14ac:dyDescent="0.35">
      <c r="A399">
        <v>398</v>
      </c>
      <c r="B399" t="s">
        <v>271</v>
      </c>
      <c r="C399" t="s">
        <v>101</v>
      </c>
      <c r="D399" t="s">
        <v>32</v>
      </c>
      <c r="E399" s="1">
        <v>60363</v>
      </c>
      <c r="F399" s="1">
        <v>171648</v>
      </c>
      <c r="G399">
        <v>144</v>
      </c>
      <c r="H399">
        <v>6</v>
      </c>
      <c r="I399" s="1">
        <f>fact[[#This Row],[units_sold]]*fact[[#This Row],[price_usd]]</f>
        <v>33863643</v>
      </c>
      <c r="J399">
        <v>561</v>
      </c>
    </row>
    <row r="400" spans="1:10" x14ac:dyDescent="0.35">
      <c r="A400">
        <v>399</v>
      </c>
      <c r="B400" t="s">
        <v>271</v>
      </c>
      <c r="C400" t="s">
        <v>95</v>
      </c>
      <c r="D400" t="s">
        <v>169</v>
      </c>
      <c r="E400" s="1">
        <v>107902</v>
      </c>
      <c r="F400" s="1">
        <v>497728</v>
      </c>
      <c r="G400">
        <v>337</v>
      </c>
      <c r="H400">
        <v>3</v>
      </c>
      <c r="I400" s="1">
        <f>fact[[#This Row],[units_sold]]*fact[[#This Row],[price_usd]]</f>
        <v>77581538</v>
      </c>
      <c r="J400">
        <v>719</v>
      </c>
    </row>
    <row r="401" spans="1:10" x14ac:dyDescent="0.35">
      <c r="A401">
        <v>400</v>
      </c>
      <c r="B401" t="s">
        <v>271</v>
      </c>
      <c r="C401" t="s">
        <v>113</v>
      </c>
      <c r="D401" t="s">
        <v>167</v>
      </c>
      <c r="E401" s="1">
        <v>118255</v>
      </c>
      <c r="F401" s="1">
        <v>245889</v>
      </c>
      <c r="G401">
        <v>335</v>
      </c>
      <c r="H401">
        <v>6</v>
      </c>
      <c r="I401" s="1">
        <f>fact[[#This Row],[units_sold]]*fact[[#This Row],[price_usd]]</f>
        <v>126414595</v>
      </c>
      <c r="J401">
        <v>1069</v>
      </c>
    </row>
    <row r="402" spans="1:10" x14ac:dyDescent="0.35">
      <c r="A402">
        <v>401</v>
      </c>
      <c r="B402" t="s">
        <v>271</v>
      </c>
      <c r="C402" t="s">
        <v>132</v>
      </c>
      <c r="D402" t="s">
        <v>167</v>
      </c>
      <c r="E402" s="1">
        <v>107013</v>
      </c>
      <c r="F402" s="1">
        <v>483917</v>
      </c>
      <c r="G402">
        <v>268</v>
      </c>
      <c r="H402">
        <v>6</v>
      </c>
      <c r="I402" s="1">
        <f>fact[[#This Row],[units_sold]]*fact[[#This Row],[price_usd]]</f>
        <v>89890920</v>
      </c>
      <c r="J402">
        <v>840</v>
      </c>
    </row>
    <row r="403" spans="1:10" x14ac:dyDescent="0.35">
      <c r="A403">
        <v>402</v>
      </c>
      <c r="B403" t="s">
        <v>271</v>
      </c>
      <c r="C403" t="s">
        <v>139</v>
      </c>
      <c r="D403" t="s">
        <v>171</v>
      </c>
      <c r="E403" s="1">
        <v>66875</v>
      </c>
      <c r="F403" s="1">
        <v>308470</v>
      </c>
      <c r="G403">
        <v>213</v>
      </c>
      <c r="H403">
        <v>9</v>
      </c>
      <c r="I403" s="1">
        <f>fact[[#This Row],[units_sold]]*fact[[#This Row],[price_usd]]</f>
        <v>29023750</v>
      </c>
      <c r="J403">
        <v>434</v>
      </c>
    </row>
    <row r="404" spans="1:10" x14ac:dyDescent="0.35">
      <c r="A404">
        <v>403</v>
      </c>
      <c r="B404" t="s">
        <v>271</v>
      </c>
      <c r="C404" t="s">
        <v>137</v>
      </c>
      <c r="D404" t="s">
        <v>173</v>
      </c>
      <c r="E404" s="1">
        <v>98752</v>
      </c>
      <c r="F404" s="1">
        <v>486670</v>
      </c>
      <c r="G404">
        <v>343</v>
      </c>
      <c r="H404">
        <v>1</v>
      </c>
      <c r="I404" s="1">
        <f>fact[[#This Row],[units_sold]]*fact[[#This Row],[price_usd]]</f>
        <v>110207232</v>
      </c>
      <c r="J404">
        <v>1116</v>
      </c>
    </row>
    <row r="405" spans="1:10" x14ac:dyDescent="0.35">
      <c r="A405">
        <v>404</v>
      </c>
      <c r="B405" t="s">
        <v>271</v>
      </c>
      <c r="C405" t="s">
        <v>145</v>
      </c>
      <c r="D405" t="s">
        <v>171</v>
      </c>
      <c r="E405" s="1">
        <v>63350</v>
      </c>
      <c r="F405" s="1">
        <v>423513</v>
      </c>
      <c r="G405">
        <v>339</v>
      </c>
      <c r="H405">
        <v>8</v>
      </c>
      <c r="I405" s="1">
        <f>fact[[#This Row],[units_sold]]*fact[[#This Row],[price_usd]]</f>
        <v>65440550</v>
      </c>
      <c r="J405">
        <v>1033</v>
      </c>
    </row>
    <row r="406" spans="1:10" x14ac:dyDescent="0.35">
      <c r="A406">
        <v>405</v>
      </c>
      <c r="B406" t="s">
        <v>271</v>
      </c>
      <c r="C406" t="s">
        <v>140</v>
      </c>
      <c r="D406" t="s">
        <v>166</v>
      </c>
      <c r="E406" s="1">
        <v>102946</v>
      </c>
      <c r="F406" s="1">
        <v>171361</v>
      </c>
      <c r="G406">
        <v>396</v>
      </c>
      <c r="H406">
        <v>10</v>
      </c>
      <c r="I406" s="1">
        <f>fact[[#This Row],[units_sold]]*fact[[#This Row],[price_usd]]</f>
        <v>89460074</v>
      </c>
      <c r="J406">
        <v>869</v>
      </c>
    </row>
    <row r="407" spans="1:10" x14ac:dyDescent="0.35">
      <c r="A407">
        <v>406</v>
      </c>
      <c r="B407" t="s">
        <v>175</v>
      </c>
      <c r="C407" t="s">
        <v>63</v>
      </c>
      <c r="D407" t="s">
        <v>168</v>
      </c>
      <c r="E407" s="1">
        <v>46516</v>
      </c>
      <c r="F407" s="1">
        <v>395876</v>
      </c>
      <c r="G407">
        <v>183</v>
      </c>
      <c r="H407">
        <v>10</v>
      </c>
      <c r="I407" s="1">
        <f>fact[[#This Row],[units_sold]]*fact[[#This Row],[price_usd]]</f>
        <v>23071936</v>
      </c>
      <c r="J407">
        <v>496</v>
      </c>
    </row>
    <row r="408" spans="1:10" x14ac:dyDescent="0.35">
      <c r="A408">
        <v>407</v>
      </c>
      <c r="B408" t="s">
        <v>175</v>
      </c>
      <c r="C408" t="s">
        <v>75</v>
      </c>
      <c r="D408" t="s">
        <v>172</v>
      </c>
      <c r="E408" s="1">
        <v>89478</v>
      </c>
      <c r="F408" s="1">
        <v>85709</v>
      </c>
      <c r="G408">
        <v>233</v>
      </c>
      <c r="H408">
        <v>7</v>
      </c>
      <c r="I408" s="1">
        <f>fact[[#This Row],[units_sold]]*fact[[#This Row],[price_usd]]</f>
        <v>58339656</v>
      </c>
      <c r="J408">
        <v>652</v>
      </c>
    </row>
    <row r="409" spans="1:10" x14ac:dyDescent="0.35">
      <c r="A409">
        <v>408</v>
      </c>
      <c r="B409" t="s">
        <v>175</v>
      </c>
      <c r="C409" t="s">
        <v>74</v>
      </c>
      <c r="D409" t="s">
        <v>170</v>
      </c>
      <c r="E409" s="1">
        <v>38332</v>
      </c>
      <c r="F409" s="1">
        <v>255232</v>
      </c>
      <c r="G409">
        <v>55</v>
      </c>
      <c r="H409">
        <v>8</v>
      </c>
      <c r="I409" s="1">
        <f>fact[[#This Row],[units_sold]]*fact[[#This Row],[price_usd]]</f>
        <v>16022776</v>
      </c>
      <c r="J409">
        <v>418</v>
      </c>
    </row>
    <row r="410" spans="1:10" x14ac:dyDescent="0.35">
      <c r="A410">
        <v>409</v>
      </c>
      <c r="B410" t="s">
        <v>175</v>
      </c>
      <c r="C410" t="s">
        <v>91</v>
      </c>
      <c r="D410" t="s">
        <v>169</v>
      </c>
      <c r="E410" s="1">
        <v>75475</v>
      </c>
      <c r="F410" s="1">
        <v>131268</v>
      </c>
      <c r="G410">
        <v>200</v>
      </c>
      <c r="H410">
        <v>3</v>
      </c>
      <c r="I410" s="1">
        <f>fact[[#This Row],[units_sold]]*fact[[#This Row],[price_usd]]</f>
        <v>46039750</v>
      </c>
      <c r="J410">
        <v>610</v>
      </c>
    </row>
    <row r="411" spans="1:10" x14ac:dyDescent="0.35">
      <c r="A411">
        <v>410</v>
      </c>
      <c r="B411" t="s">
        <v>175</v>
      </c>
      <c r="C411" t="s">
        <v>89</v>
      </c>
      <c r="D411" t="s">
        <v>171</v>
      </c>
      <c r="E411" s="1">
        <v>100449</v>
      </c>
      <c r="F411" s="1">
        <v>387201</v>
      </c>
      <c r="G411">
        <v>314</v>
      </c>
      <c r="H411">
        <v>10</v>
      </c>
      <c r="I411" s="1">
        <f>fact[[#This Row],[units_sold]]*fact[[#This Row],[price_usd]]</f>
        <v>84778956</v>
      </c>
      <c r="J411">
        <v>844</v>
      </c>
    </row>
    <row r="412" spans="1:10" x14ac:dyDescent="0.35">
      <c r="A412">
        <v>411</v>
      </c>
      <c r="B412" t="s">
        <v>175</v>
      </c>
      <c r="C412" t="s">
        <v>87</v>
      </c>
      <c r="D412" t="s">
        <v>166</v>
      </c>
      <c r="E412" s="1">
        <v>84056</v>
      </c>
      <c r="F412" s="1">
        <v>153986</v>
      </c>
      <c r="G412">
        <v>76</v>
      </c>
      <c r="H412">
        <v>10</v>
      </c>
      <c r="I412" s="1">
        <f>fact[[#This Row],[units_sold]]*fact[[#This Row],[price_usd]]</f>
        <v>35219464</v>
      </c>
      <c r="J412">
        <v>419</v>
      </c>
    </row>
    <row r="413" spans="1:10" x14ac:dyDescent="0.35">
      <c r="A413">
        <v>412</v>
      </c>
      <c r="B413" t="s">
        <v>175</v>
      </c>
      <c r="C413" t="s">
        <v>92</v>
      </c>
      <c r="D413" t="s">
        <v>170</v>
      </c>
      <c r="E413" s="1">
        <v>49327</v>
      </c>
      <c r="F413" s="1">
        <v>215250</v>
      </c>
      <c r="G413">
        <v>396</v>
      </c>
      <c r="H413">
        <v>10</v>
      </c>
      <c r="I413" s="1">
        <f>fact[[#This Row],[units_sold]]*fact[[#This Row],[price_usd]]</f>
        <v>52582582</v>
      </c>
      <c r="J413">
        <v>1066</v>
      </c>
    </row>
    <row r="414" spans="1:10" x14ac:dyDescent="0.35">
      <c r="A414">
        <v>413</v>
      </c>
      <c r="B414" t="s">
        <v>175</v>
      </c>
      <c r="C414" t="s">
        <v>101</v>
      </c>
      <c r="D414" t="s">
        <v>32</v>
      </c>
      <c r="E414" s="1">
        <v>64265</v>
      </c>
      <c r="F414" s="1">
        <v>356259</v>
      </c>
      <c r="G414">
        <v>31</v>
      </c>
      <c r="H414">
        <v>6</v>
      </c>
      <c r="I414" s="1">
        <f>fact[[#This Row],[units_sold]]*fact[[#This Row],[price_usd]]</f>
        <v>14845215</v>
      </c>
      <c r="J414">
        <v>231</v>
      </c>
    </row>
    <row r="415" spans="1:10" x14ac:dyDescent="0.35">
      <c r="A415">
        <v>414</v>
      </c>
      <c r="B415" t="s">
        <v>175</v>
      </c>
      <c r="C415" t="s">
        <v>95</v>
      </c>
      <c r="D415" t="s">
        <v>165</v>
      </c>
      <c r="E415" s="1">
        <v>55028</v>
      </c>
      <c r="F415" s="1">
        <v>119123</v>
      </c>
      <c r="G415">
        <v>208</v>
      </c>
      <c r="H415">
        <v>10</v>
      </c>
      <c r="I415" s="1">
        <f>fact[[#This Row],[units_sold]]*fact[[#This Row],[price_usd]]</f>
        <v>37694180</v>
      </c>
      <c r="J415">
        <v>685</v>
      </c>
    </row>
    <row r="416" spans="1:10" x14ac:dyDescent="0.35">
      <c r="A416">
        <v>415</v>
      </c>
      <c r="B416" t="s">
        <v>175</v>
      </c>
      <c r="C416" t="s">
        <v>112</v>
      </c>
      <c r="D416" t="s">
        <v>173</v>
      </c>
      <c r="E416" s="1">
        <v>57490</v>
      </c>
      <c r="F416" s="1">
        <v>50363</v>
      </c>
      <c r="G416">
        <v>320</v>
      </c>
      <c r="H416">
        <v>3</v>
      </c>
      <c r="I416" s="1">
        <f>fact[[#This Row],[units_sold]]*fact[[#This Row],[price_usd]]</f>
        <v>60307010</v>
      </c>
      <c r="J416">
        <v>1049</v>
      </c>
    </row>
    <row r="417" spans="1:10" x14ac:dyDescent="0.35">
      <c r="A417">
        <v>416</v>
      </c>
      <c r="B417" t="s">
        <v>175</v>
      </c>
      <c r="C417" t="s">
        <v>132</v>
      </c>
      <c r="D417" t="s">
        <v>172</v>
      </c>
      <c r="E417" s="1">
        <v>67230</v>
      </c>
      <c r="F417" s="1">
        <v>359945</v>
      </c>
      <c r="G417">
        <v>75</v>
      </c>
      <c r="H417">
        <v>6</v>
      </c>
      <c r="I417" s="1">
        <f>fact[[#This Row],[units_sold]]*fact[[#This Row],[price_usd]]</f>
        <v>28505520</v>
      </c>
      <c r="J417">
        <v>424</v>
      </c>
    </row>
    <row r="418" spans="1:10" x14ac:dyDescent="0.35">
      <c r="A418">
        <v>417</v>
      </c>
      <c r="B418" t="s">
        <v>175</v>
      </c>
      <c r="C418" t="s">
        <v>131</v>
      </c>
      <c r="D418" t="s">
        <v>173</v>
      </c>
      <c r="E418" s="1">
        <v>40586</v>
      </c>
      <c r="F418" s="1">
        <v>77043</v>
      </c>
      <c r="G418">
        <v>250</v>
      </c>
      <c r="H418">
        <v>8</v>
      </c>
      <c r="I418" s="1">
        <f>fact[[#This Row],[units_sold]]*fact[[#This Row],[price_usd]]</f>
        <v>37744980</v>
      </c>
      <c r="J418">
        <v>930</v>
      </c>
    </row>
    <row r="419" spans="1:10" x14ac:dyDescent="0.35">
      <c r="A419">
        <v>418</v>
      </c>
      <c r="B419" t="s">
        <v>175</v>
      </c>
      <c r="C419" t="s">
        <v>152</v>
      </c>
      <c r="D419" t="s">
        <v>171</v>
      </c>
      <c r="E419" s="1">
        <v>96497</v>
      </c>
      <c r="F419" s="1">
        <v>438681</v>
      </c>
      <c r="G419">
        <v>76</v>
      </c>
      <c r="H419">
        <v>7</v>
      </c>
      <c r="I419" s="1">
        <f>fact[[#This Row],[units_sold]]*fact[[#This Row],[price_usd]]</f>
        <v>35607393</v>
      </c>
      <c r="J419">
        <v>369</v>
      </c>
    </row>
    <row r="420" spans="1:10" x14ac:dyDescent="0.35">
      <c r="A420">
        <v>419</v>
      </c>
      <c r="B420" t="s">
        <v>175</v>
      </c>
      <c r="C420" t="s">
        <v>152</v>
      </c>
      <c r="D420" t="s">
        <v>166</v>
      </c>
      <c r="E420" s="1">
        <v>109417</v>
      </c>
      <c r="F420" s="1">
        <v>54025</v>
      </c>
      <c r="G420">
        <v>72</v>
      </c>
      <c r="H420">
        <v>1</v>
      </c>
      <c r="I420" s="1">
        <f>fact[[#This Row],[units_sold]]*fact[[#This Row],[price_usd]]</f>
        <v>27354250</v>
      </c>
      <c r="J420">
        <v>250</v>
      </c>
    </row>
    <row r="421" spans="1:10" x14ac:dyDescent="0.35">
      <c r="A421">
        <v>420</v>
      </c>
      <c r="B421" t="s">
        <v>244</v>
      </c>
      <c r="C421" t="s">
        <v>60</v>
      </c>
      <c r="D421" t="s">
        <v>171</v>
      </c>
      <c r="E421" s="1">
        <v>114436</v>
      </c>
      <c r="F421" s="1">
        <v>354169</v>
      </c>
      <c r="G421">
        <v>309</v>
      </c>
      <c r="H421">
        <v>1</v>
      </c>
      <c r="I421" s="1">
        <f>fact[[#This Row],[units_sold]]*fact[[#This Row],[price_usd]]</f>
        <v>83538280</v>
      </c>
      <c r="J421">
        <v>730</v>
      </c>
    </row>
    <row r="422" spans="1:10" x14ac:dyDescent="0.35">
      <c r="A422">
        <v>421</v>
      </c>
      <c r="B422" t="s">
        <v>244</v>
      </c>
      <c r="C422" t="s">
        <v>56</v>
      </c>
      <c r="D422" t="s">
        <v>32</v>
      </c>
      <c r="E422" s="1">
        <v>44130</v>
      </c>
      <c r="F422" s="1">
        <v>212403</v>
      </c>
      <c r="G422">
        <v>253</v>
      </c>
      <c r="H422">
        <v>1</v>
      </c>
      <c r="I422" s="1">
        <f>fact[[#This Row],[units_sold]]*fact[[#This Row],[price_usd]]</f>
        <v>32832720</v>
      </c>
      <c r="J422">
        <v>744</v>
      </c>
    </row>
    <row r="423" spans="1:10" x14ac:dyDescent="0.35">
      <c r="A423">
        <v>422</v>
      </c>
      <c r="B423" t="s">
        <v>244</v>
      </c>
      <c r="C423" t="s">
        <v>72</v>
      </c>
      <c r="D423" t="s">
        <v>167</v>
      </c>
      <c r="E423" s="1">
        <v>50792</v>
      </c>
      <c r="F423" s="1">
        <v>231413</v>
      </c>
      <c r="G423">
        <v>223</v>
      </c>
      <c r="H423">
        <v>6</v>
      </c>
      <c r="I423" s="1">
        <f>fact[[#This Row],[units_sold]]*fact[[#This Row],[price_usd]]</f>
        <v>40836768</v>
      </c>
      <c r="J423">
        <v>804</v>
      </c>
    </row>
    <row r="424" spans="1:10" x14ac:dyDescent="0.35">
      <c r="A424">
        <v>423</v>
      </c>
      <c r="B424" t="s">
        <v>244</v>
      </c>
      <c r="C424" t="s">
        <v>102</v>
      </c>
      <c r="D424" t="s">
        <v>165</v>
      </c>
      <c r="E424" s="1">
        <v>114795</v>
      </c>
      <c r="F424" s="1">
        <v>98784</v>
      </c>
      <c r="G424">
        <v>252</v>
      </c>
      <c r="H424">
        <v>9</v>
      </c>
      <c r="I424" s="1">
        <f>fact[[#This Row],[units_sold]]*fact[[#This Row],[price_usd]]</f>
        <v>83111580</v>
      </c>
      <c r="J424">
        <v>724</v>
      </c>
    </row>
    <row r="425" spans="1:10" x14ac:dyDescent="0.35">
      <c r="A425">
        <v>424</v>
      </c>
      <c r="B425" t="s">
        <v>244</v>
      </c>
      <c r="C425" t="s">
        <v>107</v>
      </c>
      <c r="D425" t="s">
        <v>166</v>
      </c>
      <c r="E425" s="1">
        <v>45304</v>
      </c>
      <c r="F425" s="1">
        <v>128012</v>
      </c>
      <c r="G425">
        <v>179</v>
      </c>
      <c r="H425">
        <v>9</v>
      </c>
      <c r="I425" s="1">
        <f>fact[[#This Row],[units_sold]]*fact[[#This Row],[price_usd]]</f>
        <v>27771352</v>
      </c>
      <c r="J425">
        <v>613</v>
      </c>
    </row>
    <row r="426" spans="1:10" x14ac:dyDescent="0.35">
      <c r="A426">
        <v>425</v>
      </c>
      <c r="B426" t="s">
        <v>244</v>
      </c>
      <c r="C426" t="s">
        <v>104</v>
      </c>
      <c r="D426" t="s">
        <v>167</v>
      </c>
      <c r="E426" s="1">
        <v>56045</v>
      </c>
      <c r="F426" s="1">
        <v>364941</v>
      </c>
      <c r="G426">
        <v>395</v>
      </c>
      <c r="H426">
        <v>8</v>
      </c>
      <c r="I426" s="1">
        <f>fact[[#This Row],[units_sold]]*fact[[#This Row],[price_usd]]</f>
        <v>62434130</v>
      </c>
      <c r="J426">
        <v>1114</v>
      </c>
    </row>
    <row r="427" spans="1:10" x14ac:dyDescent="0.35">
      <c r="A427">
        <v>426</v>
      </c>
      <c r="B427" t="s">
        <v>244</v>
      </c>
      <c r="C427" t="s">
        <v>119</v>
      </c>
      <c r="D427" t="s">
        <v>168</v>
      </c>
      <c r="E427" s="1">
        <v>50804</v>
      </c>
      <c r="F427" s="1">
        <v>430457</v>
      </c>
      <c r="G427">
        <v>365</v>
      </c>
      <c r="H427">
        <v>6</v>
      </c>
      <c r="I427" s="1">
        <f>fact[[#This Row],[units_sold]]*fact[[#This Row],[price_usd]]</f>
        <v>60609172</v>
      </c>
      <c r="J427">
        <v>1193</v>
      </c>
    </row>
    <row r="428" spans="1:10" x14ac:dyDescent="0.35">
      <c r="A428">
        <v>427</v>
      </c>
      <c r="B428" t="s">
        <v>244</v>
      </c>
      <c r="C428" t="s">
        <v>118</v>
      </c>
      <c r="D428" t="s">
        <v>166</v>
      </c>
      <c r="E428" s="1">
        <v>96382</v>
      </c>
      <c r="F428" s="1">
        <v>216280</v>
      </c>
      <c r="G428">
        <v>265</v>
      </c>
      <c r="H428">
        <v>6</v>
      </c>
      <c r="I428" s="1">
        <f>fact[[#This Row],[units_sold]]*fact[[#This Row],[price_usd]]</f>
        <v>57443672</v>
      </c>
      <c r="J428">
        <v>596</v>
      </c>
    </row>
    <row r="429" spans="1:10" x14ac:dyDescent="0.35">
      <c r="A429">
        <v>428</v>
      </c>
      <c r="B429" t="s">
        <v>227</v>
      </c>
      <c r="C429" t="s">
        <v>54</v>
      </c>
      <c r="D429" t="s">
        <v>170</v>
      </c>
      <c r="E429" s="1">
        <v>87949</v>
      </c>
      <c r="F429" s="1">
        <v>80373</v>
      </c>
      <c r="G429">
        <v>43</v>
      </c>
      <c r="H429">
        <v>4</v>
      </c>
      <c r="I429" s="1">
        <f>fact[[#This Row],[units_sold]]*fact[[#This Row],[price_usd]]</f>
        <v>23306485</v>
      </c>
      <c r="J429">
        <v>265</v>
      </c>
    </row>
    <row r="430" spans="1:10" x14ac:dyDescent="0.35">
      <c r="A430">
        <v>429</v>
      </c>
      <c r="B430" t="s">
        <v>227</v>
      </c>
      <c r="C430" t="s">
        <v>55</v>
      </c>
      <c r="D430" t="s">
        <v>170</v>
      </c>
      <c r="E430" s="1">
        <v>115356</v>
      </c>
      <c r="F430" s="1">
        <v>209788</v>
      </c>
      <c r="G430">
        <v>353</v>
      </c>
      <c r="H430">
        <v>9</v>
      </c>
      <c r="I430" s="1">
        <f>fact[[#This Row],[units_sold]]*fact[[#This Row],[price_usd]]</f>
        <v>113048880</v>
      </c>
      <c r="J430">
        <v>980</v>
      </c>
    </row>
    <row r="431" spans="1:10" x14ac:dyDescent="0.35">
      <c r="A431">
        <v>430</v>
      </c>
      <c r="B431" t="s">
        <v>227</v>
      </c>
      <c r="C431" t="s">
        <v>48</v>
      </c>
      <c r="D431" t="s">
        <v>168</v>
      </c>
      <c r="E431" s="1">
        <v>80156</v>
      </c>
      <c r="F431" s="1">
        <v>125118</v>
      </c>
      <c r="G431">
        <v>110</v>
      </c>
      <c r="H431">
        <v>4</v>
      </c>
      <c r="I431" s="1">
        <f>fact[[#This Row],[units_sold]]*fact[[#This Row],[price_usd]]</f>
        <v>36470980</v>
      </c>
      <c r="J431">
        <v>455</v>
      </c>
    </row>
    <row r="432" spans="1:10" x14ac:dyDescent="0.35">
      <c r="A432">
        <v>431</v>
      </c>
      <c r="B432" t="s">
        <v>227</v>
      </c>
      <c r="C432" t="s">
        <v>71</v>
      </c>
      <c r="D432" t="s">
        <v>171</v>
      </c>
      <c r="E432" s="1">
        <v>77832</v>
      </c>
      <c r="F432" s="1">
        <v>247780</v>
      </c>
      <c r="G432">
        <v>132</v>
      </c>
      <c r="H432">
        <v>8</v>
      </c>
      <c r="I432" s="1">
        <f>fact[[#This Row],[units_sold]]*fact[[#This Row],[price_usd]]</f>
        <v>51213456</v>
      </c>
      <c r="J432">
        <v>658</v>
      </c>
    </row>
    <row r="433" spans="1:10" x14ac:dyDescent="0.35">
      <c r="A433">
        <v>432</v>
      </c>
      <c r="B433" t="s">
        <v>227</v>
      </c>
      <c r="C433" t="s">
        <v>102</v>
      </c>
      <c r="D433" t="s">
        <v>165</v>
      </c>
      <c r="E433" s="1">
        <v>66105</v>
      </c>
      <c r="F433" s="1">
        <v>112785</v>
      </c>
      <c r="G433">
        <v>330</v>
      </c>
      <c r="H433">
        <v>5</v>
      </c>
      <c r="I433" s="1">
        <f>fact[[#This Row],[units_sold]]*fact[[#This Row],[price_usd]]</f>
        <v>70203510</v>
      </c>
      <c r="J433">
        <v>1062</v>
      </c>
    </row>
    <row r="434" spans="1:10" x14ac:dyDescent="0.35">
      <c r="A434">
        <v>433</v>
      </c>
      <c r="B434" t="s">
        <v>227</v>
      </c>
      <c r="C434" t="s">
        <v>119</v>
      </c>
      <c r="D434" t="s">
        <v>32</v>
      </c>
      <c r="E434" s="1">
        <v>77771</v>
      </c>
      <c r="F434" s="1">
        <v>315660</v>
      </c>
      <c r="G434">
        <v>60</v>
      </c>
      <c r="H434">
        <v>2</v>
      </c>
      <c r="I434" s="1">
        <f>fact[[#This Row],[units_sold]]*fact[[#This Row],[price_usd]]</f>
        <v>17498475</v>
      </c>
      <c r="J434">
        <v>225</v>
      </c>
    </row>
    <row r="435" spans="1:10" x14ac:dyDescent="0.35">
      <c r="A435">
        <v>434</v>
      </c>
      <c r="B435" t="s">
        <v>227</v>
      </c>
      <c r="C435" t="s">
        <v>125</v>
      </c>
      <c r="D435" t="s">
        <v>171</v>
      </c>
      <c r="E435" s="1">
        <v>49626</v>
      </c>
      <c r="F435" s="1">
        <v>277369</v>
      </c>
      <c r="G435">
        <v>37</v>
      </c>
      <c r="H435">
        <v>5</v>
      </c>
      <c r="I435" s="1">
        <f>fact[[#This Row],[units_sold]]*fact[[#This Row],[price_usd]]</f>
        <v>11215476</v>
      </c>
      <c r="J435">
        <v>226</v>
      </c>
    </row>
    <row r="436" spans="1:10" x14ac:dyDescent="0.35">
      <c r="A436">
        <v>435</v>
      </c>
      <c r="B436" t="s">
        <v>227</v>
      </c>
      <c r="C436" t="s">
        <v>125</v>
      </c>
      <c r="D436" t="s">
        <v>32</v>
      </c>
      <c r="E436" s="1">
        <v>55056</v>
      </c>
      <c r="F436" s="1">
        <v>166712</v>
      </c>
      <c r="G436">
        <v>371</v>
      </c>
      <c r="H436">
        <v>8</v>
      </c>
      <c r="I436" s="1">
        <f>fact[[#This Row],[units_sold]]*fact[[#This Row],[price_usd]]</f>
        <v>50266128</v>
      </c>
      <c r="J436">
        <v>913</v>
      </c>
    </row>
    <row r="437" spans="1:10" x14ac:dyDescent="0.35">
      <c r="A437">
        <v>436</v>
      </c>
      <c r="B437" t="s">
        <v>227</v>
      </c>
      <c r="C437" t="s">
        <v>144</v>
      </c>
      <c r="D437" t="s">
        <v>165</v>
      </c>
      <c r="E437" s="1">
        <v>63621</v>
      </c>
      <c r="F437" s="1">
        <v>253675</v>
      </c>
      <c r="G437">
        <v>360</v>
      </c>
      <c r="H437">
        <v>2</v>
      </c>
      <c r="I437" s="1">
        <f>fact[[#This Row],[units_sold]]*fact[[#This Row],[price_usd]]</f>
        <v>60121845</v>
      </c>
      <c r="J437">
        <v>945</v>
      </c>
    </row>
    <row r="438" spans="1:10" x14ac:dyDescent="0.35">
      <c r="A438">
        <v>437</v>
      </c>
      <c r="B438" t="s">
        <v>181</v>
      </c>
      <c r="C438" t="s">
        <v>54</v>
      </c>
      <c r="D438" t="s">
        <v>171</v>
      </c>
      <c r="E438" s="1">
        <v>118168</v>
      </c>
      <c r="F438" s="1">
        <v>252123</v>
      </c>
      <c r="G438">
        <v>71</v>
      </c>
      <c r="H438">
        <v>6</v>
      </c>
      <c r="I438" s="1">
        <f>fact[[#This Row],[units_sold]]*fact[[#This Row],[price_usd]]</f>
        <v>22097416</v>
      </c>
      <c r="J438">
        <v>187</v>
      </c>
    </row>
    <row r="439" spans="1:10" x14ac:dyDescent="0.35">
      <c r="A439">
        <v>438</v>
      </c>
      <c r="B439" t="s">
        <v>181</v>
      </c>
      <c r="C439" t="s">
        <v>79</v>
      </c>
      <c r="D439" t="s">
        <v>167</v>
      </c>
      <c r="E439" s="1">
        <v>91597</v>
      </c>
      <c r="F439" s="1">
        <v>462375</v>
      </c>
      <c r="G439">
        <v>174</v>
      </c>
      <c r="H439">
        <v>9</v>
      </c>
      <c r="I439" s="1">
        <f>fact[[#This Row],[units_sold]]*fact[[#This Row],[price_usd]]</f>
        <v>70438093</v>
      </c>
      <c r="J439">
        <v>769</v>
      </c>
    </row>
    <row r="440" spans="1:10" x14ac:dyDescent="0.35">
      <c r="A440">
        <v>439</v>
      </c>
      <c r="B440" t="s">
        <v>181</v>
      </c>
      <c r="C440" t="s">
        <v>78</v>
      </c>
      <c r="D440" t="s">
        <v>173</v>
      </c>
      <c r="E440" s="1">
        <v>92233</v>
      </c>
      <c r="F440" s="1">
        <v>192692</v>
      </c>
      <c r="G440">
        <v>16</v>
      </c>
      <c r="H440">
        <v>3</v>
      </c>
      <c r="I440" s="1">
        <f>fact[[#This Row],[units_sold]]*fact[[#This Row],[price_usd]]</f>
        <v>6456310</v>
      </c>
      <c r="J440">
        <v>70</v>
      </c>
    </row>
    <row r="441" spans="1:10" x14ac:dyDescent="0.35">
      <c r="A441">
        <v>440</v>
      </c>
      <c r="B441" t="s">
        <v>181</v>
      </c>
      <c r="C441" t="s">
        <v>83</v>
      </c>
      <c r="D441" t="s">
        <v>170</v>
      </c>
      <c r="E441" s="1">
        <v>77543</v>
      </c>
      <c r="F441" s="1">
        <v>446659</v>
      </c>
      <c r="G441">
        <v>182</v>
      </c>
      <c r="H441">
        <v>7</v>
      </c>
      <c r="I441" s="1">
        <f>fact[[#This Row],[units_sold]]*fact[[#This Row],[price_usd]]</f>
        <v>61801771</v>
      </c>
      <c r="J441">
        <v>797</v>
      </c>
    </row>
    <row r="442" spans="1:10" x14ac:dyDescent="0.35">
      <c r="A442">
        <v>441</v>
      </c>
      <c r="B442" t="s">
        <v>181</v>
      </c>
      <c r="C442" t="s">
        <v>101</v>
      </c>
      <c r="D442" t="s">
        <v>170</v>
      </c>
      <c r="E442" s="1">
        <v>44824</v>
      </c>
      <c r="F442" s="1">
        <v>152413</v>
      </c>
      <c r="G442">
        <v>352</v>
      </c>
      <c r="H442">
        <v>5</v>
      </c>
      <c r="I442" s="1">
        <f>fact[[#This Row],[units_sold]]*fact[[#This Row],[price_usd]]</f>
        <v>45137768</v>
      </c>
      <c r="J442">
        <v>1007</v>
      </c>
    </row>
    <row r="443" spans="1:10" x14ac:dyDescent="0.35">
      <c r="A443">
        <v>442</v>
      </c>
      <c r="B443" t="s">
        <v>181</v>
      </c>
      <c r="C443" t="s">
        <v>96</v>
      </c>
      <c r="D443" t="s">
        <v>170</v>
      </c>
      <c r="E443" s="1">
        <v>49380</v>
      </c>
      <c r="F443" s="1">
        <v>473327</v>
      </c>
      <c r="G443">
        <v>236</v>
      </c>
      <c r="H443">
        <v>1</v>
      </c>
      <c r="I443" s="1">
        <f>fact[[#This Row],[units_sold]]*fact[[#This Row],[price_usd]]</f>
        <v>28837920</v>
      </c>
      <c r="J443">
        <v>584</v>
      </c>
    </row>
    <row r="444" spans="1:10" x14ac:dyDescent="0.35">
      <c r="A444">
        <v>443</v>
      </c>
      <c r="B444" t="s">
        <v>181</v>
      </c>
      <c r="C444" t="s">
        <v>96</v>
      </c>
      <c r="D444" t="s">
        <v>169</v>
      </c>
      <c r="E444" s="1">
        <v>74895</v>
      </c>
      <c r="F444" s="1">
        <v>421380</v>
      </c>
      <c r="G444">
        <v>68</v>
      </c>
      <c r="H444">
        <v>10</v>
      </c>
      <c r="I444" s="1">
        <f>fact[[#This Row],[units_sold]]*fact[[#This Row],[price_usd]]</f>
        <v>40967565</v>
      </c>
      <c r="J444">
        <v>547</v>
      </c>
    </row>
    <row r="445" spans="1:10" x14ac:dyDescent="0.35">
      <c r="A445">
        <v>444</v>
      </c>
      <c r="B445" t="s">
        <v>181</v>
      </c>
      <c r="C445" t="s">
        <v>111</v>
      </c>
      <c r="D445" t="s">
        <v>173</v>
      </c>
      <c r="E445" s="1">
        <v>63091</v>
      </c>
      <c r="F445" s="1">
        <v>345457</v>
      </c>
      <c r="G445">
        <v>316</v>
      </c>
      <c r="H445">
        <v>5</v>
      </c>
      <c r="I445" s="1">
        <f>fact[[#This Row],[units_sold]]*fact[[#This Row],[price_usd]]</f>
        <v>68201371</v>
      </c>
      <c r="J445">
        <v>1081</v>
      </c>
    </row>
    <row r="446" spans="1:10" x14ac:dyDescent="0.35">
      <c r="A446">
        <v>445</v>
      </c>
      <c r="B446" t="s">
        <v>181</v>
      </c>
      <c r="C446" t="s">
        <v>106</v>
      </c>
      <c r="D446" t="s">
        <v>32</v>
      </c>
      <c r="E446" s="1">
        <v>68324</v>
      </c>
      <c r="F446" s="1">
        <v>86713</v>
      </c>
      <c r="G446">
        <v>180</v>
      </c>
      <c r="H446">
        <v>1</v>
      </c>
      <c r="I446" s="1">
        <f>fact[[#This Row],[units_sold]]*fact[[#This Row],[price_usd]]</f>
        <v>43454064</v>
      </c>
      <c r="J446">
        <v>636</v>
      </c>
    </row>
    <row r="447" spans="1:10" x14ac:dyDescent="0.35">
      <c r="A447">
        <v>446</v>
      </c>
      <c r="B447" t="s">
        <v>181</v>
      </c>
      <c r="C447" t="s">
        <v>118</v>
      </c>
      <c r="D447" t="s">
        <v>172</v>
      </c>
      <c r="E447" s="1">
        <v>62388</v>
      </c>
      <c r="F447" s="1">
        <v>278300</v>
      </c>
      <c r="G447">
        <v>355</v>
      </c>
      <c r="H447">
        <v>7</v>
      </c>
      <c r="I447" s="1">
        <f>fact[[#This Row],[units_sold]]*fact[[#This Row],[price_usd]]</f>
        <v>55275768</v>
      </c>
      <c r="J447">
        <v>886</v>
      </c>
    </row>
    <row r="448" spans="1:10" x14ac:dyDescent="0.35">
      <c r="A448">
        <v>447</v>
      </c>
      <c r="B448" t="s">
        <v>181</v>
      </c>
      <c r="C448" t="s">
        <v>137</v>
      </c>
      <c r="D448" t="s">
        <v>167</v>
      </c>
      <c r="E448" s="1">
        <v>101151</v>
      </c>
      <c r="F448" s="1">
        <v>53626</v>
      </c>
      <c r="G448">
        <v>338</v>
      </c>
      <c r="H448">
        <v>4</v>
      </c>
      <c r="I448" s="1">
        <f>fact[[#This Row],[units_sold]]*fact[[#This Row],[price_usd]]</f>
        <v>98723376</v>
      </c>
      <c r="J448">
        <v>976</v>
      </c>
    </row>
    <row r="449" spans="1:10" x14ac:dyDescent="0.35">
      <c r="A449">
        <v>448</v>
      </c>
      <c r="B449" t="s">
        <v>181</v>
      </c>
      <c r="C449" t="s">
        <v>159</v>
      </c>
      <c r="D449" t="s">
        <v>168</v>
      </c>
      <c r="E449" s="1">
        <v>36079</v>
      </c>
      <c r="F449" s="1">
        <v>215767</v>
      </c>
      <c r="G449">
        <v>116</v>
      </c>
      <c r="H449">
        <v>5</v>
      </c>
      <c r="I449" s="1">
        <f>fact[[#This Row],[units_sold]]*fact[[#This Row],[price_usd]]</f>
        <v>12663729</v>
      </c>
      <c r="J449">
        <v>351</v>
      </c>
    </row>
    <row r="450" spans="1:10" x14ac:dyDescent="0.35">
      <c r="A450">
        <v>449</v>
      </c>
      <c r="B450" t="s">
        <v>220</v>
      </c>
      <c r="C450" t="s">
        <v>49</v>
      </c>
      <c r="D450" t="s">
        <v>166</v>
      </c>
      <c r="E450" s="1">
        <v>65133</v>
      </c>
      <c r="F450" s="1">
        <v>357322</v>
      </c>
      <c r="G450">
        <v>52</v>
      </c>
      <c r="H450">
        <v>10</v>
      </c>
      <c r="I450" s="1">
        <f>fact[[#This Row],[units_sold]]*fact[[#This Row],[price_usd]]</f>
        <v>7620561</v>
      </c>
      <c r="J450">
        <v>117</v>
      </c>
    </row>
    <row r="451" spans="1:10" x14ac:dyDescent="0.35">
      <c r="A451">
        <v>450</v>
      </c>
      <c r="B451" t="s">
        <v>220</v>
      </c>
      <c r="C451" t="s">
        <v>86</v>
      </c>
      <c r="D451" t="s">
        <v>173</v>
      </c>
      <c r="E451" s="1">
        <v>70897</v>
      </c>
      <c r="F451" s="1">
        <v>395165</v>
      </c>
      <c r="G451">
        <v>392</v>
      </c>
      <c r="H451">
        <v>10</v>
      </c>
      <c r="I451" s="1">
        <f>fact[[#This Row],[units_sold]]*fact[[#This Row],[price_usd]]</f>
        <v>69833545</v>
      </c>
      <c r="J451">
        <v>985</v>
      </c>
    </row>
    <row r="452" spans="1:10" x14ac:dyDescent="0.35">
      <c r="A452">
        <v>451</v>
      </c>
      <c r="B452" t="s">
        <v>220</v>
      </c>
      <c r="C452" t="s">
        <v>92</v>
      </c>
      <c r="D452" t="s">
        <v>168</v>
      </c>
      <c r="E452" s="1">
        <v>49645</v>
      </c>
      <c r="F452" s="1">
        <v>453964</v>
      </c>
      <c r="G452">
        <v>258</v>
      </c>
      <c r="H452">
        <v>7</v>
      </c>
      <c r="I452" s="1">
        <f>fact[[#This Row],[units_sold]]*fact[[#This Row],[price_usd]]</f>
        <v>36687655</v>
      </c>
      <c r="J452">
        <v>739</v>
      </c>
    </row>
    <row r="453" spans="1:10" x14ac:dyDescent="0.35">
      <c r="A453">
        <v>452</v>
      </c>
      <c r="B453" t="s">
        <v>220</v>
      </c>
      <c r="C453" t="s">
        <v>133</v>
      </c>
      <c r="D453" t="s">
        <v>166</v>
      </c>
      <c r="E453" s="1">
        <v>35692</v>
      </c>
      <c r="F453" s="1">
        <v>159876</v>
      </c>
      <c r="G453">
        <v>351</v>
      </c>
      <c r="H453">
        <v>4</v>
      </c>
      <c r="I453" s="1">
        <f>fact[[#This Row],[units_sold]]*fact[[#This Row],[price_usd]]</f>
        <v>32693872</v>
      </c>
      <c r="J453">
        <v>916</v>
      </c>
    </row>
    <row r="454" spans="1:10" x14ac:dyDescent="0.35">
      <c r="A454">
        <v>453</v>
      </c>
      <c r="B454" t="s">
        <v>220</v>
      </c>
      <c r="C454" t="s">
        <v>137</v>
      </c>
      <c r="D454" t="s">
        <v>170</v>
      </c>
      <c r="E454" s="1">
        <v>119269</v>
      </c>
      <c r="F454" s="1">
        <v>251893</v>
      </c>
      <c r="G454">
        <v>292</v>
      </c>
      <c r="H454">
        <v>6</v>
      </c>
      <c r="I454" s="1">
        <f>fact[[#This Row],[units_sold]]*fact[[#This Row],[price_usd]]</f>
        <v>108534790</v>
      </c>
      <c r="J454">
        <v>910</v>
      </c>
    </row>
    <row r="455" spans="1:10" x14ac:dyDescent="0.35">
      <c r="A455">
        <v>454</v>
      </c>
      <c r="B455" t="s">
        <v>220</v>
      </c>
      <c r="C455" t="s">
        <v>143</v>
      </c>
      <c r="D455" t="s">
        <v>166</v>
      </c>
      <c r="E455" s="1">
        <v>73106</v>
      </c>
      <c r="F455" s="1">
        <v>78481</v>
      </c>
      <c r="G455">
        <v>292</v>
      </c>
      <c r="H455">
        <v>9</v>
      </c>
      <c r="I455" s="1">
        <f>fact[[#This Row],[units_sold]]*fact[[#This Row],[price_usd]]</f>
        <v>71424562</v>
      </c>
      <c r="J455">
        <v>977</v>
      </c>
    </row>
    <row r="456" spans="1:10" x14ac:dyDescent="0.35">
      <c r="A456">
        <v>455</v>
      </c>
      <c r="B456" t="s">
        <v>254</v>
      </c>
      <c r="C456" t="s">
        <v>54</v>
      </c>
      <c r="D456" t="s">
        <v>166</v>
      </c>
      <c r="E456" s="1">
        <v>80436</v>
      </c>
      <c r="F456" s="1">
        <v>336198</v>
      </c>
      <c r="G456">
        <v>22</v>
      </c>
      <c r="H456">
        <v>9</v>
      </c>
      <c r="I456" s="1">
        <f>fact[[#This Row],[units_sold]]*fact[[#This Row],[price_usd]]</f>
        <v>15524148</v>
      </c>
      <c r="J456">
        <v>193</v>
      </c>
    </row>
    <row r="457" spans="1:10" x14ac:dyDescent="0.35">
      <c r="A457">
        <v>456</v>
      </c>
      <c r="B457" t="s">
        <v>254</v>
      </c>
      <c r="C457" t="s">
        <v>58</v>
      </c>
      <c r="D457" t="s">
        <v>167</v>
      </c>
      <c r="E457" s="1">
        <v>36129</v>
      </c>
      <c r="F457" s="1">
        <v>114926</v>
      </c>
      <c r="G457">
        <v>229</v>
      </c>
      <c r="H457">
        <v>8</v>
      </c>
      <c r="I457" s="1">
        <f>fact[[#This Row],[units_sold]]*fact[[#This Row],[price_usd]]</f>
        <v>25904493</v>
      </c>
      <c r="J457">
        <v>717</v>
      </c>
    </row>
    <row r="458" spans="1:10" x14ac:dyDescent="0.35">
      <c r="A458">
        <v>457</v>
      </c>
      <c r="B458" t="s">
        <v>254</v>
      </c>
      <c r="C458" t="s">
        <v>79</v>
      </c>
      <c r="D458" t="s">
        <v>32</v>
      </c>
      <c r="E458" s="1">
        <v>37795</v>
      </c>
      <c r="F458" s="1">
        <v>337307</v>
      </c>
      <c r="G458">
        <v>35</v>
      </c>
      <c r="H458">
        <v>2</v>
      </c>
      <c r="I458" s="1">
        <f>fact[[#This Row],[units_sold]]*fact[[#This Row],[price_usd]]</f>
        <v>7256640</v>
      </c>
      <c r="J458">
        <v>192</v>
      </c>
    </row>
    <row r="459" spans="1:10" x14ac:dyDescent="0.35">
      <c r="A459">
        <v>458</v>
      </c>
      <c r="B459" t="s">
        <v>254</v>
      </c>
      <c r="C459" t="s">
        <v>99</v>
      </c>
      <c r="D459" t="s">
        <v>170</v>
      </c>
      <c r="E459" s="1">
        <v>110069</v>
      </c>
      <c r="F459" s="1">
        <v>244360</v>
      </c>
      <c r="G459">
        <v>288</v>
      </c>
      <c r="H459">
        <v>9</v>
      </c>
      <c r="I459" s="1">
        <f>fact[[#This Row],[units_sold]]*fact[[#This Row],[price_usd]]</f>
        <v>87064579</v>
      </c>
      <c r="J459">
        <v>791</v>
      </c>
    </row>
    <row r="460" spans="1:10" x14ac:dyDescent="0.35">
      <c r="A460">
        <v>459</v>
      </c>
      <c r="B460" t="s">
        <v>254</v>
      </c>
      <c r="C460" t="s">
        <v>136</v>
      </c>
      <c r="D460" t="s">
        <v>32</v>
      </c>
      <c r="E460" s="1">
        <v>86796</v>
      </c>
      <c r="F460" s="1">
        <v>353806</v>
      </c>
      <c r="G460">
        <v>53</v>
      </c>
      <c r="H460">
        <v>3</v>
      </c>
      <c r="I460" s="1">
        <f>fact[[#This Row],[units_sold]]*fact[[#This Row],[price_usd]]</f>
        <v>17619588</v>
      </c>
      <c r="J460">
        <v>203</v>
      </c>
    </row>
    <row r="461" spans="1:10" x14ac:dyDescent="0.35">
      <c r="A461">
        <v>460</v>
      </c>
      <c r="B461" t="s">
        <v>254</v>
      </c>
      <c r="C461" t="s">
        <v>141</v>
      </c>
      <c r="D461" t="s">
        <v>172</v>
      </c>
      <c r="E461" s="1">
        <v>108870</v>
      </c>
      <c r="F461" s="1">
        <v>383245</v>
      </c>
      <c r="G461">
        <v>363</v>
      </c>
      <c r="H461">
        <v>1</v>
      </c>
      <c r="I461" s="1">
        <f>fact[[#This Row],[units_sold]]*fact[[#This Row],[price_usd]]</f>
        <v>103535370</v>
      </c>
      <c r="J461">
        <v>951</v>
      </c>
    </row>
    <row r="462" spans="1:10" x14ac:dyDescent="0.35">
      <c r="A462">
        <v>461</v>
      </c>
      <c r="B462" t="s">
        <v>254</v>
      </c>
      <c r="C462" t="s">
        <v>155</v>
      </c>
      <c r="D462" t="s">
        <v>172</v>
      </c>
      <c r="E462" s="1">
        <v>112733</v>
      </c>
      <c r="F462" s="1">
        <v>399345</v>
      </c>
      <c r="G462">
        <v>221</v>
      </c>
      <c r="H462">
        <v>10</v>
      </c>
      <c r="I462" s="1">
        <f>fact[[#This Row],[units_sold]]*fact[[#This Row],[price_usd]]</f>
        <v>97063113</v>
      </c>
      <c r="J462">
        <v>861</v>
      </c>
    </row>
    <row r="463" spans="1:10" x14ac:dyDescent="0.35">
      <c r="A463">
        <v>462</v>
      </c>
      <c r="B463" t="s">
        <v>215</v>
      </c>
      <c r="C463" t="s">
        <v>51</v>
      </c>
      <c r="D463" t="s">
        <v>171</v>
      </c>
      <c r="E463" s="1">
        <v>104922</v>
      </c>
      <c r="F463" s="1">
        <v>304822</v>
      </c>
      <c r="G463">
        <v>273</v>
      </c>
      <c r="H463">
        <v>6</v>
      </c>
      <c r="I463" s="1">
        <f>fact[[#This Row],[units_sold]]*fact[[#This Row],[price_usd]]</f>
        <v>98731602</v>
      </c>
      <c r="J463">
        <v>941</v>
      </c>
    </row>
    <row r="464" spans="1:10" x14ac:dyDescent="0.35">
      <c r="A464">
        <v>463</v>
      </c>
      <c r="B464" t="s">
        <v>215</v>
      </c>
      <c r="C464" t="s">
        <v>65</v>
      </c>
      <c r="D464" t="s">
        <v>172</v>
      </c>
      <c r="E464" s="1">
        <v>64511</v>
      </c>
      <c r="F464" s="1">
        <v>459414</v>
      </c>
      <c r="G464">
        <v>25</v>
      </c>
      <c r="H464">
        <v>7</v>
      </c>
      <c r="I464" s="1">
        <f>fact[[#This Row],[units_sold]]*fact[[#This Row],[price_usd]]</f>
        <v>12450623</v>
      </c>
      <c r="J464">
        <v>193</v>
      </c>
    </row>
    <row r="465" spans="1:10" x14ac:dyDescent="0.35">
      <c r="A465">
        <v>464</v>
      </c>
      <c r="B465" t="s">
        <v>215</v>
      </c>
      <c r="C465" t="s">
        <v>71</v>
      </c>
      <c r="D465" t="s">
        <v>173</v>
      </c>
      <c r="E465" s="1">
        <v>46618</v>
      </c>
      <c r="F465" s="1">
        <v>380763</v>
      </c>
      <c r="G465">
        <v>285</v>
      </c>
      <c r="H465">
        <v>2</v>
      </c>
      <c r="I465" s="1">
        <f>fact[[#This Row],[units_sold]]*fact[[#This Row],[price_usd]]</f>
        <v>39532064</v>
      </c>
      <c r="J465">
        <v>848</v>
      </c>
    </row>
    <row r="466" spans="1:10" x14ac:dyDescent="0.35">
      <c r="A466">
        <v>465</v>
      </c>
      <c r="B466" t="s">
        <v>215</v>
      </c>
      <c r="C466" t="s">
        <v>77</v>
      </c>
      <c r="D466" t="s">
        <v>170</v>
      </c>
      <c r="E466" s="1">
        <v>41464</v>
      </c>
      <c r="F466" s="1">
        <v>141493</v>
      </c>
      <c r="G466">
        <v>195</v>
      </c>
      <c r="H466">
        <v>6</v>
      </c>
      <c r="I466" s="1">
        <f>fact[[#This Row],[units_sold]]*fact[[#This Row],[price_usd]]</f>
        <v>21727136</v>
      </c>
      <c r="J466">
        <v>524</v>
      </c>
    </row>
    <row r="467" spans="1:10" x14ac:dyDescent="0.35">
      <c r="A467">
        <v>466</v>
      </c>
      <c r="B467" t="s">
        <v>215</v>
      </c>
      <c r="C467" t="s">
        <v>72</v>
      </c>
      <c r="D467" t="s">
        <v>172</v>
      </c>
      <c r="E467" s="1">
        <v>92986</v>
      </c>
      <c r="F467" s="1">
        <v>74624</v>
      </c>
      <c r="G467">
        <v>231</v>
      </c>
      <c r="H467">
        <v>7</v>
      </c>
      <c r="I467" s="1">
        <f>fact[[#This Row],[units_sold]]*fact[[#This Row],[price_usd]]</f>
        <v>65462144</v>
      </c>
      <c r="J467">
        <v>704</v>
      </c>
    </row>
    <row r="468" spans="1:10" x14ac:dyDescent="0.35">
      <c r="A468">
        <v>467</v>
      </c>
      <c r="B468" t="s">
        <v>215</v>
      </c>
      <c r="C468" t="s">
        <v>90</v>
      </c>
      <c r="D468" t="s">
        <v>167</v>
      </c>
      <c r="E468" s="1">
        <v>106576</v>
      </c>
      <c r="F468" s="1">
        <v>345901</v>
      </c>
      <c r="G468">
        <v>129</v>
      </c>
      <c r="H468">
        <v>7</v>
      </c>
      <c r="I468" s="1">
        <f>fact[[#This Row],[units_sold]]*fact[[#This Row],[price_usd]]</f>
        <v>57444464</v>
      </c>
      <c r="J468">
        <v>539</v>
      </c>
    </row>
    <row r="469" spans="1:10" x14ac:dyDescent="0.35">
      <c r="A469">
        <v>468</v>
      </c>
      <c r="B469" t="s">
        <v>215</v>
      </c>
      <c r="C469" t="s">
        <v>80</v>
      </c>
      <c r="D469" t="s">
        <v>32</v>
      </c>
      <c r="E469" s="1">
        <v>36073</v>
      </c>
      <c r="F469" s="1">
        <v>132018</v>
      </c>
      <c r="G469">
        <v>264</v>
      </c>
      <c r="H469">
        <v>1</v>
      </c>
      <c r="I469" s="1">
        <f>fact[[#This Row],[units_sold]]*fact[[#This Row],[price_usd]]</f>
        <v>31744240</v>
      </c>
      <c r="J469">
        <v>880</v>
      </c>
    </row>
    <row r="470" spans="1:10" x14ac:dyDescent="0.35">
      <c r="A470">
        <v>469</v>
      </c>
      <c r="B470" t="s">
        <v>215</v>
      </c>
      <c r="C470" t="s">
        <v>82</v>
      </c>
      <c r="D470" t="s">
        <v>170</v>
      </c>
      <c r="E470" s="1">
        <v>105714</v>
      </c>
      <c r="F470" s="1">
        <v>172026</v>
      </c>
      <c r="G470">
        <v>300</v>
      </c>
      <c r="H470">
        <v>7</v>
      </c>
      <c r="I470" s="1">
        <f>fact[[#This Row],[units_sold]]*fact[[#This Row],[price_usd]]</f>
        <v>64379826</v>
      </c>
      <c r="J470">
        <v>609</v>
      </c>
    </row>
    <row r="471" spans="1:10" x14ac:dyDescent="0.35">
      <c r="A471">
        <v>470</v>
      </c>
      <c r="B471" t="s">
        <v>215</v>
      </c>
      <c r="C471" t="s">
        <v>105</v>
      </c>
      <c r="D471" t="s">
        <v>170</v>
      </c>
      <c r="E471" s="1">
        <v>106376</v>
      </c>
      <c r="F471" s="1">
        <v>149468</v>
      </c>
      <c r="G471">
        <v>375</v>
      </c>
      <c r="H471">
        <v>10</v>
      </c>
      <c r="I471" s="1">
        <f>fact[[#This Row],[units_sold]]*fact[[#This Row],[price_usd]]</f>
        <v>79675624</v>
      </c>
      <c r="J471">
        <v>749</v>
      </c>
    </row>
    <row r="472" spans="1:10" x14ac:dyDescent="0.35">
      <c r="A472">
        <v>471</v>
      </c>
      <c r="B472" t="s">
        <v>215</v>
      </c>
      <c r="C472" t="s">
        <v>145</v>
      </c>
      <c r="D472" t="s">
        <v>166</v>
      </c>
      <c r="E472" s="1">
        <v>46781</v>
      </c>
      <c r="F472" s="1">
        <v>353446</v>
      </c>
      <c r="G472">
        <v>252</v>
      </c>
      <c r="H472">
        <v>2</v>
      </c>
      <c r="I472" s="1">
        <f>fact[[#This Row],[units_sold]]*fact[[#This Row],[price_usd]]</f>
        <v>30126964</v>
      </c>
      <c r="J472">
        <v>644</v>
      </c>
    </row>
    <row r="473" spans="1:10" x14ac:dyDescent="0.35">
      <c r="A473">
        <v>472</v>
      </c>
      <c r="B473" t="s">
        <v>204</v>
      </c>
      <c r="C473" t="s">
        <v>46</v>
      </c>
      <c r="D473" t="s">
        <v>165</v>
      </c>
      <c r="E473" s="1">
        <v>83664</v>
      </c>
      <c r="F473" s="1">
        <v>208666</v>
      </c>
      <c r="G473">
        <v>309</v>
      </c>
      <c r="H473">
        <v>2</v>
      </c>
      <c r="I473" s="1">
        <f>fact[[#This Row],[units_sold]]*fact[[#This Row],[price_usd]]</f>
        <v>57477168</v>
      </c>
      <c r="J473">
        <v>687</v>
      </c>
    </row>
    <row r="474" spans="1:10" x14ac:dyDescent="0.35">
      <c r="A474">
        <v>473</v>
      </c>
      <c r="B474" t="s">
        <v>204</v>
      </c>
      <c r="C474" t="s">
        <v>62</v>
      </c>
      <c r="D474" t="s">
        <v>32</v>
      </c>
      <c r="E474" s="1">
        <v>64320</v>
      </c>
      <c r="F474" s="1">
        <v>444093</v>
      </c>
      <c r="G474">
        <v>121</v>
      </c>
      <c r="H474">
        <v>2</v>
      </c>
      <c r="I474" s="1">
        <f>fact[[#This Row],[units_sold]]*fact[[#This Row],[price_usd]]</f>
        <v>39878400</v>
      </c>
      <c r="J474">
        <v>620</v>
      </c>
    </row>
    <row r="475" spans="1:10" x14ac:dyDescent="0.35">
      <c r="A475">
        <v>474</v>
      </c>
      <c r="B475" t="s">
        <v>204</v>
      </c>
      <c r="C475" t="s">
        <v>79</v>
      </c>
      <c r="D475" t="s">
        <v>32</v>
      </c>
      <c r="E475" s="1">
        <v>41828</v>
      </c>
      <c r="F475" s="1">
        <v>92317</v>
      </c>
      <c r="G475">
        <v>359</v>
      </c>
      <c r="H475">
        <v>10</v>
      </c>
      <c r="I475" s="1">
        <f>fact[[#This Row],[units_sold]]*fact[[#This Row],[price_usd]]</f>
        <v>45174240</v>
      </c>
      <c r="J475">
        <v>1080</v>
      </c>
    </row>
    <row r="476" spans="1:10" x14ac:dyDescent="0.35">
      <c r="A476">
        <v>475</v>
      </c>
      <c r="B476" t="s">
        <v>204</v>
      </c>
      <c r="C476" t="s">
        <v>69</v>
      </c>
      <c r="D476" t="s">
        <v>170</v>
      </c>
      <c r="E476" s="1">
        <v>86413</v>
      </c>
      <c r="F476" s="1">
        <v>497126</v>
      </c>
      <c r="G476">
        <v>123</v>
      </c>
      <c r="H476">
        <v>5</v>
      </c>
      <c r="I476" s="1">
        <f>fact[[#This Row],[units_sold]]*fact[[#This Row],[price_usd]]</f>
        <v>39145089</v>
      </c>
      <c r="J476">
        <v>453</v>
      </c>
    </row>
    <row r="477" spans="1:10" x14ac:dyDescent="0.35">
      <c r="A477">
        <v>476</v>
      </c>
      <c r="B477" t="s">
        <v>204</v>
      </c>
      <c r="C477" t="s">
        <v>73</v>
      </c>
      <c r="D477" t="s">
        <v>166</v>
      </c>
      <c r="E477" s="1">
        <v>74255</v>
      </c>
      <c r="F477" s="1">
        <v>156471</v>
      </c>
      <c r="G477">
        <v>150</v>
      </c>
      <c r="H477">
        <v>9</v>
      </c>
      <c r="I477" s="1">
        <f>fact[[#This Row],[units_sold]]*fact[[#This Row],[price_usd]]</f>
        <v>40988760</v>
      </c>
      <c r="J477">
        <v>552</v>
      </c>
    </row>
    <row r="478" spans="1:10" x14ac:dyDescent="0.35">
      <c r="A478">
        <v>477</v>
      </c>
      <c r="B478" t="s">
        <v>204</v>
      </c>
      <c r="C478" t="s">
        <v>95</v>
      </c>
      <c r="D478" t="s">
        <v>173</v>
      </c>
      <c r="E478" s="1">
        <v>98261</v>
      </c>
      <c r="F478" s="1">
        <v>69156</v>
      </c>
      <c r="G478">
        <v>22</v>
      </c>
      <c r="H478">
        <v>8</v>
      </c>
      <c r="I478" s="1">
        <f>fact[[#This Row],[units_sold]]*fact[[#This Row],[price_usd]]</f>
        <v>15230455</v>
      </c>
      <c r="J478">
        <v>155</v>
      </c>
    </row>
    <row r="479" spans="1:10" x14ac:dyDescent="0.35">
      <c r="A479">
        <v>478</v>
      </c>
      <c r="B479" t="s">
        <v>204</v>
      </c>
      <c r="C479" t="s">
        <v>112</v>
      </c>
      <c r="D479" t="s">
        <v>171</v>
      </c>
      <c r="E479" s="1">
        <v>73498</v>
      </c>
      <c r="F479" s="1">
        <v>249215</v>
      </c>
      <c r="G479">
        <v>285</v>
      </c>
      <c r="H479">
        <v>3</v>
      </c>
      <c r="I479" s="1">
        <f>fact[[#This Row],[units_sold]]*fact[[#This Row],[price_usd]]</f>
        <v>68279642</v>
      </c>
      <c r="J479">
        <v>929</v>
      </c>
    </row>
    <row r="480" spans="1:10" x14ac:dyDescent="0.35">
      <c r="A480">
        <v>479</v>
      </c>
      <c r="B480" t="s">
        <v>204</v>
      </c>
      <c r="C480" t="s">
        <v>157</v>
      </c>
      <c r="D480" t="s">
        <v>165</v>
      </c>
      <c r="E480" s="1">
        <v>36462</v>
      </c>
      <c r="F480" s="1">
        <v>309278</v>
      </c>
      <c r="G480">
        <v>180</v>
      </c>
      <c r="H480">
        <v>1</v>
      </c>
      <c r="I480" s="1">
        <f>fact[[#This Row],[units_sold]]*fact[[#This Row],[price_usd]]</f>
        <v>20892726</v>
      </c>
      <c r="J480">
        <v>573</v>
      </c>
    </row>
    <row r="481" spans="1:10" x14ac:dyDescent="0.35">
      <c r="A481">
        <v>480</v>
      </c>
      <c r="B481" t="s">
        <v>264</v>
      </c>
      <c r="C481" t="s">
        <v>67</v>
      </c>
      <c r="D481" t="s">
        <v>170</v>
      </c>
      <c r="E481" s="1">
        <v>56473</v>
      </c>
      <c r="F481" s="1">
        <v>497746</v>
      </c>
      <c r="G481">
        <v>190</v>
      </c>
      <c r="H481">
        <v>5</v>
      </c>
      <c r="I481" s="1">
        <f>fact[[#This Row],[units_sold]]*fact[[#This Row],[price_usd]]</f>
        <v>43653629</v>
      </c>
      <c r="J481">
        <v>773</v>
      </c>
    </row>
    <row r="482" spans="1:10" x14ac:dyDescent="0.35">
      <c r="A482">
        <v>481</v>
      </c>
      <c r="B482" t="s">
        <v>264</v>
      </c>
      <c r="C482" t="s">
        <v>65</v>
      </c>
      <c r="D482" t="s">
        <v>165</v>
      </c>
      <c r="E482" s="1">
        <v>88634</v>
      </c>
      <c r="F482" s="1">
        <v>276024</v>
      </c>
      <c r="G482">
        <v>252</v>
      </c>
      <c r="H482">
        <v>4</v>
      </c>
      <c r="I482" s="1">
        <f>fact[[#This Row],[units_sold]]*fact[[#This Row],[price_usd]]</f>
        <v>58764342</v>
      </c>
      <c r="J482">
        <v>663</v>
      </c>
    </row>
    <row r="483" spans="1:10" x14ac:dyDescent="0.35">
      <c r="A483">
        <v>482</v>
      </c>
      <c r="B483" t="s">
        <v>264</v>
      </c>
      <c r="C483" t="s">
        <v>58</v>
      </c>
      <c r="D483" t="s">
        <v>165</v>
      </c>
      <c r="E483" s="1">
        <v>61619</v>
      </c>
      <c r="F483" s="1">
        <v>322168</v>
      </c>
      <c r="G483">
        <v>175</v>
      </c>
      <c r="H483">
        <v>4</v>
      </c>
      <c r="I483" s="1">
        <f>fact[[#This Row],[units_sold]]*fact[[#This Row],[price_usd]]</f>
        <v>37341114</v>
      </c>
      <c r="J483">
        <v>606</v>
      </c>
    </row>
    <row r="484" spans="1:10" x14ac:dyDescent="0.35">
      <c r="A484">
        <v>483</v>
      </c>
      <c r="B484" t="s">
        <v>264</v>
      </c>
      <c r="C484" t="s">
        <v>75</v>
      </c>
      <c r="D484" t="s">
        <v>173</v>
      </c>
      <c r="E484" s="1">
        <v>79148</v>
      </c>
      <c r="F484" s="1">
        <v>390053</v>
      </c>
      <c r="G484">
        <v>331</v>
      </c>
      <c r="H484">
        <v>4</v>
      </c>
      <c r="I484" s="1">
        <f>fact[[#This Row],[units_sold]]*fact[[#This Row],[price_usd]]</f>
        <v>58886112</v>
      </c>
      <c r="J484">
        <v>744</v>
      </c>
    </row>
    <row r="485" spans="1:10" x14ac:dyDescent="0.35">
      <c r="A485">
        <v>484</v>
      </c>
      <c r="B485" t="s">
        <v>264</v>
      </c>
      <c r="C485" t="s">
        <v>101</v>
      </c>
      <c r="D485" t="s">
        <v>172</v>
      </c>
      <c r="E485" s="1">
        <v>52241</v>
      </c>
      <c r="F485" s="1">
        <v>209484</v>
      </c>
      <c r="G485">
        <v>198</v>
      </c>
      <c r="H485">
        <v>5</v>
      </c>
      <c r="I485" s="1">
        <f>fact[[#This Row],[units_sold]]*fact[[#This Row],[price_usd]]</f>
        <v>28419104</v>
      </c>
      <c r="J485">
        <v>544</v>
      </c>
    </row>
    <row r="486" spans="1:10" x14ac:dyDescent="0.35">
      <c r="A486">
        <v>485</v>
      </c>
      <c r="B486" t="s">
        <v>264</v>
      </c>
      <c r="C486" t="s">
        <v>105</v>
      </c>
      <c r="D486" t="s">
        <v>32</v>
      </c>
      <c r="E486" s="1">
        <v>81994</v>
      </c>
      <c r="F486" s="1">
        <v>155386</v>
      </c>
      <c r="G486">
        <v>40</v>
      </c>
      <c r="H486">
        <v>5</v>
      </c>
      <c r="I486" s="1">
        <f>fact[[#This Row],[units_sold]]*fact[[#This Row],[price_usd]]</f>
        <v>15742848</v>
      </c>
      <c r="J486">
        <v>192</v>
      </c>
    </row>
    <row r="487" spans="1:10" x14ac:dyDescent="0.35">
      <c r="A487">
        <v>486</v>
      </c>
      <c r="B487" t="s">
        <v>264</v>
      </c>
      <c r="C487" t="s">
        <v>122</v>
      </c>
      <c r="D487" t="s">
        <v>169</v>
      </c>
      <c r="E487" s="1">
        <v>94872</v>
      </c>
      <c r="F487" s="1">
        <v>137453</v>
      </c>
      <c r="G487">
        <v>173</v>
      </c>
      <c r="H487">
        <v>8</v>
      </c>
      <c r="I487" s="1">
        <f>fact[[#This Row],[units_sold]]*fact[[#This Row],[price_usd]]</f>
        <v>47910360</v>
      </c>
      <c r="J487">
        <v>505</v>
      </c>
    </row>
    <row r="488" spans="1:10" x14ac:dyDescent="0.35">
      <c r="A488">
        <v>487</v>
      </c>
      <c r="B488" t="s">
        <v>264</v>
      </c>
      <c r="C488" t="s">
        <v>121</v>
      </c>
      <c r="D488" t="s">
        <v>32</v>
      </c>
      <c r="E488" s="1">
        <v>48329</v>
      </c>
      <c r="F488" s="1">
        <v>346956</v>
      </c>
      <c r="G488">
        <v>395</v>
      </c>
      <c r="H488">
        <v>3</v>
      </c>
      <c r="I488" s="1">
        <f>fact[[#This Row],[units_sold]]*fact[[#This Row],[price_usd]]</f>
        <v>52581952</v>
      </c>
      <c r="J488">
        <v>1088</v>
      </c>
    </row>
    <row r="489" spans="1:10" x14ac:dyDescent="0.35">
      <c r="A489">
        <v>488</v>
      </c>
      <c r="B489" t="s">
        <v>264</v>
      </c>
      <c r="C489" t="s">
        <v>143</v>
      </c>
      <c r="D489" t="s">
        <v>172</v>
      </c>
      <c r="E489" s="1">
        <v>37881</v>
      </c>
      <c r="F489" s="1">
        <v>386092</v>
      </c>
      <c r="G489">
        <v>194</v>
      </c>
      <c r="H489">
        <v>2</v>
      </c>
      <c r="I489" s="1">
        <f>fact[[#This Row],[units_sold]]*fact[[#This Row],[price_usd]]</f>
        <v>29357775</v>
      </c>
      <c r="J489">
        <v>775</v>
      </c>
    </row>
    <row r="490" spans="1:10" x14ac:dyDescent="0.35">
      <c r="A490">
        <v>489</v>
      </c>
      <c r="B490" t="s">
        <v>264</v>
      </c>
      <c r="C490" t="s">
        <v>144</v>
      </c>
      <c r="D490" t="s">
        <v>170</v>
      </c>
      <c r="E490" s="1">
        <v>40801</v>
      </c>
      <c r="F490" s="1">
        <v>446343</v>
      </c>
      <c r="G490">
        <v>118</v>
      </c>
      <c r="H490">
        <v>2</v>
      </c>
      <c r="I490" s="1">
        <f>fact[[#This Row],[units_sold]]*fact[[#This Row],[price_usd]]</f>
        <v>29213516</v>
      </c>
      <c r="J490">
        <v>716</v>
      </c>
    </row>
    <row r="491" spans="1:10" x14ac:dyDescent="0.35">
      <c r="A491">
        <v>490</v>
      </c>
      <c r="B491" t="s">
        <v>264</v>
      </c>
      <c r="C491" t="s">
        <v>161</v>
      </c>
      <c r="D491" t="s">
        <v>165</v>
      </c>
      <c r="E491" s="1">
        <v>119517</v>
      </c>
      <c r="F491" s="1">
        <v>138741</v>
      </c>
      <c r="G491">
        <v>213</v>
      </c>
      <c r="H491">
        <v>3</v>
      </c>
      <c r="I491" s="1">
        <f>fact[[#This Row],[units_sold]]*fact[[#This Row],[price_usd]]</f>
        <v>61790289</v>
      </c>
      <c r="J491">
        <v>517</v>
      </c>
    </row>
    <row r="492" spans="1:10" x14ac:dyDescent="0.35">
      <c r="A492">
        <v>491</v>
      </c>
      <c r="B492" t="s">
        <v>186</v>
      </c>
      <c r="C492" t="s">
        <v>47</v>
      </c>
      <c r="D492" t="s">
        <v>165</v>
      </c>
      <c r="E492" s="1">
        <v>46357</v>
      </c>
      <c r="F492" s="1">
        <v>124231</v>
      </c>
      <c r="G492">
        <v>388</v>
      </c>
      <c r="H492">
        <v>5</v>
      </c>
      <c r="I492" s="1">
        <f>fact[[#This Row],[units_sold]]*fact[[#This Row],[price_usd]]</f>
        <v>41489515</v>
      </c>
      <c r="J492">
        <v>895</v>
      </c>
    </row>
    <row r="493" spans="1:10" x14ac:dyDescent="0.35">
      <c r="A493">
        <v>492</v>
      </c>
      <c r="B493" t="s">
        <v>186</v>
      </c>
      <c r="C493" t="s">
        <v>74</v>
      </c>
      <c r="D493" t="s">
        <v>171</v>
      </c>
      <c r="E493" s="1">
        <v>52065</v>
      </c>
      <c r="F493" s="1">
        <v>447595</v>
      </c>
      <c r="G493">
        <v>371</v>
      </c>
      <c r="H493">
        <v>7</v>
      </c>
      <c r="I493" s="1">
        <f>fact[[#This Row],[units_sold]]*fact[[#This Row],[price_usd]]</f>
        <v>50867505</v>
      </c>
      <c r="J493">
        <v>977</v>
      </c>
    </row>
    <row r="494" spans="1:10" x14ac:dyDescent="0.35">
      <c r="A494">
        <v>493</v>
      </c>
      <c r="B494" t="s">
        <v>186</v>
      </c>
      <c r="C494" t="s">
        <v>89</v>
      </c>
      <c r="D494" t="s">
        <v>167</v>
      </c>
      <c r="E494" s="1">
        <v>73737</v>
      </c>
      <c r="F494" s="1">
        <v>108560</v>
      </c>
      <c r="G494">
        <v>308</v>
      </c>
      <c r="H494">
        <v>10</v>
      </c>
      <c r="I494" s="1">
        <f>fact[[#This Row],[units_sold]]*fact[[#This Row],[price_usd]]</f>
        <v>53090640</v>
      </c>
      <c r="J494">
        <v>720</v>
      </c>
    </row>
    <row r="495" spans="1:10" x14ac:dyDescent="0.35">
      <c r="A495">
        <v>494</v>
      </c>
      <c r="B495" t="s">
        <v>186</v>
      </c>
      <c r="C495" t="s">
        <v>119</v>
      </c>
      <c r="D495" t="s">
        <v>172</v>
      </c>
      <c r="E495" s="1">
        <v>117542</v>
      </c>
      <c r="F495" s="1">
        <v>330790</v>
      </c>
      <c r="G495">
        <v>196</v>
      </c>
      <c r="H495">
        <v>1</v>
      </c>
      <c r="I495" s="1">
        <f>fact[[#This Row],[units_sold]]*fact[[#This Row],[price_usd]]</f>
        <v>63237596</v>
      </c>
      <c r="J495">
        <v>538</v>
      </c>
    </row>
    <row r="496" spans="1:10" x14ac:dyDescent="0.35">
      <c r="A496">
        <v>495</v>
      </c>
      <c r="B496" t="s">
        <v>186</v>
      </c>
      <c r="C496" t="s">
        <v>137</v>
      </c>
      <c r="D496" t="s">
        <v>167</v>
      </c>
      <c r="E496" s="1">
        <v>77932</v>
      </c>
      <c r="F496" s="1">
        <v>365929</v>
      </c>
      <c r="G496">
        <v>190</v>
      </c>
      <c r="H496">
        <v>6</v>
      </c>
      <c r="I496" s="1">
        <f>fact[[#This Row],[units_sold]]*fact[[#This Row],[price_usd]]</f>
        <v>56500700</v>
      </c>
      <c r="J496">
        <v>725</v>
      </c>
    </row>
    <row r="497" spans="1:10" x14ac:dyDescent="0.35">
      <c r="A497">
        <v>496</v>
      </c>
      <c r="B497" t="s">
        <v>186</v>
      </c>
      <c r="C497" t="s">
        <v>162</v>
      </c>
      <c r="D497" t="s">
        <v>168</v>
      </c>
      <c r="E497" s="1">
        <v>83994</v>
      </c>
      <c r="F497" s="1">
        <v>55499</v>
      </c>
      <c r="G497">
        <v>12</v>
      </c>
      <c r="H497">
        <v>10</v>
      </c>
      <c r="I497" s="1">
        <f>fact[[#This Row],[units_sold]]*fact[[#This Row],[price_usd]]</f>
        <v>34689522</v>
      </c>
      <c r="J497">
        <v>413</v>
      </c>
    </row>
    <row r="498" spans="1:10" x14ac:dyDescent="0.35">
      <c r="A498">
        <v>497</v>
      </c>
      <c r="B498" t="s">
        <v>186</v>
      </c>
      <c r="C498" t="s">
        <v>158</v>
      </c>
      <c r="D498" t="s">
        <v>170</v>
      </c>
      <c r="E498" s="1">
        <v>96075</v>
      </c>
      <c r="F498" s="1">
        <v>411652</v>
      </c>
      <c r="G498">
        <v>398</v>
      </c>
      <c r="H498">
        <v>7</v>
      </c>
      <c r="I498" s="1">
        <f>fact[[#This Row],[units_sold]]*fact[[#This Row],[price_usd]]</f>
        <v>104049225</v>
      </c>
      <c r="J498">
        <v>1083</v>
      </c>
    </row>
    <row r="499" spans="1:10" x14ac:dyDescent="0.35">
      <c r="A499">
        <v>498</v>
      </c>
      <c r="B499" t="s">
        <v>186</v>
      </c>
      <c r="C499" t="s">
        <v>156</v>
      </c>
      <c r="D499" t="s">
        <v>170</v>
      </c>
      <c r="E499" s="1">
        <v>105167</v>
      </c>
      <c r="F499" s="1">
        <v>112501</v>
      </c>
      <c r="G499">
        <v>374</v>
      </c>
      <c r="H499">
        <v>2</v>
      </c>
      <c r="I499" s="1">
        <f>fact[[#This Row],[units_sold]]*fact[[#This Row],[price_usd]]</f>
        <v>86657608</v>
      </c>
      <c r="J499">
        <v>824</v>
      </c>
    </row>
    <row r="500" spans="1:10" x14ac:dyDescent="0.35">
      <c r="A500">
        <v>499</v>
      </c>
      <c r="B500" t="s">
        <v>241</v>
      </c>
      <c r="C500" t="s">
        <v>45</v>
      </c>
      <c r="D500" t="s">
        <v>166</v>
      </c>
      <c r="E500" s="1">
        <v>52118</v>
      </c>
      <c r="F500" s="1">
        <v>450213</v>
      </c>
      <c r="G500">
        <v>106</v>
      </c>
      <c r="H500">
        <v>9</v>
      </c>
      <c r="I500" s="1">
        <f>fact[[#This Row],[units_sold]]*fact[[#This Row],[price_usd]]</f>
        <v>34762706</v>
      </c>
      <c r="J500">
        <v>667</v>
      </c>
    </row>
    <row r="501" spans="1:10" x14ac:dyDescent="0.35">
      <c r="A501">
        <v>500</v>
      </c>
      <c r="B501" t="s">
        <v>241</v>
      </c>
      <c r="C501" t="s">
        <v>76</v>
      </c>
      <c r="D501" t="s">
        <v>173</v>
      </c>
      <c r="E501" s="1">
        <v>107833</v>
      </c>
      <c r="F501" s="1">
        <v>137508</v>
      </c>
      <c r="G501">
        <v>21</v>
      </c>
      <c r="H501">
        <v>9</v>
      </c>
      <c r="I501" s="1">
        <f>fact[[#This Row],[units_sold]]*fact[[#This Row],[price_usd]]</f>
        <v>42594035</v>
      </c>
      <c r="J501">
        <v>395</v>
      </c>
    </row>
    <row r="502" spans="1:10" x14ac:dyDescent="0.35">
      <c r="A502">
        <v>501</v>
      </c>
      <c r="B502" t="s">
        <v>241</v>
      </c>
      <c r="C502" t="s">
        <v>68</v>
      </c>
      <c r="D502" t="s">
        <v>165</v>
      </c>
      <c r="E502" s="1">
        <v>102657</v>
      </c>
      <c r="F502" s="1">
        <v>93481</v>
      </c>
      <c r="G502">
        <v>96</v>
      </c>
      <c r="H502">
        <v>5</v>
      </c>
      <c r="I502" s="1">
        <f>fact[[#This Row],[units_sold]]*fact[[#This Row],[price_usd]]</f>
        <v>19094202</v>
      </c>
      <c r="J502">
        <v>186</v>
      </c>
    </row>
    <row r="503" spans="1:10" x14ac:dyDescent="0.35">
      <c r="A503">
        <v>502</v>
      </c>
      <c r="B503" t="s">
        <v>241</v>
      </c>
      <c r="C503" t="s">
        <v>97</v>
      </c>
      <c r="D503" t="s">
        <v>173</v>
      </c>
      <c r="E503" s="1">
        <v>42371</v>
      </c>
      <c r="F503" s="1">
        <v>323541</v>
      </c>
      <c r="G503">
        <v>319</v>
      </c>
      <c r="H503">
        <v>5</v>
      </c>
      <c r="I503" s="1">
        <f>fact[[#This Row],[units_sold]]*fact[[#This Row],[price_usd]]</f>
        <v>30930830</v>
      </c>
      <c r="J503">
        <v>730</v>
      </c>
    </row>
    <row r="504" spans="1:10" x14ac:dyDescent="0.35">
      <c r="A504">
        <v>503</v>
      </c>
      <c r="B504" t="s">
        <v>241</v>
      </c>
      <c r="C504" t="s">
        <v>106</v>
      </c>
      <c r="D504" t="s">
        <v>167</v>
      </c>
      <c r="E504" s="1">
        <v>58464</v>
      </c>
      <c r="F504" s="1">
        <v>397236</v>
      </c>
      <c r="G504">
        <v>41</v>
      </c>
      <c r="H504">
        <v>8</v>
      </c>
      <c r="I504" s="1">
        <f>fact[[#This Row],[units_sold]]*fact[[#This Row],[price_usd]]</f>
        <v>8594208</v>
      </c>
      <c r="J504">
        <v>147</v>
      </c>
    </row>
    <row r="505" spans="1:10" x14ac:dyDescent="0.35">
      <c r="A505">
        <v>504</v>
      </c>
      <c r="B505" t="s">
        <v>241</v>
      </c>
      <c r="C505" t="s">
        <v>108</v>
      </c>
      <c r="D505" t="s">
        <v>165</v>
      </c>
      <c r="E505" s="1">
        <v>76505</v>
      </c>
      <c r="F505" s="1">
        <v>268547</v>
      </c>
      <c r="G505">
        <v>241</v>
      </c>
      <c r="H505">
        <v>5</v>
      </c>
      <c r="I505" s="1">
        <f>fact[[#This Row],[units_sold]]*fact[[#This Row],[price_usd]]</f>
        <v>42613285</v>
      </c>
      <c r="J505">
        <v>557</v>
      </c>
    </row>
    <row r="506" spans="1:10" x14ac:dyDescent="0.35">
      <c r="A506">
        <v>505</v>
      </c>
      <c r="B506" t="s">
        <v>241</v>
      </c>
      <c r="C506" t="s">
        <v>136</v>
      </c>
      <c r="D506" t="s">
        <v>170</v>
      </c>
      <c r="E506" s="1">
        <v>87151</v>
      </c>
      <c r="F506" s="1">
        <v>161776</v>
      </c>
      <c r="G506">
        <v>297</v>
      </c>
      <c r="H506">
        <v>10</v>
      </c>
      <c r="I506" s="1">
        <f>fact[[#This Row],[units_sold]]*fact[[#This Row],[price_usd]]</f>
        <v>87238151</v>
      </c>
      <c r="J506">
        <v>1001</v>
      </c>
    </row>
    <row r="507" spans="1:10" x14ac:dyDescent="0.35">
      <c r="A507">
        <v>506</v>
      </c>
      <c r="B507" t="s">
        <v>241</v>
      </c>
      <c r="C507" t="s">
        <v>130</v>
      </c>
      <c r="D507" t="s">
        <v>165</v>
      </c>
      <c r="E507" s="1">
        <v>57616</v>
      </c>
      <c r="F507" s="1">
        <v>241480</v>
      </c>
      <c r="G507">
        <v>376</v>
      </c>
      <c r="H507">
        <v>5</v>
      </c>
      <c r="I507" s="1">
        <f>fact[[#This Row],[units_sold]]*fact[[#This Row],[price_usd]]</f>
        <v>69254432</v>
      </c>
      <c r="J507">
        <v>1202</v>
      </c>
    </row>
    <row r="508" spans="1:10" x14ac:dyDescent="0.35">
      <c r="A508">
        <v>507</v>
      </c>
      <c r="B508" t="s">
        <v>293</v>
      </c>
      <c r="C508" t="s">
        <v>58</v>
      </c>
      <c r="D508" t="s">
        <v>168</v>
      </c>
      <c r="E508" s="1">
        <v>108762</v>
      </c>
      <c r="F508" s="1">
        <v>297677</v>
      </c>
      <c r="G508">
        <v>68</v>
      </c>
      <c r="H508">
        <v>7</v>
      </c>
      <c r="I508" s="1">
        <f>fact[[#This Row],[units_sold]]*fact[[#This Row],[price_usd]]</f>
        <v>39915654</v>
      </c>
      <c r="J508">
        <v>367</v>
      </c>
    </row>
    <row r="509" spans="1:10" x14ac:dyDescent="0.35">
      <c r="A509">
        <v>508</v>
      </c>
      <c r="B509" t="s">
        <v>293</v>
      </c>
      <c r="C509" t="s">
        <v>101</v>
      </c>
      <c r="D509" t="s">
        <v>171</v>
      </c>
      <c r="E509" s="1">
        <v>52653</v>
      </c>
      <c r="F509" s="1">
        <v>423145</v>
      </c>
      <c r="G509">
        <v>173</v>
      </c>
      <c r="H509">
        <v>3</v>
      </c>
      <c r="I509" s="1">
        <f>fact[[#This Row],[units_sold]]*fact[[#This Row],[price_usd]]</f>
        <v>31539147</v>
      </c>
      <c r="J509">
        <v>599</v>
      </c>
    </row>
    <row r="510" spans="1:10" x14ac:dyDescent="0.35">
      <c r="A510">
        <v>509</v>
      </c>
      <c r="B510" t="s">
        <v>293</v>
      </c>
      <c r="C510" t="s">
        <v>102</v>
      </c>
      <c r="D510" t="s">
        <v>32</v>
      </c>
      <c r="E510" s="1">
        <v>54585</v>
      </c>
      <c r="F510" s="1">
        <v>323958</v>
      </c>
      <c r="G510">
        <v>223</v>
      </c>
      <c r="H510">
        <v>4</v>
      </c>
      <c r="I510" s="1">
        <f>fact[[#This Row],[units_sold]]*fact[[#This Row],[price_usd]]</f>
        <v>46997685</v>
      </c>
      <c r="J510">
        <v>861</v>
      </c>
    </row>
    <row r="511" spans="1:10" x14ac:dyDescent="0.35">
      <c r="A511">
        <v>510</v>
      </c>
      <c r="B511" t="s">
        <v>293</v>
      </c>
      <c r="C511" t="s">
        <v>126</v>
      </c>
      <c r="D511" t="s">
        <v>171</v>
      </c>
      <c r="E511" s="1">
        <v>71547</v>
      </c>
      <c r="F511" s="1">
        <v>281226</v>
      </c>
      <c r="G511">
        <v>380</v>
      </c>
      <c r="H511">
        <v>5</v>
      </c>
      <c r="I511" s="1">
        <f>fact[[#This Row],[units_sold]]*fact[[#This Row],[price_usd]]</f>
        <v>77771589</v>
      </c>
      <c r="J511">
        <v>1087</v>
      </c>
    </row>
    <row r="512" spans="1:10" x14ac:dyDescent="0.35">
      <c r="A512">
        <v>511</v>
      </c>
      <c r="B512" t="s">
        <v>293</v>
      </c>
      <c r="C512" t="s">
        <v>128</v>
      </c>
      <c r="D512" t="s">
        <v>172</v>
      </c>
      <c r="E512" s="1">
        <v>70693</v>
      </c>
      <c r="F512" s="1">
        <v>418946</v>
      </c>
      <c r="G512">
        <v>20</v>
      </c>
      <c r="H512">
        <v>10</v>
      </c>
      <c r="I512" s="1">
        <f>fact[[#This Row],[units_sold]]*fact[[#This Row],[price_usd]]</f>
        <v>30327297</v>
      </c>
      <c r="J512">
        <v>429</v>
      </c>
    </row>
    <row r="513" spans="1:10" x14ac:dyDescent="0.35">
      <c r="A513">
        <v>512</v>
      </c>
      <c r="B513" t="s">
        <v>293</v>
      </c>
      <c r="C513" t="s">
        <v>146</v>
      </c>
      <c r="D513" t="s">
        <v>32</v>
      </c>
      <c r="E513" s="1">
        <v>91240</v>
      </c>
      <c r="F513" s="1">
        <v>234381</v>
      </c>
      <c r="G513">
        <v>185</v>
      </c>
      <c r="H513">
        <v>10</v>
      </c>
      <c r="I513" s="1">
        <f>fact[[#This Row],[units_sold]]*fact[[#This Row],[price_usd]]</f>
        <v>68430000</v>
      </c>
      <c r="J513">
        <v>750</v>
      </c>
    </row>
    <row r="514" spans="1:10" x14ac:dyDescent="0.35">
      <c r="A514">
        <v>513</v>
      </c>
      <c r="B514" t="s">
        <v>251</v>
      </c>
      <c r="C514" t="s">
        <v>58</v>
      </c>
      <c r="D514" t="s">
        <v>170</v>
      </c>
      <c r="E514" s="1">
        <v>75025</v>
      </c>
      <c r="F514" s="1">
        <v>494783</v>
      </c>
      <c r="G514">
        <v>61</v>
      </c>
      <c r="H514">
        <v>2</v>
      </c>
      <c r="I514" s="1">
        <f>fact[[#This Row],[units_sold]]*fact[[#This Row],[price_usd]]</f>
        <v>42539175</v>
      </c>
      <c r="J514">
        <v>567</v>
      </c>
    </row>
    <row r="515" spans="1:10" x14ac:dyDescent="0.35">
      <c r="A515">
        <v>514</v>
      </c>
      <c r="B515" t="s">
        <v>251</v>
      </c>
      <c r="C515" t="s">
        <v>78</v>
      </c>
      <c r="D515" t="s">
        <v>170</v>
      </c>
      <c r="E515" s="1">
        <v>60464</v>
      </c>
      <c r="F515" s="1">
        <v>275121</v>
      </c>
      <c r="G515">
        <v>204</v>
      </c>
      <c r="H515">
        <v>8</v>
      </c>
      <c r="I515" s="1">
        <f>fact[[#This Row],[units_sold]]*fact[[#This Row],[price_usd]]</f>
        <v>50910688</v>
      </c>
      <c r="J515">
        <v>842</v>
      </c>
    </row>
    <row r="516" spans="1:10" x14ac:dyDescent="0.35">
      <c r="A516">
        <v>515</v>
      </c>
      <c r="B516" t="s">
        <v>251</v>
      </c>
      <c r="C516" t="s">
        <v>87</v>
      </c>
      <c r="D516" t="s">
        <v>32</v>
      </c>
      <c r="E516" s="1">
        <v>51576</v>
      </c>
      <c r="F516" s="1">
        <v>262909</v>
      </c>
      <c r="G516">
        <v>368</v>
      </c>
      <c r="H516">
        <v>10</v>
      </c>
      <c r="I516" s="1">
        <f>fact[[#This Row],[units_sold]]*fact[[#This Row],[price_usd]]</f>
        <v>55341048</v>
      </c>
      <c r="J516">
        <v>1073</v>
      </c>
    </row>
    <row r="517" spans="1:10" x14ac:dyDescent="0.35">
      <c r="A517">
        <v>516</v>
      </c>
      <c r="B517" t="s">
        <v>251</v>
      </c>
      <c r="C517" t="s">
        <v>83</v>
      </c>
      <c r="D517" t="s">
        <v>168</v>
      </c>
      <c r="E517" s="1">
        <v>111276</v>
      </c>
      <c r="F517" s="1">
        <v>291422</v>
      </c>
      <c r="G517">
        <v>231</v>
      </c>
      <c r="H517">
        <v>4</v>
      </c>
      <c r="I517" s="1">
        <f>fact[[#This Row],[units_sold]]*fact[[#This Row],[price_usd]]</f>
        <v>87796764</v>
      </c>
      <c r="J517">
        <v>789</v>
      </c>
    </row>
    <row r="518" spans="1:10" x14ac:dyDescent="0.35">
      <c r="A518">
        <v>517</v>
      </c>
      <c r="B518" t="s">
        <v>251</v>
      </c>
      <c r="C518" t="s">
        <v>110</v>
      </c>
      <c r="D518" t="s">
        <v>32</v>
      </c>
      <c r="E518" s="1">
        <v>76785</v>
      </c>
      <c r="F518" s="1">
        <v>199001</v>
      </c>
      <c r="G518">
        <v>322</v>
      </c>
      <c r="H518">
        <v>4</v>
      </c>
      <c r="I518" s="1">
        <f>fact[[#This Row],[units_sold]]*fact[[#This Row],[price_usd]]</f>
        <v>57128040</v>
      </c>
      <c r="J518">
        <v>744</v>
      </c>
    </row>
    <row r="519" spans="1:10" x14ac:dyDescent="0.35">
      <c r="A519">
        <v>518</v>
      </c>
      <c r="B519" t="s">
        <v>251</v>
      </c>
      <c r="C519" t="s">
        <v>136</v>
      </c>
      <c r="D519" t="s">
        <v>172</v>
      </c>
      <c r="E519" s="1">
        <v>63229</v>
      </c>
      <c r="F519" s="1">
        <v>108655</v>
      </c>
      <c r="G519">
        <v>358</v>
      </c>
      <c r="H519">
        <v>9</v>
      </c>
      <c r="I519" s="1">
        <f>fact[[#This Row],[units_sold]]*fact[[#This Row],[price_usd]]</f>
        <v>47358521</v>
      </c>
      <c r="J519">
        <v>749</v>
      </c>
    </row>
    <row r="520" spans="1:10" x14ac:dyDescent="0.35">
      <c r="A520">
        <v>519</v>
      </c>
      <c r="B520" t="s">
        <v>251</v>
      </c>
      <c r="C520" t="s">
        <v>141</v>
      </c>
      <c r="D520" t="s">
        <v>167</v>
      </c>
      <c r="E520" s="1">
        <v>94213</v>
      </c>
      <c r="F520" s="1">
        <v>249488</v>
      </c>
      <c r="G520">
        <v>74</v>
      </c>
      <c r="H520">
        <v>10</v>
      </c>
      <c r="I520" s="1">
        <f>fact[[#This Row],[units_sold]]*fact[[#This Row],[price_usd]]</f>
        <v>18559961</v>
      </c>
      <c r="J520">
        <v>197</v>
      </c>
    </row>
    <row r="521" spans="1:10" x14ac:dyDescent="0.35">
      <c r="A521">
        <v>520</v>
      </c>
      <c r="B521" t="s">
        <v>263</v>
      </c>
      <c r="C521" t="s">
        <v>56</v>
      </c>
      <c r="D521" t="s">
        <v>169</v>
      </c>
      <c r="E521" s="1">
        <v>82204</v>
      </c>
      <c r="F521" s="1">
        <v>132464</v>
      </c>
      <c r="G521">
        <v>383</v>
      </c>
      <c r="H521">
        <v>6</v>
      </c>
      <c r="I521" s="1">
        <f>fact[[#This Row],[units_sold]]*fact[[#This Row],[price_usd]]</f>
        <v>80395512</v>
      </c>
      <c r="J521">
        <v>978</v>
      </c>
    </row>
    <row r="522" spans="1:10" x14ac:dyDescent="0.35">
      <c r="A522">
        <v>521</v>
      </c>
      <c r="B522" t="s">
        <v>263</v>
      </c>
      <c r="C522" t="s">
        <v>61</v>
      </c>
      <c r="D522" t="s">
        <v>165</v>
      </c>
      <c r="E522" s="1">
        <v>54773</v>
      </c>
      <c r="F522" s="1">
        <v>249665</v>
      </c>
      <c r="G522">
        <v>251</v>
      </c>
      <c r="H522">
        <v>2</v>
      </c>
      <c r="I522" s="1">
        <f>fact[[#This Row],[units_sold]]*fact[[#This Row],[price_usd]]</f>
        <v>53787086</v>
      </c>
      <c r="J522">
        <v>982</v>
      </c>
    </row>
    <row r="523" spans="1:10" x14ac:dyDescent="0.35">
      <c r="A523">
        <v>522</v>
      </c>
      <c r="B523" t="s">
        <v>263</v>
      </c>
      <c r="C523" t="s">
        <v>92</v>
      </c>
      <c r="D523" t="s">
        <v>173</v>
      </c>
      <c r="E523" s="1">
        <v>85906</v>
      </c>
      <c r="F523" s="1">
        <v>135936</v>
      </c>
      <c r="G523">
        <v>381</v>
      </c>
      <c r="H523">
        <v>5</v>
      </c>
      <c r="I523" s="1">
        <f>fact[[#This Row],[units_sold]]*fact[[#This Row],[price_usd]]</f>
        <v>68896612</v>
      </c>
      <c r="J523">
        <v>802</v>
      </c>
    </row>
    <row r="524" spans="1:10" x14ac:dyDescent="0.35">
      <c r="A524">
        <v>523</v>
      </c>
      <c r="B524" t="s">
        <v>263</v>
      </c>
      <c r="C524" t="s">
        <v>95</v>
      </c>
      <c r="D524" t="s">
        <v>169</v>
      </c>
      <c r="E524" s="1">
        <v>43997</v>
      </c>
      <c r="F524" s="1">
        <v>286774</v>
      </c>
      <c r="G524">
        <v>146</v>
      </c>
      <c r="H524">
        <v>9</v>
      </c>
      <c r="I524" s="1">
        <f>fact[[#This Row],[units_sold]]*fact[[#This Row],[price_usd]]</f>
        <v>17114833</v>
      </c>
      <c r="J524">
        <v>389</v>
      </c>
    </row>
    <row r="525" spans="1:10" x14ac:dyDescent="0.35">
      <c r="A525">
        <v>524</v>
      </c>
      <c r="B525" t="s">
        <v>263</v>
      </c>
      <c r="C525" t="s">
        <v>154</v>
      </c>
      <c r="D525" t="s">
        <v>172</v>
      </c>
      <c r="E525" s="1">
        <v>75874</v>
      </c>
      <c r="F525" s="1">
        <v>385949</v>
      </c>
      <c r="G525">
        <v>55</v>
      </c>
      <c r="H525">
        <v>3</v>
      </c>
      <c r="I525" s="1">
        <f>fact[[#This Row],[units_sold]]*fact[[#This Row],[price_usd]]</f>
        <v>22155208</v>
      </c>
      <c r="J525">
        <v>292</v>
      </c>
    </row>
    <row r="526" spans="1:10" x14ac:dyDescent="0.35">
      <c r="A526">
        <v>525</v>
      </c>
      <c r="B526" t="s">
        <v>200</v>
      </c>
      <c r="C526" t="s">
        <v>68</v>
      </c>
      <c r="D526" t="s">
        <v>166</v>
      </c>
      <c r="E526" s="1">
        <v>111427</v>
      </c>
      <c r="F526" s="1">
        <v>390281</v>
      </c>
      <c r="G526">
        <v>350</v>
      </c>
      <c r="H526">
        <v>3</v>
      </c>
      <c r="I526" s="1">
        <f>fact[[#This Row],[units_sold]]*fact[[#This Row],[price_usd]]</f>
        <v>119784025</v>
      </c>
      <c r="J526">
        <v>1075</v>
      </c>
    </row>
    <row r="527" spans="1:10" x14ac:dyDescent="0.35">
      <c r="A527">
        <v>526</v>
      </c>
      <c r="B527" t="s">
        <v>200</v>
      </c>
      <c r="C527" t="s">
        <v>88</v>
      </c>
      <c r="D527" t="s">
        <v>171</v>
      </c>
      <c r="E527" s="1">
        <v>118981</v>
      </c>
      <c r="F527" s="1">
        <v>262566</v>
      </c>
      <c r="G527">
        <v>96</v>
      </c>
      <c r="H527">
        <v>6</v>
      </c>
      <c r="I527" s="1">
        <f>fact[[#This Row],[units_sold]]*fact[[#This Row],[price_usd]]</f>
        <v>74006182</v>
      </c>
      <c r="J527">
        <v>622</v>
      </c>
    </row>
    <row r="528" spans="1:10" x14ac:dyDescent="0.35">
      <c r="A528">
        <v>527</v>
      </c>
      <c r="B528" t="s">
        <v>200</v>
      </c>
      <c r="C528" t="s">
        <v>93</v>
      </c>
      <c r="D528" t="s">
        <v>32</v>
      </c>
      <c r="E528" s="1">
        <v>77422</v>
      </c>
      <c r="F528" s="1">
        <v>363804</v>
      </c>
      <c r="G528">
        <v>390</v>
      </c>
      <c r="H528">
        <v>5</v>
      </c>
      <c r="I528" s="1">
        <f>fact[[#This Row],[units_sold]]*fact[[#This Row],[price_usd]]</f>
        <v>87873970</v>
      </c>
      <c r="J528">
        <v>1135</v>
      </c>
    </row>
    <row r="529" spans="1:10" x14ac:dyDescent="0.35">
      <c r="A529">
        <v>528</v>
      </c>
      <c r="B529" t="s">
        <v>200</v>
      </c>
      <c r="C529" t="s">
        <v>121</v>
      </c>
      <c r="D529" t="s">
        <v>172</v>
      </c>
      <c r="E529" s="1">
        <v>66551</v>
      </c>
      <c r="F529" s="1">
        <v>228371</v>
      </c>
      <c r="G529">
        <v>183</v>
      </c>
      <c r="H529">
        <v>3</v>
      </c>
      <c r="I529" s="1">
        <f>fact[[#This Row],[units_sold]]*fact[[#This Row],[price_usd]]</f>
        <v>26620400</v>
      </c>
      <c r="J529">
        <v>400</v>
      </c>
    </row>
    <row r="530" spans="1:10" x14ac:dyDescent="0.35">
      <c r="A530">
        <v>529</v>
      </c>
      <c r="B530" t="s">
        <v>200</v>
      </c>
      <c r="C530" t="s">
        <v>135</v>
      </c>
      <c r="D530" t="s">
        <v>172</v>
      </c>
      <c r="E530" s="1">
        <v>37035</v>
      </c>
      <c r="F530" s="1">
        <v>432526</v>
      </c>
      <c r="G530">
        <v>157</v>
      </c>
      <c r="H530">
        <v>4</v>
      </c>
      <c r="I530" s="1">
        <f>fact[[#This Row],[units_sold]]*fact[[#This Row],[price_usd]]</f>
        <v>19776690</v>
      </c>
      <c r="J530">
        <v>534</v>
      </c>
    </row>
    <row r="531" spans="1:10" x14ac:dyDescent="0.35">
      <c r="A531">
        <v>530</v>
      </c>
      <c r="B531" t="s">
        <v>200</v>
      </c>
      <c r="C531" t="s">
        <v>139</v>
      </c>
      <c r="D531" t="s">
        <v>167</v>
      </c>
      <c r="E531" s="1">
        <v>62843</v>
      </c>
      <c r="F531" s="1">
        <v>482184</v>
      </c>
      <c r="G531">
        <v>323</v>
      </c>
      <c r="H531">
        <v>7</v>
      </c>
      <c r="I531" s="1">
        <f>fact[[#This Row],[units_sold]]*fact[[#This Row],[price_usd]]</f>
        <v>61271925</v>
      </c>
      <c r="J531">
        <v>975</v>
      </c>
    </row>
    <row r="532" spans="1:10" x14ac:dyDescent="0.35">
      <c r="A532">
        <v>531</v>
      </c>
      <c r="B532" t="s">
        <v>200</v>
      </c>
      <c r="C532" t="s">
        <v>130</v>
      </c>
      <c r="D532" t="s">
        <v>32</v>
      </c>
      <c r="E532" s="1">
        <v>107572</v>
      </c>
      <c r="F532" s="1">
        <v>381665</v>
      </c>
      <c r="G532">
        <v>188</v>
      </c>
      <c r="H532">
        <v>7</v>
      </c>
      <c r="I532" s="1">
        <f>fact[[#This Row],[units_sold]]*fact[[#This Row],[price_usd]]</f>
        <v>87456036</v>
      </c>
      <c r="J532">
        <v>813</v>
      </c>
    </row>
    <row r="533" spans="1:10" x14ac:dyDescent="0.35">
      <c r="A533">
        <v>532</v>
      </c>
      <c r="B533" t="s">
        <v>200</v>
      </c>
      <c r="C533" t="s">
        <v>130</v>
      </c>
      <c r="D533" t="s">
        <v>166</v>
      </c>
      <c r="E533" s="1">
        <v>90565</v>
      </c>
      <c r="F533" s="1">
        <v>66535</v>
      </c>
      <c r="G533">
        <v>311</v>
      </c>
      <c r="H533">
        <v>5</v>
      </c>
      <c r="I533" s="1">
        <f>fact[[#This Row],[units_sold]]*fact[[#This Row],[price_usd]]</f>
        <v>95183815</v>
      </c>
      <c r="J533">
        <v>1051</v>
      </c>
    </row>
    <row r="534" spans="1:10" x14ac:dyDescent="0.35">
      <c r="A534">
        <v>533</v>
      </c>
      <c r="B534" t="s">
        <v>200</v>
      </c>
      <c r="C534" t="s">
        <v>152</v>
      </c>
      <c r="D534" t="s">
        <v>32</v>
      </c>
      <c r="E534" s="1">
        <v>52010</v>
      </c>
      <c r="F534" s="1">
        <v>474606</v>
      </c>
      <c r="G534">
        <v>358</v>
      </c>
      <c r="H534">
        <v>1</v>
      </c>
      <c r="I534" s="1">
        <f>fact[[#This Row],[units_sold]]*fact[[#This Row],[price_usd]]</f>
        <v>50969800</v>
      </c>
      <c r="J534">
        <v>980</v>
      </c>
    </row>
    <row r="535" spans="1:10" x14ac:dyDescent="0.35">
      <c r="A535">
        <v>534</v>
      </c>
      <c r="B535" t="s">
        <v>232</v>
      </c>
      <c r="C535" t="s">
        <v>47</v>
      </c>
      <c r="D535" t="s">
        <v>166</v>
      </c>
      <c r="E535" s="1">
        <v>35463</v>
      </c>
      <c r="F535" s="1">
        <v>284873</v>
      </c>
      <c r="G535">
        <v>142</v>
      </c>
      <c r="H535">
        <v>8</v>
      </c>
      <c r="I535" s="1">
        <f>fact[[#This Row],[units_sold]]*fact[[#This Row],[price_usd]]</f>
        <v>22838172</v>
      </c>
      <c r="J535">
        <v>644</v>
      </c>
    </row>
    <row r="536" spans="1:10" x14ac:dyDescent="0.35">
      <c r="A536">
        <v>535</v>
      </c>
      <c r="B536" t="s">
        <v>232</v>
      </c>
      <c r="C536" t="s">
        <v>110</v>
      </c>
      <c r="D536" t="s">
        <v>170</v>
      </c>
      <c r="E536" s="1">
        <v>50581</v>
      </c>
      <c r="F536" s="1">
        <v>431164</v>
      </c>
      <c r="G536">
        <v>331</v>
      </c>
      <c r="H536">
        <v>1</v>
      </c>
      <c r="I536" s="1">
        <f>fact[[#This Row],[units_sold]]*fact[[#This Row],[price_usd]]</f>
        <v>44359537</v>
      </c>
      <c r="J536">
        <v>877</v>
      </c>
    </row>
    <row r="537" spans="1:10" x14ac:dyDescent="0.35">
      <c r="A537">
        <v>536</v>
      </c>
      <c r="B537" t="s">
        <v>232</v>
      </c>
      <c r="C537" t="s">
        <v>125</v>
      </c>
      <c r="D537" t="s">
        <v>173</v>
      </c>
      <c r="E537" s="1">
        <v>43802</v>
      </c>
      <c r="F537" s="1">
        <v>83461</v>
      </c>
      <c r="G537">
        <v>108</v>
      </c>
      <c r="H537">
        <v>4</v>
      </c>
      <c r="I537" s="1">
        <f>fact[[#This Row],[units_sold]]*fact[[#This Row],[price_usd]]</f>
        <v>27901874</v>
      </c>
      <c r="J537">
        <v>637</v>
      </c>
    </row>
    <row r="538" spans="1:10" x14ac:dyDescent="0.35">
      <c r="A538">
        <v>537</v>
      </c>
      <c r="B538" t="s">
        <v>232</v>
      </c>
      <c r="C538" t="s">
        <v>121</v>
      </c>
      <c r="D538" t="s">
        <v>169</v>
      </c>
      <c r="E538" s="1">
        <v>81040</v>
      </c>
      <c r="F538" s="1">
        <v>208998</v>
      </c>
      <c r="G538">
        <v>155</v>
      </c>
      <c r="H538">
        <v>4</v>
      </c>
      <c r="I538" s="1">
        <f>fact[[#This Row],[units_sold]]*fact[[#This Row],[price_usd]]</f>
        <v>57295280</v>
      </c>
      <c r="J538">
        <v>707</v>
      </c>
    </row>
    <row r="539" spans="1:10" x14ac:dyDescent="0.35">
      <c r="A539">
        <v>538</v>
      </c>
      <c r="B539" t="s">
        <v>232</v>
      </c>
      <c r="C539" t="s">
        <v>156</v>
      </c>
      <c r="D539" t="s">
        <v>166</v>
      </c>
      <c r="E539" s="1">
        <v>66376</v>
      </c>
      <c r="F539" s="1">
        <v>435751</v>
      </c>
      <c r="G539">
        <v>280</v>
      </c>
      <c r="H539">
        <v>5</v>
      </c>
      <c r="I539" s="1">
        <f>fact[[#This Row],[units_sold]]*fact[[#This Row],[price_usd]]</f>
        <v>40489360</v>
      </c>
      <c r="J539">
        <v>610</v>
      </c>
    </row>
    <row r="540" spans="1:10" x14ac:dyDescent="0.35">
      <c r="A540">
        <v>539</v>
      </c>
      <c r="B540" t="s">
        <v>232</v>
      </c>
      <c r="C540" t="s">
        <v>153</v>
      </c>
      <c r="D540" t="s">
        <v>168</v>
      </c>
      <c r="E540" s="1">
        <v>46049</v>
      </c>
      <c r="F540" s="1">
        <v>369064</v>
      </c>
      <c r="G540">
        <v>21</v>
      </c>
      <c r="H540">
        <v>9</v>
      </c>
      <c r="I540" s="1">
        <f>fact[[#This Row],[units_sold]]*fact[[#This Row],[price_usd]]</f>
        <v>4420704</v>
      </c>
      <c r="J540">
        <v>96</v>
      </c>
    </row>
    <row r="541" spans="1:10" x14ac:dyDescent="0.35">
      <c r="A541">
        <v>540</v>
      </c>
      <c r="B541" t="s">
        <v>189</v>
      </c>
      <c r="C541" t="s">
        <v>50</v>
      </c>
      <c r="D541" t="s">
        <v>173</v>
      </c>
      <c r="E541" s="1">
        <v>61312</v>
      </c>
      <c r="F541" s="1">
        <v>365288</v>
      </c>
      <c r="G541">
        <v>356</v>
      </c>
      <c r="H541">
        <v>1</v>
      </c>
      <c r="I541" s="1">
        <f>fact[[#This Row],[units_sold]]*fact[[#This Row],[price_usd]]</f>
        <v>59104768</v>
      </c>
      <c r="J541">
        <v>964</v>
      </c>
    </row>
    <row r="542" spans="1:10" x14ac:dyDescent="0.35">
      <c r="A542">
        <v>541</v>
      </c>
      <c r="B542" t="s">
        <v>189</v>
      </c>
      <c r="C542" t="s">
        <v>66</v>
      </c>
      <c r="D542" t="s">
        <v>165</v>
      </c>
      <c r="E542" s="1">
        <v>87413</v>
      </c>
      <c r="F542" s="1">
        <v>299141</v>
      </c>
      <c r="G542">
        <v>323</v>
      </c>
      <c r="H542">
        <v>4</v>
      </c>
      <c r="I542" s="1">
        <f>fact[[#This Row],[units_sold]]*fact[[#This Row],[price_usd]]</f>
        <v>91871063</v>
      </c>
      <c r="J542">
        <v>1051</v>
      </c>
    </row>
    <row r="543" spans="1:10" x14ac:dyDescent="0.35">
      <c r="A543">
        <v>542</v>
      </c>
      <c r="B543" t="s">
        <v>189</v>
      </c>
      <c r="C543" t="s">
        <v>63</v>
      </c>
      <c r="D543" t="s">
        <v>172</v>
      </c>
      <c r="E543" s="1">
        <v>117821</v>
      </c>
      <c r="F543" s="1">
        <v>58177</v>
      </c>
      <c r="G543">
        <v>281</v>
      </c>
      <c r="H543">
        <v>3</v>
      </c>
      <c r="I543" s="1">
        <f>fact[[#This Row],[units_sold]]*fact[[#This Row],[price_usd]]</f>
        <v>77054934</v>
      </c>
      <c r="J543">
        <v>654</v>
      </c>
    </row>
    <row r="544" spans="1:10" x14ac:dyDescent="0.35">
      <c r="A544">
        <v>543</v>
      </c>
      <c r="B544" t="s">
        <v>189</v>
      </c>
      <c r="C544" t="s">
        <v>70</v>
      </c>
      <c r="D544" t="s">
        <v>172</v>
      </c>
      <c r="E544" s="1">
        <v>54880</v>
      </c>
      <c r="F544" s="1">
        <v>337062</v>
      </c>
      <c r="G544">
        <v>88</v>
      </c>
      <c r="H544">
        <v>9</v>
      </c>
      <c r="I544" s="1">
        <f>fact[[#This Row],[units_sold]]*fact[[#This Row],[price_usd]]</f>
        <v>25080160</v>
      </c>
      <c r="J544">
        <v>457</v>
      </c>
    </row>
    <row r="545" spans="1:10" x14ac:dyDescent="0.35">
      <c r="A545">
        <v>544</v>
      </c>
      <c r="B545" t="s">
        <v>189</v>
      </c>
      <c r="C545" t="s">
        <v>78</v>
      </c>
      <c r="D545" t="s">
        <v>172</v>
      </c>
      <c r="E545" s="1">
        <v>105219</v>
      </c>
      <c r="F545" s="1">
        <v>63569</v>
      </c>
      <c r="G545">
        <v>94</v>
      </c>
      <c r="H545">
        <v>8</v>
      </c>
      <c r="I545" s="1">
        <f>fact[[#This Row],[units_sold]]*fact[[#This Row],[price_usd]]</f>
        <v>18518544</v>
      </c>
      <c r="J545">
        <v>176</v>
      </c>
    </row>
    <row r="546" spans="1:10" x14ac:dyDescent="0.35">
      <c r="A546">
        <v>545</v>
      </c>
      <c r="B546" t="s">
        <v>189</v>
      </c>
      <c r="C546" t="s">
        <v>72</v>
      </c>
      <c r="D546" t="s">
        <v>168</v>
      </c>
      <c r="E546" s="1">
        <v>109462</v>
      </c>
      <c r="F546" s="1">
        <v>352666</v>
      </c>
      <c r="G546">
        <v>197</v>
      </c>
      <c r="H546">
        <v>1</v>
      </c>
      <c r="I546" s="1">
        <f>fact[[#This Row],[units_sold]]*fact[[#This Row],[price_usd]]</f>
        <v>81439728</v>
      </c>
      <c r="J546">
        <v>744</v>
      </c>
    </row>
    <row r="547" spans="1:10" x14ac:dyDescent="0.35">
      <c r="A547">
        <v>546</v>
      </c>
      <c r="B547" t="s">
        <v>189</v>
      </c>
      <c r="C547" t="s">
        <v>99</v>
      </c>
      <c r="D547" t="s">
        <v>165</v>
      </c>
      <c r="E547" s="1">
        <v>57195</v>
      </c>
      <c r="F547" s="1">
        <v>219801</v>
      </c>
      <c r="G547">
        <v>82</v>
      </c>
      <c r="H547">
        <v>6</v>
      </c>
      <c r="I547" s="1">
        <f>fact[[#This Row],[units_sold]]*fact[[#This Row],[price_usd]]</f>
        <v>29226645</v>
      </c>
      <c r="J547">
        <v>511</v>
      </c>
    </row>
    <row r="548" spans="1:10" x14ac:dyDescent="0.35">
      <c r="A548">
        <v>547</v>
      </c>
      <c r="B548" t="s">
        <v>189</v>
      </c>
      <c r="C548" t="s">
        <v>148</v>
      </c>
      <c r="D548" t="s">
        <v>169</v>
      </c>
      <c r="E548" s="1">
        <v>58889</v>
      </c>
      <c r="F548" s="1">
        <v>262204</v>
      </c>
      <c r="G548">
        <v>381</v>
      </c>
      <c r="H548">
        <v>1</v>
      </c>
      <c r="I548" s="1">
        <f>fact[[#This Row],[units_sold]]*fact[[#This Row],[price_usd]]</f>
        <v>48230091</v>
      </c>
      <c r="J548">
        <v>819</v>
      </c>
    </row>
    <row r="549" spans="1:10" x14ac:dyDescent="0.35">
      <c r="A549">
        <v>548</v>
      </c>
      <c r="B549" t="s">
        <v>233</v>
      </c>
      <c r="C549" t="s">
        <v>53</v>
      </c>
      <c r="D549" t="s">
        <v>170</v>
      </c>
      <c r="E549" s="1">
        <v>62672</v>
      </c>
      <c r="F549" s="1">
        <v>419942</v>
      </c>
      <c r="G549">
        <v>226</v>
      </c>
      <c r="H549">
        <v>9</v>
      </c>
      <c r="I549" s="1">
        <f>fact[[#This Row],[units_sold]]*fact[[#This Row],[price_usd]]</f>
        <v>53145856</v>
      </c>
      <c r="J549">
        <v>848</v>
      </c>
    </row>
    <row r="550" spans="1:10" x14ac:dyDescent="0.35">
      <c r="A550">
        <v>549</v>
      </c>
      <c r="B550" t="s">
        <v>233</v>
      </c>
      <c r="C550" t="s">
        <v>68</v>
      </c>
      <c r="D550" t="s">
        <v>170</v>
      </c>
      <c r="E550" s="1">
        <v>52576</v>
      </c>
      <c r="F550" s="1">
        <v>84409</v>
      </c>
      <c r="G550">
        <v>153</v>
      </c>
      <c r="H550">
        <v>8</v>
      </c>
      <c r="I550" s="1">
        <f>fact[[#This Row],[units_sold]]*fact[[#This Row],[price_usd]]</f>
        <v>38275328</v>
      </c>
      <c r="J550">
        <v>728</v>
      </c>
    </row>
    <row r="551" spans="1:10" x14ac:dyDescent="0.35">
      <c r="A551">
        <v>550</v>
      </c>
      <c r="B551" t="s">
        <v>233</v>
      </c>
      <c r="C551" t="s">
        <v>70</v>
      </c>
      <c r="D551" t="s">
        <v>171</v>
      </c>
      <c r="E551" s="1">
        <v>73417</v>
      </c>
      <c r="F551" s="1">
        <v>358474</v>
      </c>
      <c r="G551">
        <v>89</v>
      </c>
      <c r="H551">
        <v>10</v>
      </c>
      <c r="I551" s="1">
        <f>fact[[#This Row],[units_sold]]*fact[[#This Row],[price_usd]]</f>
        <v>32817399</v>
      </c>
      <c r="J551">
        <v>447</v>
      </c>
    </row>
    <row r="552" spans="1:10" x14ac:dyDescent="0.35">
      <c r="A552">
        <v>551</v>
      </c>
      <c r="B552" t="s">
        <v>233</v>
      </c>
      <c r="C552" t="s">
        <v>83</v>
      </c>
      <c r="D552" t="s">
        <v>165</v>
      </c>
      <c r="E552" s="1">
        <v>45313</v>
      </c>
      <c r="F552" s="1">
        <v>354606</v>
      </c>
      <c r="G552">
        <v>33</v>
      </c>
      <c r="H552">
        <v>3</v>
      </c>
      <c r="I552" s="1">
        <f>fact[[#This Row],[units_sold]]*fact[[#This Row],[price_usd]]</f>
        <v>24015890</v>
      </c>
      <c r="J552">
        <v>530</v>
      </c>
    </row>
    <row r="553" spans="1:10" x14ac:dyDescent="0.35">
      <c r="A553">
        <v>552</v>
      </c>
      <c r="B553" t="s">
        <v>233</v>
      </c>
      <c r="C553" t="s">
        <v>86</v>
      </c>
      <c r="D553" t="s">
        <v>168</v>
      </c>
      <c r="E553" s="1">
        <v>98456</v>
      </c>
      <c r="F553" s="1">
        <v>326693</v>
      </c>
      <c r="G553">
        <v>109</v>
      </c>
      <c r="H553">
        <v>8</v>
      </c>
      <c r="I553" s="1">
        <f>fact[[#This Row],[units_sold]]*fact[[#This Row],[price_usd]]</f>
        <v>55627640</v>
      </c>
      <c r="J553">
        <v>565</v>
      </c>
    </row>
    <row r="554" spans="1:10" x14ac:dyDescent="0.35">
      <c r="A554">
        <v>553</v>
      </c>
      <c r="B554" t="s">
        <v>233</v>
      </c>
      <c r="C554" t="s">
        <v>92</v>
      </c>
      <c r="D554" t="s">
        <v>168</v>
      </c>
      <c r="E554" s="1">
        <v>54782</v>
      </c>
      <c r="F554" s="1">
        <v>155723</v>
      </c>
      <c r="G554">
        <v>335</v>
      </c>
      <c r="H554">
        <v>4</v>
      </c>
      <c r="I554" s="1">
        <f>fact[[#This Row],[units_sold]]*fact[[#This Row],[price_usd]]</f>
        <v>58397612</v>
      </c>
      <c r="J554">
        <v>1066</v>
      </c>
    </row>
    <row r="555" spans="1:10" x14ac:dyDescent="0.35">
      <c r="A555">
        <v>554</v>
      </c>
      <c r="B555" t="s">
        <v>233</v>
      </c>
      <c r="C555" t="s">
        <v>142</v>
      </c>
      <c r="D555" t="s">
        <v>168</v>
      </c>
      <c r="E555" s="1">
        <v>103689</v>
      </c>
      <c r="F555" s="1">
        <v>161825</v>
      </c>
      <c r="G555">
        <v>11</v>
      </c>
      <c r="H555">
        <v>10</v>
      </c>
      <c r="I555" s="1">
        <f>fact[[#This Row],[units_sold]]*fact[[#This Row],[price_usd]]</f>
        <v>9539388</v>
      </c>
      <c r="J555">
        <v>92</v>
      </c>
    </row>
    <row r="556" spans="1:10" x14ac:dyDescent="0.35">
      <c r="A556">
        <v>555</v>
      </c>
      <c r="B556" t="s">
        <v>233</v>
      </c>
      <c r="C556" t="s">
        <v>154</v>
      </c>
      <c r="D556" t="s">
        <v>171</v>
      </c>
      <c r="E556" s="1">
        <v>87335</v>
      </c>
      <c r="F556" s="1">
        <v>200823</v>
      </c>
      <c r="G556">
        <v>195</v>
      </c>
      <c r="H556">
        <v>5</v>
      </c>
      <c r="I556" s="1">
        <f>fact[[#This Row],[units_sold]]*fact[[#This Row],[price_usd]]</f>
        <v>39388085</v>
      </c>
      <c r="J556">
        <v>451</v>
      </c>
    </row>
    <row r="557" spans="1:10" x14ac:dyDescent="0.35">
      <c r="A557">
        <v>556</v>
      </c>
      <c r="B557" t="s">
        <v>211</v>
      </c>
      <c r="C557" t="s">
        <v>45</v>
      </c>
      <c r="D557" t="s">
        <v>170</v>
      </c>
      <c r="E557" s="1">
        <v>60625</v>
      </c>
      <c r="F557" s="1">
        <v>492765</v>
      </c>
      <c r="G557">
        <v>323</v>
      </c>
      <c r="H557">
        <v>2</v>
      </c>
      <c r="I557" s="1">
        <f>fact[[#This Row],[units_sold]]*fact[[#This Row],[price_usd]]</f>
        <v>57836250</v>
      </c>
      <c r="J557">
        <v>954</v>
      </c>
    </row>
    <row r="558" spans="1:10" x14ac:dyDescent="0.35">
      <c r="A558">
        <v>557</v>
      </c>
      <c r="B558" t="s">
        <v>211</v>
      </c>
      <c r="C558" t="s">
        <v>58</v>
      </c>
      <c r="D558" t="s">
        <v>168</v>
      </c>
      <c r="E558" s="1">
        <v>110609</v>
      </c>
      <c r="F558" s="1">
        <v>73004</v>
      </c>
      <c r="G558">
        <v>111</v>
      </c>
      <c r="H558">
        <v>1</v>
      </c>
      <c r="I558" s="1">
        <f>fact[[#This Row],[units_sold]]*fact[[#This Row],[price_usd]]</f>
        <v>69462452</v>
      </c>
      <c r="J558">
        <v>628</v>
      </c>
    </row>
    <row r="559" spans="1:10" x14ac:dyDescent="0.35">
      <c r="A559">
        <v>558</v>
      </c>
      <c r="B559" t="s">
        <v>211</v>
      </c>
      <c r="C559" t="s">
        <v>59</v>
      </c>
      <c r="D559" t="s">
        <v>171</v>
      </c>
      <c r="E559" s="1">
        <v>35153</v>
      </c>
      <c r="F559" s="1">
        <v>250598</v>
      </c>
      <c r="G559">
        <v>104</v>
      </c>
      <c r="H559">
        <v>9</v>
      </c>
      <c r="I559" s="1">
        <f>fact[[#This Row],[units_sold]]*fact[[#This Row],[price_usd]]</f>
        <v>22146390</v>
      </c>
      <c r="J559">
        <v>630</v>
      </c>
    </row>
    <row r="560" spans="1:10" x14ac:dyDescent="0.35">
      <c r="A560">
        <v>559</v>
      </c>
      <c r="B560" t="s">
        <v>211</v>
      </c>
      <c r="C560" t="s">
        <v>75</v>
      </c>
      <c r="D560" t="s">
        <v>168</v>
      </c>
      <c r="E560" s="1">
        <v>43346</v>
      </c>
      <c r="F560" s="1">
        <v>212696</v>
      </c>
      <c r="G560">
        <v>144</v>
      </c>
      <c r="H560">
        <v>4</v>
      </c>
      <c r="I560" s="1">
        <f>fact[[#This Row],[units_sold]]*fact[[#This Row],[price_usd]]</f>
        <v>16731556</v>
      </c>
      <c r="J560">
        <v>386</v>
      </c>
    </row>
    <row r="561" spans="1:10" x14ac:dyDescent="0.35">
      <c r="A561">
        <v>560</v>
      </c>
      <c r="B561" t="s">
        <v>211</v>
      </c>
      <c r="C561" t="s">
        <v>73</v>
      </c>
      <c r="D561" t="s">
        <v>168</v>
      </c>
      <c r="E561" s="1">
        <v>78894</v>
      </c>
      <c r="F561" s="1">
        <v>311578</v>
      </c>
      <c r="G561">
        <v>368</v>
      </c>
      <c r="H561">
        <v>7</v>
      </c>
      <c r="I561" s="1">
        <f>fact[[#This Row],[units_sold]]*fact[[#This Row],[price_usd]]</f>
        <v>90728100</v>
      </c>
      <c r="J561">
        <v>1150</v>
      </c>
    </row>
    <row r="562" spans="1:10" x14ac:dyDescent="0.35">
      <c r="A562">
        <v>561</v>
      </c>
      <c r="B562" t="s">
        <v>211</v>
      </c>
      <c r="C562" t="s">
        <v>81</v>
      </c>
      <c r="D562" t="s">
        <v>171</v>
      </c>
      <c r="E562" s="1">
        <v>86137</v>
      </c>
      <c r="F562" s="1">
        <v>403023</v>
      </c>
      <c r="G562">
        <v>298</v>
      </c>
      <c r="H562">
        <v>6</v>
      </c>
      <c r="I562" s="1">
        <f>fact[[#This Row],[units_sold]]*fact[[#This Row],[price_usd]]</f>
        <v>76317382</v>
      </c>
      <c r="J562">
        <v>886</v>
      </c>
    </row>
    <row r="563" spans="1:10" x14ac:dyDescent="0.35">
      <c r="A563">
        <v>562</v>
      </c>
      <c r="B563" t="s">
        <v>211</v>
      </c>
      <c r="C563" t="s">
        <v>90</v>
      </c>
      <c r="D563" t="s">
        <v>171</v>
      </c>
      <c r="E563" s="1">
        <v>53984</v>
      </c>
      <c r="F563" s="1">
        <v>294172</v>
      </c>
      <c r="G563">
        <v>196</v>
      </c>
      <c r="H563">
        <v>4</v>
      </c>
      <c r="I563" s="1">
        <f>fact[[#This Row],[units_sold]]*fact[[#This Row],[price_usd]]</f>
        <v>29421280</v>
      </c>
      <c r="J563">
        <v>545</v>
      </c>
    </row>
    <row r="564" spans="1:10" x14ac:dyDescent="0.35">
      <c r="A564">
        <v>563</v>
      </c>
      <c r="B564" t="s">
        <v>211</v>
      </c>
      <c r="C564" t="s">
        <v>103</v>
      </c>
      <c r="D564" t="s">
        <v>32</v>
      </c>
      <c r="E564" s="1">
        <v>100776</v>
      </c>
      <c r="F564" s="1">
        <v>328011</v>
      </c>
      <c r="G564">
        <v>214</v>
      </c>
      <c r="H564">
        <v>1</v>
      </c>
      <c r="I564" s="1">
        <f>fact[[#This Row],[units_sold]]*fact[[#This Row],[price_usd]]</f>
        <v>71954064</v>
      </c>
      <c r="J564">
        <v>714</v>
      </c>
    </row>
    <row r="565" spans="1:10" x14ac:dyDescent="0.35">
      <c r="A565">
        <v>564</v>
      </c>
      <c r="B565" t="s">
        <v>211</v>
      </c>
      <c r="C565" t="s">
        <v>101</v>
      </c>
      <c r="D565" t="s">
        <v>173</v>
      </c>
      <c r="E565" s="1">
        <v>49141</v>
      </c>
      <c r="F565" s="1">
        <v>225858</v>
      </c>
      <c r="G565">
        <v>289</v>
      </c>
      <c r="H565">
        <v>2</v>
      </c>
      <c r="I565" s="1">
        <f>fact[[#This Row],[units_sold]]*fact[[#This Row],[price_usd]]</f>
        <v>31843368</v>
      </c>
      <c r="J565">
        <v>648</v>
      </c>
    </row>
    <row r="566" spans="1:10" x14ac:dyDescent="0.35">
      <c r="A566">
        <v>565</v>
      </c>
      <c r="B566" t="s">
        <v>211</v>
      </c>
      <c r="C566" t="s">
        <v>111</v>
      </c>
      <c r="D566" t="s">
        <v>169</v>
      </c>
      <c r="E566" s="1">
        <v>68798</v>
      </c>
      <c r="F566" s="1">
        <v>331567</v>
      </c>
      <c r="G566">
        <v>282</v>
      </c>
      <c r="H566">
        <v>4</v>
      </c>
      <c r="I566" s="1">
        <f>fact[[#This Row],[units_sold]]*fact[[#This Row],[price_usd]]</f>
        <v>50222540</v>
      </c>
      <c r="J566">
        <v>730</v>
      </c>
    </row>
    <row r="567" spans="1:10" x14ac:dyDescent="0.35">
      <c r="A567">
        <v>566</v>
      </c>
      <c r="B567" t="s">
        <v>211</v>
      </c>
      <c r="C567" t="s">
        <v>117</v>
      </c>
      <c r="D567" t="s">
        <v>167</v>
      </c>
      <c r="E567" s="1">
        <v>114854</v>
      </c>
      <c r="F567" s="1">
        <v>409698</v>
      </c>
      <c r="G567">
        <v>319</v>
      </c>
      <c r="H567">
        <v>2</v>
      </c>
      <c r="I567" s="1">
        <f>fact[[#This Row],[units_sold]]*fact[[#This Row],[price_usd]]</f>
        <v>92687178</v>
      </c>
      <c r="J567">
        <v>807</v>
      </c>
    </row>
    <row r="568" spans="1:10" x14ac:dyDescent="0.35">
      <c r="A568">
        <v>567</v>
      </c>
      <c r="B568" t="s">
        <v>211</v>
      </c>
      <c r="C568" t="s">
        <v>138</v>
      </c>
      <c r="D568" t="s">
        <v>32</v>
      </c>
      <c r="E568" s="1">
        <v>105211</v>
      </c>
      <c r="F568" s="1">
        <v>333895</v>
      </c>
      <c r="G568">
        <v>335</v>
      </c>
      <c r="H568">
        <v>9</v>
      </c>
      <c r="I568" s="1">
        <f>fact[[#This Row],[units_sold]]*fact[[#This Row],[price_usd]]</f>
        <v>81328103</v>
      </c>
      <c r="J568">
        <v>773</v>
      </c>
    </row>
    <row r="569" spans="1:10" x14ac:dyDescent="0.35">
      <c r="A569">
        <v>568</v>
      </c>
      <c r="B569" t="s">
        <v>211</v>
      </c>
      <c r="C569" t="s">
        <v>128</v>
      </c>
      <c r="D569" t="s">
        <v>165</v>
      </c>
      <c r="E569" s="1">
        <v>91117</v>
      </c>
      <c r="F569" s="1">
        <v>385325</v>
      </c>
      <c r="G569">
        <v>385</v>
      </c>
      <c r="H569">
        <v>9</v>
      </c>
      <c r="I569" s="1">
        <f>fact[[#This Row],[units_sold]]*fact[[#This Row],[price_usd]]</f>
        <v>94397212</v>
      </c>
      <c r="J569">
        <v>1036</v>
      </c>
    </row>
    <row r="570" spans="1:10" x14ac:dyDescent="0.35">
      <c r="A570">
        <v>569</v>
      </c>
      <c r="B570" t="s">
        <v>211</v>
      </c>
      <c r="C570" t="s">
        <v>156</v>
      </c>
      <c r="D570" t="s">
        <v>173</v>
      </c>
      <c r="E570" s="1">
        <v>44269</v>
      </c>
      <c r="F570" s="1">
        <v>95641</v>
      </c>
      <c r="G570">
        <v>368</v>
      </c>
      <c r="H570">
        <v>5</v>
      </c>
      <c r="I570" s="1">
        <f>fact[[#This Row],[units_sold]]*fact[[#This Row],[price_usd]]</f>
        <v>44003386</v>
      </c>
      <c r="J570">
        <v>994</v>
      </c>
    </row>
    <row r="571" spans="1:10" x14ac:dyDescent="0.35">
      <c r="A571">
        <v>570</v>
      </c>
      <c r="B571" t="s">
        <v>211</v>
      </c>
      <c r="C571" t="s">
        <v>161</v>
      </c>
      <c r="D571" t="s">
        <v>165</v>
      </c>
      <c r="E571" s="1">
        <v>98656</v>
      </c>
      <c r="F571" s="1">
        <v>229845</v>
      </c>
      <c r="G571">
        <v>112</v>
      </c>
      <c r="H571">
        <v>3</v>
      </c>
      <c r="I571" s="1">
        <f>fact[[#This Row],[units_sold]]*fact[[#This Row],[price_usd]]</f>
        <v>47256224</v>
      </c>
      <c r="J571">
        <v>479</v>
      </c>
    </row>
    <row r="572" spans="1:10" x14ac:dyDescent="0.35">
      <c r="A572">
        <v>571</v>
      </c>
      <c r="B572" t="s">
        <v>197</v>
      </c>
      <c r="C572" t="s">
        <v>78</v>
      </c>
      <c r="D572" t="s">
        <v>168</v>
      </c>
      <c r="E572" s="1">
        <v>61870</v>
      </c>
      <c r="F572" s="1">
        <v>64799</v>
      </c>
      <c r="G572">
        <v>158</v>
      </c>
      <c r="H572">
        <v>8</v>
      </c>
      <c r="I572" s="1">
        <f>fact[[#This Row],[units_sold]]*fact[[#This Row],[price_usd]]</f>
        <v>45783800</v>
      </c>
      <c r="J572">
        <v>740</v>
      </c>
    </row>
    <row r="573" spans="1:10" x14ac:dyDescent="0.35">
      <c r="A573">
        <v>572</v>
      </c>
      <c r="B573" t="s">
        <v>197</v>
      </c>
      <c r="C573" t="s">
        <v>112</v>
      </c>
      <c r="D573" t="s">
        <v>166</v>
      </c>
      <c r="E573" s="1">
        <v>58474</v>
      </c>
      <c r="F573" s="1">
        <v>196104</v>
      </c>
      <c r="G573">
        <v>61</v>
      </c>
      <c r="H573">
        <v>2</v>
      </c>
      <c r="I573" s="1">
        <f>fact[[#This Row],[units_sold]]*fact[[#This Row],[price_usd]]</f>
        <v>14326130</v>
      </c>
      <c r="J573">
        <v>245</v>
      </c>
    </row>
    <row r="574" spans="1:10" x14ac:dyDescent="0.35">
      <c r="A574">
        <v>573</v>
      </c>
      <c r="B574" t="s">
        <v>197</v>
      </c>
      <c r="C574" t="s">
        <v>105</v>
      </c>
      <c r="D574" t="s">
        <v>32</v>
      </c>
      <c r="E574" s="1">
        <v>70333</v>
      </c>
      <c r="F574" s="1">
        <v>96562</v>
      </c>
      <c r="G574">
        <v>131</v>
      </c>
      <c r="H574">
        <v>1</v>
      </c>
      <c r="I574" s="1">
        <f>fact[[#This Row],[units_sold]]*fact[[#This Row],[price_usd]]</f>
        <v>26445208</v>
      </c>
      <c r="J574">
        <v>376</v>
      </c>
    </row>
    <row r="575" spans="1:10" x14ac:dyDescent="0.35">
      <c r="A575">
        <v>574</v>
      </c>
      <c r="B575" t="s">
        <v>197</v>
      </c>
      <c r="C575" t="s">
        <v>157</v>
      </c>
      <c r="D575" t="s">
        <v>172</v>
      </c>
      <c r="E575" s="1">
        <v>72038</v>
      </c>
      <c r="F575" s="1">
        <v>401136</v>
      </c>
      <c r="G575">
        <v>77</v>
      </c>
      <c r="H575">
        <v>7</v>
      </c>
      <c r="I575" s="1">
        <f>fact[[#This Row],[units_sold]]*fact[[#This Row],[price_usd]]</f>
        <v>29319466</v>
      </c>
      <c r="J575">
        <v>407</v>
      </c>
    </row>
    <row r="576" spans="1:10" x14ac:dyDescent="0.35">
      <c r="A576">
        <v>575</v>
      </c>
      <c r="B576" t="s">
        <v>288</v>
      </c>
      <c r="C576" t="s">
        <v>89</v>
      </c>
      <c r="D576" t="s">
        <v>169</v>
      </c>
      <c r="E576" s="1">
        <v>98723</v>
      </c>
      <c r="F576" s="1">
        <v>485686</v>
      </c>
      <c r="G576">
        <v>38</v>
      </c>
      <c r="H576">
        <v>4</v>
      </c>
      <c r="I576" s="1">
        <f>fact[[#This Row],[units_sold]]*fact[[#This Row],[price_usd]]</f>
        <v>20336938</v>
      </c>
      <c r="J576">
        <v>206</v>
      </c>
    </row>
    <row r="577" spans="1:10" x14ac:dyDescent="0.35">
      <c r="A577">
        <v>576</v>
      </c>
      <c r="B577" t="s">
        <v>288</v>
      </c>
      <c r="C577" t="s">
        <v>119</v>
      </c>
      <c r="D577" t="s">
        <v>171</v>
      </c>
      <c r="E577" s="1">
        <v>83785</v>
      </c>
      <c r="F577" s="1">
        <v>446419</v>
      </c>
      <c r="G577">
        <v>209</v>
      </c>
      <c r="H577">
        <v>8</v>
      </c>
      <c r="I577" s="1">
        <f>fact[[#This Row],[units_sold]]*fact[[#This Row],[price_usd]]</f>
        <v>63090105</v>
      </c>
      <c r="J577">
        <v>753</v>
      </c>
    </row>
    <row r="578" spans="1:10" x14ac:dyDescent="0.35">
      <c r="A578">
        <v>577</v>
      </c>
      <c r="B578" t="s">
        <v>288</v>
      </c>
      <c r="C578" t="s">
        <v>126</v>
      </c>
      <c r="D578" t="s">
        <v>32</v>
      </c>
      <c r="E578" s="1">
        <v>89962</v>
      </c>
      <c r="F578" s="1">
        <v>327510</v>
      </c>
      <c r="G578">
        <v>59</v>
      </c>
      <c r="H578">
        <v>10</v>
      </c>
      <c r="I578" s="1">
        <f>fact[[#This Row],[units_sold]]*fact[[#This Row],[price_usd]]</f>
        <v>25369284</v>
      </c>
      <c r="J578">
        <v>282</v>
      </c>
    </row>
    <row r="579" spans="1:10" x14ac:dyDescent="0.35">
      <c r="A579">
        <v>578</v>
      </c>
      <c r="B579" t="s">
        <v>288</v>
      </c>
      <c r="C579" t="s">
        <v>124</v>
      </c>
      <c r="D579" t="s">
        <v>167</v>
      </c>
      <c r="E579" s="1">
        <v>93866</v>
      </c>
      <c r="F579" s="1">
        <v>306157</v>
      </c>
      <c r="G579">
        <v>197</v>
      </c>
      <c r="H579">
        <v>10</v>
      </c>
      <c r="I579" s="1">
        <f>fact[[#This Row],[units_sold]]*fact[[#This Row],[price_usd]]</f>
        <v>35387482</v>
      </c>
      <c r="J579">
        <v>377</v>
      </c>
    </row>
    <row r="580" spans="1:10" x14ac:dyDescent="0.35">
      <c r="A580">
        <v>579</v>
      </c>
      <c r="B580" t="s">
        <v>288</v>
      </c>
      <c r="C580" t="s">
        <v>156</v>
      </c>
      <c r="D580" t="s">
        <v>167</v>
      </c>
      <c r="E580" s="1">
        <v>46523</v>
      </c>
      <c r="F580" s="1">
        <v>198178</v>
      </c>
      <c r="G580">
        <v>36</v>
      </c>
      <c r="H580">
        <v>5</v>
      </c>
      <c r="I580" s="1">
        <f>fact[[#This Row],[units_sold]]*fact[[#This Row],[price_usd]]</f>
        <v>13863854</v>
      </c>
      <c r="J580">
        <v>298</v>
      </c>
    </row>
    <row r="581" spans="1:10" x14ac:dyDescent="0.35">
      <c r="A581">
        <v>580</v>
      </c>
      <c r="B581" t="s">
        <v>248</v>
      </c>
      <c r="C581" t="s">
        <v>51</v>
      </c>
      <c r="D581" t="s">
        <v>171</v>
      </c>
      <c r="E581" s="1">
        <v>110135</v>
      </c>
      <c r="F581" s="1">
        <v>195338</v>
      </c>
      <c r="G581">
        <v>48</v>
      </c>
      <c r="H581">
        <v>7</v>
      </c>
      <c r="I581" s="1">
        <f>fact[[#This Row],[units_sold]]*fact[[#This Row],[price_usd]]</f>
        <v>38216845</v>
      </c>
      <c r="J581">
        <v>347</v>
      </c>
    </row>
    <row r="582" spans="1:10" x14ac:dyDescent="0.35">
      <c r="A582">
        <v>581</v>
      </c>
      <c r="B582" t="s">
        <v>248</v>
      </c>
      <c r="C582" t="s">
        <v>67</v>
      </c>
      <c r="D582" t="s">
        <v>170</v>
      </c>
      <c r="E582" s="1">
        <v>55923</v>
      </c>
      <c r="F582" s="1">
        <v>432188</v>
      </c>
      <c r="G582">
        <v>155</v>
      </c>
      <c r="H582">
        <v>7</v>
      </c>
      <c r="I582" s="1">
        <f>fact[[#This Row],[units_sold]]*fact[[#This Row],[price_usd]]</f>
        <v>22089585</v>
      </c>
      <c r="J582">
        <v>395</v>
      </c>
    </row>
    <row r="583" spans="1:10" x14ac:dyDescent="0.35">
      <c r="A583">
        <v>582</v>
      </c>
      <c r="B583" t="s">
        <v>248</v>
      </c>
      <c r="C583" t="s">
        <v>78</v>
      </c>
      <c r="D583" t="s">
        <v>32</v>
      </c>
      <c r="E583" s="1">
        <v>91633</v>
      </c>
      <c r="F583" s="1">
        <v>340696</v>
      </c>
      <c r="G583">
        <v>207</v>
      </c>
      <c r="H583">
        <v>2</v>
      </c>
      <c r="I583" s="1">
        <f>fact[[#This Row],[units_sold]]*fact[[#This Row],[price_usd]]</f>
        <v>45999766</v>
      </c>
      <c r="J583">
        <v>502</v>
      </c>
    </row>
    <row r="584" spans="1:10" x14ac:dyDescent="0.35">
      <c r="A584">
        <v>583</v>
      </c>
      <c r="B584" t="s">
        <v>248</v>
      </c>
      <c r="C584" t="s">
        <v>112</v>
      </c>
      <c r="D584" t="s">
        <v>32</v>
      </c>
      <c r="E584" s="1">
        <v>57837</v>
      </c>
      <c r="F584" s="1">
        <v>168422</v>
      </c>
      <c r="G584">
        <v>371</v>
      </c>
      <c r="H584">
        <v>1</v>
      </c>
      <c r="I584" s="1">
        <f>fact[[#This Row],[units_sold]]*fact[[#This Row],[price_usd]]</f>
        <v>46905807</v>
      </c>
      <c r="J584">
        <v>811</v>
      </c>
    </row>
    <row r="585" spans="1:10" x14ac:dyDescent="0.35">
      <c r="A585">
        <v>584</v>
      </c>
      <c r="B585" t="s">
        <v>248</v>
      </c>
      <c r="C585" t="s">
        <v>116</v>
      </c>
      <c r="D585" t="s">
        <v>168</v>
      </c>
      <c r="E585" s="1">
        <v>53300</v>
      </c>
      <c r="F585" s="1">
        <v>277467</v>
      </c>
      <c r="G585">
        <v>298</v>
      </c>
      <c r="H585">
        <v>7</v>
      </c>
      <c r="I585" s="1">
        <f>fact[[#This Row],[units_sold]]*fact[[#This Row],[price_usd]]</f>
        <v>41680600</v>
      </c>
      <c r="J585">
        <v>782</v>
      </c>
    </row>
    <row r="586" spans="1:10" x14ac:dyDescent="0.35">
      <c r="A586">
        <v>585</v>
      </c>
      <c r="B586" t="s">
        <v>248</v>
      </c>
      <c r="C586" t="s">
        <v>131</v>
      </c>
      <c r="D586" t="s">
        <v>170</v>
      </c>
      <c r="E586" s="1">
        <v>105474</v>
      </c>
      <c r="F586" s="1">
        <v>104144</v>
      </c>
      <c r="G586">
        <v>100</v>
      </c>
      <c r="H586">
        <v>2</v>
      </c>
      <c r="I586" s="1">
        <f>fact[[#This Row],[units_sold]]*fact[[#This Row],[price_usd]]</f>
        <v>37443270</v>
      </c>
      <c r="J586">
        <v>355</v>
      </c>
    </row>
    <row r="587" spans="1:10" x14ac:dyDescent="0.35">
      <c r="A587">
        <v>586</v>
      </c>
      <c r="B587" t="s">
        <v>248</v>
      </c>
      <c r="C587" t="s">
        <v>148</v>
      </c>
      <c r="D587" t="s">
        <v>165</v>
      </c>
      <c r="E587" s="1">
        <v>87719</v>
      </c>
      <c r="F587" s="1">
        <v>480481</v>
      </c>
      <c r="G587">
        <v>324</v>
      </c>
      <c r="H587">
        <v>8</v>
      </c>
      <c r="I587" s="1">
        <f>fact[[#This Row],[units_sold]]*fact[[#This Row],[price_usd]]</f>
        <v>74297993</v>
      </c>
      <c r="J587">
        <v>847</v>
      </c>
    </row>
    <row r="588" spans="1:10" x14ac:dyDescent="0.35">
      <c r="A588">
        <v>587</v>
      </c>
      <c r="B588" t="s">
        <v>248</v>
      </c>
      <c r="C588" t="s">
        <v>150</v>
      </c>
      <c r="D588" t="s">
        <v>169</v>
      </c>
      <c r="E588" s="1">
        <v>42235</v>
      </c>
      <c r="F588" s="1">
        <v>208901</v>
      </c>
      <c r="G588">
        <v>77</v>
      </c>
      <c r="H588">
        <v>4</v>
      </c>
      <c r="I588" s="1">
        <f>fact[[#This Row],[units_sold]]*fact[[#This Row],[price_usd]]</f>
        <v>15584715</v>
      </c>
      <c r="J588">
        <v>369</v>
      </c>
    </row>
    <row r="589" spans="1:10" x14ac:dyDescent="0.35">
      <c r="A589">
        <v>588</v>
      </c>
      <c r="B589" t="s">
        <v>248</v>
      </c>
      <c r="C589" t="s">
        <v>145</v>
      </c>
      <c r="D589" t="s">
        <v>170</v>
      </c>
      <c r="E589" s="1">
        <v>80349</v>
      </c>
      <c r="F589" s="1">
        <v>276179</v>
      </c>
      <c r="G589">
        <v>180</v>
      </c>
      <c r="H589">
        <v>8</v>
      </c>
      <c r="I589" s="1">
        <f>fact[[#This Row],[units_sold]]*fact[[#This Row],[price_usd]]</f>
        <v>41861829</v>
      </c>
      <c r="J589">
        <v>521</v>
      </c>
    </row>
    <row r="590" spans="1:10" x14ac:dyDescent="0.35">
      <c r="A590">
        <v>589</v>
      </c>
      <c r="B590" t="s">
        <v>248</v>
      </c>
      <c r="C590" t="s">
        <v>141</v>
      </c>
      <c r="D590" t="s">
        <v>166</v>
      </c>
      <c r="E590" s="1">
        <v>86880</v>
      </c>
      <c r="F590" s="1">
        <v>369186</v>
      </c>
      <c r="G590">
        <v>64</v>
      </c>
      <c r="H590">
        <v>9</v>
      </c>
      <c r="I590" s="1">
        <f>fact[[#This Row],[units_sold]]*fact[[#This Row],[price_usd]]</f>
        <v>16854720</v>
      </c>
      <c r="J590">
        <v>194</v>
      </c>
    </row>
    <row r="591" spans="1:10" x14ac:dyDescent="0.35">
      <c r="A591">
        <v>590</v>
      </c>
      <c r="B591" t="s">
        <v>209</v>
      </c>
      <c r="C591" t="s">
        <v>61</v>
      </c>
      <c r="D591" t="s">
        <v>167</v>
      </c>
      <c r="E591" s="1">
        <v>48668</v>
      </c>
      <c r="F591" s="1">
        <v>126050</v>
      </c>
      <c r="G591">
        <v>292</v>
      </c>
      <c r="H591">
        <v>1</v>
      </c>
      <c r="I591" s="1">
        <f>fact[[#This Row],[units_sold]]*fact[[#This Row],[price_usd]]</f>
        <v>48424660</v>
      </c>
      <c r="J591">
        <v>995</v>
      </c>
    </row>
    <row r="592" spans="1:10" x14ac:dyDescent="0.35">
      <c r="A592">
        <v>591</v>
      </c>
      <c r="B592" t="s">
        <v>209</v>
      </c>
      <c r="C592" t="s">
        <v>70</v>
      </c>
      <c r="D592" t="s">
        <v>168</v>
      </c>
      <c r="E592" s="1">
        <v>42370</v>
      </c>
      <c r="F592" s="1">
        <v>459337</v>
      </c>
      <c r="G592">
        <v>374</v>
      </c>
      <c r="H592">
        <v>3</v>
      </c>
      <c r="I592" s="1">
        <f>fact[[#This Row],[units_sold]]*fact[[#This Row],[price_usd]]</f>
        <v>44191910</v>
      </c>
      <c r="J592">
        <v>1043</v>
      </c>
    </row>
    <row r="593" spans="1:10" x14ac:dyDescent="0.35">
      <c r="A593">
        <v>592</v>
      </c>
      <c r="B593" t="s">
        <v>209</v>
      </c>
      <c r="C593" t="s">
        <v>83</v>
      </c>
      <c r="D593" t="s">
        <v>169</v>
      </c>
      <c r="E593" s="1">
        <v>116418</v>
      </c>
      <c r="F593" s="1">
        <v>261655</v>
      </c>
      <c r="G593">
        <v>323</v>
      </c>
      <c r="H593">
        <v>9</v>
      </c>
      <c r="I593" s="1">
        <f>fact[[#This Row],[units_sold]]*fact[[#This Row],[price_usd]]</f>
        <v>76137372</v>
      </c>
      <c r="J593">
        <v>654</v>
      </c>
    </row>
    <row r="594" spans="1:10" x14ac:dyDescent="0.35">
      <c r="A594">
        <v>593</v>
      </c>
      <c r="B594" t="s">
        <v>209</v>
      </c>
      <c r="C594" t="s">
        <v>89</v>
      </c>
      <c r="D594" t="s">
        <v>171</v>
      </c>
      <c r="E594" s="1">
        <v>66186</v>
      </c>
      <c r="F594" s="1">
        <v>83635</v>
      </c>
      <c r="G594">
        <v>395</v>
      </c>
      <c r="H594">
        <v>8</v>
      </c>
      <c r="I594" s="1">
        <f>fact[[#This Row],[units_sold]]*fact[[#This Row],[price_usd]]</f>
        <v>59898330</v>
      </c>
      <c r="J594">
        <v>905</v>
      </c>
    </row>
    <row r="595" spans="1:10" x14ac:dyDescent="0.35">
      <c r="A595">
        <v>594</v>
      </c>
      <c r="B595" t="s">
        <v>209</v>
      </c>
      <c r="C595" t="s">
        <v>95</v>
      </c>
      <c r="D595" t="s">
        <v>173</v>
      </c>
      <c r="E595" s="1">
        <v>109328</v>
      </c>
      <c r="F595" s="1">
        <v>389499</v>
      </c>
      <c r="G595">
        <v>120</v>
      </c>
      <c r="H595">
        <v>2</v>
      </c>
      <c r="I595" s="1">
        <f>fact[[#This Row],[units_sold]]*fact[[#This Row],[price_usd]]</f>
        <v>49525584</v>
      </c>
      <c r="J595">
        <v>453</v>
      </c>
    </row>
    <row r="596" spans="1:10" x14ac:dyDescent="0.35">
      <c r="A596">
        <v>595</v>
      </c>
      <c r="B596" t="s">
        <v>209</v>
      </c>
      <c r="C596" t="s">
        <v>102</v>
      </c>
      <c r="D596" t="s">
        <v>168</v>
      </c>
      <c r="E596" s="1">
        <v>109286</v>
      </c>
      <c r="F596" s="1">
        <v>71584</v>
      </c>
      <c r="G596">
        <v>273</v>
      </c>
      <c r="H596">
        <v>1</v>
      </c>
      <c r="I596" s="1">
        <f>fact[[#This Row],[units_sold]]*fact[[#This Row],[price_usd]]</f>
        <v>99559546</v>
      </c>
      <c r="J596">
        <v>911</v>
      </c>
    </row>
    <row r="597" spans="1:10" x14ac:dyDescent="0.35">
      <c r="A597">
        <v>596</v>
      </c>
      <c r="B597" t="s">
        <v>209</v>
      </c>
      <c r="C597" t="s">
        <v>111</v>
      </c>
      <c r="D597" t="s">
        <v>167</v>
      </c>
      <c r="E597" s="1">
        <v>65480</v>
      </c>
      <c r="F597" s="1">
        <v>209762</v>
      </c>
      <c r="G597">
        <v>325</v>
      </c>
      <c r="H597">
        <v>1</v>
      </c>
      <c r="I597" s="1">
        <f>fact[[#This Row],[units_sold]]*fact[[#This Row],[price_usd]]</f>
        <v>64432320</v>
      </c>
      <c r="J597">
        <v>984</v>
      </c>
    </row>
    <row r="598" spans="1:10" x14ac:dyDescent="0.35">
      <c r="A598">
        <v>597</v>
      </c>
      <c r="B598" t="s">
        <v>209</v>
      </c>
      <c r="C598" t="s">
        <v>134</v>
      </c>
      <c r="D598" t="s">
        <v>171</v>
      </c>
      <c r="E598" s="1">
        <v>45785</v>
      </c>
      <c r="F598" s="1">
        <v>79992</v>
      </c>
      <c r="G598">
        <v>195</v>
      </c>
      <c r="H598">
        <v>6</v>
      </c>
      <c r="I598" s="1">
        <f>fact[[#This Row],[units_sold]]*fact[[#This Row],[price_usd]]</f>
        <v>24815470</v>
      </c>
      <c r="J598">
        <v>542</v>
      </c>
    </row>
    <row r="599" spans="1:10" x14ac:dyDescent="0.35">
      <c r="A599">
        <v>598</v>
      </c>
      <c r="B599" t="s">
        <v>209</v>
      </c>
      <c r="C599" t="s">
        <v>141</v>
      </c>
      <c r="D599" t="s">
        <v>168</v>
      </c>
      <c r="E599" s="1">
        <v>112362</v>
      </c>
      <c r="F599" s="1">
        <v>380511</v>
      </c>
      <c r="G599">
        <v>75</v>
      </c>
      <c r="H599">
        <v>10</v>
      </c>
      <c r="I599" s="1">
        <f>fact[[#This Row],[units_sold]]*fact[[#This Row],[price_usd]]</f>
        <v>55619190</v>
      </c>
      <c r="J599">
        <v>495</v>
      </c>
    </row>
    <row r="600" spans="1:10" x14ac:dyDescent="0.35">
      <c r="A600">
        <v>599</v>
      </c>
      <c r="B600" t="s">
        <v>240</v>
      </c>
      <c r="C600" t="s">
        <v>46</v>
      </c>
      <c r="D600" t="s">
        <v>165</v>
      </c>
      <c r="E600" s="1">
        <v>114335</v>
      </c>
      <c r="F600" s="1">
        <v>219957</v>
      </c>
      <c r="G600">
        <v>108</v>
      </c>
      <c r="H600">
        <v>2</v>
      </c>
      <c r="I600" s="1">
        <f>fact[[#This Row],[units_sold]]*fact[[#This Row],[price_usd]]</f>
        <v>52708435</v>
      </c>
      <c r="J600">
        <v>461</v>
      </c>
    </row>
    <row r="601" spans="1:10" x14ac:dyDescent="0.35">
      <c r="A601">
        <v>600</v>
      </c>
      <c r="B601" t="s">
        <v>240</v>
      </c>
      <c r="C601" t="s">
        <v>49</v>
      </c>
      <c r="D601" t="s">
        <v>32</v>
      </c>
      <c r="E601" s="1">
        <v>111896</v>
      </c>
      <c r="F601" s="1">
        <v>301842</v>
      </c>
      <c r="G601">
        <v>25</v>
      </c>
      <c r="H601">
        <v>6</v>
      </c>
      <c r="I601" s="1">
        <f>fact[[#This Row],[units_sold]]*fact[[#This Row],[price_usd]]</f>
        <v>44310816</v>
      </c>
      <c r="J601">
        <v>396</v>
      </c>
    </row>
    <row r="602" spans="1:10" x14ac:dyDescent="0.35">
      <c r="A602">
        <v>601</v>
      </c>
      <c r="B602" t="s">
        <v>240</v>
      </c>
      <c r="C602" t="s">
        <v>82</v>
      </c>
      <c r="D602" t="s">
        <v>167</v>
      </c>
      <c r="E602" s="1">
        <v>67567</v>
      </c>
      <c r="F602" s="1">
        <v>383260</v>
      </c>
      <c r="G602">
        <v>35</v>
      </c>
      <c r="H602">
        <v>9</v>
      </c>
      <c r="I602" s="1">
        <f>fact[[#This Row],[units_sold]]*fact[[#This Row],[price_usd]]</f>
        <v>32972696</v>
      </c>
      <c r="J602">
        <v>488</v>
      </c>
    </row>
    <row r="603" spans="1:10" x14ac:dyDescent="0.35">
      <c r="A603">
        <v>602</v>
      </c>
      <c r="B603" t="s">
        <v>240</v>
      </c>
      <c r="C603" t="s">
        <v>107</v>
      </c>
      <c r="D603" t="s">
        <v>32</v>
      </c>
      <c r="E603" s="1">
        <v>73196</v>
      </c>
      <c r="F603" s="1">
        <v>194587</v>
      </c>
      <c r="G603">
        <v>82</v>
      </c>
      <c r="H603">
        <v>4</v>
      </c>
      <c r="I603" s="1">
        <f>fact[[#This Row],[units_sold]]*fact[[#This Row],[price_usd]]</f>
        <v>38867076</v>
      </c>
      <c r="J603">
        <v>531</v>
      </c>
    </row>
    <row r="604" spans="1:10" x14ac:dyDescent="0.35">
      <c r="A604">
        <v>603</v>
      </c>
      <c r="B604" t="s">
        <v>240</v>
      </c>
      <c r="C604" t="s">
        <v>113</v>
      </c>
      <c r="D604" t="s">
        <v>168</v>
      </c>
      <c r="E604" s="1">
        <v>100425</v>
      </c>
      <c r="F604" s="1">
        <v>430791</v>
      </c>
      <c r="G604">
        <v>200</v>
      </c>
      <c r="H604">
        <v>6</v>
      </c>
      <c r="I604" s="1">
        <f>fact[[#This Row],[units_sold]]*fact[[#This Row],[price_usd]]</f>
        <v>83051475</v>
      </c>
      <c r="J604">
        <v>827</v>
      </c>
    </row>
    <row r="605" spans="1:10" x14ac:dyDescent="0.35">
      <c r="A605">
        <v>604</v>
      </c>
      <c r="B605" t="s">
        <v>240</v>
      </c>
      <c r="C605" t="s">
        <v>125</v>
      </c>
      <c r="D605" t="s">
        <v>169</v>
      </c>
      <c r="E605" s="1">
        <v>119078</v>
      </c>
      <c r="F605" s="1">
        <v>352240</v>
      </c>
      <c r="G605">
        <v>101</v>
      </c>
      <c r="H605">
        <v>10</v>
      </c>
      <c r="I605" s="1">
        <f>fact[[#This Row],[units_sold]]*fact[[#This Row],[price_usd]]</f>
        <v>36556946</v>
      </c>
      <c r="J605">
        <v>307</v>
      </c>
    </row>
    <row r="606" spans="1:10" x14ac:dyDescent="0.35">
      <c r="A606">
        <v>605</v>
      </c>
      <c r="B606" t="s">
        <v>240</v>
      </c>
      <c r="C606" t="s">
        <v>126</v>
      </c>
      <c r="D606" t="s">
        <v>167</v>
      </c>
      <c r="E606" s="1">
        <v>83849</v>
      </c>
      <c r="F606" s="1">
        <v>320577</v>
      </c>
      <c r="G606">
        <v>191</v>
      </c>
      <c r="H606">
        <v>7</v>
      </c>
      <c r="I606" s="1">
        <f>fact[[#This Row],[units_sold]]*fact[[#This Row],[price_usd]]</f>
        <v>33204204</v>
      </c>
      <c r="J606">
        <v>396</v>
      </c>
    </row>
    <row r="607" spans="1:10" x14ac:dyDescent="0.35">
      <c r="A607">
        <v>606</v>
      </c>
      <c r="B607" t="s">
        <v>240</v>
      </c>
      <c r="C607" t="s">
        <v>146</v>
      </c>
      <c r="D607" t="s">
        <v>173</v>
      </c>
      <c r="E607" s="1">
        <v>39922</v>
      </c>
      <c r="F607" s="1">
        <v>347438</v>
      </c>
      <c r="G607">
        <v>278</v>
      </c>
      <c r="H607">
        <v>1</v>
      </c>
      <c r="I607" s="1">
        <f>fact[[#This Row],[units_sold]]*fact[[#This Row],[price_usd]]</f>
        <v>25590002</v>
      </c>
      <c r="J607">
        <v>641</v>
      </c>
    </row>
    <row r="608" spans="1:10" x14ac:dyDescent="0.35">
      <c r="A608">
        <v>607</v>
      </c>
      <c r="B608" t="s">
        <v>240</v>
      </c>
      <c r="C608" t="s">
        <v>142</v>
      </c>
      <c r="D608" t="s">
        <v>171</v>
      </c>
      <c r="E608" s="1">
        <v>94838</v>
      </c>
      <c r="F608" s="1">
        <v>91025</v>
      </c>
      <c r="G608">
        <v>244</v>
      </c>
      <c r="H608">
        <v>4</v>
      </c>
      <c r="I608" s="1">
        <f>fact[[#This Row],[units_sold]]*fact[[#This Row],[price_usd]]</f>
        <v>53109280</v>
      </c>
      <c r="J608">
        <v>560</v>
      </c>
    </row>
    <row r="609" spans="1:10" x14ac:dyDescent="0.35">
      <c r="A609">
        <v>608</v>
      </c>
      <c r="B609" t="s">
        <v>240</v>
      </c>
      <c r="C609" t="s">
        <v>154</v>
      </c>
      <c r="D609" t="s">
        <v>32</v>
      </c>
      <c r="E609" s="1">
        <v>105934</v>
      </c>
      <c r="F609" s="1">
        <v>400722</v>
      </c>
      <c r="G609">
        <v>21</v>
      </c>
      <c r="H609">
        <v>9</v>
      </c>
      <c r="I609" s="1">
        <f>fact[[#This Row],[units_sold]]*fact[[#This Row],[price_usd]]</f>
        <v>25212292</v>
      </c>
      <c r="J609">
        <v>238</v>
      </c>
    </row>
    <row r="610" spans="1:10" x14ac:dyDescent="0.35">
      <c r="A610">
        <v>609</v>
      </c>
      <c r="B610" t="s">
        <v>294</v>
      </c>
      <c r="C610" t="s">
        <v>101</v>
      </c>
      <c r="D610" t="s">
        <v>173</v>
      </c>
      <c r="E610" s="1">
        <v>78258</v>
      </c>
      <c r="F610" s="1">
        <v>298003</v>
      </c>
      <c r="G610">
        <v>40</v>
      </c>
      <c r="H610">
        <v>1</v>
      </c>
      <c r="I610" s="1">
        <f>fact[[#This Row],[units_sold]]*fact[[#This Row],[price_usd]]</f>
        <v>39520290</v>
      </c>
      <c r="J610">
        <v>505</v>
      </c>
    </row>
    <row r="611" spans="1:10" x14ac:dyDescent="0.35">
      <c r="A611">
        <v>610</v>
      </c>
      <c r="B611" t="s">
        <v>294</v>
      </c>
      <c r="C611" t="s">
        <v>107</v>
      </c>
      <c r="D611" t="s">
        <v>171</v>
      </c>
      <c r="E611" s="1">
        <v>109694</v>
      </c>
      <c r="F611" s="1">
        <v>258137</v>
      </c>
      <c r="G611">
        <v>148</v>
      </c>
      <c r="H611">
        <v>8</v>
      </c>
      <c r="I611" s="1">
        <f>fact[[#This Row],[units_sold]]*fact[[#This Row],[price_usd]]</f>
        <v>44974540</v>
      </c>
      <c r="J611">
        <v>410</v>
      </c>
    </row>
    <row r="612" spans="1:10" x14ac:dyDescent="0.35">
      <c r="A612">
        <v>611</v>
      </c>
      <c r="B612" t="s">
        <v>294</v>
      </c>
      <c r="C612" t="s">
        <v>127</v>
      </c>
      <c r="D612" t="s">
        <v>173</v>
      </c>
      <c r="E612" s="1">
        <v>82234</v>
      </c>
      <c r="F612" s="1">
        <v>315372</v>
      </c>
      <c r="G612">
        <v>96</v>
      </c>
      <c r="H612">
        <v>8</v>
      </c>
      <c r="I612" s="1">
        <f>fact[[#This Row],[units_sold]]*fact[[#This Row],[price_usd]]</f>
        <v>26643816</v>
      </c>
      <c r="J612">
        <v>324</v>
      </c>
    </row>
    <row r="613" spans="1:10" x14ac:dyDescent="0.35">
      <c r="A613">
        <v>612</v>
      </c>
      <c r="B613" t="s">
        <v>294</v>
      </c>
      <c r="C613" t="s">
        <v>137</v>
      </c>
      <c r="D613" t="s">
        <v>169</v>
      </c>
      <c r="E613" s="1">
        <v>49693</v>
      </c>
      <c r="F613" s="1">
        <v>312678</v>
      </c>
      <c r="G613">
        <v>227</v>
      </c>
      <c r="H613">
        <v>7</v>
      </c>
      <c r="I613" s="1">
        <f>fact[[#This Row],[units_sold]]*fact[[#This Row],[price_usd]]</f>
        <v>29418256</v>
      </c>
      <c r="J613">
        <v>592</v>
      </c>
    </row>
    <row r="614" spans="1:10" x14ac:dyDescent="0.35">
      <c r="A614">
        <v>613</v>
      </c>
      <c r="B614" t="s">
        <v>294</v>
      </c>
      <c r="C614" t="s">
        <v>131</v>
      </c>
      <c r="D614" t="s">
        <v>168</v>
      </c>
      <c r="E614" s="1">
        <v>41869</v>
      </c>
      <c r="F614" s="1">
        <v>389273</v>
      </c>
      <c r="G614">
        <v>11</v>
      </c>
      <c r="H614">
        <v>10</v>
      </c>
      <c r="I614" s="1">
        <f>fact[[#This Row],[units_sold]]*fact[[#This Row],[price_usd]]</f>
        <v>15114709</v>
      </c>
      <c r="J614">
        <v>361</v>
      </c>
    </row>
    <row r="615" spans="1:10" x14ac:dyDescent="0.35">
      <c r="A615">
        <v>614</v>
      </c>
      <c r="B615" t="s">
        <v>213</v>
      </c>
      <c r="C615" t="s">
        <v>59</v>
      </c>
      <c r="D615" t="s">
        <v>171</v>
      </c>
      <c r="E615" s="1">
        <v>43921</v>
      </c>
      <c r="F615" s="1">
        <v>258606</v>
      </c>
      <c r="G615">
        <v>327</v>
      </c>
      <c r="H615">
        <v>3</v>
      </c>
      <c r="I615" s="1">
        <f>fact[[#This Row],[units_sold]]*fact[[#This Row],[price_usd]]</f>
        <v>39792426</v>
      </c>
      <c r="J615">
        <v>906</v>
      </c>
    </row>
    <row r="616" spans="1:10" x14ac:dyDescent="0.35">
      <c r="A616">
        <v>615</v>
      </c>
      <c r="B616" t="s">
        <v>213</v>
      </c>
      <c r="C616" t="s">
        <v>56</v>
      </c>
      <c r="D616" t="s">
        <v>171</v>
      </c>
      <c r="E616" s="1">
        <v>47242</v>
      </c>
      <c r="F616" s="1">
        <v>173745</v>
      </c>
      <c r="G616">
        <v>126</v>
      </c>
      <c r="H616">
        <v>7</v>
      </c>
      <c r="I616" s="1">
        <f>fact[[#This Row],[units_sold]]*fact[[#This Row],[price_usd]]</f>
        <v>29856944</v>
      </c>
      <c r="J616">
        <v>632</v>
      </c>
    </row>
    <row r="617" spans="1:10" x14ac:dyDescent="0.35">
      <c r="A617">
        <v>616</v>
      </c>
      <c r="B617" t="s">
        <v>213</v>
      </c>
      <c r="C617" t="s">
        <v>61</v>
      </c>
      <c r="D617" t="s">
        <v>168</v>
      </c>
      <c r="E617" s="1">
        <v>110163</v>
      </c>
      <c r="F617" s="1">
        <v>485497</v>
      </c>
      <c r="G617">
        <v>394</v>
      </c>
      <c r="H617">
        <v>8</v>
      </c>
      <c r="I617" s="1">
        <f>fact[[#This Row],[units_sold]]*fact[[#This Row],[price_usd]]</f>
        <v>136271631</v>
      </c>
      <c r="J617">
        <v>1237</v>
      </c>
    </row>
    <row r="618" spans="1:10" x14ac:dyDescent="0.35">
      <c r="A618">
        <v>617</v>
      </c>
      <c r="B618" t="s">
        <v>213</v>
      </c>
      <c r="C618" t="s">
        <v>75</v>
      </c>
      <c r="D618" t="s">
        <v>167</v>
      </c>
      <c r="E618" s="1">
        <v>111106</v>
      </c>
      <c r="F618" s="1">
        <v>108560</v>
      </c>
      <c r="G618">
        <v>98</v>
      </c>
      <c r="H618">
        <v>4</v>
      </c>
      <c r="I618" s="1">
        <f>fact[[#This Row],[units_sold]]*fact[[#This Row],[price_usd]]</f>
        <v>42331386</v>
      </c>
      <c r="J618">
        <v>381</v>
      </c>
    </row>
    <row r="619" spans="1:10" x14ac:dyDescent="0.35">
      <c r="A619">
        <v>618</v>
      </c>
      <c r="B619" t="s">
        <v>213</v>
      </c>
      <c r="C619" t="s">
        <v>102</v>
      </c>
      <c r="D619" t="s">
        <v>173</v>
      </c>
      <c r="E619" s="1">
        <v>90512</v>
      </c>
      <c r="F619" s="1">
        <v>96233</v>
      </c>
      <c r="G619">
        <v>263</v>
      </c>
      <c r="H619">
        <v>4</v>
      </c>
      <c r="I619" s="1">
        <f>fact[[#This Row],[units_sold]]*fact[[#This Row],[price_usd]]</f>
        <v>63810960</v>
      </c>
      <c r="J619">
        <v>705</v>
      </c>
    </row>
    <row r="620" spans="1:10" x14ac:dyDescent="0.35">
      <c r="A620">
        <v>619</v>
      </c>
      <c r="B620" t="s">
        <v>213</v>
      </c>
      <c r="C620" t="s">
        <v>94</v>
      </c>
      <c r="D620" t="s">
        <v>167</v>
      </c>
      <c r="E620" s="1">
        <v>35731</v>
      </c>
      <c r="F620" s="1">
        <v>324270</v>
      </c>
      <c r="G620">
        <v>115</v>
      </c>
      <c r="H620">
        <v>10</v>
      </c>
      <c r="I620" s="1">
        <f>fact[[#This Row],[units_sold]]*fact[[#This Row],[price_usd]]</f>
        <v>18723044</v>
      </c>
      <c r="J620">
        <v>524</v>
      </c>
    </row>
    <row r="621" spans="1:10" x14ac:dyDescent="0.35">
      <c r="A621">
        <v>620</v>
      </c>
      <c r="B621" t="s">
        <v>213</v>
      </c>
      <c r="C621" t="s">
        <v>105</v>
      </c>
      <c r="D621" t="s">
        <v>166</v>
      </c>
      <c r="E621" s="1">
        <v>63307</v>
      </c>
      <c r="F621" s="1">
        <v>74099</v>
      </c>
      <c r="G621">
        <v>78</v>
      </c>
      <c r="H621">
        <v>4</v>
      </c>
      <c r="I621" s="1">
        <f>fact[[#This Row],[units_sold]]*fact[[#This Row],[price_usd]]</f>
        <v>13990847</v>
      </c>
      <c r="J621">
        <v>221</v>
      </c>
    </row>
    <row r="622" spans="1:10" x14ac:dyDescent="0.35">
      <c r="A622">
        <v>621</v>
      </c>
      <c r="B622" t="s">
        <v>213</v>
      </c>
      <c r="C622" t="s">
        <v>160</v>
      </c>
      <c r="D622" t="s">
        <v>170</v>
      </c>
      <c r="E622" s="1">
        <v>106537</v>
      </c>
      <c r="F622" s="1">
        <v>228446</v>
      </c>
      <c r="G622">
        <v>326</v>
      </c>
      <c r="H622">
        <v>2</v>
      </c>
      <c r="I622" s="1">
        <f>fact[[#This Row],[units_sold]]*fact[[#This Row],[price_usd]]</f>
        <v>98866336</v>
      </c>
      <c r="J622">
        <v>928</v>
      </c>
    </row>
    <row r="623" spans="1:10" x14ac:dyDescent="0.35">
      <c r="A623">
        <v>622</v>
      </c>
      <c r="B623" t="s">
        <v>213</v>
      </c>
      <c r="C623" t="s">
        <v>158</v>
      </c>
      <c r="D623" t="s">
        <v>173</v>
      </c>
      <c r="E623" s="1">
        <v>84178</v>
      </c>
      <c r="F623" s="1">
        <v>194962</v>
      </c>
      <c r="G623">
        <v>187</v>
      </c>
      <c r="H623">
        <v>8</v>
      </c>
      <c r="I623" s="1">
        <f>fact[[#This Row],[units_sold]]*fact[[#This Row],[price_usd]]</f>
        <v>33755378</v>
      </c>
      <c r="J623">
        <v>401</v>
      </c>
    </row>
    <row r="624" spans="1:10" x14ac:dyDescent="0.35">
      <c r="A624">
        <v>623</v>
      </c>
      <c r="B624" t="s">
        <v>257</v>
      </c>
      <c r="C624" t="s">
        <v>52</v>
      </c>
      <c r="D624" t="s">
        <v>169</v>
      </c>
      <c r="E624" s="1">
        <v>49678</v>
      </c>
      <c r="F624" s="1">
        <v>282259</v>
      </c>
      <c r="G624">
        <v>245</v>
      </c>
      <c r="H624">
        <v>3</v>
      </c>
      <c r="I624" s="1">
        <f>fact[[#This Row],[units_sold]]*fact[[#This Row],[price_usd]]</f>
        <v>43468250</v>
      </c>
      <c r="J624">
        <v>875</v>
      </c>
    </row>
    <row r="625" spans="1:10" x14ac:dyDescent="0.35">
      <c r="A625">
        <v>624</v>
      </c>
      <c r="B625" t="s">
        <v>257</v>
      </c>
      <c r="C625" t="s">
        <v>53</v>
      </c>
      <c r="D625" t="s">
        <v>167</v>
      </c>
      <c r="E625" s="1">
        <v>115639</v>
      </c>
      <c r="F625" s="1">
        <v>419566</v>
      </c>
      <c r="G625">
        <v>376</v>
      </c>
      <c r="H625">
        <v>10</v>
      </c>
      <c r="I625" s="1">
        <f>fact[[#This Row],[units_sold]]*fact[[#This Row],[price_usd]]</f>
        <v>134256879</v>
      </c>
      <c r="J625">
        <v>1161</v>
      </c>
    </row>
    <row r="626" spans="1:10" x14ac:dyDescent="0.35">
      <c r="A626">
        <v>625</v>
      </c>
      <c r="B626" t="s">
        <v>257</v>
      </c>
      <c r="C626" t="s">
        <v>62</v>
      </c>
      <c r="D626" t="s">
        <v>169</v>
      </c>
      <c r="E626" s="1">
        <v>87774</v>
      </c>
      <c r="F626" s="1">
        <v>120268</v>
      </c>
      <c r="G626">
        <v>102</v>
      </c>
      <c r="H626">
        <v>1</v>
      </c>
      <c r="I626" s="1">
        <f>fact[[#This Row],[units_sold]]*fact[[#This Row],[price_usd]]</f>
        <v>35811792</v>
      </c>
      <c r="J626">
        <v>408</v>
      </c>
    </row>
    <row r="627" spans="1:10" x14ac:dyDescent="0.35">
      <c r="A627">
        <v>626</v>
      </c>
      <c r="B627" t="s">
        <v>257</v>
      </c>
      <c r="C627" t="s">
        <v>67</v>
      </c>
      <c r="D627" t="s">
        <v>173</v>
      </c>
      <c r="E627" s="1">
        <v>75875</v>
      </c>
      <c r="F627" s="1">
        <v>392016</v>
      </c>
      <c r="G627">
        <v>254</v>
      </c>
      <c r="H627">
        <v>3</v>
      </c>
      <c r="I627" s="1">
        <f>fact[[#This Row],[units_sold]]*fact[[#This Row],[price_usd]]</f>
        <v>52657250</v>
      </c>
      <c r="J627">
        <v>694</v>
      </c>
    </row>
    <row r="628" spans="1:10" x14ac:dyDescent="0.35">
      <c r="A628">
        <v>627</v>
      </c>
      <c r="B628" t="s">
        <v>257</v>
      </c>
      <c r="C628" t="s">
        <v>118</v>
      </c>
      <c r="D628" t="s">
        <v>169</v>
      </c>
      <c r="E628" s="1">
        <v>74449</v>
      </c>
      <c r="F628" s="1">
        <v>121695</v>
      </c>
      <c r="G628">
        <v>58</v>
      </c>
      <c r="H628">
        <v>2</v>
      </c>
      <c r="I628" s="1">
        <f>fact[[#This Row],[units_sold]]*fact[[#This Row],[price_usd]]</f>
        <v>40351358</v>
      </c>
      <c r="J628">
        <v>542</v>
      </c>
    </row>
    <row r="629" spans="1:10" x14ac:dyDescent="0.35">
      <c r="A629">
        <v>628</v>
      </c>
      <c r="B629" t="s">
        <v>257</v>
      </c>
      <c r="C629" t="s">
        <v>127</v>
      </c>
      <c r="D629" t="s">
        <v>166</v>
      </c>
      <c r="E629" s="1">
        <v>70853</v>
      </c>
      <c r="F629" s="1">
        <v>127511</v>
      </c>
      <c r="G629">
        <v>95</v>
      </c>
      <c r="H629">
        <v>4</v>
      </c>
      <c r="I629" s="1">
        <f>fact[[#This Row],[units_sold]]*fact[[#This Row],[price_usd]]</f>
        <v>30395937</v>
      </c>
      <c r="J629">
        <v>429</v>
      </c>
    </row>
    <row r="630" spans="1:10" x14ac:dyDescent="0.35">
      <c r="A630">
        <v>629</v>
      </c>
      <c r="B630" t="s">
        <v>257</v>
      </c>
      <c r="C630" t="s">
        <v>130</v>
      </c>
      <c r="D630" t="s">
        <v>171</v>
      </c>
      <c r="E630" s="1">
        <v>74886</v>
      </c>
      <c r="F630" s="1">
        <v>176044</v>
      </c>
      <c r="G630">
        <v>282</v>
      </c>
      <c r="H630">
        <v>9</v>
      </c>
      <c r="I630" s="1">
        <f>fact[[#This Row],[units_sold]]*fact[[#This Row],[price_usd]]</f>
        <v>70018410</v>
      </c>
      <c r="J630">
        <v>935</v>
      </c>
    </row>
    <row r="631" spans="1:10" x14ac:dyDescent="0.35">
      <c r="A631">
        <v>630</v>
      </c>
      <c r="B631" t="s">
        <v>257</v>
      </c>
      <c r="C631" t="s">
        <v>153</v>
      </c>
      <c r="D631" t="s">
        <v>166</v>
      </c>
      <c r="E631" s="1">
        <v>46350</v>
      </c>
      <c r="F631" s="1">
        <v>376160</v>
      </c>
      <c r="G631">
        <v>270</v>
      </c>
      <c r="H631">
        <v>1</v>
      </c>
      <c r="I631" s="1">
        <f>fact[[#This Row],[units_sold]]*fact[[#This Row],[price_usd]]</f>
        <v>43754400</v>
      </c>
      <c r="J631">
        <v>944</v>
      </c>
    </row>
    <row r="632" spans="1:10" x14ac:dyDescent="0.35">
      <c r="A632">
        <v>631</v>
      </c>
      <c r="B632" t="s">
        <v>257</v>
      </c>
      <c r="C632" t="s">
        <v>156</v>
      </c>
      <c r="D632" t="s">
        <v>173</v>
      </c>
      <c r="E632" s="1">
        <v>35060</v>
      </c>
      <c r="F632" s="1">
        <v>343313</v>
      </c>
      <c r="G632">
        <v>190</v>
      </c>
      <c r="H632">
        <v>1</v>
      </c>
      <c r="I632" s="1">
        <f>fact[[#This Row],[units_sold]]*fact[[#This Row],[price_usd]]</f>
        <v>16443140</v>
      </c>
      <c r="J632">
        <v>469</v>
      </c>
    </row>
    <row r="633" spans="1:10" x14ac:dyDescent="0.35">
      <c r="A633">
        <v>632</v>
      </c>
      <c r="B633" t="s">
        <v>265</v>
      </c>
      <c r="C633" t="s">
        <v>52</v>
      </c>
      <c r="D633" t="s">
        <v>32</v>
      </c>
      <c r="E633" s="1">
        <v>65341</v>
      </c>
      <c r="F633" s="1">
        <v>418894</v>
      </c>
      <c r="G633">
        <v>166</v>
      </c>
      <c r="H633">
        <v>7</v>
      </c>
      <c r="I633" s="1">
        <f>fact[[#This Row],[units_sold]]*fact[[#This Row],[price_usd]]</f>
        <v>47698930</v>
      </c>
      <c r="J633">
        <v>730</v>
      </c>
    </row>
    <row r="634" spans="1:10" x14ac:dyDescent="0.35">
      <c r="A634">
        <v>633</v>
      </c>
      <c r="B634" t="s">
        <v>265</v>
      </c>
      <c r="C634" t="s">
        <v>68</v>
      </c>
      <c r="D634" t="s">
        <v>165</v>
      </c>
      <c r="E634" s="1">
        <v>36466</v>
      </c>
      <c r="F634" s="1">
        <v>182371</v>
      </c>
      <c r="G634">
        <v>381</v>
      </c>
      <c r="H634">
        <v>3</v>
      </c>
      <c r="I634" s="1">
        <f>fact[[#This Row],[units_sold]]*fact[[#This Row],[price_usd]]</f>
        <v>36174272</v>
      </c>
      <c r="J634">
        <v>992</v>
      </c>
    </row>
    <row r="635" spans="1:10" x14ac:dyDescent="0.35">
      <c r="A635">
        <v>634</v>
      </c>
      <c r="B635" t="s">
        <v>265</v>
      </c>
      <c r="C635" t="s">
        <v>90</v>
      </c>
      <c r="D635" t="s">
        <v>169</v>
      </c>
      <c r="E635" s="1">
        <v>93531</v>
      </c>
      <c r="F635" s="1">
        <v>152326</v>
      </c>
      <c r="G635">
        <v>270</v>
      </c>
      <c r="H635">
        <v>3</v>
      </c>
      <c r="I635" s="1">
        <f>fact[[#This Row],[units_sold]]*fact[[#This Row],[price_usd]]</f>
        <v>56305662</v>
      </c>
      <c r="J635">
        <v>602</v>
      </c>
    </row>
    <row r="636" spans="1:10" x14ac:dyDescent="0.35">
      <c r="A636">
        <v>635</v>
      </c>
      <c r="B636" t="s">
        <v>265</v>
      </c>
      <c r="C636" t="s">
        <v>96</v>
      </c>
      <c r="D636" t="s">
        <v>170</v>
      </c>
      <c r="E636" s="1">
        <v>110483</v>
      </c>
      <c r="F636" s="1">
        <v>427411</v>
      </c>
      <c r="G636">
        <v>225</v>
      </c>
      <c r="H636">
        <v>3</v>
      </c>
      <c r="I636" s="1">
        <f>fact[[#This Row],[units_sold]]*fact[[#This Row],[price_usd]]</f>
        <v>70819603</v>
      </c>
      <c r="J636">
        <v>641</v>
      </c>
    </row>
    <row r="637" spans="1:10" x14ac:dyDescent="0.35">
      <c r="A637">
        <v>636</v>
      </c>
      <c r="B637" t="s">
        <v>265</v>
      </c>
      <c r="C637" t="s">
        <v>105</v>
      </c>
      <c r="D637" t="s">
        <v>172</v>
      </c>
      <c r="E637" s="1">
        <v>51555</v>
      </c>
      <c r="F637" s="1">
        <v>222409</v>
      </c>
      <c r="G637">
        <v>96</v>
      </c>
      <c r="H637">
        <v>10</v>
      </c>
      <c r="I637" s="1">
        <f>fact[[#This Row],[units_sold]]*fact[[#This Row],[price_usd]]</f>
        <v>12630975</v>
      </c>
      <c r="J637">
        <v>245</v>
      </c>
    </row>
    <row r="638" spans="1:10" x14ac:dyDescent="0.35">
      <c r="A638">
        <v>637</v>
      </c>
      <c r="B638" t="s">
        <v>265</v>
      </c>
      <c r="C638" t="s">
        <v>110</v>
      </c>
      <c r="D638" t="s">
        <v>171</v>
      </c>
      <c r="E638" s="1">
        <v>72333</v>
      </c>
      <c r="F638" s="1">
        <v>355007</v>
      </c>
      <c r="G638">
        <v>287</v>
      </c>
      <c r="H638">
        <v>6</v>
      </c>
      <c r="I638" s="1">
        <f>fact[[#This Row],[units_sold]]*fact[[#This Row],[price_usd]]</f>
        <v>46582452</v>
      </c>
      <c r="J638">
        <v>644</v>
      </c>
    </row>
    <row r="639" spans="1:10" x14ac:dyDescent="0.35">
      <c r="A639">
        <v>638</v>
      </c>
      <c r="B639" t="s">
        <v>265</v>
      </c>
      <c r="C639" t="s">
        <v>139</v>
      </c>
      <c r="D639" t="s">
        <v>166</v>
      </c>
      <c r="E639" s="1">
        <v>112713</v>
      </c>
      <c r="F639" s="1">
        <v>139044</v>
      </c>
      <c r="G639">
        <v>100</v>
      </c>
      <c r="H639">
        <v>6</v>
      </c>
      <c r="I639" s="1">
        <f>fact[[#This Row],[units_sold]]*fact[[#This Row],[price_usd]]</f>
        <v>59399751</v>
      </c>
      <c r="J639">
        <v>527</v>
      </c>
    </row>
    <row r="640" spans="1:10" x14ac:dyDescent="0.35">
      <c r="A640">
        <v>639</v>
      </c>
      <c r="B640" t="s">
        <v>265</v>
      </c>
      <c r="C640" t="s">
        <v>129</v>
      </c>
      <c r="D640" t="s">
        <v>173</v>
      </c>
      <c r="E640" s="1">
        <v>90830</v>
      </c>
      <c r="F640" s="1">
        <v>139941</v>
      </c>
      <c r="G640">
        <v>300</v>
      </c>
      <c r="H640">
        <v>8</v>
      </c>
      <c r="I640" s="1">
        <f>fact[[#This Row],[units_sold]]*fact[[#This Row],[price_usd]]</f>
        <v>57132070</v>
      </c>
      <c r="J640">
        <v>629</v>
      </c>
    </row>
    <row r="641" spans="1:10" x14ac:dyDescent="0.35">
      <c r="A641">
        <v>640</v>
      </c>
      <c r="B641" t="s">
        <v>265</v>
      </c>
      <c r="C641" t="s">
        <v>153</v>
      </c>
      <c r="D641" t="s">
        <v>165</v>
      </c>
      <c r="E641" s="1">
        <v>51626</v>
      </c>
      <c r="F641" s="1">
        <v>405398</v>
      </c>
      <c r="G641">
        <v>165</v>
      </c>
      <c r="H641">
        <v>3</v>
      </c>
      <c r="I641" s="1">
        <f>fact[[#This Row],[units_sold]]*fact[[#This Row],[price_usd]]</f>
        <v>25245114</v>
      </c>
      <c r="J641">
        <v>489</v>
      </c>
    </row>
    <row r="642" spans="1:10" x14ac:dyDescent="0.35">
      <c r="A642">
        <v>641</v>
      </c>
      <c r="B642" t="s">
        <v>265</v>
      </c>
      <c r="C642" t="s">
        <v>155</v>
      </c>
      <c r="D642" t="s">
        <v>168</v>
      </c>
      <c r="E642" s="1">
        <v>119719</v>
      </c>
      <c r="F642" s="1">
        <v>157051</v>
      </c>
      <c r="G642">
        <v>196</v>
      </c>
      <c r="H642">
        <v>5</v>
      </c>
      <c r="I642" s="1">
        <f>fact[[#This Row],[units_sold]]*fact[[#This Row],[price_usd]]</f>
        <v>93620258</v>
      </c>
      <c r="J642">
        <v>782</v>
      </c>
    </row>
    <row r="643" spans="1:10" x14ac:dyDescent="0.35">
      <c r="A643">
        <v>642</v>
      </c>
      <c r="B643" t="s">
        <v>290</v>
      </c>
      <c r="C643" t="s">
        <v>48</v>
      </c>
      <c r="D643" t="s">
        <v>168</v>
      </c>
      <c r="E643" s="1">
        <v>83291</v>
      </c>
      <c r="F643" s="1">
        <v>215637</v>
      </c>
      <c r="G643">
        <v>267</v>
      </c>
      <c r="H643">
        <v>3</v>
      </c>
      <c r="I643" s="1">
        <f>fact[[#This Row],[units_sold]]*fact[[#This Row],[price_usd]]</f>
        <v>74878609</v>
      </c>
      <c r="J643">
        <v>899</v>
      </c>
    </row>
    <row r="644" spans="1:10" x14ac:dyDescent="0.35">
      <c r="A644">
        <v>643</v>
      </c>
      <c r="B644" t="s">
        <v>290</v>
      </c>
      <c r="C644" t="s">
        <v>52</v>
      </c>
      <c r="D644" t="s">
        <v>169</v>
      </c>
      <c r="E644" s="1">
        <v>106186</v>
      </c>
      <c r="F644" s="1">
        <v>419653</v>
      </c>
      <c r="G644">
        <v>12</v>
      </c>
      <c r="H644">
        <v>1</v>
      </c>
      <c r="I644" s="1">
        <f>fact[[#This Row],[units_sold]]*fact[[#This Row],[price_usd]]</f>
        <v>32386730</v>
      </c>
      <c r="J644">
        <v>305</v>
      </c>
    </row>
    <row r="645" spans="1:10" x14ac:dyDescent="0.35">
      <c r="A645">
        <v>644</v>
      </c>
      <c r="B645" t="s">
        <v>290</v>
      </c>
      <c r="C645" t="s">
        <v>55</v>
      </c>
      <c r="D645" t="s">
        <v>165</v>
      </c>
      <c r="E645" s="1">
        <v>108591</v>
      </c>
      <c r="F645" s="1">
        <v>299836</v>
      </c>
      <c r="G645">
        <v>160</v>
      </c>
      <c r="H645">
        <v>6</v>
      </c>
      <c r="I645" s="1">
        <f>fact[[#This Row],[units_sold]]*fact[[#This Row],[price_usd]]</f>
        <v>43762173</v>
      </c>
      <c r="J645">
        <v>403</v>
      </c>
    </row>
    <row r="646" spans="1:10" x14ac:dyDescent="0.35">
      <c r="A646">
        <v>645</v>
      </c>
      <c r="B646" t="s">
        <v>290</v>
      </c>
      <c r="C646" t="s">
        <v>97</v>
      </c>
      <c r="D646" t="s">
        <v>166</v>
      </c>
      <c r="E646" s="1">
        <v>38084</v>
      </c>
      <c r="F646" s="1">
        <v>264839</v>
      </c>
      <c r="G646">
        <v>81</v>
      </c>
      <c r="H646">
        <v>8</v>
      </c>
      <c r="I646" s="1">
        <f>fact[[#This Row],[units_sold]]*fact[[#This Row],[price_usd]]</f>
        <v>10168428</v>
      </c>
      <c r="J646">
        <v>267</v>
      </c>
    </row>
    <row r="647" spans="1:10" x14ac:dyDescent="0.35">
      <c r="A647">
        <v>646</v>
      </c>
      <c r="B647" t="s">
        <v>290</v>
      </c>
      <c r="C647" t="s">
        <v>130</v>
      </c>
      <c r="D647" t="s">
        <v>167</v>
      </c>
      <c r="E647" s="1">
        <v>81121</v>
      </c>
      <c r="F647" s="1">
        <v>431923</v>
      </c>
      <c r="G647">
        <v>73</v>
      </c>
      <c r="H647">
        <v>4</v>
      </c>
      <c r="I647" s="1">
        <f>fact[[#This Row],[units_sold]]*fact[[#This Row],[price_usd]]</f>
        <v>29852528</v>
      </c>
      <c r="J647">
        <v>368</v>
      </c>
    </row>
    <row r="648" spans="1:10" x14ac:dyDescent="0.35">
      <c r="A648">
        <v>647</v>
      </c>
      <c r="B648" t="s">
        <v>290</v>
      </c>
      <c r="C648" t="s">
        <v>129</v>
      </c>
      <c r="D648" t="s">
        <v>168</v>
      </c>
      <c r="E648" s="1">
        <v>40515</v>
      </c>
      <c r="F648" s="1">
        <v>275756</v>
      </c>
      <c r="G648">
        <v>216</v>
      </c>
      <c r="H648">
        <v>6</v>
      </c>
      <c r="I648" s="1">
        <f>fact[[#This Row],[units_sold]]*fact[[#This Row],[price_usd]]</f>
        <v>21472950</v>
      </c>
      <c r="J648">
        <v>530</v>
      </c>
    </row>
    <row r="649" spans="1:10" x14ac:dyDescent="0.35">
      <c r="A649">
        <v>648</v>
      </c>
      <c r="B649" t="s">
        <v>290</v>
      </c>
      <c r="C649" t="s">
        <v>141</v>
      </c>
      <c r="D649" t="s">
        <v>32</v>
      </c>
      <c r="E649" s="1">
        <v>75718</v>
      </c>
      <c r="F649" s="1">
        <v>290056</v>
      </c>
      <c r="G649">
        <v>380</v>
      </c>
      <c r="H649">
        <v>10</v>
      </c>
      <c r="I649" s="1">
        <f>fact[[#This Row],[units_sold]]*fact[[#This Row],[price_usd]]</f>
        <v>82381184</v>
      </c>
      <c r="J649">
        <v>1088</v>
      </c>
    </row>
    <row r="650" spans="1:10" x14ac:dyDescent="0.35">
      <c r="A650">
        <v>649</v>
      </c>
      <c r="B650" t="s">
        <v>270</v>
      </c>
      <c r="C650" t="s">
        <v>55</v>
      </c>
      <c r="D650" t="s">
        <v>169</v>
      </c>
      <c r="E650" s="1">
        <v>90798</v>
      </c>
      <c r="F650" s="1">
        <v>398984</v>
      </c>
      <c r="G650">
        <v>377</v>
      </c>
      <c r="H650">
        <v>4</v>
      </c>
      <c r="I650" s="1">
        <f>fact[[#This Row],[units_sold]]*fact[[#This Row],[price_usd]]</f>
        <v>91524384</v>
      </c>
      <c r="J650">
        <v>1008</v>
      </c>
    </row>
    <row r="651" spans="1:10" x14ac:dyDescent="0.35">
      <c r="A651">
        <v>650</v>
      </c>
      <c r="B651" t="s">
        <v>270</v>
      </c>
      <c r="C651" t="s">
        <v>53</v>
      </c>
      <c r="D651" t="s">
        <v>172</v>
      </c>
      <c r="E651" s="1">
        <v>48851</v>
      </c>
      <c r="F651" s="1">
        <v>379478</v>
      </c>
      <c r="G651">
        <v>149</v>
      </c>
      <c r="H651">
        <v>8</v>
      </c>
      <c r="I651" s="1">
        <f>fact[[#This Row],[units_sold]]*fact[[#This Row],[price_usd]]</f>
        <v>16951297</v>
      </c>
      <c r="J651">
        <v>347</v>
      </c>
    </row>
    <row r="652" spans="1:10" x14ac:dyDescent="0.35">
      <c r="A652">
        <v>651</v>
      </c>
      <c r="B652" t="s">
        <v>270</v>
      </c>
      <c r="C652" t="s">
        <v>55</v>
      </c>
      <c r="D652" t="s">
        <v>167</v>
      </c>
      <c r="E652" s="1">
        <v>59466</v>
      </c>
      <c r="F652" s="1">
        <v>295847</v>
      </c>
      <c r="G652">
        <v>38</v>
      </c>
      <c r="H652">
        <v>10</v>
      </c>
      <c r="I652" s="1">
        <f>fact[[#This Row],[units_sold]]*fact[[#This Row],[price_usd]]</f>
        <v>24678390</v>
      </c>
      <c r="J652">
        <v>415</v>
      </c>
    </row>
    <row r="653" spans="1:10" x14ac:dyDescent="0.35">
      <c r="A653">
        <v>652</v>
      </c>
      <c r="B653" t="s">
        <v>270</v>
      </c>
      <c r="C653" t="s">
        <v>64</v>
      </c>
      <c r="D653" t="s">
        <v>167</v>
      </c>
      <c r="E653" s="1">
        <v>96247</v>
      </c>
      <c r="F653" s="1">
        <v>292330</v>
      </c>
      <c r="G653">
        <v>46</v>
      </c>
      <c r="H653">
        <v>8</v>
      </c>
      <c r="I653" s="1">
        <f>fact[[#This Row],[units_sold]]*fact[[#This Row],[price_usd]]</f>
        <v>13089592</v>
      </c>
      <c r="J653">
        <v>136</v>
      </c>
    </row>
    <row r="654" spans="1:10" x14ac:dyDescent="0.35">
      <c r="A654">
        <v>653</v>
      </c>
      <c r="B654" t="s">
        <v>270</v>
      </c>
      <c r="C654" t="s">
        <v>89</v>
      </c>
      <c r="D654" t="s">
        <v>166</v>
      </c>
      <c r="E654" s="1">
        <v>35924</v>
      </c>
      <c r="F654" s="1">
        <v>336744</v>
      </c>
      <c r="G654">
        <v>310</v>
      </c>
      <c r="H654">
        <v>3</v>
      </c>
      <c r="I654" s="1">
        <f>fact[[#This Row],[units_sold]]*fact[[#This Row],[price_usd]]</f>
        <v>29816920</v>
      </c>
      <c r="J654">
        <v>830</v>
      </c>
    </row>
    <row r="655" spans="1:10" x14ac:dyDescent="0.35">
      <c r="A655">
        <v>654</v>
      </c>
      <c r="B655" t="s">
        <v>270</v>
      </c>
      <c r="C655" t="s">
        <v>97</v>
      </c>
      <c r="D655" t="s">
        <v>168</v>
      </c>
      <c r="E655" s="1">
        <v>101537</v>
      </c>
      <c r="F655" s="1">
        <v>311849</v>
      </c>
      <c r="G655">
        <v>35</v>
      </c>
      <c r="H655">
        <v>4</v>
      </c>
      <c r="I655" s="1">
        <f>fact[[#This Row],[units_sold]]*fact[[#This Row],[price_usd]]</f>
        <v>42239392</v>
      </c>
      <c r="J655">
        <v>416</v>
      </c>
    </row>
    <row r="656" spans="1:10" x14ac:dyDescent="0.35">
      <c r="A656">
        <v>655</v>
      </c>
      <c r="B656" t="s">
        <v>270</v>
      </c>
      <c r="C656" t="s">
        <v>150</v>
      </c>
      <c r="D656" t="s">
        <v>170</v>
      </c>
      <c r="E656" s="1">
        <v>56029</v>
      </c>
      <c r="F656" s="1">
        <v>153920</v>
      </c>
      <c r="G656">
        <v>303</v>
      </c>
      <c r="H656">
        <v>9</v>
      </c>
      <c r="I656" s="1">
        <f>fact[[#This Row],[units_sold]]*fact[[#This Row],[price_usd]]</f>
        <v>38211778</v>
      </c>
      <c r="J656">
        <v>682</v>
      </c>
    </row>
    <row r="657" spans="1:10" x14ac:dyDescent="0.35">
      <c r="A657">
        <v>656</v>
      </c>
      <c r="B657" t="s">
        <v>270</v>
      </c>
      <c r="C657" t="s">
        <v>153</v>
      </c>
      <c r="D657" t="s">
        <v>169</v>
      </c>
      <c r="E657" s="1">
        <v>94658</v>
      </c>
      <c r="F657" s="1">
        <v>169975</v>
      </c>
      <c r="G657">
        <v>124</v>
      </c>
      <c r="H657">
        <v>8</v>
      </c>
      <c r="I657" s="1">
        <f>fact[[#This Row],[units_sold]]*fact[[#This Row],[price_usd]]</f>
        <v>40513624</v>
      </c>
      <c r="J657">
        <v>428</v>
      </c>
    </row>
    <row r="658" spans="1:10" x14ac:dyDescent="0.35">
      <c r="A658">
        <v>657</v>
      </c>
      <c r="B658" t="s">
        <v>270</v>
      </c>
      <c r="C658" t="s">
        <v>159</v>
      </c>
      <c r="D658" t="s">
        <v>171</v>
      </c>
      <c r="E658" s="1">
        <v>35215</v>
      </c>
      <c r="F658" s="1">
        <v>268168</v>
      </c>
      <c r="G658">
        <v>114</v>
      </c>
      <c r="H658">
        <v>9</v>
      </c>
      <c r="I658" s="1">
        <f>fact[[#This Row],[units_sold]]*fact[[#This Row],[price_usd]]</f>
        <v>10141920</v>
      </c>
      <c r="J658">
        <v>288</v>
      </c>
    </row>
    <row r="659" spans="1:10" x14ac:dyDescent="0.35">
      <c r="A659">
        <v>658</v>
      </c>
      <c r="B659" t="s">
        <v>179</v>
      </c>
      <c r="C659" t="s">
        <v>69</v>
      </c>
      <c r="D659" t="s">
        <v>169</v>
      </c>
      <c r="E659" s="1">
        <v>93861</v>
      </c>
      <c r="F659" s="1">
        <v>262803</v>
      </c>
      <c r="G659">
        <v>197</v>
      </c>
      <c r="H659">
        <v>6</v>
      </c>
      <c r="I659" s="1">
        <f>fact[[#This Row],[units_sold]]*fact[[#This Row],[price_usd]]</f>
        <v>57724515</v>
      </c>
      <c r="J659">
        <v>615</v>
      </c>
    </row>
    <row r="660" spans="1:10" x14ac:dyDescent="0.35">
      <c r="A660">
        <v>659</v>
      </c>
      <c r="B660" t="s">
        <v>179</v>
      </c>
      <c r="C660" t="s">
        <v>90</v>
      </c>
      <c r="D660" t="s">
        <v>166</v>
      </c>
      <c r="E660" s="1">
        <v>40867</v>
      </c>
      <c r="F660" s="1">
        <v>446456</v>
      </c>
      <c r="G660">
        <v>158</v>
      </c>
      <c r="H660">
        <v>7</v>
      </c>
      <c r="I660" s="1">
        <f>fact[[#This Row],[units_sold]]*fact[[#This Row],[price_usd]]</f>
        <v>17409342</v>
      </c>
      <c r="J660">
        <v>426</v>
      </c>
    </row>
    <row r="661" spans="1:10" x14ac:dyDescent="0.35">
      <c r="A661">
        <v>660</v>
      </c>
      <c r="B661" t="s">
        <v>179</v>
      </c>
      <c r="C661" t="s">
        <v>100</v>
      </c>
      <c r="D661" t="s">
        <v>167</v>
      </c>
      <c r="E661" s="1">
        <v>115820</v>
      </c>
      <c r="F661" s="1">
        <v>95689</v>
      </c>
      <c r="G661">
        <v>331</v>
      </c>
      <c r="H661">
        <v>5</v>
      </c>
      <c r="I661" s="1">
        <f>fact[[#This Row],[units_sold]]*fact[[#This Row],[price_usd]]</f>
        <v>122190100</v>
      </c>
      <c r="J661">
        <v>1055</v>
      </c>
    </row>
    <row r="662" spans="1:10" x14ac:dyDescent="0.35">
      <c r="A662">
        <v>661</v>
      </c>
      <c r="B662" t="s">
        <v>179</v>
      </c>
      <c r="C662" t="s">
        <v>115</v>
      </c>
      <c r="D662" t="s">
        <v>169</v>
      </c>
      <c r="E662" s="1">
        <v>114878</v>
      </c>
      <c r="F662" s="1">
        <v>53089</v>
      </c>
      <c r="G662">
        <v>112</v>
      </c>
      <c r="H662">
        <v>7</v>
      </c>
      <c r="I662" s="1">
        <f>fact[[#This Row],[units_sold]]*fact[[#This Row],[price_usd]]</f>
        <v>52039734</v>
      </c>
      <c r="J662">
        <v>453</v>
      </c>
    </row>
    <row r="663" spans="1:10" x14ac:dyDescent="0.35">
      <c r="A663">
        <v>662</v>
      </c>
      <c r="B663" t="s">
        <v>179</v>
      </c>
      <c r="C663" t="s">
        <v>107</v>
      </c>
      <c r="D663" t="s">
        <v>172</v>
      </c>
      <c r="E663" s="1">
        <v>118053</v>
      </c>
      <c r="F663" s="1">
        <v>148707</v>
      </c>
      <c r="G663">
        <v>13</v>
      </c>
      <c r="H663">
        <v>2</v>
      </c>
      <c r="I663" s="1">
        <f>fact[[#This Row],[units_sold]]*fact[[#This Row],[price_usd]]</f>
        <v>34235370</v>
      </c>
      <c r="J663">
        <v>290</v>
      </c>
    </row>
    <row r="664" spans="1:10" x14ac:dyDescent="0.35">
      <c r="A664">
        <v>663</v>
      </c>
      <c r="B664" t="s">
        <v>179</v>
      </c>
      <c r="C664" t="s">
        <v>117</v>
      </c>
      <c r="D664" t="s">
        <v>168</v>
      </c>
      <c r="E664" s="1">
        <v>90734</v>
      </c>
      <c r="F664" s="1">
        <v>207977</v>
      </c>
      <c r="G664">
        <v>57</v>
      </c>
      <c r="H664">
        <v>5</v>
      </c>
      <c r="I664" s="1">
        <f>fact[[#This Row],[units_sold]]*fact[[#This Row],[price_usd]]</f>
        <v>19326342</v>
      </c>
      <c r="J664">
        <v>213</v>
      </c>
    </row>
    <row r="665" spans="1:10" x14ac:dyDescent="0.35">
      <c r="A665">
        <v>664</v>
      </c>
      <c r="B665" t="s">
        <v>179</v>
      </c>
      <c r="C665" t="s">
        <v>144</v>
      </c>
      <c r="D665" t="s">
        <v>166</v>
      </c>
      <c r="E665" s="1">
        <v>82662</v>
      </c>
      <c r="F665" s="1">
        <v>230775</v>
      </c>
      <c r="G665">
        <v>267</v>
      </c>
      <c r="H665">
        <v>9</v>
      </c>
      <c r="I665" s="1">
        <f>fact[[#This Row],[units_sold]]*fact[[#This Row],[price_usd]]</f>
        <v>52986342</v>
      </c>
      <c r="J665">
        <v>641</v>
      </c>
    </row>
    <row r="666" spans="1:10" x14ac:dyDescent="0.35">
      <c r="A666">
        <v>665</v>
      </c>
      <c r="B666" t="s">
        <v>179</v>
      </c>
      <c r="C666" t="s">
        <v>152</v>
      </c>
      <c r="D666" t="s">
        <v>170</v>
      </c>
      <c r="E666" s="1">
        <v>68672</v>
      </c>
      <c r="F666" s="1">
        <v>63440</v>
      </c>
      <c r="G666">
        <v>51</v>
      </c>
      <c r="H666">
        <v>8</v>
      </c>
      <c r="I666" s="1">
        <f>fact[[#This Row],[units_sold]]*fact[[#This Row],[price_usd]]</f>
        <v>12841664</v>
      </c>
      <c r="J666">
        <v>187</v>
      </c>
    </row>
    <row r="667" spans="1:10" x14ac:dyDescent="0.35">
      <c r="A667">
        <v>666</v>
      </c>
      <c r="B667" t="s">
        <v>221</v>
      </c>
      <c r="C667" t="s">
        <v>51</v>
      </c>
      <c r="D667" t="s">
        <v>32</v>
      </c>
      <c r="E667" s="1">
        <v>81041</v>
      </c>
      <c r="F667" s="1">
        <v>194179</v>
      </c>
      <c r="G667">
        <v>276</v>
      </c>
      <c r="H667">
        <v>1</v>
      </c>
      <c r="I667" s="1">
        <f>fact[[#This Row],[units_sold]]*fact[[#This Row],[price_usd]]</f>
        <v>51542076</v>
      </c>
      <c r="J667">
        <v>636</v>
      </c>
    </row>
    <row r="668" spans="1:10" x14ac:dyDescent="0.35">
      <c r="A668">
        <v>667</v>
      </c>
      <c r="B668" t="s">
        <v>221</v>
      </c>
      <c r="C668" t="s">
        <v>44</v>
      </c>
      <c r="D668" t="s">
        <v>173</v>
      </c>
      <c r="E668" s="1">
        <v>118658</v>
      </c>
      <c r="F668" s="1">
        <v>82940</v>
      </c>
      <c r="G668">
        <v>59</v>
      </c>
      <c r="H668">
        <v>5</v>
      </c>
      <c r="I668" s="1">
        <f>fact[[#This Row],[units_sold]]*fact[[#This Row],[price_usd]]</f>
        <v>58854368</v>
      </c>
      <c r="J668">
        <v>496</v>
      </c>
    </row>
    <row r="669" spans="1:10" x14ac:dyDescent="0.35">
      <c r="A669">
        <v>668</v>
      </c>
      <c r="B669" t="s">
        <v>221</v>
      </c>
      <c r="C669" t="s">
        <v>71</v>
      </c>
      <c r="D669" t="s">
        <v>173</v>
      </c>
      <c r="E669" s="1">
        <v>106466</v>
      </c>
      <c r="F669" s="1">
        <v>78885</v>
      </c>
      <c r="G669">
        <v>329</v>
      </c>
      <c r="H669">
        <v>1</v>
      </c>
      <c r="I669" s="1">
        <f>fact[[#This Row],[units_sold]]*fact[[#This Row],[price_usd]]</f>
        <v>79743034</v>
      </c>
      <c r="J669">
        <v>749</v>
      </c>
    </row>
    <row r="670" spans="1:10" x14ac:dyDescent="0.35">
      <c r="A670">
        <v>669</v>
      </c>
      <c r="B670" t="s">
        <v>221</v>
      </c>
      <c r="C670" t="s">
        <v>77</v>
      </c>
      <c r="D670" t="s">
        <v>32</v>
      </c>
      <c r="E670" s="1">
        <v>61026</v>
      </c>
      <c r="F670" s="1">
        <v>255753</v>
      </c>
      <c r="G670">
        <v>45</v>
      </c>
      <c r="H670">
        <v>8</v>
      </c>
      <c r="I670" s="1">
        <f>fact[[#This Row],[units_sold]]*fact[[#This Row],[price_usd]]</f>
        <v>12266226</v>
      </c>
      <c r="J670">
        <v>201</v>
      </c>
    </row>
    <row r="671" spans="1:10" x14ac:dyDescent="0.35">
      <c r="A671">
        <v>670</v>
      </c>
      <c r="B671" t="s">
        <v>221</v>
      </c>
      <c r="C671" t="s">
        <v>74</v>
      </c>
      <c r="D671" t="s">
        <v>168</v>
      </c>
      <c r="E671" s="1">
        <v>91759</v>
      </c>
      <c r="F671" s="1">
        <v>333816</v>
      </c>
      <c r="G671">
        <v>306</v>
      </c>
      <c r="H671">
        <v>6</v>
      </c>
      <c r="I671" s="1">
        <f>fact[[#This Row],[units_sold]]*fact[[#This Row],[price_usd]]</f>
        <v>80380884</v>
      </c>
      <c r="J671">
        <v>876</v>
      </c>
    </row>
    <row r="672" spans="1:10" x14ac:dyDescent="0.35">
      <c r="A672">
        <v>671</v>
      </c>
      <c r="B672" t="s">
        <v>221</v>
      </c>
      <c r="C672" t="s">
        <v>93</v>
      </c>
      <c r="D672" t="s">
        <v>173</v>
      </c>
      <c r="E672" s="1">
        <v>39239</v>
      </c>
      <c r="F672" s="1">
        <v>469876</v>
      </c>
      <c r="G672">
        <v>126</v>
      </c>
      <c r="H672">
        <v>7</v>
      </c>
      <c r="I672" s="1">
        <f>fact[[#This Row],[units_sold]]*fact[[#This Row],[price_usd]]</f>
        <v>25858501</v>
      </c>
      <c r="J672">
        <v>659</v>
      </c>
    </row>
    <row r="673" spans="1:10" x14ac:dyDescent="0.35">
      <c r="A673">
        <v>672</v>
      </c>
      <c r="B673" t="s">
        <v>221</v>
      </c>
      <c r="C673" t="s">
        <v>150</v>
      </c>
      <c r="D673" t="s">
        <v>169</v>
      </c>
      <c r="E673" s="1">
        <v>103469</v>
      </c>
      <c r="F673" s="1">
        <v>355302</v>
      </c>
      <c r="G673">
        <v>170</v>
      </c>
      <c r="H673">
        <v>10</v>
      </c>
      <c r="I673" s="1">
        <f>fact[[#This Row],[units_sold]]*fact[[#This Row],[price_usd]]</f>
        <v>76049715</v>
      </c>
      <c r="J673">
        <v>735</v>
      </c>
    </row>
    <row r="674" spans="1:10" x14ac:dyDescent="0.35">
      <c r="A674">
        <v>673</v>
      </c>
      <c r="B674" t="s">
        <v>221</v>
      </c>
      <c r="C674" t="s">
        <v>161</v>
      </c>
      <c r="D674" t="s">
        <v>165</v>
      </c>
      <c r="E674" s="1">
        <v>69069</v>
      </c>
      <c r="F674" s="1">
        <v>445783</v>
      </c>
      <c r="G674">
        <v>93</v>
      </c>
      <c r="H674">
        <v>8</v>
      </c>
      <c r="I674" s="1">
        <f>fact[[#This Row],[units_sold]]*fact[[#This Row],[price_usd]]</f>
        <v>24657633</v>
      </c>
      <c r="J674">
        <v>357</v>
      </c>
    </row>
    <row r="675" spans="1:10" x14ac:dyDescent="0.35">
      <c r="A675">
        <v>674</v>
      </c>
      <c r="B675" t="s">
        <v>273</v>
      </c>
      <c r="C675" t="s">
        <v>70</v>
      </c>
      <c r="D675" t="s">
        <v>32</v>
      </c>
      <c r="E675" s="1">
        <v>96084</v>
      </c>
      <c r="F675" s="1">
        <v>184563</v>
      </c>
      <c r="G675">
        <v>197</v>
      </c>
      <c r="H675">
        <v>8</v>
      </c>
      <c r="I675" s="1">
        <f>fact[[#This Row],[units_sold]]*fact[[#This Row],[price_usd]]</f>
        <v>41316120</v>
      </c>
      <c r="J675">
        <v>430</v>
      </c>
    </row>
    <row r="676" spans="1:10" x14ac:dyDescent="0.35">
      <c r="A676">
        <v>675</v>
      </c>
      <c r="B676" t="s">
        <v>273</v>
      </c>
      <c r="C676" t="s">
        <v>70</v>
      </c>
      <c r="D676" t="s">
        <v>170</v>
      </c>
      <c r="E676" s="1">
        <v>90514</v>
      </c>
      <c r="F676" s="1">
        <v>267995</v>
      </c>
      <c r="G676">
        <v>285</v>
      </c>
      <c r="H676">
        <v>2</v>
      </c>
      <c r="I676" s="1">
        <f>fact[[#This Row],[units_sold]]*fact[[#This Row],[price_usd]]</f>
        <v>80014376</v>
      </c>
      <c r="J676">
        <v>884</v>
      </c>
    </row>
    <row r="677" spans="1:10" x14ac:dyDescent="0.35">
      <c r="A677">
        <v>676</v>
      </c>
      <c r="B677" t="s">
        <v>273</v>
      </c>
      <c r="C677" t="s">
        <v>68</v>
      </c>
      <c r="D677" t="s">
        <v>172</v>
      </c>
      <c r="E677" s="1">
        <v>79755</v>
      </c>
      <c r="F677" s="1">
        <v>441351</v>
      </c>
      <c r="G677">
        <v>290</v>
      </c>
      <c r="H677">
        <v>8</v>
      </c>
      <c r="I677" s="1">
        <f>fact[[#This Row],[units_sold]]*fact[[#This Row],[price_usd]]</f>
        <v>48012510</v>
      </c>
      <c r="J677">
        <v>602</v>
      </c>
    </row>
    <row r="678" spans="1:10" x14ac:dyDescent="0.35">
      <c r="A678">
        <v>677</v>
      </c>
      <c r="B678" t="s">
        <v>273</v>
      </c>
      <c r="C678" t="s">
        <v>94</v>
      </c>
      <c r="D678" t="s">
        <v>171</v>
      </c>
      <c r="E678" s="1">
        <v>65979</v>
      </c>
      <c r="F678" s="1">
        <v>345685</v>
      </c>
      <c r="G678">
        <v>40</v>
      </c>
      <c r="H678">
        <v>6</v>
      </c>
      <c r="I678" s="1">
        <f>fact[[#This Row],[units_sold]]*fact[[#This Row],[price_usd]]</f>
        <v>13393737</v>
      </c>
      <c r="J678">
        <v>203</v>
      </c>
    </row>
    <row r="679" spans="1:10" x14ac:dyDescent="0.35">
      <c r="A679">
        <v>678</v>
      </c>
      <c r="B679" t="s">
        <v>273</v>
      </c>
      <c r="C679" t="s">
        <v>99</v>
      </c>
      <c r="D679" t="s">
        <v>173</v>
      </c>
      <c r="E679" s="1">
        <v>84036</v>
      </c>
      <c r="F679" s="1">
        <v>416378</v>
      </c>
      <c r="G679">
        <v>284</v>
      </c>
      <c r="H679">
        <v>1</v>
      </c>
      <c r="I679" s="1">
        <f>fact[[#This Row],[units_sold]]*fact[[#This Row],[price_usd]]</f>
        <v>85380576</v>
      </c>
      <c r="J679">
        <v>1016</v>
      </c>
    </row>
    <row r="680" spans="1:10" x14ac:dyDescent="0.35">
      <c r="A680">
        <v>679</v>
      </c>
      <c r="B680" t="s">
        <v>273</v>
      </c>
      <c r="C680" t="s">
        <v>121</v>
      </c>
      <c r="D680" t="s">
        <v>172</v>
      </c>
      <c r="E680" s="1">
        <v>115409</v>
      </c>
      <c r="F680" s="1">
        <v>163034</v>
      </c>
      <c r="G680">
        <v>250</v>
      </c>
      <c r="H680">
        <v>4</v>
      </c>
      <c r="I680" s="1">
        <f>fact[[#This Row],[units_sold]]*fact[[#This Row],[price_usd]]</f>
        <v>81940390</v>
      </c>
      <c r="J680">
        <v>710</v>
      </c>
    </row>
    <row r="681" spans="1:10" x14ac:dyDescent="0.35">
      <c r="A681">
        <v>680</v>
      </c>
      <c r="B681" t="s">
        <v>230</v>
      </c>
      <c r="C681" t="s">
        <v>52</v>
      </c>
      <c r="D681" t="s">
        <v>32</v>
      </c>
      <c r="E681" s="1">
        <v>84002</v>
      </c>
      <c r="F681" s="1">
        <v>82152</v>
      </c>
      <c r="G681">
        <v>251</v>
      </c>
      <c r="H681">
        <v>7</v>
      </c>
      <c r="I681" s="1">
        <f>fact[[#This Row],[units_sold]]*fact[[#This Row],[price_usd]]</f>
        <v>55609324</v>
      </c>
      <c r="J681">
        <v>662</v>
      </c>
    </row>
    <row r="682" spans="1:10" x14ac:dyDescent="0.35">
      <c r="A682">
        <v>681</v>
      </c>
      <c r="B682" t="s">
        <v>230</v>
      </c>
      <c r="C682" t="s">
        <v>61</v>
      </c>
      <c r="D682" t="s">
        <v>170</v>
      </c>
      <c r="E682" s="1">
        <v>70892</v>
      </c>
      <c r="F682" s="1">
        <v>294255</v>
      </c>
      <c r="G682">
        <v>320</v>
      </c>
      <c r="H682">
        <v>5</v>
      </c>
      <c r="I682" s="1">
        <f>fact[[#This Row],[units_sold]]*fact[[#This Row],[price_usd]]</f>
        <v>77910308</v>
      </c>
      <c r="J682">
        <v>1099</v>
      </c>
    </row>
    <row r="683" spans="1:10" x14ac:dyDescent="0.35">
      <c r="A683">
        <v>682</v>
      </c>
      <c r="B683" t="s">
        <v>230</v>
      </c>
      <c r="C683" t="s">
        <v>59</v>
      </c>
      <c r="D683" t="s">
        <v>170</v>
      </c>
      <c r="E683" s="1">
        <v>54023</v>
      </c>
      <c r="F683" s="1">
        <v>208272</v>
      </c>
      <c r="G683">
        <v>83</v>
      </c>
      <c r="H683">
        <v>6</v>
      </c>
      <c r="I683" s="1">
        <f>fact[[#This Row],[units_sold]]*fact[[#This Row],[price_usd]]</f>
        <v>25660925</v>
      </c>
      <c r="J683">
        <v>475</v>
      </c>
    </row>
    <row r="684" spans="1:10" x14ac:dyDescent="0.35">
      <c r="A684">
        <v>683</v>
      </c>
      <c r="B684" t="s">
        <v>230</v>
      </c>
      <c r="C684" t="s">
        <v>58</v>
      </c>
      <c r="D684" t="s">
        <v>173</v>
      </c>
      <c r="E684" s="1">
        <v>106833</v>
      </c>
      <c r="F684" s="1">
        <v>90870</v>
      </c>
      <c r="G684">
        <v>213</v>
      </c>
      <c r="H684">
        <v>1</v>
      </c>
      <c r="I684" s="1">
        <f>fact[[#This Row],[units_sold]]*fact[[#This Row],[price_usd]]</f>
        <v>52882335</v>
      </c>
      <c r="J684">
        <v>495</v>
      </c>
    </row>
    <row r="685" spans="1:10" x14ac:dyDescent="0.35">
      <c r="A685">
        <v>684</v>
      </c>
      <c r="B685" t="s">
        <v>230</v>
      </c>
      <c r="C685" t="s">
        <v>67</v>
      </c>
      <c r="D685" t="s">
        <v>172</v>
      </c>
      <c r="E685" s="1">
        <v>106894</v>
      </c>
      <c r="F685" s="1">
        <v>379061</v>
      </c>
      <c r="G685">
        <v>35</v>
      </c>
      <c r="H685">
        <v>2</v>
      </c>
      <c r="I685" s="1">
        <f>fact[[#This Row],[units_sold]]*fact[[#This Row],[price_usd]]</f>
        <v>49919498</v>
      </c>
      <c r="J685">
        <v>467</v>
      </c>
    </row>
    <row r="686" spans="1:10" x14ac:dyDescent="0.35">
      <c r="A686">
        <v>685</v>
      </c>
      <c r="B686" t="s">
        <v>230</v>
      </c>
      <c r="C686" t="s">
        <v>90</v>
      </c>
      <c r="D686" t="s">
        <v>170</v>
      </c>
      <c r="E686" s="1">
        <v>80203</v>
      </c>
      <c r="F686" s="1">
        <v>165819</v>
      </c>
      <c r="G686">
        <v>112</v>
      </c>
      <c r="H686">
        <v>2</v>
      </c>
      <c r="I686" s="1">
        <f>fact[[#This Row],[units_sold]]*fact[[#This Row],[price_usd]]</f>
        <v>41224342</v>
      </c>
      <c r="J686">
        <v>514</v>
      </c>
    </row>
    <row r="687" spans="1:10" x14ac:dyDescent="0.35">
      <c r="A687">
        <v>686</v>
      </c>
      <c r="B687" t="s">
        <v>230</v>
      </c>
      <c r="C687" t="s">
        <v>107</v>
      </c>
      <c r="D687" t="s">
        <v>32</v>
      </c>
      <c r="E687" s="1">
        <v>107227</v>
      </c>
      <c r="F687" s="1">
        <v>422684</v>
      </c>
      <c r="G687">
        <v>79</v>
      </c>
      <c r="H687">
        <v>9</v>
      </c>
      <c r="I687" s="1">
        <f>fact[[#This Row],[units_sold]]*fact[[#This Row],[price_usd]]</f>
        <v>40746260</v>
      </c>
      <c r="J687">
        <v>380</v>
      </c>
    </row>
    <row r="688" spans="1:10" x14ac:dyDescent="0.35">
      <c r="A688">
        <v>687</v>
      </c>
      <c r="B688" t="s">
        <v>230</v>
      </c>
      <c r="C688" t="s">
        <v>153</v>
      </c>
      <c r="D688" t="s">
        <v>165</v>
      </c>
      <c r="E688" s="1">
        <v>64863</v>
      </c>
      <c r="F688" s="1">
        <v>119202</v>
      </c>
      <c r="G688">
        <v>262</v>
      </c>
      <c r="H688">
        <v>3</v>
      </c>
      <c r="I688" s="1">
        <f>fact[[#This Row],[units_sold]]*fact[[#This Row],[price_usd]]</f>
        <v>46960812</v>
      </c>
      <c r="J688">
        <v>724</v>
      </c>
    </row>
    <row r="689" spans="1:10" x14ac:dyDescent="0.35">
      <c r="A689">
        <v>688</v>
      </c>
      <c r="B689" t="s">
        <v>279</v>
      </c>
      <c r="C689" t="s">
        <v>52</v>
      </c>
      <c r="D689" t="s">
        <v>171</v>
      </c>
      <c r="E689" s="1">
        <v>107255</v>
      </c>
      <c r="F689" s="1">
        <v>427864</v>
      </c>
      <c r="G689">
        <v>239</v>
      </c>
      <c r="H689">
        <v>6</v>
      </c>
      <c r="I689" s="1">
        <f>fact[[#This Row],[units_sold]]*fact[[#This Row],[price_usd]]</f>
        <v>67570650</v>
      </c>
      <c r="J689">
        <v>630</v>
      </c>
    </row>
    <row r="690" spans="1:10" x14ac:dyDescent="0.35">
      <c r="A690">
        <v>689</v>
      </c>
      <c r="B690" t="s">
        <v>279</v>
      </c>
      <c r="C690" t="s">
        <v>55</v>
      </c>
      <c r="D690" t="s">
        <v>165</v>
      </c>
      <c r="E690" s="1">
        <v>38159</v>
      </c>
      <c r="F690" s="1">
        <v>200259</v>
      </c>
      <c r="G690">
        <v>329</v>
      </c>
      <c r="H690">
        <v>10</v>
      </c>
      <c r="I690" s="1">
        <f>fact[[#This Row],[units_sold]]*fact[[#This Row],[price_usd]]</f>
        <v>38655067</v>
      </c>
      <c r="J690">
        <v>1013</v>
      </c>
    </row>
    <row r="691" spans="1:10" x14ac:dyDescent="0.35">
      <c r="A691">
        <v>690</v>
      </c>
      <c r="B691" t="s">
        <v>279</v>
      </c>
      <c r="C691" t="s">
        <v>68</v>
      </c>
      <c r="D691" t="s">
        <v>168</v>
      </c>
      <c r="E691" s="1">
        <v>48921</v>
      </c>
      <c r="F691" s="1">
        <v>361011</v>
      </c>
      <c r="G691">
        <v>346</v>
      </c>
      <c r="H691">
        <v>5</v>
      </c>
      <c r="I691" s="1">
        <f>fact[[#This Row],[units_sold]]*fact[[#This Row],[price_usd]]</f>
        <v>53128206</v>
      </c>
      <c r="J691">
        <v>1086</v>
      </c>
    </row>
    <row r="692" spans="1:10" x14ac:dyDescent="0.35">
      <c r="A692">
        <v>691</v>
      </c>
      <c r="B692" t="s">
        <v>279</v>
      </c>
      <c r="C692" t="s">
        <v>113</v>
      </c>
      <c r="D692" t="s">
        <v>173</v>
      </c>
      <c r="E692" s="1">
        <v>47021</v>
      </c>
      <c r="F692" s="1">
        <v>340886</v>
      </c>
      <c r="G692">
        <v>78</v>
      </c>
      <c r="H692">
        <v>8</v>
      </c>
      <c r="I692" s="1">
        <f>fact[[#This Row],[units_sold]]*fact[[#This Row],[price_usd]]</f>
        <v>11661208</v>
      </c>
      <c r="J692">
        <v>248</v>
      </c>
    </row>
    <row r="693" spans="1:10" x14ac:dyDescent="0.35">
      <c r="A693">
        <v>692</v>
      </c>
      <c r="B693" t="s">
        <v>279</v>
      </c>
      <c r="C693" t="s">
        <v>140</v>
      </c>
      <c r="D693" t="s">
        <v>172</v>
      </c>
      <c r="E693" s="1">
        <v>50896</v>
      </c>
      <c r="F693" s="1">
        <v>173711</v>
      </c>
      <c r="G693">
        <v>299</v>
      </c>
      <c r="H693">
        <v>10</v>
      </c>
      <c r="I693" s="1">
        <f>fact[[#This Row],[units_sold]]*fact[[#This Row],[price_usd]]</f>
        <v>33998528</v>
      </c>
      <c r="J693">
        <v>668</v>
      </c>
    </row>
    <row r="694" spans="1:10" x14ac:dyDescent="0.35">
      <c r="A694">
        <v>693</v>
      </c>
      <c r="B694" t="s">
        <v>180</v>
      </c>
      <c r="C694" t="s">
        <v>62</v>
      </c>
      <c r="D694" t="s">
        <v>169</v>
      </c>
      <c r="E694" s="1">
        <v>112506</v>
      </c>
      <c r="F694" s="1">
        <v>53317</v>
      </c>
      <c r="G694">
        <v>291</v>
      </c>
      <c r="H694">
        <v>6</v>
      </c>
      <c r="I694" s="1">
        <f>fact[[#This Row],[units_sold]]*fact[[#This Row],[price_usd]]</f>
        <v>76616586</v>
      </c>
      <c r="J694">
        <v>681</v>
      </c>
    </row>
    <row r="695" spans="1:10" x14ac:dyDescent="0.35">
      <c r="A695">
        <v>694</v>
      </c>
      <c r="B695" t="s">
        <v>180</v>
      </c>
      <c r="C695" t="s">
        <v>61</v>
      </c>
      <c r="D695" t="s">
        <v>168</v>
      </c>
      <c r="E695" s="1">
        <v>99604</v>
      </c>
      <c r="F695" s="1">
        <v>123606</v>
      </c>
      <c r="G695">
        <v>207</v>
      </c>
      <c r="H695">
        <v>7</v>
      </c>
      <c r="I695" s="1">
        <f>fact[[#This Row],[units_sold]]*fact[[#This Row],[price_usd]]</f>
        <v>75101416</v>
      </c>
      <c r="J695">
        <v>754</v>
      </c>
    </row>
    <row r="696" spans="1:10" x14ac:dyDescent="0.35">
      <c r="A696">
        <v>695</v>
      </c>
      <c r="B696" t="s">
        <v>180</v>
      </c>
      <c r="C696" t="s">
        <v>89</v>
      </c>
      <c r="D696" t="s">
        <v>32</v>
      </c>
      <c r="E696" s="1">
        <v>114465</v>
      </c>
      <c r="F696" s="1">
        <v>407521</v>
      </c>
      <c r="G696">
        <v>270</v>
      </c>
      <c r="H696">
        <v>8</v>
      </c>
      <c r="I696" s="1">
        <f>fact[[#This Row],[units_sold]]*fact[[#This Row],[price_usd]]</f>
        <v>63299145</v>
      </c>
      <c r="J696">
        <v>553</v>
      </c>
    </row>
    <row r="697" spans="1:10" x14ac:dyDescent="0.35">
      <c r="A697">
        <v>696</v>
      </c>
      <c r="B697" t="s">
        <v>180</v>
      </c>
      <c r="C697" t="s">
        <v>122</v>
      </c>
      <c r="D697" t="s">
        <v>172</v>
      </c>
      <c r="E697" s="1">
        <v>117839</v>
      </c>
      <c r="F697" s="1">
        <v>175865</v>
      </c>
      <c r="G697">
        <v>106</v>
      </c>
      <c r="H697">
        <v>8</v>
      </c>
      <c r="I697" s="1">
        <f>fact[[#This Row],[units_sold]]*fact[[#This Row],[price_usd]]</f>
        <v>73767214</v>
      </c>
      <c r="J697">
        <v>626</v>
      </c>
    </row>
    <row r="698" spans="1:10" x14ac:dyDescent="0.35">
      <c r="A698">
        <v>697</v>
      </c>
      <c r="B698" t="s">
        <v>180</v>
      </c>
      <c r="C698" t="s">
        <v>122</v>
      </c>
      <c r="D698" t="s">
        <v>171</v>
      </c>
      <c r="E698" s="1">
        <v>117844</v>
      </c>
      <c r="F698" s="1">
        <v>441897</v>
      </c>
      <c r="G698">
        <v>332</v>
      </c>
      <c r="H698">
        <v>9</v>
      </c>
      <c r="I698" s="1">
        <f>fact[[#This Row],[units_sold]]*fact[[#This Row],[price_usd]]</f>
        <v>86968872</v>
      </c>
      <c r="J698">
        <v>738</v>
      </c>
    </row>
    <row r="699" spans="1:10" x14ac:dyDescent="0.35">
      <c r="A699">
        <v>698</v>
      </c>
      <c r="B699" t="s">
        <v>180</v>
      </c>
      <c r="C699" t="s">
        <v>131</v>
      </c>
      <c r="D699" t="s">
        <v>32</v>
      </c>
      <c r="E699" s="1">
        <v>61532</v>
      </c>
      <c r="F699" s="1">
        <v>405113</v>
      </c>
      <c r="G699">
        <v>66</v>
      </c>
      <c r="H699">
        <v>6</v>
      </c>
      <c r="I699" s="1">
        <f>fact[[#This Row],[units_sold]]*fact[[#This Row],[price_usd]]</f>
        <v>12367932</v>
      </c>
      <c r="J699">
        <v>201</v>
      </c>
    </row>
    <row r="700" spans="1:10" x14ac:dyDescent="0.35">
      <c r="A700">
        <v>699</v>
      </c>
      <c r="B700" t="s">
        <v>180</v>
      </c>
      <c r="C700" t="s">
        <v>142</v>
      </c>
      <c r="D700" t="s">
        <v>172</v>
      </c>
      <c r="E700" s="1">
        <v>82315</v>
      </c>
      <c r="F700" s="1">
        <v>482015</v>
      </c>
      <c r="G700">
        <v>367</v>
      </c>
      <c r="H700">
        <v>2</v>
      </c>
      <c r="I700" s="1">
        <f>fact[[#This Row],[units_sold]]*fact[[#This Row],[price_usd]]</f>
        <v>95156140</v>
      </c>
      <c r="J700">
        <v>1156</v>
      </c>
    </row>
    <row r="701" spans="1:10" x14ac:dyDescent="0.35">
      <c r="A701">
        <v>700</v>
      </c>
      <c r="B701" t="s">
        <v>180</v>
      </c>
      <c r="C701" t="s">
        <v>144</v>
      </c>
      <c r="D701" t="s">
        <v>32</v>
      </c>
      <c r="E701" s="1">
        <v>91344</v>
      </c>
      <c r="F701" s="1">
        <v>143246</v>
      </c>
      <c r="G701">
        <v>361</v>
      </c>
      <c r="H701">
        <v>4</v>
      </c>
      <c r="I701" s="1">
        <f>fact[[#This Row],[units_sold]]*fact[[#This Row],[price_usd]]</f>
        <v>80748096</v>
      </c>
      <c r="J701">
        <v>884</v>
      </c>
    </row>
    <row r="702" spans="1:10" x14ac:dyDescent="0.35">
      <c r="A702">
        <v>701</v>
      </c>
      <c r="B702" t="s">
        <v>180</v>
      </c>
      <c r="C702" t="s">
        <v>156</v>
      </c>
      <c r="D702" t="s">
        <v>170</v>
      </c>
      <c r="E702" s="1">
        <v>40606</v>
      </c>
      <c r="F702" s="1">
        <v>65734</v>
      </c>
      <c r="G702">
        <v>382</v>
      </c>
      <c r="H702">
        <v>8</v>
      </c>
      <c r="I702" s="1">
        <f>fact[[#This Row],[units_sold]]*fact[[#This Row],[price_usd]]</f>
        <v>32078740</v>
      </c>
      <c r="J702">
        <v>790</v>
      </c>
    </row>
    <row r="703" spans="1:10" x14ac:dyDescent="0.35">
      <c r="A703">
        <v>702</v>
      </c>
      <c r="B703" t="s">
        <v>180</v>
      </c>
      <c r="C703" t="s">
        <v>155</v>
      </c>
      <c r="D703" t="s">
        <v>32</v>
      </c>
      <c r="E703" s="1">
        <v>81511</v>
      </c>
      <c r="F703" s="1">
        <v>173076</v>
      </c>
      <c r="G703">
        <v>29</v>
      </c>
      <c r="H703">
        <v>2</v>
      </c>
      <c r="I703" s="1">
        <f>fact[[#This Row],[units_sold]]*fact[[#This Row],[price_usd]]</f>
        <v>28202806</v>
      </c>
      <c r="J703">
        <v>346</v>
      </c>
    </row>
    <row r="704" spans="1:10" x14ac:dyDescent="0.35">
      <c r="A704">
        <v>703</v>
      </c>
      <c r="B704" t="s">
        <v>284</v>
      </c>
      <c r="C704" t="s">
        <v>47</v>
      </c>
      <c r="D704" t="s">
        <v>170</v>
      </c>
      <c r="E704" s="1">
        <v>96607</v>
      </c>
      <c r="F704" s="1">
        <v>184479</v>
      </c>
      <c r="G704">
        <v>238</v>
      </c>
      <c r="H704">
        <v>1</v>
      </c>
      <c r="I704" s="1">
        <f>fact[[#This Row],[units_sold]]*fact[[#This Row],[price_usd]]</f>
        <v>55935453</v>
      </c>
      <c r="J704">
        <v>579</v>
      </c>
    </row>
    <row r="705" spans="1:10" x14ac:dyDescent="0.35">
      <c r="A705">
        <v>704</v>
      </c>
      <c r="B705" t="s">
        <v>284</v>
      </c>
      <c r="C705" t="s">
        <v>53</v>
      </c>
      <c r="D705" t="s">
        <v>172</v>
      </c>
      <c r="E705" s="1">
        <v>68980</v>
      </c>
      <c r="F705" s="1">
        <v>457332</v>
      </c>
      <c r="G705">
        <v>238</v>
      </c>
      <c r="H705">
        <v>2</v>
      </c>
      <c r="I705" s="1">
        <f>fact[[#This Row],[units_sold]]*fact[[#This Row],[price_usd]]</f>
        <v>48975800</v>
      </c>
      <c r="J705">
        <v>710</v>
      </c>
    </row>
    <row r="706" spans="1:10" x14ac:dyDescent="0.35">
      <c r="A706">
        <v>705</v>
      </c>
      <c r="B706" t="s">
        <v>284</v>
      </c>
      <c r="C706" t="s">
        <v>59</v>
      </c>
      <c r="D706" t="s">
        <v>170</v>
      </c>
      <c r="E706" s="1">
        <v>36552</v>
      </c>
      <c r="F706" s="1">
        <v>355313</v>
      </c>
      <c r="G706">
        <v>220</v>
      </c>
      <c r="H706">
        <v>4</v>
      </c>
      <c r="I706" s="1">
        <f>fact[[#This Row],[units_sold]]*fact[[#This Row],[price_usd]]</f>
        <v>26463648</v>
      </c>
      <c r="J706">
        <v>724</v>
      </c>
    </row>
    <row r="707" spans="1:10" x14ac:dyDescent="0.35">
      <c r="A707">
        <v>706</v>
      </c>
      <c r="B707" t="s">
        <v>284</v>
      </c>
      <c r="C707" t="s">
        <v>74</v>
      </c>
      <c r="D707" t="s">
        <v>32</v>
      </c>
      <c r="E707" s="1">
        <v>117666</v>
      </c>
      <c r="F707" s="1">
        <v>397186</v>
      </c>
      <c r="G707">
        <v>60</v>
      </c>
      <c r="H707">
        <v>3</v>
      </c>
      <c r="I707" s="1">
        <f>fact[[#This Row],[units_sold]]*fact[[#This Row],[price_usd]]</f>
        <v>30593160</v>
      </c>
      <c r="J707">
        <v>260</v>
      </c>
    </row>
    <row r="708" spans="1:10" x14ac:dyDescent="0.35">
      <c r="A708">
        <v>707</v>
      </c>
      <c r="B708" t="s">
        <v>284</v>
      </c>
      <c r="C708" t="s">
        <v>69</v>
      </c>
      <c r="D708" t="s">
        <v>167</v>
      </c>
      <c r="E708" s="1">
        <v>78240</v>
      </c>
      <c r="F708" s="1">
        <v>355934</v>
      </c>
      <c r="G708">
        <v>68</v>
      </c>
      <c r="H708">
        <v>2</v>
      </c>
      <c r="I708" s="1">
        <f>fact[[#This Row],[units_sold]]*fact[[#This Row],[price_usd]]</f>
        <v>40684800</v>
      </c>
      <c r="J708">
        <v>520</v>
      </c>
    </row>
    <row r="709" spans="1:10" x14ac:dyDescent="0.35">
      <c r="A709">
        <v>708</v>
      </c>
      <c r="B709" t="s">
        <v>284</v>
      </c>
      <c r="C709" t="s">
        <v>88</v>
      </c>
      <c r="D709" t="s">
        <v>170</v>
      </c>
      <c r="E709" s="1">
        <v>72425</v>
      </c>
      <c r="F709" s="1">
        <v>267364</v>
      </c>
      <c r="G709">
        <v>169</v>
      </c>
      <c r="H709">
        <v>7</v>
      </c>
      <c r="I709" s="1">
        <f>fact[[#This Row],[units_sold]]*fact[[#This Row],[price_usd]]</f>
        <v>52073575</v>
      </c>
      <c r="J709">
        <v>719</v>
      </c>
    </row>
    <row r="710" spans="1:10" x14ac:dyDescent="0.35">
      <c r="A710">
        <v>709</v>
      </c>
      <c r="B710" t="s">
        <v>284</v>
      </c>
      <c r="C710" t="s">
        <v>82</v>
      </c>
      <c r="D710" t="s">
        <v>166</v>
      </c>
      <c r="E710" s="1">
        <v>57634</v>
      </c>
      <c r="F710" s="1">
        <v>411541</v>
      </c>
      <c r="G710">
        <v>78</v>
      </c>
      <c r="H710">
        <v>2</v>
      </c>
      <c r="I710" s="1">
        <f>fact[[#This Row],[units_sold]]*fact[[#This Row],[price_usd]]</f>
        <v>32102138</v>
      </c>
      <c r="J710">
        <v>557</v>
      </c>
    </row>
    <row r="711" spans="1:10" x14ac:dyDescent="0.35">
      <c r="A711">
        <v>710</v>
      </c>
      <c r="B711" t="s">
        <v>284</v>
      </c>
      <c r="C711" t="s">
        <v>100</v>
      </c>
      <c r="D711" t="s">
        <v>172</v>
      </c>
      <c r="E711" s="1">
        <v>55008</v>
      </c>
      <c r="F711" s="1">
        <v>273032</v>
      </c>
      <c r="G711">
        <v>138</v>
      </c>
      <c r="H711">
        <v>10</v>
      </c>
      <c r="I711" s="1">
        <f>fact[[#This Row],[units_sold]]*fact[[#This Row],[price_usd]]</f>
        <v>28659168</v>
      </c>
      <c r="J711">
        <v>521</v>
      </c>
    </row>
    <row r="712" spans="1:10" x14ac:dyDescent="0.35">
      <c r="A712">
        <v>711</v>
      </c>
      <c r="B712" t="s">
        <v>284</v>
      </c>
      <c r="C712" t="s">
        <v>108</v>
      </c>
      <c r="D712" t="s">
        <v>168</v>
      </c>
      <c r="E712" s="1">
        <v>100756</v>
      </c>
      <c r="F712" s="1">
        <v>223364</v>
      </c>
      <c r="G712">
        <v>73</v>
      </c>
      <c r="H712">
        <v>1</v>
      </c>
      <c r="I712" s="1">
        <f>fact[[#This Row],[units_sold]]*fact[[#This Row],[price_usd]]</f>
        <v>52090852</v>
      </c>
      <c r="J712">
        <v>517</v>
      </c>
    </row>
    <row r="713" spans="1:10" x14ac:dyDescent="0.35">
      <c r="A713">
        <v>712</v>
      </c>
      <c r="B713" t="s">
        <v>284</v>
      </c>
      <c r="C713" t="s">
        <v>134</v>
      </c>
      <c r="D713" t="s">
        <v>171</v>
      </c>
      <c r="E713" s="1">
        <v>102356</v>
      </c>
      <c r="F713" s="1">
        <v>262986</v>
      </c>
      <c r="G713">
        <v>389</v>
      </c>
      <c r="H713">
        <v>7</v>
      </c>
      <c r="I713" s="1">
        <f>fact[[#This Row],[units_sold]]*fact[[#This Row],[price_usd]]</f>
        <v>109213852</v>
      </c>
      <c r="J713">
        <v>1067</v>
      </c>
    </row>
    <row r="714" spans="1:10" x14ac:dyDescent="0.35">
      <c r="A714">
        <v>713</v>
      </c>
      <c r="B714" t="s">
        <v>284</v>
      </c>
      <c r="C714" t="s">
        <v>153</v>
      </c>
      <c r="D714" t="s">
        <v>165</v>
      </c>
      <c r="E714" s="1">
        <v>91809</v>
      </c>
      <c r="F714" s="1">
        <v>442007</v>
      </c>
      <c r="G714">
        <v>280</v>
      </c>
      <c r="H714">
        <v>1</v>
      </c>
      <c r="I714" s="1">
        <f>fact[[#This Row],[units_sold]]*fact[[#This Row],[price_usd]]</f>
        <v>86943123</v>
      </c>
      <c r="J714">
        <v>947</v>
      </c>
    </row>
    <row r="715" spans="1:10" x14ac:dyDescent="0.35">
      <c r="A715">
        <v>714</v>
      </c>
      <c r="B715" t="s">
        <v>284</v>
      </c>
      <c r="C715" t="s">
        <v>155</v>
      </c>
      <c r="D715" t="s">
        <v>171</v>
      </c>
      <c r="E715" s="1">
        <v>68073</v>
      </c>
      <c r="F715" s="1">
        <v>283996</v>
      </c>
      <c r="G715">
        <v>342</v>
      </c>
      <c r="H715">
        <v>3</v>
      </c>
      <c r="I715" s="1">
        <f>fact[[#This Row],[units_sold]]*fact[[#This Row],[price_usd]]</f>
        <v>63784401</v>
      </c>
      <c r="J715">
        <v>937</v>
      </c>
    </row>
    <row r="716" spans="1:10" x14ac:dyDescent="0.35">
      <c r="A716">
        <v>715</v>
      </c>
      <c r="B716" t="s">
        <v>284</v>
      </c>
      <c r="C716" t="s">
        <v>159</v>
      </c>
      <c r="D716" t="s">
        <v>165</v>
      </c>
      <c r="E716" s="1">
        <v>54385</v>
      </c>
      <c r="F716" s="1">
        <v>411087</v>
      </c>
      <c r="G716">
        <v>283</v>
      </c>
      <c r="H716">
        <v>10</v>
      </c>
      <c r="I716" s="1">
        <f>fact[[#This Row],[units_sold]]*fact[[#This Row],[price_usd]]</f>
        <v>47913185</v>
      </c>
      <c r="J716">
        <v>881</v>
      </c>
    </row>
    <row r="717" spans="1:10" x14ac:dyDescent="0.35">
      <c r="A717">
        <v>716</v>
      </c>
      <c r="B717" t="s">
        <v>199</v>
      </c>
      <c r="C717" t="s">
        <v>52</v>
      </c>
      <c r="D717" t="s">
        <v>32</v>
      </c>
      <c r="E717" s="1">
        <v>51766</v>
      </c>
      <c r="F717" s="1">
        <v>146055</v>
      </c>
      <c r="G717">
        <v>306</v>
      </c>
      <c r="H717">
        <v>1</v>
      </c>
      <c r="I717" s="1">
        <f>fact[[#This Row],[units_sold]]*fact[[#This Row],[price_usd]]</f>
        <v>53163682</v>
      </c>
      <c r="J717">
        <v>1027</v>
      </c>
    </row>
    <row r="718" spans="1:10" x14ac:dyDescent="0.35">
      <c r="A718">
        <v>717</v>
      </c>
      <c r="B718" t="s">
        <v>199</v>
      </c>
      <c r="C718" t="s">
        <v>61</v>
      </c>
      <c r="D718" t="s">
        <v>172</v>
      </c>
      <c r="E718" s="1">
        <v>100679</v>
      </c>
      <c r="F718" s="1">
        <v>65994</v>
      </c>
      <c r="G718">
        <v>212</v>
      </c>
      <c r="H718">
        <v>1</v>
      </c>
      <c r="I718" s="1">
        <f>fact[[#This Row],[units_sold]]*fact[[#This Row],[price_usd]]</f>
        <v>61816906</v>
      </c>
      <c r="J718">
        <v>614</v>
      </c>
    </row>
    <row r="719" spans="1:10" x14ac:dyDescent="0.35">
      <c r="A719">
        <v>718</v>
      </c>
      <c r="B719" t="s">
        <v>199</v>
      </c>
      <c r="C719" t="s">
        <v>69</v>
      </c>
      <c r="D719" t="s">
        <v>171</v>
      </c>
      <c r="E719" s="1">
        <v>99173</v>
      </c>
      <c r="F719" s="1">
        <v>336100</v>
      </c>
      <c r="G719">
        <v>160</v>
      </c>
      <c r="H719">
        <v>2</v>
      </c>
      <c r="I719" s="1">
        <f>fact[[#This Row],[units_sold]]*fact[[#This Row],[price_usd]]</f>
        <v>42743563</v>
      </c>
      <c r="J719">
        <v>431</v>
      </c>
    </row>
    <row r="720" spans="1:10" x14ac:dyDescent="0.35">
      <c r="A720">
        <v>719</v>
      </c>
      <c r="B720" t="s">
        <v>199</v>
      </c>
      <c r="C720" t="s">
        <v>84</v>
      </c>
      <c r="D720" t="s">
        <v>173</v>
      </c>
      <c r="E720" s="1">
        <v>66728</v>
      </c>
      <c r="F720" s="1">
        <v>156311</v>
      </c>
      <c r="G720">
        <v>266</v>
      </c>
      <c r="H720">
        <v>1</v>
      </c>
      <c r="I720" s="1">
        <f>fact[[#This Row],[units_sold]]*fact[[#This Row],[price_usd]]</f>
        <v>60322112</v>
      </c>
      <c r="J720">
        <v>904</v>
      </c>
    </row>
    <row r="721" spans="1:10" x14ac:dyDescent="0.35">
      <c r="A721">
        <v>720</v>
      </c>
      <c r="B721" t="s">
        <v>199</v>
      </c>
      <c r="C721" t="s">
        <v>80</v>
      </c>
      <c r="D721" t="s">
        <v>32</v>
      </c>
      <c r="E721" s="1">
        <v>84593</v>
      </c>
      <c r="F721" s="1">
        <v>73331</v>
      </c>
      <c r="G721">
        <v>345</v>
      </c>
      <c r="H721">
        <v>9</v>
      </c>
      <c r="I721" s="1">
        <f>fact[[#This Row],[units_sold]]*fact[[#This Row],[price_usd]]</f>
        <v>80870908</v>
      </c>
      <c r="J721">
        <v>956</v>
      </c>
    </row>
    <row r="722" spans="1:10" x14ac:dyDescent="0.35">
      <c r="A722">
        <v>721</v>
      </c>
      <c r="B722" t="s">
        <v>199</v>
      </c>
      <c r="C722" t="s">
        <v>81</v>
      </c>
      <c r="D722" t="s">
        <v>173</v>
      </c>
      <c r="E722" s="1">
        <v>56398</v>
      </c>
      <c r="F722" s="1">
        <v>191835</v>
      </c>
      <c r="G722">
        <v>123</v>
      </c>
      <c r="H722">
        <v>9</v>
      </c>
      <c r="I722" s="1">
        <f>fact[[#This Row],[units_sold]]*fact[[#This Row],[price_usd]]</f>
        <v>13873908</v>
      </c>
      <c r="J722">
        <v>246</v>
      </c>
    </row>
    <row r="723" spans="1:10" x14ac:dyDescent="0.35">
      <c r="A723">
        <v>722</v>
      </c>
      <c r="B723" t="s">
        <v>199</v>
      </c>
      <c r="C723" t="s">
        <v>86</v>
      </c>
      <c r="D723" t="s">
        <v>168</v>
      </c>
      <c r="E723" s="1">
        <v>66601</v>
      </c>
      <c r="F723" s="1">
        <v>252459</v>
      </c>
      <c r="G723">
        <v>184</v>
      </c>
      <c r="H723">
        <v>10</v>
      </c>
      <c r="I723" s="1">
        <f>fact[[#This Row],[units_sold]]*fact[[#This Row],[price_usd]]</f>
        <v>28305425</v>
      </c>
      <c r="J723">
        <v>425</v>
      </c>
    </row>
    <row r="724" spans="1:10" x14ac:dyDescent="0.35">
      <c r="A724">
        <v>723</v>
      </c>
      <c r="B724" t="s">
        <v>199</v>
      </c>
      <c r="C724" t="s">
        <v>141</v>
      </c>
      <c r="D724" t="s">
        <v>32</v>
      </c>
      <c r="E724" s="1">
        <v>77674</v>
      </c>
      <c r="F724" s="1">
        <v>363572</v>
      </c>
      <c r="G724">
        <v>308</v>
      </c>
      <c r="H724">
        <v>10</v>
      </c>
      <c r="I724" s="1">
        <f>fact[[#This Row],[units_sold]]*fact[[#This Row],[price_usd]]</f>
        <v>71848450</v>
      </c>
      <c r="J724">
        <v>925</v>
      </c>
    </row>
    <row r="725" spans="1:10" x14ac:dyDescent="0.35">
      <c r="A725">
        <v>724</v>
      </c>
      <c r="B725" t="s">
        <v>199</v>
      </c>
      <c r="C725" t="s">
        <v>141</v>
      </c>
      <c r="D725" t="s">
        <v>168</v>
      </c>
      <c r="E725" s="1">
        <v>61502</v>
      </c>
      <c r="F725" s="1">
        <v>210020</v>
      </c>
      <c r="G725">
        <v>35</v>
      </c>
      <c r="H725">
        <v>6</v>
      </c>
      <c r="I725" s="1">
        <f>fact[[#This Row],[units_sold]]*fact[[#This Row],[price_usd]]</f>
        <v>16605540</v>
      </c>
      <c r="J725">
        <v>270</v>
      </c>
    </row>
    <row r="726" spans="1:10" x14ac:dyDescent="0.35">
      <c r="A726">
        <v>725</v>
      </c>
      <c r="B726" t="s">
        <v>234</v>
      </c>
      <c r="C726" t="s">
        <v>110</v>
      </c>
      <c r="D726" t="s">
        <v>32</v>
      </c>
      <c r="E726" s="1">
        <v>105152</v>
      </c>
      <c r="F726" s="1">
        <v>422078</v>
      </c>
      <c r="G726">
        <v>338</v>
      </c>
      <c r="H726">
        <v>9</v>
      </c>
      <c r="I726" s="1">
        <f>fact[[#This Row],[units_sold]]*fact[[#This Row],[price_usd]]</f>
        <v>75393984</v>
      </c>
      <c r="J726">
        <v>717</v>
      </c>
    </row>
    <row r="727" spans="1:10" x14ac:dyDescent="0.35">
      <c r="A727">
        <v>726</v>
      </c>
      <c r="B727" t="s">
        <v>234</v>
      </c>
      <c r="C727" t="s">
        <v>118</v>
      </c>
      <c r="D727" t="s">
        <v>32</v>
      </c>
      <c r="E727" s="1">
        <v>104322</v>
      </c>
      <c r="F727" s="1">
        <v>252630</v>
      </c>
      <c r="G727">
        <v>197</v>
      </c>
      <c r="H727">
        <v>9</v>
      </c>
      <c r="I727" s="1">
        <f>fact[[#This Row],[units_sold]]*fact[[#This Row],[price_usd]]</f>
        <v>63532098</v>
      </c>
      <c r="J727">
        <v>609</v>
      </c>
    </row>
    <row r="728" spans="1:10" x14ac:dyDescent="0.35">
      <c r="A728">
        <v>727</v>
      </c>
      <c r="B728" t="s">
        <v>234</v>
      </c>
      <c r="C728" t="s">
        <v>117</v>
      </c>
      <c r="D728" t="s">
        <v>32</v>
      </c>
      <c r="E728" s="1">
        <v>111290</v>
      </c>
      <c r="F728" s="1">
        <v>273177</v>
      </c>
      <c r="G728">
        <v>110</v>
      </c>
      <c r="H728">
        <v>6</v>
      </c>
      <c r="I728" s="1">
        <f>fact[[#This Row],[units_sold]]*fact[[#This Row],[price_usd]]</f>
        <v>30827330</v>
      </c>
      <c r="J728">
        <v>277</v>
      </c>
    </row>
    <row r="729" spans="1:10" x14ac:dyDescent="0.35">
      <c r="A729">
        <v>728</v>
      </c>
      <c r="B729" t="s">
        <v>234</v>
      </c>
      <c r="C729" t="s">
        <v>133</v>
      </c>
      <c r="D729" t="s">
        <v>166</v>
      </c>
      <c r="E729" s="1">
        <v>76203</v>
      </c>
      <c r="F729" s="1">
        <v>239826</v>
      </c>
      <c r="G729">
        <v>245</v>
      </c>
      <c r="H729">
        <v>6</v>
      </c>
      <c r="I729" s="1">
        <f>fact[[#This Row],[units_sold]]*fact[[#This Row],[price_usd]]</f>
        <v>67058640</v>
      </c>
      <c r="J729">
        <v>880</v>
      </c>
    </row>
    <row r="730" spans="1:10" x14ac:dyDescent="0.35">
      <c r="A730">
        <v>729</v>
      </c>
      <c r="B730" t="s">
        <v>234</v>
      </c>
      <c r="C730" t="s">
        <v>144</v>
      </c>
      <c r="D730" t="s">
        <v>170</v>
      </c>
      <c r="E730" s="1">
        <v>111981</v>
      </c>
      <c r="F730" s="1">
        <v>86160</v>
      </c>
      <c r="G730">
        <v>270</v>
      </c>
      <c r="H730">
        <v>5</v>
      </c>
      <c r="I730" s="1">
        <f>fact[[#This Row],[units_sold]]*fact[[#This Row],[price_usd]]</f>
        <v>64165113</v>
      </c>
      <c r="J730">
        <v>573</v>
      </c>
    </row>
    <row r="731" spans="1:10" x14ac:dyDescent="0.35">
      <c r="A731">
        <v>730</v>
      </c>
      <c r="B731" t="s">
        <v>218</v>
      </c>
      <c r="C731" t="s">
        <v>86</v>
      </c>
      <c r="D731" t="s">
        <v>166</v>
      </c>
      <c r="E731" s="1">
        <v>105354</v>
      </c>
      <c r="F731" s="1">
        <v>448845</v>
      </c>
      <c r="G731">
        <v>139</v>
      </c>
      <c r="H731">
        <v>1</v>
      </c>
      <c r="I731" s="1">
        <f>fact[[#This Row],[units_sold]]*fact[[#This Row],[price_usd]]</f>
        <v>49411026</v>
      </c>
      <c r="J731">
        <v>469</v>
      </c>
    </row>
    <row r="732" spans="1:10" x14ac:dyDescent="0.35">
      <c r="A732">
        <v>731</v>
      </c>
      <c r="B732" t="s">
        <v>218</v>
      </c>
      <c r="C732" t="s">
        <v>114</v>
      </c>
      <c r="D732" t="s">
        <v>168</v>
      </c>
      <c r="E732" s="1">
        <v>68040</v>
      </c>
      <c r="F732" s="1">
        <v>203956</v>
      </c>
      <c r="G732">
        <v>19</v>
      </c>
      <c r="H732">
        <v>2</v>
      </c>
      <c r="I732" s="1">
        <f>fact[[#This Row],[units_sold]]*fact[[#This Row],[price_usd]]</f>
        <v>18506880</v>
      </c>
      <c r="J732">
        <v>272</v>
      </c>
    </row>
    <row r="733" spans="1:10" x14ac:dyDescent="0.35">
      <c r="A733">
        <v>732</v>
      </c>
      <c r="B733" t="s">
        <v>218</v>
      </c>
      <c r="C733" t="s">
        <v>126</v>
      </c>
      <c r="D733" t="s">
        <v>169</v>
      </c>
      <c r="E733" s="1">
        <v>106947</v>
      </c>
      <c r="F733" s="1">
        <v>444890</v>
      </c>
      <c r="G733">
        <v>383</v>
      </c>
      <c r="H733">
        <v>9</v>
      </c>
      <c r="I733" s="1">
        <f>fact[[#This Row],[units_sold]]*fact[[#This Row],[price_usd]]</f>
        <v>90798003</v>
      </c>
      <c r="J733">
        <v>849</v>
      </c>
    </row>
    <row r="734" spans="1:10" x14ac:dyDescent="0.35">
      <c r="A734">
        <v>733</v>
      </c>
      <c r="B734" t="s">
        <v>218</v>
      </c>
      <c r="C734" t="s">
        <v>131</v>
      </c>
      <c r="D734" t="s">
        <v>168</v>
      </c>
      <c r="E734" s="1">
        <v>75544</v>
      </c>
      <c r="F734" s="1">
        <v>430041</v>
      </c>
      <c r="G734">
        <v>75</v>
      </c>
      <c r="H734">
        <v>7</v>
      </c>
      <c r="I734" s="1">
        <f>fact[[#This Row],[units_sold]]*fact[[#This Row],[price_usd]]</f>
        <v>43891064</v>
      </c>
      <c r="J734">
        <v>581</v>
      </c>
    </row>
    <row r="735" spans="1:10" x14ac:dyDescent="0.35">
      <c r="A735">
        <v>734</v>
      </c>
      <c r="B735" t="s">
        <v>218</v>
      </c>
      <c r="C735" t="s">
        <v>144</v>
      </c>
      <c r="D735" t="s">
        <v>166</v>
      </c>
      <c r="E735" s="1">
        <v>41089</v>
      </c>
      <c r="F735" s="1">
        <v>77302</v>
      </c>
      <c r="G735">
        <v>337</v>
      </c>
      <c r="H735">
        <v>8</v>
      </c>
      <c r="I735" s="1">
        <f>fact[[#This Row],[units_sold]]*fact[[#This Row],[price_usd]]</f>
        <v>36158320</v>
      </c>
      <c r="J735">
        <v>880</v>
      </c>
    </row>
    <row r="736" spans="1:10" x14ac:dyDescent="0.35">
      <c r="A736">
        <v>735</v>
      </c>
      <c r="B736" t="s">
        <v>218</v>
      </c>
      <c r="C736" t="s">
        <v>154</v>
      </c>
      <c r="D736" t="s">
        <v>168</v>
      </c>
      <c r="E736" s="1">
        <v>47861</v>
      </c>
      <c r="F736" s="1">
        <v>140925</v>
      </c>
      <c r="G736">
        <v>125</v>
      </c>
      <c r="H736">
        <v>1</v>
      </c>
      <c r="I736" s="1">
        <f>fact[[#This Row],[units_sold]]*fact[[#This Row],[price_usd]]</f>
        <v>32019009</v>
      </c>
      <c r="J736">
        <v>669</v>
      </c>
    </row>
    <row r="737" spans="1:10" x14ac:dyDescent="0.35">
      <c r="A737">
        <v>736</v>
      </c>
      <c r="B737" t="s">
        <v>218</v>
      </c>
      <c r="C737" t="s">
        <v>157</v>
      </c>
      <c r="D737" t="s">
        <v>168</v>
      </c>
      <c r="E737" s="1">
        <v>104904</v>
      </c>
      <c r="F737" s="1">
        <v>310464</v>
      </c>
      <c r="G737">
        <v>331</v>
      </c>
      <c r="H737">
        <v>2</v>
      </c>
      <c r="I737" s="1">
        <f>fact[[#This Row],[units_sold]]*fact[[#This Row],[price_usd]]</f>
        <v>101547072</v>
      </c>
      <c r="J737">
        <v>968</v>
      </c>
    </row>
    <row r="738" spans="1:10" x14ac:dyDescent="0.35">
      <c r="A738">
        <v>737</v>
      </c>
      <c r="B738" t="s">
        <v>216</v>
      </c>
      <c r="C738" t="s">
        <v>54</v>
      </c>
      <c r="D738" t="s">
        <v>168</v>
      </c>
      <c r="E738" s="1">
        <v>42130</v>
      </c>
      <c r="F738" s="1">
        <v>487480</v>
      </c>
      <c r="G738">
        <v>11</v>
      </c>
      <c r="H738">
        <v>4</v>
      </c>
      <c r="I738" s="1">
        <f>fact[[#This Row],[units_sold]]*fact[[#This Row],[price_usd]]</f>
        <v>18326550</v>
      </c>
      <c r="J738">
        <v>435</v>
      </c>
    </row>
    <row r="739" spans="1:10" x14ac:dyDescent="0.35">
      <c r="A739">
        <v>738</v>
      </c>
      <c r="B739" t="s">
        <v>216</v>
      </c>
      <c r="C739" t="s">
        <v>44</v>
      </c>
      <c r="D739" t="s">
        <v>172</v>
      </c>
      <c r="E739" s="1">
        <v>50479</v>
      </c>
      <c r="F739" s="1">
        <v>134363</v>
      </c>
      <c r="G739">
        <v>93</v>
      </c>
      <c r="H739">
        <v>6</v>
      </c>
      <c r="I739" s="1">
        <f>fact[[#This Row],[units_sold]]*fact[[#This Row],[price_usd]]</f>
        <v>18778188</v>
      </c>
      <c r="J739">
        <v>372</v>
      </c>
    </row>
    <row r="740" spans="1:10" x14ac:dyDescent="0.35">
      <c r="A740">
        <v>739</v>
      </c>
      <c r="B740" t="s">
        <v>216</v>
      </c>
      <c r="C740" t="s">
        <v>65</v>
      </c>
      <c r="D740" t="s">
        <v>166</v>
      </c>
      <c r="E740" s="1">
        <v>62464</v>
      </c>
      <c r="F740" s="1">
        <v>431032</v>
      </c>
      <c r="G740">
        <v>67</v>
      </c>
      <c r="H740">
        <v>1</v>
      </c>
      <c r="I740" s="1">
        <f>fact[[#This Row],[units_sold]]*fact[[#This Row],[price_usd]]</f>
        <v>39727104</v>
      </c>
      <c r="J740">
        <v>636</v>
      </c>
    </row>
    <row r="741" spans="1:10" x14ac:dyDescent="0.35">
      <c r="A741">
        <v>740</v>
      </c>
      <c r="B741" t="s">
        <v>216</v>
      </c>
      <c r="C741" t="s">
        <v>64</v>
      </c>
      <c r="D741" t="s">
        <v>173</v>
      </c>
      <c r="E741" s="1">
        <v>39897</v>
      </c>
      <c r="F741" s="1">
        <v>143448</v>
      </c>
      <c r="G741">
        <v>264</v>
      </c>
      <c r="H741">
        <v>7</v>
      </c>
      <c r="I741" s="1">
        <f>fact[[#This Row],[units_sold]]*fact[[#This Row],[price_usd]]</f>
        <v>25175007</v>
      </c>
      <c r="J741">
        <v>631</v>
      </c>
    </row>
    <row r="742" spans="1:10" x14ac:dyDescent="0.35">
      <c r="A742">
        <v>741</v>
      </c>
      <c r="B742" t="s">
        <v>216</v>
      </c>
      <c r="C742" t="s">
        <v>87</v>
      </c>
      <c r="D742" t="s">
        <v>166</v>
      </c>
      <c r="E742" s="1">
        <v>77614</v>
      </c>
      <c r="F742" s="1">
        <v>498073</v>
      </c>
      <c r="G742">
        <v>125</v>
      </c>
      <c r="H742">
        <v>7</v>
      </c>
      <c r="I742" s="1">
        <f>fact[[#This Row],[units_sold]]*fact[[#This Row],[price_usd]]</f>
        <v>45947488</v>
      </c>
      <c r="J742">
        <v>592</v>
      </c>
    </row>
    <row r="743" spans="1:10" x14ac:dyDescent="0.35">
      <c r="A743">
        <v>742</v>
      </c>
      <c r="B743" t="s">
        <v>216</v>
      </c>
      <c r="C743" t="s">
        <v>98</v>
      </c>
      <c r="D743" t="s">
        <v>169</v>
      </c>
      <c r="E743" s="1">
        <v>41008</v>
      </c>
      <c r="F743" s="1">
        <v>75494</v>
      </c>
      <c r="G743">
        <v>94</v>
      </c>
      <c r="H743">
        <v>8</v>
      </c>
      <c r="I743" s="1">
        <f>fact[[#This Row],[units_sold]]*fact[[#This Row],[price_usd]]</f>
        <v>16321184</v>
      </c>
      <c r="J743">
        <v>398</v>
      </c>
    </row>
    <row r="744" spans="1:10" x14ac:dyDescent="0.35">
      <c r="A744">
        <v>743</v>
      </c>
      <c r="B744" t="s">
        <v>216</v>
      </c>
      <c r="C744" t="s">
        <v>116</v>
      </c>
      <c r="D744" t="s">
        <v>32</v>
      </c>
      <c r="E744" s="1">
        <v>88051</v>
      </c>
      <c r="F744" s="1">
        <v>175549</v>
      </c>
      <c r="G744">
        <v>48</v>
      </c>
      <c r="H744">
        <v>8</v>
      </c>
      <c r="I744" s="1">
        <f>fact[[#This Row],[units_sold]]*fact[[#This Row],[price_usd]]</f>
        <v>18402659</v>
      </c>
      <c r="J744">
        <v>209</v>
      </c>
    </row>
    <row r="745" spans="1:10" x14ac:dyDescent="0.35">
      <c r="A745">
        <v>744</v>
      </c>
      <c r="B745" t="s">
        <v>216</v>
      </c>
      <c r="C745" t="s">
        <v>143</v>
      </c>
      <c r="D745" t="s">
        <v>167</v>
      </c>
      <c r="E745" s="1">
        <v>111368</v>
      </c>
      <c r="F745" s="1">
        <v>101962</v>
      </c>
      <c r="G745">
        <v>223</v>
      </c>
      <c r="H745">
        <v>8</v>
      </c>
      <c r="I745" s="1">
        <f>fact[[#This Row],[units_sold]]*fact[[#This Row],[price_usd]]</f>
        <v>57131784</v>
      </c>
      <c r="J745">
        <v>513</v>
      </c>
    </row>
    <row r="746" spans="1:10" x14ac:dyDescent="0.35">
      <c r="A746">
        <v>745</v>
      </c>
      <c r="B746" t="s">
        <v>252</v>
      </c>
      <c r="C746" t="s">
        <v>51</v>
      </c>
      <c r="D746" t="s">
        <v>165</v>
      </c>
      <c r="E746" s="1">
        <v>110986</v>
      </c>
      <c r="F746" s="1">
        <v>296060</v>
      </c>
      <c r="G746">
        <v>310</v>
      </c>
      <c r="H746">
        <v>8</v>
      </c>
      <c r="I746" s="1">
        <f>fact[[#This Row],[units_sold]]*fact[[#This Row],[price_usd]]</f>
        <v>71474984</v>
      </c>
      <c r="J746">
        <v>644</v>
      </c>
    </row>
    <row r="747" spans="1:10" x14ac:dyDescent="0.35">
      <c r="A747">
        <v>746</v>
      </c>
      <c r="B747" t="s">
        <v>252</v>
      </c>
      <c r="C747" t="s">
        <v>48</v>
      </c>
      <c r="D747" t="s">
        <v>170</v>
      </c>
      <c r="E747" s="1">
        <v>70315</v>
      </c>
      <c r="F747" s="1">
        <v>421780</v>
      </c>
      <c r="G747">
        <v>94</v>
      </c>
      <c r="H747">
        <v>2</v>
      </c>
      <c r="I747" s="1">
        <f>fact[[#This Row],[units_sold]]*fact[[#This Row],[price_usd]]</f>
        <v>39306085</v>
      </c>
      <c r="J747">
        <v>559</v>
      </c>
    </row>
    <row r="748" spans="1:10" x14ac:dyDescent="0.35">
      <c r="A748">
        <v>747</v>
      </c>
      <c r="B748" t="s">
        <v>252</v>
      </c>
      <c r="C748" t="s">
        <v>44</v>
      </c>
      <c r="D748" t="s">
        <v>165</v>
      </c>
      <c r="E748" s="1">
        <v>117214</v>
      </c>
      <c r="F748" s="1">
        <v>110186</v>
      </c>
      <c r="G748">
        <v>178</v>
      </c>
      <c r="H748">
        <v>2</v>
      </c>
      <c r="I748" s="1">
        <f>fact[[#This Row],[units_sold]]*fact[[#This Row],[price_usd]]</f>
        <v>59896354</v>
      </c>
      <c r="J748">
        <v>511</v>
      </c>
    </row>
    <row r="749" spans="1:10" x14ac:dyDescent="0.35">
      <c r="A749">
        <v>748</v>
      </c>
      <c r="B749" t="s">
        <v>252</v>
      </c>
      <c r="C749" t="s">
        <v>94</v>
      </c>
      <c r="D749" t="s">
        <v>170</v>
      </c>
      <c r="E749" s="1">
        <v>111298</v>
      </c>
      <c r="F749" s="1">
        <v>332803</v>
      </c>
      <c r="G749">
        <v>290</v>
      </c>
      <c r="H749">
        <v>8</v>
      </c>
      <c r="I749" s="1">
        <f>fact[[#This Row],[units_sold]]*fact[[#This Row],[price_usd]]</f>
        <v>94269406</v>
      </c>
      <c r="J749">
        <v>847</v>
      </c>
    </row>
    <row r="750" spans="1:10" x14ac:dyDescent="0.35">
      <c r="A750">
        <v>749</v>
      </c>
      <c r="B750" t="s">
        <v>252</v>
      </c>
      <c r="C750" t="s">
        <v>103</v>
      </c>
      <c r="D750" t="s">
        <v>170</v>
      </c>
      <c r="E750" s="1">
        <v>86375</v>
      </c>
      <c r="F750" s="1">
        <v>436154</v>
      </c>
      <c r="G750">
        <v>174</v>
      </c>
      <c r="H750">
        <v>3</v>
      </c>
      <c r="I750" s="1">
        <f>fact[[#This Row],[units_sold]]*fact[[#This Row],[price_usd]]</f>
        <v>61412625</v>
      </c>
      <c r="J750">
        <v>711</v>
      </c>
    </row>
    <row r="751" spans="1:10" x14ac:dyDescent="0.35">
      <c r="A751">
        <v>750</v>
      </c>
      <c r="B751" t="s">
        <v>252</v>
      </c>
      <c r="C751" t="s">
        <v>105</v>
      </c>
      <c r="D751" t="s">
        <v>168</v>
      </c>
      <c r="E751" s="1">
        <v>116463</v>
      </c>
      <c r="F751" s="1">
        <v>480147</v>
      </c>
      <c r="G751">
        <v>25</v>
      </c>
      <c r="H751">
        <v>4</v>
      </c>
      <c r="I751" s="1">
        <f>fact[[#This Row],[units_sold]]*fact[[#This Row],[price_usd]]</f>
        <v>28416972</v>
      </c>
      <c r="J751">
        <v>244</v>
      </c>
    </row>
    <row r="752" spans="1:10" x14ac:dyDescent="0.35">
      <c r="A752">
        <v>751</v>
      </c>
      <c r="B752" t="s">
        <v>252</v>
      </c>
      <c r="C752" t="s">
        <v>126</v>
      </c>
      <c r="D752" t="s">
        <v>165</v>
      </c>
      <c r="E752" s="1">
        <v>73185</v>
      </c>
      <c r="F752" s="1">
        <v>194454</v>
      </c>
      <c r="G752">
        <v>101</v>
      </c>
      <c r="H752">
        <v>6</v>
      </c>
      <c r="I752" s="1">
        <f>fact[[#This Row],[units_sold]]*fact[[#This Row],[price_usd]]</f>
        <v>29713110</v>
      </c>
      <c r="J752">
        <v>406</v>
      </c>
    </row>
    <row r="753" spans="1:10" x14ac:dyDescent="0.35">
      <c r="A753">
        <v>752</v>
      </c>
      <c r="B753" t="s">
        <v>252</v>
      </c>
      <c r="C753" t="s">
        <v>124</v>
      </c>
      <c r="D753" t="s">
        <v>166</v>
      </c>
      <c r="E753" s="1">
        <v>106139</v>
      </c>
      <c r="F753" s="1">
        <v>486442</v>
      </c>
      <c r="G753">
        <v>38</v>
      </c>
      <c r="H753">
        <v>1</v>
      </c>
      <c r="I753" s="1">
        <f>fact[[#This Row],[units_sold]]*fact[[#This Row],[price_usd]]</f>
        <v>43198573</v>
      </c>
      <c r="J753">
        <v>407</v>
      </c>
    </row>
    <row r="754" spans="1:10" x14ac:dyDescent="0.35">
      <c r="A754">
        <v>753</v>
      </c>
      <c r="B754" t="s">
        <v>252</v>
      </c>
      <c r="C754" t="s">
        <v>125</v>
      </c>
      <c r="D754" t="s">
        <v>165</v>
      </c>
      <c r="E754" s="1">
        <v>107104</v>
      </c>
      <c r="F754" s="1">
        <v>255827</v>
      </c>
      <c r="G754">
        <v>24</v>
      </c>
      <c r="H754">
        <v>3</v>
      </c>
      <c r="I754" s="1">
        <f>fact[[#This Row],[units_sold]]*fact[[#This Row],[price_usd]]</f>
        <v>19814240</v>
      </c>
      <c r="J754">
        <v>185</v>
      </c>
    </row>
    <row r="755" spans="1:10" x14ac:dyDescent="0.35">
      <c r="A755">
        <v>754</v>
      </c>
      <c r="B755" t="s">
        <v>252</v>
      </c>
      <c r="C755" t="s">
        <v>140</v>
      </c>
      <c r="D755" t="s">
        <v>169</v>
      </c>
      <c r="E755" s="1">
        <v>56650</v>
      </c>
      <c r="F755" s="1">
        <v>357481</v>
      </c>
      <c r="G755">
        <v>168</v>
      </c>
      <c r="H755">
        <v>3</v>
      </c>
      <c r="I755" s="1">
        <f>fact[[#This Row],[units_sold]]*fact[[#This Row],[price_usd]]</f>
        <v>42657450</v>
      </c>
      <c r="J755">
        <v>753</v>
      </c>
    </row>
    <row r="756" spans="1:10" x14ac:dyDescent="0.35">
      <c r="A756">
        <v>755</v>
      </c>
      <c r="B756" t="s">
        <v>191</v>
      </c>
      <c r="C756" t="s">
        <v>64</v>
      </c>
      <c r="D756" t="s">
        <v>173</v>
      </c>
      <c r="E756" s="1">
        <v>106289</v>
      </c>
      <c r="F756" s="1">
        <v>61332</v>
      </c>
      <c r="G756">
        <v>80</v>
      </c>
      <c r="H756">
        <v>7</v>
      </c>
      <c r="I756" s="1">
        <f>fact[[#This Row],[units_sold]]*fact[[#This Row],[price_usd]]</f>
        <v>45916848</v>
      </c>
      <c r="J756">
        <v>432</v>
      </c>
    </row>
    <row r="757" spans="1:10" x14ac:dyDescent="0.35">
      <c r="A757">
        <v>756</v>
      </c>
      <c r="B757" t="s">
        <v>191</v>
      </c>
      <c r="C757" t="s">
        <v>83</v>
      </c>
      <c r="D757" t="s">
        <v>169</v>
      </c>
      <c r="E757" s="1">
        <v>118232</v>
      </c>
      <c r="F757" s="1">
        <v>67143</v>
      </c>
      <c r="G757">
        <v>153</v>
      </c>
      <c r="H757">
        <v>1</v>
      </c>
      <c r="I757" s="1">
        <f>fact[[#This Row],[units_sold]]*fact[[#This Row],[price_usd]]</f>
        <v>58761304</v>
      </c>
      <c r="J757">
        <v>497</v>
      </c>
    </row>
    <row r="758" spans="1:10" x14ac:dyDescent="0.35">
      <c r="A758">
        <v>757</v>
      </c>
      <c r="B758" t="s">
        <v>191</v>
      </c>
      <c r="C758" t="s">
        <v>101</v>
      </c>
      <c r="D758" t="s">
        <v>173</v>
      </c>
      <c r="E758" s="1">
        <v>108369</v>
      </c>
      <c r="F758" s="1">
        <v>450705</v>
      </c>
      <c r="G758">
        <v>48</v>
      </c>
      <c r="H758">
        <v>7</v>
      </c>
      <c r="I758" s="1">
        <f>fact[[#This Row],[units_sold]]*fact[[#This Row],[price_usd]]</f>
        <v>22215645</v>
      </c>
      <c r="J758">
        <v>205</v>
      </c>
    </row>
    <row r="759" spans="1:10" x14ac:dyDescent="0.35">
      <c r="A759">
        <v>758</v>
      </c>
      <c r="B759" t="s">
        <v>191</v>
      </c>
      <c r="C759" t="s">
        <v>101</v>
      </c>
      <c r="D759" t="s">
        <v>165</v>
      </c>
      <c r="E759" s="1">
        <v>110452</v>
      </c>
      <c r="F759" s="1">
        <v>487570</v>
      </c>
      <c r="G759">
        <v>161</v>
      </c>
      <c r="H759">
        <v>6</v>
      </c>
      <c r="I759" s="1">
        <f>fact[[#This Row],[units_sold]]*fact[[#This Row],[price_usd]]</f>
        <v>45837580</v>
      </c>
      <c r="J759">
        <v>415</v>
      </c>
    </row>
    <row r="760" spans="1:10" x14ac:dyDescent="0.35">
      <c r="A760">
        <v>759</v>
      </c>
      <c r="B760" t="s">
        <v>191</v>
      </c>
      <c r="C760" t="s">
        <v>119</v>
      </c>
      <c r="D760" t="s">
        <v>32</v>
      </c>
      <c r="E760" s="1">
        <v>71386</v>
      </c>
      <c r="F760" s="1">
        <v>139242</v>
      </c>
      <c r="G760">
        <v>239</v>
      </c>
      <c r="H760">
        <v>9</v>
      </c>
      <c r="I760" s="1">
        <f>fact[[#This Row],[units_sold]]*fact[[#This Row],[price_usd]]</f>
        <v>33836964</v>
      </c>
      <c r="J760">
        <v>474</v>
      </c>
    </row>
    <row r="761" spans="1:10" x14ac:dyDescent="0.35">
      <c r="A761">
        <v>760</v>
      </c>
      <c r="B761" t="s">
        <v>191</v>
      </c>
      <c r="C761" t="s">
        <v>120</v>
      </c>
      <c r="D761" t="s">
        <v>167</v>
      </c>
      <c r="E761" s="1">
        <v>36375</v>
      </c>
      <c r="F761" s="1">
        <v>156379</v>
      </c>
      <c r="G761">
        <v>181</v>
      </c>
      <c r="H761">
        <v>10</v>
      </c>
      <c r="I761" s="1">
        <f>fact[[#This Row],[units_sold]]*fact[[#This Row],[price_usd]]</f>
        <v>22116000</v>
      </c>
      <c r="J761">
        <v>608</v>
      </c>
    </row>
    <row r="762" spans="1:10" x14ac:dyDescent="0.35">
      <c r="A762">
        <v>761</v>
      </c>
      <c r="B762" t="s">
        <v>193</v>
      </c>
      <c r="C762" t="s">
        <v>49</v>
      </c>
      <c r="D762" t="s">
        <v>172</v>
      </c>
      <c r="E762" s="1">
        <v>61347</v>
      </c>
      <c r="F762" s="1">
        <v>190183</v>
      </c>
      <c r="G762">
        <v>134</v>
      </c>
      <c r="H762">
        <v>7</v>
      </c>
      <c r="I762" s="1">
        <f>fact[[#This Row],[units_sold]]*fact[[#This Row],[price_usd]]</f>
        <v>32084481</v>
      </c>
      <c r="J762">
        <v>523</v>
      </c>
    </row>
    <row r="763" spans="1:10" x14ac:dyDescent="0.35">
      <c r="A763">
        <v>762</v>
      </c>
      <c r="B763" t="s">
        <v>193</v>
      </c>
      <c r="C763" t="s">
        <v>112</v>
      </c>
      <c r="D763" t="s">
        <v>167</v>
      </c>
      <c r="E763" s="1">
        <v>39823</v>
      </c>
      <c r="F763" s="1">
        <v>375188</v>
      </c>
      <c r="G763">
        <v>253</v>
      </c>
      <c r="H763">
        <v>4</v>
      </c>
      <c r="I763" s="1">
        <f>fact[[#This Row],[units_sold]]*fact[[#This Row],[price_usd]]</f>
        <v>31619462</v>
      </c>
      <c r="J763">
        <v>794</v>
      </c>
    </row>
    <row r="764" spans="1:10" x14ac:dyDescent="0.35">
      <c r="A764">
        <v>763</v>
      </c>
      <c r="B764" t="s">
        <v>193</v>
      </c>
      <c r="C764" t="s">
        <v>117</v>
      </c>
      <c r="D764" t="s">
        <v>172</v>
      </c>
      <c r="E764" s="1">
        <v>117987</v>
      </c>
      <c r="F764" s="1">
        <v>61826</v>
      </c>
      <c r="G764">
        <v>30</v>
      </c>
      <c r="H764">
        <v>10</v>
      </c>
      <c r="I764" s="1">
        <f>fact[[#This Row],[units_sold]]*fact[[#This Row],[price_usd]]</f>
        <v>9438960</v>
      </c>
      <c r="J764">
        <v>80</v>
      </c>
    </row>
    <row r="765" spans="1:10" x14ac:dyDescent="0.35">
      <c r="A765">
        <v>764</v>
      </c>
      <c r="B765" t="s">
        <v>193</v>
      </c>
      <c r="C765" t="s">
        <v>134</v>
      </c>
      <c r="D765" t="s">
        <v>172</v>
      </c>
      <c r="E765" s="1">
        <v>87664</v>
      </c>
      <c r="F765" s="1">
        <v>265705</v>
      </c>
      <c r="G765">
        <v>324</v>
      </c>
      <c r="H765">
        <v>2</v>
      </c>
      <c r="I765" s="1">
        <f>fact[[#This Row],[units_sold]]*fact[[#This Row],[price_usd]]</f>
        <v>72498128</v>
      </c>
      <c r="J765">
        <v>827</v>
      </c>
    </row>
    <row r="766" spans="1:10" x14ac:dyDescent="0.35">
      <c r="A766">
        <v>765</v>
      </c>
      <c r="B766" t="s">
        <v>193</v>
      </c>
      <c r="C766" t="s">
        <v>135</v>
      </c>
      <c r="D766" t="s">
        <v>168</v>
      </c>
      <c r="E766" s="1">
        <v>83639</v>
      </c>
      <c r="F766" s="1">
        <v>62467</v>
      </c>
      <c r="G766">
        <v>364</v>
      </c>
      <c r="H766">
        <v>1</v>
      </c>
      <c r="I766" s="1">
        <f>fact[[#This Row],[units_sold]]*fact[[#This Row],[price_usd]]</f>
        <v>68834897</v>
      </c>
      <c r="J766">
        <v>823</v>
      </c>
    </row>
    <row r="767" spans="1:10" x14ac:dyDescent="0.35">
      <c r="A767">
        <v>766</v>
      </c>
      <c r="B767" t="s">
        <v>193</v>
      </c>
      <c r="C767" t="s">
        <v>153</v>
      </c>
      <c r="D767" t="s">
        <v>165</v>
      </c>
      <c r="E767" s="1">
        <v>74725</v>
      </c>
      <c r="F767" s="1">
        <v>382278</v>
      </c>
      <c r="G767">
        <v>110</v>
      </c>
      <c r="H767">
        <v>2</v>
      </c>
      <c r="I767" s="1">
        <f>fact[[#This Row],[units_sold]]*fact[[#This Row],[price_usd]]</f>
        <v>22641675</v>
      </c>
      <c r="J767">
        <v>303</v>
      </c>
    </row>
    <row r="768" spans="1:10" x14ac:dyDescent="0.35">
      <c r="A768">
        <v>767</v>
      </c>
      <c r="B768" t="s">
        <v>195</v>
      </c>
      <c r="C768" t="s">
        <v>62</v>
      </c>
      <c r="D768" t="s">
        <v>167</v>
      </c>
      <c r="E768" s="1">
        <v>64831</v>
      </c>
      <c r="F768" s="1">
        <v>107939</v>
      </c>
      <c r="G768">
        <v>84</v>
      </c>
      <c r="H768">
        <v>2</v>
      </c>
      <c r="I768" s="1">
        <f>fact[[#This Row],[units_sold]]*fact[[#This Row],[price_usd]]</f>
        <v>29173950</v>
      </c>
      <c r="J768">
        <v>450</v>
      </c>
    </row>
    <row r="769" spans="1:10" x14ac:dyDescent="0.35">
      <c r="A769">
        <v>768</v>
      </c>
      <c r="B769" t="s">
        <v>195</v>
      </c>
      <c r="C769" t="s">
        <v>73</v>
      </c>
      <c r="D769" t="s">
        <v>32</v>
      </c>
      <c r="E769" s="1">
        <v>73367</v>
      </c>
      <c r="F769" s="1">
        <v>356531</v>
      </c>
      <c r="G769">
        <v>168</v>
      </c>
      <c r="H769">
        <v>3</v>
      </c>
      <c r="I769" s="1">
        <f>fact[[#This Row],[units_sold]]*fact[[#This Row],[price_usd]]</f>
        <v>28833231</v>
      </c>
      <c r="J769">
        <v>393</v>
      </c>
    </row>
    <row r="770" spans="1:10" x14ac:dyDescent="0.35">
      <c r="A770">
        <v>769</v>
      </c>
      <c r="B770" t="s">
        <v>195</v>
      </c>
      <c r="C770" t="s">
        <v>76</v>
      </c>
      <c r="D770" t="s">
        <v>32</v>
      </c>
      <c r="E770" s="1">
        <v>49745</v>
      </c>
      <c r="F770" s="1">
        <v>320590</v>
      </c>
      <c r="G770">
        <v>364</v>
      </c>
      <c r="H770">
        <v>3</v>
      </c>
      <c r="I770" s="1">
        <f>fact[[#This Row],[units_sold]]*fact[[#This Row],[price_usd]]</f>
        <v>47655710</v>
      </c>
      <c r="J770">
        <v>958</v>
      </c>
    </row>
    <row r="771" spans="1:10" x14ac:dyDescent="0.35">
      <c r="A771">
        <v>770</v>
      </c>
      <c r="B771" t="s">
        <v>195</v>
      </c>
      <c r="C771" t="s">
        <v>100</v>
      </c>
      <c r="D771" t="s">
        <v>170</v>
      </c>
      <c r="E771" s="1">
        <v>89460</v>
      </c>
      <c r="F771" s="1">
        <v>357268</v>
      </c>
      <c r="G771">
        <v>18</v>
      </c>
      <c r="H771">
        <v>5</v>
      </c>
      <c r="I771" s="1">
        <f>fact[[#This Row],[units_sold]]*fact[[#This Row],[price_usd]]</f>
        <v>9930060</v>
      </c>
      <c r="J771">
        <v>111</v>
      </c>
    </row>
    <row r="772" spans="1:10" x14ac:dyDescent="0.35">
      <c r="A772">
        <v>771</v>
      </c>
      <c r="B772" t="s">
        <v>195</v>
      </c>
      <c r="C772" t="s">
        <v>97</v>
      </c>
      <c r="D772" t="s">
        <v>171</v>
      </c>
      <c r="E772" s="1">
        <v>44196</v>
      </c>
      <c r="F772" s="1">
        <v>355126</v>
      </c>
      <c r="G772">
        <v>43</v>
      </c>
      <c r="H772">
        <v>9</v>
      </c>
      <c r="I772" s="1">
        <f>fact[[#This Row],[units_sold]]*fact[[#This Row],[price_usd]]</f>
        <v>10916412</v>
      </c>
      <c r="J772">
        <v>247</v>
      </c>
    </row>
    <row r="773" spans="1:10" x14ac:dyDescent="0.35">
      <c r="A773">
        <v>772</v>
      </c>
      <c r="B773" t="s">
        <v>195</v>
      </c>
      <c r="C773" t="s">
        <v>115</v>
      </c>
      <c r="D773" t="s">
        <v>168</v>
      </c>
      <c r="E773" s="1">
        <v>85617</v>
      </c>
      <c r="F773" s="1">
        <v>63731</v>
      </c>
      <c r="G773">
        <v>236</v>
      </c>
      <c r="H773">
        <v>2</v>
      </c>
      <c r="I773" s="1">
        <f>fact[[#This Row],[units_sold]]*fact[[#This Row],[price_usd]]</f>
        <v>57705858</v>
      </c>
      <c r="J773">
        <v>674</v>
      </c>
    </row>
    <row r="774" spans="1:10" x14ac:dyDescent="0.35">
      <c r="A774">
        <v>773</v>
      </c>
      <c r="B774" t="s">
        <v>195</v>
      </c>
      <c r="C774" t="s">
        <v>151</v>
      </c>
      <c r="D774" t="s">
        <v>165</v>
      </c>
      <c r="E774" s="1">
        <v>65771</v>
      </c>
      <c r="F774" s="1">
        <v>432650</v>
      </c>
      <c r="G774">
        <v>20</v>
      </c>
      <c r="H774">
        <v>8</v>
      </c>
      <c r="I774" s="1">
        <f>fact[[#This Row],[units_sold]]*fact[[#This Row],[price_usd]]</f>
        <v>31306996</v>
      </c>
      <c r="J774">
        <v>476</v>
      </c>
    </row>
    <row r="775" spans="1:10" x14ac:dyDescent="0.35">
      <c r="A775">
        <v>774</v>
      </c>
      <c r="B775" t="s">
        <v>195</v>
      </c>
      <c r="C775" t="s">
        <v>143</v>
      </c>
      <c r="D775" t="s">
        <v>169</v>
      </c>
      <c r="E775" s="1">
        <v>102567</v>
      </c>
      <c r="F775" s="1">
        <v>249271</v>
      </c>
      <c r="G775">
        <v>178</v>
      </c>
      <c r="H775">
        <v>2</v>
      </c>
      <c r="I775" s="1">
        <f>fact[[#This Row],[units_sold]]*fact[[#This Row],[price_usd]]</f>
        <v>56822118</v>
      </c>
      <c r="J775">
        <v>554</v>
      </c>
    </row>
    <row r="776" spans="1:10" x14ac:dyDescent="0.35">
      <c r="A776">
        <v>775</v>
      </c>
      <c r="B776" t="s">
        <v>195</v>
      </c>
      <c r="C776" t="s">
        <v>142</v>
      </c>
      <c r="D776" t="s">
        <v>173</v>
      </c>
      <c r="E776" s="1">
        <v>118087</v>
      </c>
      <c r="F776" s="1">
        <v>130691</v>
      </c>
      <c r="G776">
        <v>143</v>
      </c>
      <c r="H776">
        <v>7</v>
      </c>
      <c r="I776" s="1">
        <f>fact[[#This Row],[units_sold]]*fact[[#This Row],[price_usd]]</f>
        <v>36725057</v>
      </c>
      <c r="J776">
        <v>311</v>
      </c>
    </row>
    <row r="777" spans="1:10" x14ac:dyDescent="0.35">
      <c r="A777">
        <v>776</v>
      </c>
      <c r="B777" t="s">
        <v>195</v>
      </c>
      <c r="C777" t="s">
        <v>158</v>
      </c>
      <c r="D777" t="s">
        <v>169</v>
      </c>
      <c r="E777" s="1">
        <v>95354</v>
      </c>
      <c r="F777" s="1">
        <v>329343</v>
      </c>
      <c r="G777">
        <v>123</v>
      </c>
      <c r="H777">
        <v>6</v>
      </c>
      <c r="I777" s="1">
        <f>fact[[#This Row],[units_sold]]*fact[[#This Row],[price_usd]]</f>
        <v>50632974</v>
      </c>
      <c r="J777">
        <v>531</v>
      </c>
    </row>
    <row r="778" spans="1:10" x14ac:dyDescent="0.35">
      <c r="A778">
        <v>777</v>
      </c>
      <c r="B778" t="s">
        <v>185</v>
      </c>
      <c r="C778" t="s">
        <v>46</v>
      </c>
      <c r="D778" t="s">
        <v>166</v>
      </c>
      <c r="E778" s="1">
        <v>40209</v>
      </c>
      <c r="F778" s="1">
        <v>288441</v>
      </c>
      <c r="G778">
        <v>175</v>
      </c>
      <c r="H778">
        <v>9</v>
      </c>
      <c r="I778" s="1">
        <f>fact[[#This Row],[units_sold]]*fact[[#This Row],[price_usd]]</f>
        <v>32408454</v>
      </c>
      <c r="J778">
        <v>806</v>
      </c>
    </row>
    <row r="779" spans="1:10" x14ac:dyDescent="0.35">
      <c r="A779">
        <v>778</v>
      </c>
      <c r="B779" t="s">
        <v>185</v>
      </c>
      <c r="C779" t="s">
        <v>52</v>
      </c>
      <c r="D779" t="s">
        <v>170</v>
      </c>
      <c r="E779" s="1">
        <v>113929</v>
      </c>
      <c r="F779" s="1">
        <v>497603</v>
      </c>
      <c r="G779">
        <v>24</v>
      </c>
      <c r="H779">
        <v>8</v>
      </c>
      <c r="I779" s="1">
        <f>fact[[#This Row],[units_sold]]*fact[[#This Row],[price_usd]]</f>
        <v>36912996</v>
      </c>
      <c r="J779">
        <v>324</v>
      </c>
    </row>
    <row r="780" spans="1:10" x14ac:dyDescent="0.35">
      <c r="A780">
        <v>779</v>
      </c>
      <c r="B780" t="s">
        <v>185</v>
      </c>
      <c r="C780" t="s">
        <v>67</v>
      </c>
      <c r="D780" t="s">
        <v>169</v>
      </c>
      <c r="E780" s="1">
        <v>74405</v>
      </c>
      <c r="F780" s="1">
        <v>115439</v>
      </c>
      <c r="G780">
        <v>214</v>
      </c>
      <c r="H780">
        <v>5</v>
      </c>
      <c r="I780" s="1">
        <f>fact[[#This Row],[units_sold]]*fact[[#This Row],[price_usd]]</f>
        <v>44419785</v>
      </c>
      <c r="J780">
        <v>597</v>
      </c>
    </row>
    <row r="781" spans="1:10" x14ac:dyDescent="0.35">
      <c r="A781">
        <v>780</v>
      </c>
      <c r="B781" t="s">
        <v>185</v>
      </c>
      <c r="C781" t="s">
        <v>57</v>
      </c>
      <c r="D781" t="s">
        <v>170</v>
      </c>
      <c r="E781" s="1">
        <v>82691</v>
      </c>
      <c r="F781" s="1">
        <v>207255</v>
      </c>
      <c r="G781">
        <v>346</v>
      </c>
      <c r="H781">
        <v>7</v>
      </c>
      <c r="I781" s="1">
        <f>fact[[#This Row],[units_sold]]*fact[[#This Row],[price_usd]]</f>
        <v>92944684</v>
      </c>
      <c r="J781">
        <v>1124</v>
      </c>
    </row>
    <row r="782" spans="1:10" x14ac:dyDescent="0.35">
      <c r="A782">
        <v>781</v>
      </c>
      <c r="B782" t="s">
        <v>185</v>
      </c>
      <c r="C782" t="s">
        <v>89</v>
      </c>
      <c r="D782" t="s">
        <v>165</v>
      </c>
      <c r="E782" s="1">
        <v>106334</v>
      </c>
      <c r="F782" s="1">
        <v>367231</v>
      </c>
      <c r="G782">
        <v>260</v>
      </c>
      <c r="H782">
        <v>7</v>
      </c>
      <c r="I782" s="1">
        <f>fact[[#This Row],[units_sold]]*fact[[#This Row],[price_usd]]</f>
        <v>84641864</v>
      </c>
      <c r="J782">
        <v>796</v>
      </c>
    </row>
    <row r="783" spans="1:10" x14ac:dyDescent="0.35">
      <c r="A783">
        <v>782</v>
      </c>
      <c r="B783" t="s">
        <v>185</v>
      </c>
      <c r="C783" t="s">
        <v>101</v>
      </c>
      <c r="D783" t="s">
        <v>173</v>
      </c>
      <c r="E783" s="1">
        <v>53690</v>
      </c>
      <c r="F783" s="1">
        <v>483541</v>
      </c>
      <c r="G783">
        <v>339</v>
      </c>
      <c r="H783">
        <v>7</v>
      </c>
      <c r="I783" s="1">
        <f>fact[[#This Row],[units_sold]]*fact[[#This Row],[price_usd]]</f>
        <v>43918420</v>
      </c>
      <c r="J783">
        <v>818</v>
      </c>
    </row>
    <row r="784" spans="1:10" x14ac:dyDescent="0.35">
      <c r="A784">
        <v>783</v>
      </c>
      <c r="B784" t="s">
        <v>185</v>
      </c>
      <c r="C784" t="s">
        <v>103</v>
      </c>
      <c r="D784" t="s">
        <v>169</v>
      </c>
      <c r="E784" s="1">
        <v>85971</v>
      </c>
      <c r="F784" s="1">
        <v>306139</v>
      </c>
      <c r="G784">
        <v>334</v>
      </c>
      <c r="H784">
        <v>8</v>
      </c>
      <c r="I784" s="1">
        <f>fact[[#This Row],[units_sold]]*fact[[#This Row],[price_usd]]</f>
        <v>87776391</v>
      </c>
      <c r="J784">
        <v>1021</v>
      </c>
    </row>
    <row r="785" spans="1:10" x14ac:dyDescent="0.35">
      <c r="A785">
        <v>784</v>
      </c>
      <c r="B785" t="s">
        <v>185</v>
      </c>
      <c r="C785" t="s">
        <v>99</v>
      </c>
      <c r="D785" t="s">
        <v>169</v>
      </c>
      <c r="E785" s="1">
        <v>60279</v>
      </c>
      <c r="F785" s="1">
        <v>55495</v>
      </c>
      <c r="G785">
        <v>143</v>
      </c>
      <c r="H785">
        <v>10</v>
      </c>
      <c r="I785" s="1">
        <f>fact[[#This Row],[units_sold]]*fact[[#This Row],[price_usd]]</f>
        <v>18807048</v>
      </c>
      <c r="J785">
        <v>312</v>
      </c>
    </row>
    <row r="786" spans="1:10" x14ac:dyDescent="0.35">
      <c r="A786">
        <v>785</v>
      </c>
      <c r="B786" t="s">
        <v>185</v>
      </c>
      <c r="C786" t="s">
        <v>111</v>
      </c>
      <c r="D786" t="s">
        <v>32</v>
      </c>
      <c r="E786" s="1">
        <v>94123</v>
      </c>
      <c r="F786" s="1">
        <v>427082</v>
      </c>
      <c r="G786">
        <v>62</v>
      </c>
      <c r="H786">
        <v>5</v>
      </c>
      <c r="I786" s="1">
        <f>fact[[#This Row],[units_sold]]*fact[[#This Row],[price_usd]]</f>
        <v>23907242</v>
      </c>
      <c r="J786">
        <v>254</v>
      </c>
    </row>
    <row r="787" spans="1:10" x14ac:dyDescent="0.35">
      <c r="A787">
        <v>786</v>
      </c>
      <c r="B787" t="s">
        <v>185</v>
      </c>
      <c r="C787" t="s">
        <v>120</v>
      </c>
      <c r="D787" t="s">
        <v>173</v>
      </c>
      <c r="E787" s="1">
        <v>73220</v>
      </c>
      <c r="F787" s="1">
        <v>472769</v>
      </c>
      <c r="G787">
        <v>187</v>
      </c>
      <c r="H787">
        <v>3</v>
      </c>
      <c r="I787" s="1">
        <f>fact[[#This Row],[units_sold]]*fact[[#This Row],[price_usd]]</f>
        <v>59381420</v>
      </c>
      <c r="J787">
        <v>811</v>
      </c>
    </row>
    <row r="788" spans="1:10" x14ac:dyDescent="0.35">
      <c r="A788">
        <v>787</v>
      </c>
      <c r="B788" t="s">
        <v>185</v>
      </c>
      <c r="C788" t="s">
        <v>128</v>
      </c>
      <c r="D788" t="s">
        <v>171</v>
      </c>
      <c r="E788" s="1">
        <v>52883</v>
      </c>
      <c r="F788" s="1">
        <v>414633</v>
      </c>
      <c r="G788">
        <v>334</v>
      </c>
      <c r="H788">
        <v>8</v>
      </c>
      <c r="I788" s="1">
        <f>fact[[#This Row],[units_sold]]*fact[[#This Row],[price_usd]]</f>
        <v>37652696</v>
      </c>
      <c r="J788">
        <v>712</v>
      </c>
    </row>
    <row r="789" spans="1:10" x14ac:dyDescent="0.35">
      <c r="A789">
        <v>788</v>
      </c>
      <c r="B789" t="s">
        <v>185</v>
      </c>
      <c r="C789" t="s">
        <v>131</v>
      </c>
      <c r="D789" t="s">
        <v>170</v>
      </c>
      <c r="E789" s="1">
        <v>44344</v>
      </c>
      <c r="F789" s="1">
        <v>275758</v>
      </c>
      <c r="G789">
        <v>367</v>
      </c>
      <c r="H789">
        <v>3</v>
      </c>
      <c r="I789" s="1">
        <f>fact[[#This Row],[units_sold]]*fact[[#This Row],[price_usd]]</f>
        <v>34721352</v>
      </c>
      <c r="J789">
        <v>783</v>
      </c>
    </row>
    <row r="790" spans="1:10" x14ac:dyDescent="0.35">
      <c r="A790">
        <v>789</v>
      </c>
      <c r="B790" t="s">
        <v>260</v>
      </c>
      <c r="C790" t="s">
        <v>57</v>
      </c>
      <c r="D790" t="s">
        <v>166</v>
      </c>
      <c r="E790" s="1">
        <v>63756</v>
      </c>
      <c r="F790" s="1">
        <v>237535</v>
      </c>
      <c r="G790">
        <v>399</v>
      </c>
      <c r="H790">
        <v>8</v>
      </c>
      <c r="I790" s="1">
        <f>fact[[#This Row],[units_sold]]*fact[[#This Row],[price_usd]]</f>
        <v>72490572</v>
      </c>
      <c r="J790">
        <v>1137</v>
      </c>
    </row>
    <row r="791" spans="1:10" x14ac:dyDescent="0.35">
      <c r="A791">
        <v>790</v>
      </c>
      <c r="B791" t="s">
        <v>260</v>
      </c>
      <c r="C791" t="s">
        <v>56</v>
      </c>
      <c r="D791" t="s">
        <v>170</v>
      </c>
      <c r="E791" s="1">
        <v>84112</v>
      </c>
      <c r="F791" s="1">
        <v>252278</v>
      </c>
      <c r="G791">
        <v>167</v>
      </c>
      <c r="H791">
        <v>5</v>
      </c>
      <c r="I791" s="1">
        <f>fact[[#This Row],[units_sold]]*fact[[#This Row],[price_usd]]</f>
        <v>57112048</v>
      </c>
      <c r="J791">
        <v>679</v>
      </c>
    </row>
    <row r="792" spans="1:10" x14ac:dyDescent="0.35">
      <c r="A792">
        <v>791</v>
      </c>
      <c r="B792" t="s">
        <v>260</v>
      </c>
      <c r="C792" t="s">
        <v>71</v>
      </c>
      <c r="D792" t="s">
        <v>165</v>
      </c>
      <c r="E792" s="1">
        <v>43531</v>
      </c>
      <c r="F792" s="1">
        <v>474622</v>
      </c>
      <c r="G792">
        <v>124</v>
      </c>
      <c r="H792">
        <v>8</v>
      </c>
      <c r="I792" s="1">
        <f>fact[[#This Row],[units_sold]]*fact[[#This Row],[price_usd]]</f>
        <v>22461996</v>
      </c>
      <c r="J792">
        <v>516</v>
      </c>
    </row>
    <row r="793" spans="1:10" x14ac:dyDescent="0.35">
      <c r="A793">
        <v>792</v>
      </c>
      <c r="B793" t="s">
        <v>260</v>
      </c>
      <c r="C793" t="s">
        <v>75</v>
      </c>
      <c r="D793" t="s">
        <v>166</v>
      </c>
      <c r="E793" s="1">
        <v>70340</v>
      </c>
      <c r="F793" s="1">
        <v>127360</v>
      </c>
      <c r="G793">
        <v>264</v>
      </c>
      <c r="H793">
        <v>6</v>
      </c>
      <c r="I793" s="1">
        <f>fact[[#This Row],[units_sold]]*fact[[#This Row],[price_usd]]</f>
        <v>63446680</v>
      </c>
      <c r="J793">
        <v>902</v>
      </c>
    </row>
    <row r="794" spans="1:10" x14ac:dyDescent="0.35">
      <c r="A794">
        <v>793</v>
      </c>
      <c r="B794" t="s">
        <v>260</v>
      </c>
      <c r="C794" t="s">
        <v>83</v>
      </c>
      <c r="D794" t="s">
        <v>168</v>
      </c>
      <c r="E794" s="1">
        <v>55863</v>
      </c>
      <c r="F794" s="1">
        <v>349340</v>
      </c>
      <c r="G794">
        <v>295</v>
      </c>
      <c r="H794">
        <v>7</v>
      </c>
      <c r="I794" s="1">
        <f>fact[[#This Row],[units_sold]]*fact[[#This Row],[price_usd]]</f>
        <v>57594753</v>
      </c>
      <c r="J794">
        <v>1031</v>
      </c>
    </row>
    <row r="795" spans="1:10" x14ac:dyDescent="0.35">
      <c r="A795">
        <v>794</v>
      </c>
      <c r="B795" t="s">
        <v>260</v>
      </c>
      <c r="C795" t="s">
        <v>93</v>
      </c>
      <c r="D795" t="s">
        <v>169</v>
      </c>
      <c r="E795" s="1">
        <v>58991</v>
      </c>
      <c r="F795" s="1">
        <v>456396</v>
      </c>
      <c r="G795">
        <v>99</v>
      </c>
      <c r="H795">
        <v>5</v>
      </c>
      <c r="I795" s="1">
        <f>fact[[#This Row],[units_sold]]*fact[[#This Row],[price_usd]]</f>
        <v>26958887</v>
      </c>
      <c r="J795">
        <v>457</v>
      </c>
    </row>
    <row r="796" spans="1:10" x14ac:dyDescent="0.35">
      <c r="A796">
        <v>795</v>
      </c>
      <c r="B796" t="s">
        <v>260</v>
      </c>
      <c r="C796" t="s">
        <v>120</v>
      </c>
      <c r="D796" t="s">
        <v>170</v>
      </c>
      <c r="E796" s="1">
        <v>61299</v>
      </c>
      <c r="F796" s="1">
        <v>307831</v>
      </c>
      <c r="G796">
        <v>10</v>
      </c>
      <c r="H796">
        <v>2</v>
      </c>
      <c r="I796" s="1">
        <f>fact[[#This Row],[units_sold]]*fact[[#This Row],[price_usd]]</f>
        <v>28871829</v>
      </c>
      <c r="J796">
        <v>471</v>
      </c>
    </row>
    <row r="797" spans="1:10" x14ac:dyDescent="0.35">
      <c r="A797">
        <v>796</v>
      </c>
      <c r="B797" t="s">
        <v>178</v>
      </c>
      <c r="C797" t="s">
        <v>52</v>
      </c>
      <c r="D797" t="s">
        <v>166</v>
      </c>
      <c r="E797" s="1">
        <v>101900</v>
      </c>
      <c r="F797" s="1">
        <v>55666</v>
      </c>
      <c r="G797">
        <v>127</v>
      </c>
      <c r="H797">
        <v>2</v>
      </c>
      <c r="I797" s="1">
        <f>fact[[#This Row],[units_sold]]*fact[[#This Row],[price_usd]]</f>
        <v>45855000</v>
      </c>
      <c r="J797">
        <v>450</v>
      </c>
    </row>
    <row r="798" spans="1:10" x14ac:dyDescent="0.35">
      <c r="A798">
        <v>797</v>
      </c>
      <c r="B798" t="s">
        <v>178</v>
      </c>
      <c r="C798" t="s">
        <v>62</v>
      </c>
      <c r="D798" t="s">
        <v>165</v>
      </c>
      <c r="E798" s="1">
        <v>40594</v>
      </c>
      <c r="F798" s="1">
        <v>259755</v>
      </c>
      <c r="G798">
        <v>25</v>
      </c>
      <c r="H798">
        <v>7</v>
      </c>
      <c r="I798" s="1">
        <f>fact[[#This Row],[units_sold]]*fact[[#This Row],[price_usd]]</f>
        <v>6170288</v>
      </c>
      <c r="J798">
        <v>152</v>
      </c>
    </row>
    <row r="799" spans="1:10" x14ac:dyDescent="0.35">
      <c r="A799">
        <v>798</v>
      </c>
      <c r="B799" t="s">
        <v>178</v>
      </c>
      <c r="C799" t="s">
        <v>63</v>
      </c>
      <c r="D799" t="s">
        <v>169</v>
      </c>
      <c r="E799" s="1">
        <v>62025</v>
      </c>
      <c r="F799" s="1">
        <v>368667</v>
      </c>
      <c r="G799">
        <v>217</v>
      </c>
      <c r="H799">
        <v>5</v>
      </c>
      <c r="I799" s="1">
        <f>fact[[#This Row],[units_sold]]*fact[[#This Row],[price_usd]]</f>
        <v>54582000</v>
      </c>
      <c r="J799">
        <v>880</v>
      </c>
    </row>
    <row r="800" spans="1:10" x14ac:dyDescent="0.35">
      <c r="A800">
        <v>799</v>
      </c>
      <c r="B800" t="s">
        <v>178</v>
      </c>
      <c r="C800" t="s">
        <v>59</v>
      </c>
      <c r="D800" t="s">
        <v>32</v>
      </c>
      <c r="E800" s="1">
        <v>84589</v>
      </c>
      <c r="F800" s="1">
        <v>347515</v>
      </c>
      <c r="G800">
        <v>262</v>
      </c>
      <c r="H800">
        <v>6</v>
      </c>
      <c r="I800" s="1">
        <f>fact[[#This Row],[units_sold]]*fact[[#This Row],[price_usd]]</f>
        <v>69362980</v>
      </c>
      <c r="J800">
        <v>820</v>
      </c>
    </row>
    <row r="801" spans="1:10" x14ac:dyDescent="0.35">
      <c r="A801">
        <v>800</v>
      </c>
      <c r="B801" t="s">
        <v>178</v>
      </c>
      <c r="C801" t="s">
        <v>126</v>
      </c>
      <c r="D801" t="s">
        <v>32</v>
      </c>
      <c r="E801" s="1">
        <v>62094</v>
      </c>
      <c r="F801" s="1">
        <v>258030</v>
      </c>
      <c r="G801">
        <v>314</v>
      </c>
      <c r="H801">
        <v>1</v>
      </c>
      <c r="I801" s="1">
        <f>fact[[#This Row],[units_sold]]*fact[[#This Row],[price_usd]]</f>
        <v>62839128</v>
      </c>
      <c r="J801">
        <v>1012</v>
      </c>
    </row>
    <row r="802" spans="1:10" x14ac:dyDescent="0.35">
      <c r="A802">
        <v>801</v>
      </c>
      <c r="B802" t="s">
        <v>178</v>
      </c>
      <c r="C802" t="s">
        <v>147</v>
      </c>
      <c r="D802" t="s">
        <v>32</v>
      </c>
      <c r="E802" s="1">
        <v>83940</v>
      </c>
      <c r="F802" s="1">
        <v>52637</v>
      </c>
      <c r="G802">
        <v>17</v>
      </c>
      <c r="H802">
        <v>5</v>
      </c>
      <c r="I802" s="1">
        <f>fact[[#This Row],[units_sold]]*fact[[#This Row],[price_usd]]</f>
        <v>32400840</v>
      </c>
      <c r="J802">
        <v>386</v>
      </c>
    </row>
    <row r="803" spans="1:10" x14ac:dyDescent="0.35">
      <c r="A803">
        <v>802</v>
      </c>
      <c r="B803" t="s">
        <v>178</v>
      </c>
      <c r="C803" t="s">
        <v>152</v>
      </c>
      <c r="D803" t="s">
        <v>166</v>
      </c>
      <c r="E803" s="1">
        <v>72040</v>
      </c>
      <c r="F803" s="1">
        <v>406004</v>
      </c>
      <c r="G803">
        <v>144</v>
      </c>
      <c r="H803">
        <v>5</v>
      </c>
      <c r="I803" s="1">
        <f>fact[[#This Row],[units_sold]]*fact[[#This Row],[price_usd]]</f>
        <v>50211880</v>
      </c>
      <c r="J803">
        <v>697</v>
      </c>
    </row>
    <row r="804" spans="1:10" x14ac:dyDescent="0.35">
      <c r="A804">
        <v>803</v>
      </c>
      <c r="B804" t="s">
        <v>231</v>
      </c>
      <c r="C804" t="s">
        <v>64</v>
      </c>
      <c r="D804" t="s">
        <v>169</v>
      </c>
      <c r="E804" s="1">
        <v>79950</v>
      </c>
      <c r="F804" s="1">
        <v>308667</v>
      </c>
      <c r="G804">
        <v>137</v>
      </c>
      <c r="H804">
        <v>8</v>
      </c>
      <c r="I804" s="1">
        <f>fact[[#This Row],[units_sold]]*fact[[#This Row],[price_usd]]</f>
        <v>53806350</v>
      </c>
      <c r="J804">
        <v>673</v>
      </c>
    </row>
    <row r="805" spans="1:10" x14ac:dyDescent="0.35">
      <c r="A805">
        <v>804</v>
      </c>
      <c r="B805" t="s">
        <v>231</v>
      </c>
      <c r="C805" t="s">
        <v>59</v>
      </c>
      <c r="D805" t="s">
        <v>171</v>
      </c>
      <c r="E805" s="1">
        <v>71444</v>
      </c>
      <c r="F805" s="1">
        <v>173777</v>
      </c>
      <c r="G805">
        <v>123</v>
      </c>
      <c r="H805">
        <v>2</v>
      </c>
      <c r="I805" s="1">
        <f>fact[[#This Row],[units_sold]]*fact[[#This Row],[price_usd]]</f>
        <v>49796468</v>
      </c>
      <c r="J805">
        <v>697</v>
      </c>
    </row>
    <row r="806" spans="1:10" x14ac:dyDescent="0.35">
      <c r="A806">
        <v>805</v>
      </c>
      <c r="B806" t="s">
        <v>231</v>
      </c>
      <c r="C806" t="s">
        <v>78</v>
      </c>
      <c r="D806" t="s">
        <v>173</v>
      </c>
      <c r="E806" s="1">
        <v>118286</v>
      </c>
      <c r="F806" s="1">
        <v>242537</v>
      </c>
      <c r="G806">
        <v>78</v>
      </c>
      <c r="H806">
        <v>4</v>
      </c>
      <c r="I806" s="1">
        <f>fact[[#This Row],[units_sold]]*fact[[#This Row],[price_usd]]</f>
        <v>49798406</v>
      </c>
      <c r="J806">
        <v>421</v>
      </c>
    </row>
    <row r="807" spans="1:10" x14ac:dyDescent="0.35">
      <c r="A807">
        <v>806</v>
      </c>
      <c r="B807" t="s">
        <v>231</v>
      </c>
      <c r="C807" t="s">
        <v>80</v>
      </c>
      <c r="D807" t="s">
        <v>170</v>
      </c>
      <c r="E807" s="1">
        <v>62405</v>
      </c>
      <c r="F807" s="1">
        <v>412579</v>
      </c>
      <c r="G807">
        <v>197</v>
      </c>
      <c r="H807">
        <v>5</v>
      </c>
      <c r="I807" s="1">
        <f>fact[[#This Row],[units_sold]]*fact[[#This Row],[price_usd]]</f>
        <v>37755025</v>
      </c>
      <c r="J807">
        <v>605</v>
      </c>
    </row>
    <row r="808" spans="1:10" x14ac:dyDescent="0.35">
      <c r="A808">
        <v>807</v>
      </c>
      <c r="B808" t="s">
        <v>231</v>
      </c>
      <c r="C808" t="s">
        <v>87</v>
      </c>
      <c r="D808" t="s">
        <v>165</v>
      </c>
      <c r="E808" s="1">
        <v>81216</v>
      </c>
      <c r="F808" s="1">
        <v>426565</v>
      </c>
      <c r="G808">
        <v>307</v>
      </c>
      <c r="H808">
        <v>4</v>
      </c>
      <c r="I808" s="1">
        <f>fact[[#This Row],[units_sold]]*fact[[#This Row],[price_usd]]</f>
        <v>63673344</v>
      </c>
      <c r="J808">
        <v>784</v>
      </c>
    </row>
    <row r="809" spans="1:10" x14ac:dyDescent="0.35">
      <c r="A809">
        <v>808</v>
      </c>
      <c r="B809" t="s">
        <v>231</v>
      </c>
      <c r="C809" t="s">
        <v>87</v>
      </c>
      <c r="D809" t="s">
        <v>172</v>
      </c>
      <c r="E809" s="1">
        <v>48386</v>
      </c>
      <c r="F809" s="1">
        <v>313312</v>
      </c>
      <c r="G809">
        <v>260</v>
      </c>
      <c r="H809">
        <v>10</v>
      </c>
      <c r="I809" s="1">
        <f>fact[[#This Row],[units_sold]]*fact[[#This Row],[price_usd]]</f>
        <v>29757390</v>
      </c>
      <c r="J809">
        <v>615</v>
      </c>
    </row>
    <row r="810" spans="1:10" x14ac:dyDescent="0.35">
      <c r="A810">
        <v>809</v>
      </c>
      <c r="B810" t="s">
        <v>231</v>
      </c>
      <c r="C810" t="s">
        <v>100</v>
      </c>
      <c r="D810" t="s">
        <v>169</v>
      </c>
      <c r="E810" s="1">
        <v>63379</v>
      </c>
      <c r="F810" s="1">
        <v>104633</v>
      </c>
      <c r="G810">
        <v>91</v>
      </c>
      <c r="H810">
        <v>5</v>
      </c>
      <c r="I810" s="1">
        <f>fact[[#This Row],[units_sold]]*fact[[#This Row],[price_usd]]</f>
        <v>29534614</v>
      </c>
      <c r="J810">
        <v>466</v>
      </c>
    </row>
    <row r="811" spans="1:10" x14ac:dyDescent="0.35">
      <c r="A811">
        <v>810</v>
      </c>
      <c r="B811" t="s">
        <v>231</v>
      </c>
      <c r="C811" t="s">
        <v>121</v>
      </c>
      <c r="D811" t="s">
        <v>172</v>
      </c>
      <c r="E811" s="1">
        <v>61478</v>
      </c>
      <c r="F811" s="1">
        <v>331366</v>
      </c>
      <c r="G811">
        <v>33</v>
      </c>
      <c r="H811">
        <v>7</v>
      </c>
      <c r="I811" s="1">
        <f>fact[[#This Row],[units_sold]]*fact[[#This Row],[price_usd]]</f>
        <v>22132080</v>
      </c>
      <c r="J811">
        <v>360</v>
      </c>
    </row>
    <row r="812" spans="1:10" x14ac:dyDescent="0.35">
      <c r="A812">
        <v>811</v>
      </c>
      <c r="B812" t="s">
        <v>231</v>
      </c>
      <c r="C812" t="s">
        <v>137</v>
      </c>
      <c r="D812" t="s">
        <v>169</v>
      </c>
      <c r="E812" s="1">
        <v>41937</v>
      </c>
      <c r="F812" s="1">
        <v>394572</v>
      </c>
      <c r="G812">
        <v>237</v>
      </c>
      <c r="H812">
        <v>6</v>
      </c>
      <c r="I812" s="1">
        <f>fact[[#This Row],[units_sold]]*fact[[#This Row],[price_usd]]</f>
        <v>24658956</v>
      </c>
      <c r="J812">
        <v>588</v>
      </c>
    </row>
    <row r="813" spans="1:10" x14ac:dyDescent="0.35">
      <c r="A813">
        <v>812</v>
      </c>
      <c r="B813" t="s">
        <v>231</v>
      </c>
      <c r="C813" t="s">
        <v>131</v>
      </c>
      <c r="D813" t="s">
        <v>167</v>
      </c>
      <c r="E813" s="1">
        <v>116685</v>
      </c>
      <c r="F813" s="1">
        <v>82332</v>
      </c>
      <c r="G813">
        <v>357</v>
      </c>
      <c r="H813">
        <v>6</v>
      </c>
      <c r="I813" s="1">
        <f>fact[[#This Row],[units_sold]]*fact[[#This Row],[price_usd]]</f>
        <v>105016500</v>
      </c>
      <c r="J813">
        <v>900</v>
      </c>
    </row>
    <row r="814" spans="1:10" x14ac:dyDescent="0.35">
      <c r="A814">
        <v>813</v>
      </c>
      <c r="B814" t="s">
        <v>243</v>
      </c>
      <c r="C814" t="s">
        <v>46</v>
      </c>
      <c r="D814" t="s">
        <v>170</v>
      </c>
      <c r="E814" s="1">
        <v>42008</v>
      </c>
      <c r="F814" s="1">
        <v>294754</v>
      </c>
      <c r="G814">
        <v>274</v>
      </c>
      <c r="H814">
        <v>6</v>
      </c>
      <c r="I814" s="1">
        <f>fact[[#This Row],[units_sold]]*fact[[#This Row],[price_usd]]</f>
        <v>29027528</v>
      </c>
      <c r="J814">
        <v>691</v>
      </c>
    </row>
    <row r="815" spans="1:10" x14ac:dyDescent="0.35">
      <c r="A815">
        <v>814</v>
      </c>
      <c r="B815" t="s">
        <v>243</v>
      </c>
      <c r="C815" t="s">
        <v>99</v>
      </c>
      <c r="D815" t="s">
        <v>169</v>
      </c>
      <c r="E815" s="1">
        <v>100524</v>
      </c>
      <c r="F815" s="1">
        <v>187799</v>
      </c>
      <c r="G815">
        <v>16</v>
      </c>
      <c r="H815">
        <v>5</v>
      </c>
      <c r="I815" s="1">
        <f>fact[[#This Row],[units_sold]]*fact[[#This Row],[price_usd]]</f>
        <v>34580256</v>
      </c>
      <c r="J815">
        <v>344</v>
      </c>
    </row>
    <row r="816" spans="1:10" x14ac:dyDescent="0.35">
      <c r="A816">
        <v>815</v>
      </c>
      <c r="B816" t="s">
        <v>243</v>
      </c>
      <c r="C816" t="s">
        <v>98</v>
      </c>
      <c r="D816" t="s">
        <v>168</v>
      </c>
      <c r="E816" s="1">
        <v>48798</v>
      </c>
      <c r="F816" s="1">
        <v>96015</v>
      </c>
      <c r="G816">
        <v>393</v>
      </c>
      <c r="H816">
        <v>10</v>
      </c>
      <c r="I816" s="1">
        <f>fact[[#This Row],[units_sold]]*fact[[#This Row],[price_usd]]</f>
        <v>56264094</v>
      </c>
      <c r="J816">
        <v>1153</v>
      </c>
    </row>
    <row r="817" spans="1:10" x14ac:dyDescent="0.35">
      <c r="A817">
        <v>816</v>
      </c>
      <c r="B817" t="s">
        <v>243</v>
      </c>
      <c r="C817" t="s">
        <v>95</v>
      </c>
      <c r="D817" t="s">
        <v>32</v>
      </c>
      <c r="E817" s="1">
        <v>44265</v>
      </c>
      <c r="F817" s="1">
        <v>490556</v>
      </c>
      <c r="G817">
        <v>217</v>
      </c>
      <c r="H817">
        <v>2</v>
      </c>
      <c r="I817" s="1">
        <f>fact[[#This Row],[units_sold]]*fact[[#This Row],[price_usd]]</f>
        <v>36961275</v>
      </c>
      <c r="J817">
        <v>835</v>
      </c>
    </row>
    <row r="818" spans="1:10" x14ac:dyDescent="0.35">
      <c r="A818">
        <v>817</v>
      </c>
      <c r="B818" t="s">
        <v>243</v>
      </c>
      <c r="C818" t="s">
        <v>93</v>
      </c>
      <c r="D818" t="s">
        <v>32</v>
      </c>
      <c r="E818" s="1">
        <v>87116</v>
      </c>
      <c r="F818" s="1">
        <v>247286</v>
      </c>
      <c r="G818">
        <v>318</v>
      </c>
      <c r="H818">
        <v>2</v>
      </c>
      <c r="I818" s="1">
        <f>fact[[#This Row],[units_sold]]*fact[[#This Row],[price_usd]]</f>
        <v>71086656</v>
      </c>
      <c r="J818">
        <v>816</v>
      </c>
    </row>
    <row r="819" spans="1:10" x14ac:dyDescent="0.35">
      <c r="A819">
        <v>818</v>
      </c>
      <c r="B819" t="s">
        <v>243</v>
      </c>
      <c r="C819" t="s">
        <v>126</v>
      </c>
      <c r="D819" t="s">
        <v>173</v>
      </c>
      <c r="E819" s="1">
        <v>113545</v>
      </c>
      <c r="F819" s="1">
        <v>266916</v>
      </c>
      <c r="G819">
        <v>75</v>
      </c>
      <c r="H819">
        <v>7</v>
      </c>
      <c r="I819" s="1">
        <f>fact[[#This Row],[units_sold]]*fact[[#This Row],[price_usd]]</f>
        <v>42579375</v>
      </c>
      <c r="J819">
        <v>375</v>
      </c>
    </row>
    <row r="820" spans="1:10" x14ac:dyDescent="0.35">
      <c r="A820">
        <v>819</v>
      </c>
      <c r="B820" t="s">
        <v>243</v>
      </c>
      <c r="C820" t="s">
        <v>120</v>
      </c>
      <c r="D820" t="s">
        <v>167</v>
      </c>
      <c r="E820" s="1">
        <v>107095</v>
      </c>
      <c r="F820" s="1">
        <v>352259</v>
      </c>
      <c r="G820">
        <v>268</v>
      </c>
      <c r="H820">
        <v>10</v>
      </c>
      <c r="I820" s="1">
        <f>fact[[#This Row],[units_sold]]*fact[[#This Row],[price_usd]]</f>
        <v>98955780</v>
      </c>
      <c r="J820">
        <v>924</v>
      </c>
    </row>
    <row r="821" spans="1:10" x14ac:dyDescent="0.35">
      <c r="A821">
        <v>820</v>
      </c>
      <c r="B821" t="s">
        <v>243</v>
      </c>
      <c r="C821" t="s">
        <v>148</v>
      </c>
      <c r="D821" t="s">
        <v>169</v>
      </c>
      <c r="E821" s="1">
        <v>116010</v>
      </c>
      <c r="F821" s="1">
        <v>467876</v>
      </c>
      <c r="G821">
        <v>242</v>
      </c>
      <c r="H821">
        <v>7</v>
      </c>
      <c r="I821" s="1">
        <f>fact[[#This Row],[units_sold]]*fact[[#This Row],[price_usd]]</f>
        <v>102900870</v>
      </c>
      <c r="J821">
        <v>887</v>
      </c>
    </row>
    <row r="822" spans="1:10" x14ac:dyDescent="0.35">
      <c r="A822">
        <v>821</v>
      </c>
      <c r="B822" t="s">
        <v>291</v>
      </c>
      <c r="C822" t="s">
        <v>76</v>
      </c>
      <c r="D822" t="s">
        <v>170</v>
      </c>
      <c r="E822" s="1">
        <v>109219</v>
      </c>
      <c r="F822" s="1">
        <v>238262</v>
      </c>
      <c r="G822">
        <v>167</v>
      </c>
      <c r="H822">
        <v>2</v>
      </c>
      <c r="I822" s="1">
        <f>fact[[#This Row],[units_sold]]*fact[[#This Row],[price_usd]]</f>
        <v>46964170</v>
      </c>
      <c r="J822">
        <v>430</v>
      </c>
    </row>
    <row r="823" spans="1:10" x14ac:dyDescent="0.35">
      <c r="A823">
        <v>822</v>
      </c>
      <c r="B823" t="s">
        <v>291</v>
      </c>
      <c r="C823" t="s">
        <v>92</v>
      </c>
      <c r="D823" t="s">
        <v>170</v>
      </c>
      <c r="E823" s="1">
        <v>50540</v>
      </c>
      <c r="F823" s="1">
        <v>348276</v>
      </c>
      <c r="G823">
        <v>355</v>
      </c>
      <c r="H823">
        <v>5</v>
      </c>
      <c r="I823" s="1">
        <f>fact[[#This Row],[units_sold]]*fact[[#This Row],[price_usd]]</f>
        <v>59485580</v>
      </c>
      <c r="J823">
        <v>1177</v>
      </c>
    </row>
    <row r="824" spans="1:10" x14ac:dyDescent="0.35">
      <c r="A824">
        <v>823</v>
      </c>
      <c r="B824" t="s">
        <v>291</v>
      </c>
      <c r="C824" t="s">
        <v>95</v>
      </c>
      <c r="D824" t="s">
        <v>169</v>
      </c>
      <c r="E824" s="1">
        <v>71483</v>
      </c>
      <c r="F824" s="1">
        <v>220824</v>
      </c>
      <c r="G824">
        <v>89</v>
      </c>
      <c r="H824">
        <v>10</v>
      </c>
      <c r="I824" s="1">
        <f>fact[[#This Row],[units_sold]]*fact[[#This Row],[price_usd]]</f>
        <v>38815269</v>
      </c>
      <c r="J824">
        <v>543</v>
      </c>
    </row>
    <row r="825" spans="1:10" x14ac:dyDescent="0.35">
      <c r="A825">
        <v>824</v>
      </c>
      <c r="B825" t="s">
        <v>291</v>
      </c>
      <c r="C825" t="s">
        <v>114</v>
      </c>
      <c r="D825" t="s">
        <v>169</v>
      </c>
      <c r="E825" s="1">
        <v>49308</v>
      </c>
      <c r="F825" s="1">
        <v>426970</v>
      </c>
      <c r="G825">
        <v>392</v>
      </c>
      <c r="H825">
        <v>10</v>
      </c>
      <c r="I825" s="1">
        <f>fact[[#This Row],[units_sold]]*fact[[#This Row],[price_usd]]</f>
        <v>44229276</v>
      </c>
      <c r="J825">
        <v>897</v>
      </c>
    </row>
    <row r="826" spans="1:10" x14ac:dyDescent="0.35">
      <c r="A826">
        <v>825</v>
      </c>
      <c r="B826" t="s">
        <v>291</v>
      </c>
      <c r="C826" t="s">
        <v>104</v>
      </c>
      <c r="D826" t="s">
        <v>167</v>
      </c>
      <c r="E826" s="1">
        <v>61957</v>
      </c>
      <c r="F826" s="1">
        <v>277436</v>
      </c>
      <c r="G826">
        <v>38</v>
      </c>
      <c r="H826">
        <v>4</v>
      </c>
      <c r="I826" s="1">
        <f>fact[[#This Row],[units_sold]]*fact[[#This Row],[price_usd]]</f>
        <v>34076350</v>
      </c>
      <c r="J826">
        <v>550</v>
      </c>
    </row>
    <row r="827" spans="1:10" x14ac:dyDescent="0.35">
      <c r="A827">
        <v>826</v>
      </c>
      <c r="B827" t="s">
        <v>291</v>
      </c>
      <c r="C827" t="s">
        <v>142</v>
      </c>
      <c r="D827" t="s">
        <v>168</v>
      </c>
      <c r="E827" s="1">
        <v>104806</v>
      </c>
      <c r="F827" s="1">
        <v>323365</v>
      </c>
      <c r="G827">
        <v>319</v>
      </c>
      <c r="H827">
        <v>6</v>
      </c>
      <c r="I827" s="1">
        <f>fact[[#This Row],[units_sold]]*fact[[#This Row],[price_usd]]</f>
        <v>88770682</v>
      </c>
      <c r="J827">
        <v>847</v>
      </c>
    </row>
    <row r="828" spans="1:10" x14ac:dyDescent="0.35">
      <c r="A828">
        <v>827</v>
      </c>
      <c r="B828" t="s">
        <v>291</v>
      </c>
      <c r="C828" t="s">
        <v>159</v>
      </c>
      <c r="D828" t="s">
        <v>167</v>
      </c>
      <c r="E828" s="1">
        <v>44121</v>
      </c>
      <c r="F828" s="1">
        <v>314080</v>
      </c>
      <c r="G828">
        <v>164</v>
      </c>
      <c r="H828">
        <v>6</v>
      </c>
      <c r="I828" s="1">
        <f>fact[[#This Row],[units_sold]]*fact[[#This Row],[price_usd]]</f>
        <v>32737782</v>
      </c>
      <c r="J828">
        <v>742</v>
      </c>
    </row>
    <row r="829" spans="1:10" x14ac:dyDescent="0.35">
      <c r="A829">
        <v>828</v>
      </c>
      <c r="B829" t="s">
        <v>253</v>
      </c>
      <c r="C829" t="s">
        <v>45</v>
      </c>
      <c r="D829" t="s">
        <v>32</v>
      </c>
      <c r="E829" s="1">
        <v>114481</v>
      </c>
      <c r="F829" s="1">
        <v>410971</v>
      </c>
      <c r="G829">
        <v>394</v>
      </c>
      <c r="H829">
        <v>7</v>
      </c>
      <c r="I829" s="1">
        <f>fact[[#This Row],[units_sold]]*fact[[#This Row],[price_usd]]</f>
        <v>136232390</v>
      </c>
      <c r="J829">
        <v>1190</v>
      </c>
    </row>
    <row r="830" spans="1:10" x14ac:dyDescent="0.35">
      <c r="A830">
        <v>829</v>
      </c>
      <c r="B830" t="s">
        <v>253</v>
      </c>
      <c r="C830" t="s">
        <v>54</v>
      </c>
      <c r="D830" t="s">
        <v>167</v>
      </c>
      <c r="E830" s="1">
        <v>92196</v>
      </c>
      <c r="F830" s="1">
        <v>256717</v>
      </c>
      <c r="G830">
        <v>87</v>
      </c>
      <c r="H830">
        <v>4</v>
      </c>
      <c r="I830" s="1">
        <f>fact[[#This Row],[units_sold]]*fact[[#This Row],[price_usd]]</f>
        <v>52182936</v>
      </c>
      <c r="J830">
        <v>566</v>
      </c>
    </row>
    <row r="831" spans="1:10" x14ac:dyDescent="0.35">
      <c r="A831">
        <v>830</v>
      </c>
      <c r="B831" t="s">
        <v>253</v>
      </c>
      <c r="C831" t="s">
        <v>56</v>
      </c>
      <c r="D831" t="s">
        <v>32</v>
      </c>
      <c r="E831" s="1">
        <v>65232</v>
      </c>
      <c r="F831" s="1">
        <v>400514</v>
      </c>
      <c r="G831">
        <v>135</v>
      </c>
      <c r="H831">
        <v>10</v>
      </c>
      <c r="I831" s="1">
        <f>fact[[#This Row],[units_sold]]*fact[[#This Row],[price_usd]]</f>
        <v>20809008</v>
      </c>
      <c r="J831">
        <v>319</v>
      </c>
    </row>
    <row r="832" spans="1:10" x14ac:dyDescent="0.35">
      <c r="A832">
        <v>831</v>
      </c>
      <c r="B832" t="s">
        <v>253</v>
      </c>
      <c r="C832" t="s">
        <v>98</v>
      </c>
      <c r="D832" t="s">
        <v>171</v>
      </c>
      <c r="E832" s="1">
        <v>50511</v>
      </c>
      <c r="F832" s="1">
        <v>113879</v>
      </c>
      <c r="G832">
        <v>113</v>
      </c>
      <c r="H832">
        <v>8</v>
      </c>
      <c r="I832" s="1">
        <f>fact[[#This Row],[units_sold]]*fact[[#This Row],[price_usd]]</f>
        <v>15607899</v>
      </c>
      <c r="J832">
        <v>309</v>
      </c>
    </row>
    <row r="833" spans="1:10" x14ac:dyDescent="0.35">
      <c r="A833">
        <v>832</v>
      </c>
      <c r="B833" t="s">
        <v>253</v>
      </c>
      <c r="C833" t="s">
        <v>149</v>
      </c>
      <c r="D833" t="s">
        <v>165</v>
      </c>
      <c r="E833" s="1">
        <v>74133</v>
      </c>
      <c r="F833" s="1">
        <v>126411</v>
      </c>
      <c r="G833">
        <v>46</v>
      </c>
      <c r="H833">
        <v>1</v>
      </c>
      <c r="I833" s="1">
        <f>fact[[#This Row],[units_sold]]*fact[[#This Row],[price_usd]]</f>
        <v>9044226</v>
      </c>
      <c r="J833">
        <v>122</v>
      </c>
    </row>
    <row r="834" spans="1:10" x14ac:dyDescent="0.35">
      <c r="A834">
        <v>833</v>
      </c>
      <c r="B834" t="s">
        <v>253</v>
      </c>
      <c r="C834" t="s">
        <v>143</v>
      </c>
      <c r="D834" t="s">
        <v>169</v>
      </c>
      <c r="E834" s="1">
        <v>110318</v>
      </c>
      <c r="F834" s="1">
        <v>351407</v>
      </c>
      <c r="G834">
        <v>74</v>
      </c>
      <c r="H834">
        <v>5</v>
      </c>
      <c r="I834" s="1">
        <f>fact[[#This Row],[units_sold]]*fact[[#This Row],[price_usd]]</f>
        <v>58689176</v>
      </c>
      <c r="J834">
        <v>532</v>
      </c>
    </row>
    <row r="835" spans="1:10" x14ac:dyDescent="0.35">
      <c r="A835">
        <v>834</v>
      </c>
      <c r="B835" t="s">
        <v>222</v>
      </c>
      <c r="C835" t="s">
        <v>105</v>
      </c>
      <c r="D835" t="s">
        <v>172</v>
      </c>
      <c r="E835" s="1">
        <v>114376</v>
      </c>
      <c r="F835" s="1">
        <v>79063</v>
      </c>
      <c r="G835">
        <v>258</v>
      </c>
      <c r="H835">
        <v>9</v>
      </c>
      <c r="I835" s="1">
        <f>fact[[#This Row],[units_sold]]*fact[[#This Row],[price_usd]]</f>
        <v>78347560</v>
      </c>
      <c r="J835">
        <v>685</v>
      </c>
    </row>
    <row r="836" spans="1:10" x14ac:dyDescent="0.35">
      <c r="A836">
        <v>835</v>
      </c>
      <c r="B836" t="s">
        <v>222</v>
      </c>
      <c r="C836" t="s">
        <v>127</v>
      </c>
      <c r="D836" t="s">
        <v>172</v>
      </c>
      <c r="E836" s="1">
        <v>40596</v>
      </c>
      <c r="F836" s="1">
        <v>423957</v>
      </c>
      <c r="G836">
        <v>313</v>
      </c>
      <c r="H836">
        <v>6</v>
      </c>
      <c r="I836" s="1">
        <f>fact[[#This Row],[units_sold]]*fact[[#This Row],[price_usd]]</f>
        <v>40149444</v>
      </c>
      <c r="J836">
        <v>989</v>
      </c>
    </row>
    <row r="837" spans="1:10" x14ac:dyDescent="0.35">
      <c r="A837">
        <v>836</v>
      </c>
      <c r="B837" t="s">
        <v>222</v>
      </c>
      <c r="C837" t="s">
        <v>119</v>
      </c>
      <c r="D837" t="s">
        <v>173</v>
      </c>
      <c r="E837" s="1">
        <v>42382</v>
      </c>
      <c r="F837" s="1">
        <v>151121</v>
      </c>
      <c r="G837">
        <v>95</v>
      </c>
      <c r="H837">
        <v>3</v>
      </c>
      <c r="I837" s="1">
        <f>fact[[#This Row],[units_sold]]*fact[[#This Row],[price_usd]]</f>
        <v>19707630</v>
      </c>
      <c r="J837">
        <v>465</v>
      </c>
    </row>
    <row r="838" spans="1:10" x14ac:dyDescent="0.35">
      <c r="A838">
        <v>837</v>
      </c>
      <c r="B838" t="s">
        <v>222</v>
      </c>
      <c r="C838" t="s">
        <v>124</v>
      </c>
      <c r="D838" t="s">
        <v>173</v>
      </c>
      <c r="E838" s="1">
        <v>64968</v>
      </c>
      <c r="F838" s="1">
        <v>382745</v>
      </c>
      <c r="G838">
        <v>203</v>
      </c>
      <c r="H838">
        <v>10</v>
      </c>
      <c r="I838" s="1">
        <f>fact[[#This Row],[units_sold]]*fact[[#This Row],[price_usd]]</f>
        <v>33913296</v>
      </c>
      <c r="J838">
        <v>522</v>
      </c>
    </row>
    <row r="839" spans="1:10" x14ac:dyDescent="0.35">
      <c r="A839">
        <v>838</v>
      </c>
      <c r="B839" t="s">
        <v>222</v>
      </c>
      <c r="C839" t="s">
        <v>135</v>
      </c>
      <c r="D839" t="s">
        <v>169</v>
      </c>
      <c r="E839" s="1">
        <v>97712</v>
      </c>
      <c r="F839" s="1">
        <v>109164</v>
      </c>
      <c r="G839">
        <v>189</v>
      </c>
      <c r="H839">
        <v>7</v>
      </c>
      <c r="I839" s="1">
        <f>fact[[#This Row],[units_sold]]*fact[[#This Row],[price_usd]]</f>
        <v>42211584</v>
      </c>
      <c r="J839">
        <v>432</v>
      </c>
    </row>
    <row r="840" spans="1:10" x14ac:dyDescent="0.35">
      <c r="A840">
        <v>839</v>
      </c>
      <c r="B840" t="s">
        <v>222</v>
      </c>
      <c r="C840" t="s">
        <v>159</v>
      </c>
      <c r="D840" t="s">
        <v>166</v>
      </c>
      <c r="E840" s="1">
        <v>47940</v>
      </c>
      <c r="F840" s="1">
        <v>127527</v>
      </c>
      <c r="G840">
        <v>340</v>
      </c>
      <c r="H840">
        <v>1</v>
      </c>
      <c r="I840" s="1">
        <f>fact[[#This Row],[units_sold]]*fact[[#This Row],[price_usd]]</f>
        <v>53165460</v>
      </c>
      <c r="J840">
        <v>1109</v>
      </c>
    </row>
    <row r="841" spans="1:10" x14ac:dyDescent="0.35">
      <c r="A841">
        <v>840</v>
      </c>
      <c r="B841" t="s">
        <v>236</v>
      </c>
      <c r="C841" t="s">
        <v>50</v>
      </c>
      <c r="D841" t="s">
        <v>173</v>
      </c>
      <c r="E841" s="1">
        <v>92608</v>
      </c>
      <c r="F841" s="1">
        <v>460616</v>
      </c>
      <c r="G841">
        <v>114</v>
      </c>
      <c r="H841">
        <v>5</v>
      </c>
      <c r="I841" s="1">
        <f>fact[[#This Row],[units_sold]]*fact[[#This Row],[price_usd]]</f>
        <v>51027008</v>
      </c>
      <c r="J841">
        <v>551</v>
      </c>
    </row>
    <row r="842" spans="1:10" x14ac:dyDescent="0.35">
      <c r="A842">
        <v>841</v>
      </c>
      <c r="B842" t="s">
        <v>236</v>
      </c>
      <c r="C842" t="s">
        <v>51</v>
      </c>
      <c r="D842" t="s">
        <v>166</v>
      </c>
      <c r="E842" s="1">
        <v>80747</v>
      </c>
      <c r="F842" s="1">
        <v>153463</v>
      </c>
      <c r="G842">
        <v>38</v>
      </c>
      <c r="H842">
        <v>6</v>
      </c>
      <c r="I842" s="1">
        <f>fact[[#This Row],[units_sold]]*fact[[#This Row],[price_usd]]</f>
        <v>12758026</v>
      </c>
      <c r="J842">
        <v>158</v>
      </c>
    </row>
    <row r="843" spans="1:10" x14ac:dyDescent="0.35">
      <c r="A843">
        <v>842</v>
      </c>
      <c r="B843" t="s">
        <v>236</v>
      </c>
      <c r="C843" t="s">
        <v>67</v>
      </c>
      <c r="D843" t="s">
        <v>165</v>
      </c>
      <c r="E843" s="1">
        <v>41470</v>
      </c>
      <c r="F843" s="1">
        <v>231789</v>
      </c>
      <c r="G843">
        <v>35</v>
      </c>
      <c r="H843">
        <v>4</v>
      </c>
      <c r="I843" s="1">
        <f>fact[[#This Row],[units_sold]]*fact[[#This Row],[price_usd]]</f>
        <v>11653070</v>
      </c>
      <c r="J843">
        <v>281</v>
      </c>
    </row>
    <row r="844" spans="1:10" x14ac:dyDescent="0.35">
      <c r="A844">
        <v>843</v>
      </c>
      <c r="B844" t="s">
        <v>236</v>
      </c>
      <c r="C844" t="s">
        <v>64</v>
      </c>
      <c r="D844" t="s">
        <v>166</v>
      </c>
      <c r="E844" s="1">
        <v>63060</v>
      </c>
      <c r="F844" s="1">
        <v>176683</v>
      </c>
      <c r="G844">
        <v>86</v>
      </c>
      <c r="H844">
        <v>2</v>
      </c>
      <c r="I844" s="1">
        <f>fact[[#This Row],[units_sold]]*fact[[#This Row],[price_usd]]</f>
        <v>16143360</v>
      </c>
      <c r="J844">
        <v>256</v>
      </c>
    </row>
    <row r="845" spans="1:10" x14ac:dyDescent="0.35">
      <c r="A845">
        <v>844</v>
      </c>
      <c r="B845" t="s">
        <v>236</v>
      </c>
      <c r="C845" t="s">
        <v>59</v>
      </c>
      <c r="D845" t="s">
        <v>169</v>
      </c>
      <c r="E845" s="1">
        <v>46962</v>
      </c>
      <c r="F845" s="1">
        <v>147064</v>
      </c>
      <c r="G845">
        <v>26</v>
      </c>
      <c r="H845">
        <v>6</v>
      </c>
      <c r="I845" s="1">
        <f>fact[[#This Row],[units_sold]]*fact[[#This Row],[price_usd]]</f>
        <v>18596952</v>
      </c>
      <c r="J845">
        <v>396</v>
      </c>
    </row>
    <row r="846" spans="1:10" x14ac:dyDescent="0.35">
      <c r="A846">
        <v>845</v>
      </c>
      <c r="B846" t="s">
        <v>236</v>
      </c>
      <c r="C846" t="s">
        <v>79</v>
      </c>
      <c r="D846" t="s">
        <v>166</v>
      </c>
      <c r="E846" s="1">
        <v>70525</v>
      </c>
      <c r="F846" s="1">
        <v>481723</v>
      </c>
      <c r="G846">
        <v>288</v>
      </c>
      <c r="H846">
        <v>10</v>
      </c>
      <c r="I846" s="1">
        <f>fact[[#This Row],[units_sold]]*fact[[#This Row],[price_usd]]</f>
        <v>61286225</v>
      </c>
      <c r="J846">
        <v>869</v>
      </c>
    </row>
    <row r="847" spans="1:10" x14ac:dyDescent="0.35">
      <c r="A847">
        <v>846</v>
      </c>
      <c r="B847" t="s">
        <v>236</v>
      </c>
      <c r="C847" t="s">
        <v>85</v>
      </c>
      <c r="D847" t="s">
        <v>166</v>
      </c>
      <c r="E847" s="1">
        <v>39633</v>
      </c>
      <c r="F847" s="1">
        <v>251798</v>
      </c>
      <c r="G847">
        <v>219</v>
      </c>
      <c r="H847">
        <v>1</v>
      </c>
      <c r="I847" s="1">
        <f>fact[[#This Row],[units_sold]]*fact[[#This Row],[price_usd]]</f>
        <v>26831541</v>
      </c>
      <c r="J847">
        <v>677</v>
      </c>
    </row>
    <row r="848" spans="1:10" x14ac:dyDescent="0.35">
      <c r="A848">
        <v>847</v>
      </c>
      <c r="B848" t="s">
        <v>236</v>
      </c>
      <c r="C848" t="s">
        <v>138</v>
      </c>
      <c r="D848" t="s">
        <v>167</v>
      </c>
      <c r="E848" s="1">
        <v>117508</v>
      </c>
      <c r="F848" s="1">
        <v>189718</v>
      </c>
      <c r="G848">
        <v>258</v>
      </c>
      <c r="H848">
        <v>1</v>
      </c>
      <c r="I848" s="1">
        <f>fact[[#This Row],[units_sold]]*fact[[#This Row],[price_usd]]</f>
        <v>64629400</v>
      </c>
      <c r="J848">
        <v>550</v>
      </c>
    </row>
    <row r="849" spans="1:10" x14ac:dyDescent="0.35">
      <c r="A849">
        <v>848</v>
      </c>
      <c r="B849" t="s">
        <v>236</v>
      </c>
      <c r="C849" t="s">
        <v>132</v>
      </c>
      <c r="D849" t="s">
        <v>32</v>
      </c>
      <c r="E849" s="1">
        <v>96826</v>
      </c>
      <c r="F849" s="1">
        <v>87879</v>
      </c>
      <c r="G849">
        <v>332</v>
      </c>
      <c r="H849">
        <v>1</v>
      </c>
      <c r="I849" s="1">
        <f>fact[[#This Row],[units_sold]]*fact[[#This Row],[price_usd]]</f>
        <v>87627530</v>
      </c>
      <c r="J849">
        <v>905</v>
      </c>
    </row>
    <row r="850" spans="1:10" x14ac:dyDescent="0.35">
      <c r="A850">
        <v>849</v>
      </c>
      <c r="B850" t="s">
        <v>236</v>
      </c>
      <c r="C850" t="s">
        <v>132</v>
      </c>
      <c r="D850" t="s">
        <v>172</v>
      </c>
      <c r="E850" s="1">
        <v>100681</v>
      </c>
      <c r="F850" s="1">
        <v>245413</v>
      </c>
      <c r="G850">
        <v>103</v>
      </c>
      <c r="H850">
        <v>3</v>
      </c>
      <c r="I850" s="1">
        <f>fact[[#This Row],[units_sold]]*fact[[#This Row],[price_usd]]</f>
        <v>23660035</v>
      </c>
      <c r="J850">
        <v>235</v>
      </c>
    </row>
    <row r="851" spans="1:10" x14ac:dyDescent="0.35">
      <c r="A851">
        <v>850</v>
      </c>
      <c r="B851" t="s">
        <v>236</v>
      </c>
      <c r="C851" t="s">
        <v>156</v>
      </c>
      <c r="D851" t="s">
        <v>168</v>
      </c>
      <c r="E851" s="1">
        <v>103968</v>
      </c>
      <c r="F851" s="1">
        <v>451821</v>
      </c>
      <c r="G851">
        <v>153</v>
      </c>
      <c r="H851">
        <v>4</v>
      </c>
      <c r="I851" s="1">
        <f>fact[[#This Row],[units_sold]]*fact[[#This Row],[price_usd]]</f>
        <v>62484768</v>
      </c>
      <c r="J851">
        <v>601</v>
      </c>
    </row>
    <row r="852" spans="1:10" x14ac:dyDescent="0.35">
      <c r="A852">
        <v>851</v>
      </c>
      <c r="B852" t="s">
        <v>206</v>
      </c>
      <c r="C852" t="s">
        <v>54</v>
      </c>
      <c r="D852" t="s">
        <v>165</v>
      </c>
      <c r="E852" s="1">
        <v>97532</v>
      </c>
      <c r="F852" s="1">
        <v>438227</v>
      </c>
      <c r="G852">
        <v>113</v>
      </c>
      <c r="H852">
        <v>8</v>
      </c>
      <c r="I852" s="1">
        <f>fact[[#This Row],[units_sold]]*fact[[#This Row],[price_usd]]</f>
        <v>50424044</v>
      </c>
      <c r="J852">
        <v>517</v>
      </c>
    </row>
    <row r="853" spans="1:10" x14ac:dyDescent="0.35">
      <c r="A853">
        <v>852</v>
      </c>
      <c r="B853" t="s">
        <v>206</v>
      </c>
      <c r="C853" t="s">
        <v>75</v>
      </c>
      <c r="D853" t="s">
        <v>169</v>
      </c>
      <c r="E853" s="1">
        <v>75205</v>
      </c>
      <c r="F853" s="1">
        <v>91115</v>
      </c>
      <c r="G853">
        <v>148</v>
      </c>
      <c r="H853">
        <v>10</v>
      </c>
      <c r="I853" s="1">
        <f>fact[[#This Row],[units_sold]]*fact[[#This Row],[price_usd]]</f>
        <v>23238345</v>
      </c>
      <c r="J853">
        <v>309</v>
      </c>
    </row>
    <row r="854" spans="1:10" x14ac:dyDescent="0.35">
      <c r="A854">
        <v>853</v>
      </c>
      <c r="B854" t="s">
        <v>206</v>
      </c>
      <c r="C854" t="s">
        <v>96</v>
      </c>
      <c r="D854" t="s">
        <v>171</v>
      </c>
      <c r="E854" s="1">
        <v>41533</v>
      </c>
      <c r="F854" s="1">
        <v>431387</v>
      </c>
      <c r="G854">
        <v>168</v>
      </c>
      <c r="H854">
        <v>3</v>
      </c>
      <c r="I854" s="1">
        <f>fact[[#This Row],[units_sold]]*fact[[#This Row],[price_usd]]</f>
        <v>19312845</v>
      </c>
      <c r="J854">
        <v>465</v>
      </c>
    </row>
    <row r="855" spans="1:10" x14ac:dyDescent="0.35">
      <c r="A855">
        <v>854</v>
      </c>
      <c r="B855" t="s">
        <v>206</v>
      </c>
      <c r="C855" t="s">
        <v>95</v>
      </c>
      <c r="D855" t="s">
        <v>169</v>
      </c>
      <c r="E855" s="1">
        <v>119307</v>
      </c>
      <c r="F855" s="1">
        <v>208177</v>
      </c>
      <c r="G855">
        <v>67</v>
      </c>
      <c r="H855">
        <v>7</v>
      </c>
      <c r="I855" s="1">
        <f>fact[[#This Row],[units_sold]]*fact[[#This Row],[price_usd]]</f>
        <v>42115371</v>
      </c>
      <c r="J855">
        <v>353</v>
      </c>
    </row>
    <row r="856" spans="1:10" x14ac:dyDescent="0.35">
      <c r="A856">
        <v>855</v>
      </c>
      <c r="B856" t="s">
        <v>206</v>
      </c>
      <c r="C856" t="s">
        <v>117</v>
      </c>
      <c r="D856" t="s">
        <v>173</v>
      </c>
      <c r="E856" s="1">
        <v>47352</v>
      </c>
      <c r="F856" s="1">
        <v>379744</v>
      </c>
      <c r="G856">
        <v>240</v>
      </c>
      <c r="H856">
        <v>10</v>
      </c>
      <c r="I856" s="1">
        <f>fact[[#This Row],[units_sold]]*fact[[#This Row],[price_usd]]</f>
        <v>30305280</v>
      </c>
      <c r="J856">
        <v>640</v>
      </c>
    </row>
    <row r="857" spans="1:10" x14ac:dyDescent="0.35">
      <c r="A857">
        <v>856</v>
      </c>
      <c r="B857" t="s">
        <v>206</v>
      </c>
      <c r="C857" t="s">
        <v>151</v>
      </c>
      <c r="D857" t="s">
        <v>169</v>
      </c>
      <c r="E857" s="1">
        <v>74346</v>
      </c>
      <c r="F857" s="1">
        <v>70045</v>
      </c>
      <c r="G857">
        <v>235</v>
      </c>
      <c r="H857">
        <v>7</v>
      </c>
      <c r="I857" s="1">
        <f>fact[[#This Row],[units_sold]]*fact[[#This Row],[price_usd]]</f>
        <v>57469458</v>
      </c>
      <c r="J857">
        <v>773</v>
      </c>
    </row>
    <row r="858" spans="1:10" x14ac:dyDescent="0.35">
      <c r="A858">
        <v>857</v>
      </c>
      <c r="B858" t="s">
        <v>224</v>
      </c>
      <c r="C858" t="s">
        <v>71</v>
      </c>
      <c r="D858" t="s">
        <v>165</v>
      </c>
      <c r="E858" s="1">
        <v>99550</v>
      </c>
      <c r="F858" s="1">
        <v>274126</v>
      </c>
      <c r="G858">
        <v>163</v>
      </c>
      <c r="H858">
        <v>5</v>
      </c>
      <c r="I858" s="1">
        <f>fact[[#This Row],[units_sold]]*fact[[#This Row],[price_usd]]</f>
        <v>59331800</v>
      </c>
      <c r="J858">
        <v>596</v>
      </c>
    </row>
    <row r="859" spans="1:10" x14ac:dyDescent="0.35">
      <c r="A859">
        <v>858</v>
      </c>
      <c r="B859" t="s">
        <v>224</v>
      </c>
      <c r="C859" t="s">
        <v>82</v>
      </c>
      <c r="D859" t="s">
        <v>173</v>
      </c>
      <c r="E859" s="1">
        <v>111441</v>
      </c>
      <c r="F859" s="1">
        <v>279167</v>
      </c>
      <c r="G859">
        <v>156</v>
      </c>
      <c r="H859">
        <v>6</v>
      </c>
      <c r="I859" s="1">
        <f>fact[[#This Row],[units_sold]]*fact[[#This Row],[price_usd]]</f>
        <v>78565905</v>
      </c>
      <c r="J859">
        <v>705</v>
      </c>
    </row>
    <row r="860" spans="1:10" x14ac:dyDescent="0.35">
      <c r="A860">
        <v>859</v>
      </c>
      <c r="B860" t="s">
        <v>224</v>
      </c>
      <c r="C860" t="s">
        <v>82</v>
      </c>
      <c r="D860" t="s">
        <v>172</v>
      </c>
      <c r="E860" s="1">
        <v>99757</v>
      </c>
      <c r="F860" s="1">
        <v>348254</v>
      </c>
      <c r="G860">
        <v>264</v>
      </c>
      <c r="H860">
        <v>1</v>
      </c>
      <c r="I860" s="1">
        <f>fact[[#This Row],[units_sold]]*fact[[#This Row],[price_usd]]</f>
        <v>84294665</v>
      </c>
      <c r="J860">
        <v>845</v>
      </c>
    </row>
    <row r="861" spans="1:10" x14ac:dyDescent="0.35">
      <c r="A861">
        <v>860</v>
      </c>
      <c r="B861" t="s">
        <v>224</v>
      </c>
      <c r="C861" t="s">
        <v>80</v>
      </c>
      <c r="D861" t="s">
        <v>167</v>
      </c>
      <c r="E861" s="1">
        <v>58065</v>
      </c>
      <c r="F861" s="1">
        <v>79661</v>
      </c>
      <c r="G861">
        <v>160</v>
      </c>
      <c r="H861">
        <v>2</v>
      </c>
      <c r="I861" s="1">
        <f>fact[[#This Row],[units_sold]]*fact[[#This Row],[price_usd]]</f>
        <v>45639090</v>
      </c>
      <c r="J861">
        <v>786</v>
      </c>
    </row>
    <row r="862" spans="1:10" x14ac:dyDescent="0.35">
      <c r="A862">
        <v>861</v>
      </c>
      <c r="B862" t="s">
        <v>224</v>
      </c>
      <c r="C862" t="s">
        <v>111</v>
      </c>
      <c r="D862" t="s">
        <v>169</v>
      </c>
      <c r="E862" s="1">
        <v>62151</v>
      </c>
      <c r="F862" s="1">
        <v>410466</v>
      </c>
      <c r="G862">
        <v>257</v>
      </c>
      <c r="H862">
        <v>8</v>
      </c>
      <c r="I862" s="1">
        <f>fact[[#This Row],[units_sold]]*fact[[#This Row],[price_usd]]</f>
        <v>46986156</v>
      </c>
      <c r="J862">
        <v>756</v>
      </c>
    </row>
    <row r="863" spans="1:10" x14ac:dyDescent="0.35">
      <c r="A863">
        <v>862</v>
      </c>
      <c r="B863" t="s">
        <v>224</v>
      </c>
      <c r="C863" t="s">
        <v>159</v>
      </c>
      <c r="D863" t="s">
        <v>169</v>
      </c>
      <c r="E863" s="1">
        <v>42601</v>
      </c>
      <c r="F863" s="1">
        <v>481739</v>
      </c>
      <c r="G863">
        <v>288</v>
      </c>
      <c r="H863">
        <v>1</v>
      </c>
      <c r="I863" s="1">
        <f>fact[[#This Row],[units_sold]]*fact[[#This Row],[price_usd]]</f>
        <v>30289311</v>
      </c>
      <c r="J863">
        <v>711</v>
      </c>
    </row>
    <row r="864" spans="1:10" x14ac:dyDescent="0.35">
      <c r="A864">
        <v>863</v>
      </c>
      <c r="B864" t="s">
        <v>187</v>
      </c>
      <c r="C864" t="s">
        <v>50</v>
      </c>
      <c r="D864" t="s">
        <v>166</v>
      </c>
      <c r="E864" s="1">
        <v>56042</v>
      </c>
      <c r="F864" s="1">
        <v>55636</v>
      </c>
      <c r="G864">
        <v>108</v>
      </c>
      <c r="H864">
        <v>4</v>
      </c>
      <c r="I864" s="1">
        <f>fact[[#This Row],[units_sold]]*fact[[#This Row],[price_usd]]</f>
        <v>30935184</v>
      </c>
      <c r="J864">
        <v>552</v>
      </c>
    </row>
    <row r="865" spans="1:10" x14ac:dyDescent="0.35">
      <c r="A865">
        <v>864</v>
      </c>
      <c r="B865" t="s">
        <v>187</v>
      </c>
      <c r="C865" t="s">
        <v>85</v>
      </c>
      <c r="D865" t="s">
        <v>172</v>
      </c>
      <c r="E865" s="1">
        <v>80212</v>
      </c>
      <c r="F865" s="1">
        <v>437356</v>
      </c>
      <c r="G865">
        <v>124</v>
      </c>
      <c r="H865">
        <v>7</v>
      </c>
      <c r="I865" s="1">
        <f>fact[[#This Row],[units_sold]]*fact[[#This Row],[price_usd]]</f>
        <v>41630028</v>
      </c>
      <c r="J865">
        <v>519</v>
      </c>
    </row>
    <row r="866" spans="1:10" x14ac:dyDescent="0.35">
      <c r="A866">
        <v>865</v>
      </c>
      <c r="B866" t="s">
        <v>187</v>
      </c>
      <c r="C866" t="s">
        <v>93</v>
      </c>
      <c r="D866" t="s">
        <v>170</v>
      </c>
      <c r="E866" s="1">
        <v>101323</v>
      </c>
      <c r="F866" s="1">
        <v>424842</v>
      </c>
      <c r="G866">
        <v>53</v>
      </c>
      <c r="H866">
        <v>3</v>
      </c>
      <c r="I866" s="1">
        <f>fact[[#This Row],[units_sold]]*fact[[#This Row],[price_usd]]</f>
        <v>31004838</v>
      </c>
      <c r="J866">
        <v>306</v>
      </c>
    </row>
    <row r="867" spans="1:10" x14ac:dyDescent="0.35">
      <c r="A867">
        <v>866</v>
      </c>
      <c r="B867" t="s">
        <v>187</v>
      </c>
      <c r="C867" t="s">
        <v>122</v>
      </c>
      <c r="D867" t="s">
        <v>32</v>
      </c>
      <c r="E867" s="1">
        <v>119577</v>
      </c>
      <c r="F867" s="1">
        <v>269222</v>
      </c>
      <c r="G867">
        <v>134</v>
      </c>
      <c r="H867">
        <v>9</v>
      </c>
      <c r="I867" s="1">
        <f>fact[[#This Row],[units_sold]]*fact[[#This Row],[price_usd]]</f>
        <v>45439260</v>
      </c>
      <c r="J867">
        <v>380</v>
      </c>
    </row>
    <row r="868" spans="1:10" x14ac:dyDescent="0.35">
      <c r="A868">
        <v>867</v>
      </c>
      <c r="B868" t="s">
        <v>187</v>
      </c>
      <c r="C868" t="s">
        <v>116</v>
      </c>
      <c r="D868" t="s">
        <v>166</v>
      </c>
      <c r="E868" s="1">
        <v>118163</v>
      </c>
      <c r="F868" s="1">
        <v>491110</v>
      </c>
      <c r="G868">
        <v>269</v>
      </c>
      <c r="H868">
        <v>5</v>
      </c>
      <c r="I868" s="1">
        <f>fact[[#This Row],[units_sold]]*fact[[#This Row],[price_usd]]</f>
        <v>78105743</v>
      </c>
      <c r="J868">
        <v>661</v>
      </c>
    </row>
    <row r="869" spans="1:10" x14ac:dyDescent="0.35">
      <c r="A869">
        <v>868</v>
      </c>
      <c r="B869" t="s">
        <v>278</v>
      </c>
      <c r="C869" t="s">
        <v>48</v>
      </c>
      <c r="D869" t="s">
        <v>32</v>
      </c>
      <c r="E869" s="1">
        <v>52304</v>
      </c>
      <c r="F869" s="1">
        <v>382255</v>
      </c>
      <c r="G869">
        <v>135</v>
      </c>
      <c r="H869">
        <v>10</v>
      </c>
      <c r="I869" s="1">
        <f>fact[[#This Row],[units_sold]]*fact[[#This Row],[price_usd]]</f>
        <v>19352480</v>
      </c>
      <c r="J869">
        <v>370</v>
      </c>
    </row>
    <row r="870" spans="1:10" x14ac:dyDescent="0.35">
      <c r="A870">
        <v>869</v>
      </c>
      <c r="B870" t="s">
        <v>278</v>
      </c>
      <c r="C870" t="s">
        <v>72</v>
      </c>
      <c r="D870" t="s">
        <v>166</v>
      </c>
      <c r="E870" s="1">
        <v>37159</v>
      </c>
      <c r="F870" s="1">
        <v>370057</v>
      </c>
      <c r="G870">
        <v>302</v>
      </c>
      <c r="H870">
        <v>7</v>
      </c>
      <c r="I870" s="1">
        <f>fact[[#This Row],[units_sold]]*fact[[#This Row],[price_usd]]</f>
        <v>37753544</v>
      </c>
      <c r="J870">
        <v>1016</v>
      </c>
    </row>
    <row r="871" spans="1:10" x14ac:dyDescent="0.35">
      <c r="A871">
        <v>870</v>
      </c>
      <c r="B871" t="s">
        <v>278</v>
      </c>
      <c r="C871" t="s">
        <v>78</v>
      </c>
      <c r="D871" t="s">
        <v>170</v>
      </c>
      <c r="E871" s="1">
        <v>107903</v>
      </c>
      <c r="F871" s="1">
        <v>435105</v>
      </c>
      <c r="G871">
        <v>255</v>
      </c>
      <c r="H871">
        <v>1</v>
      </c>
      <c r="I871" s="1">
        <f>fact[[#This Row],[units_sold]]*fact[[#This Row],[price_usd]]</f>
        <v>96141573</v>
      </c>
      <c r="J871">
        <v>891</v>
      </c>
    </row>
    <row r="872" spans="1:10" x14ac:dyDescent="0.35">
      <c r="A872">
        <v>871</v>
      </c>
      <c r="B872" t="s">
        <v>278</v>
      </c>
      <c r="C872" t="s">
        <v>89</v>
      </c>
      <c r="D872" t="s">
        <v>169</v>
      </c>
      <c r="E872" s="1">
        <v>54572</v>
      </c>
      <c r="F872" s="1">
        <v>494854</v>
      </c>
      <c r="G872">
        <v>38</v>
      </c>
      <c r="H872">
        <v>5</v>
      </c>
      <c r="I872" s="1">
        <f>fact[[#This Row],[units_sold]]*fact[[#This Row],[price_usd]]</f>
        <v>13806716</v>
      </c>
      <c r="J872">
        <v>253</v>
      </c>
    </row>
    <row r="873" spans="1:10" x14ac:dyDescent="0.35">
      <c r="A873">
        <v>872</v>
      </c>
      <c r="B873" t="s">
        <v>278</v>
      </c>
      <c r="C873" t="s">
        <v>105</v>
      </c>
      <c r="D873" t="s">
        <v>173</v>
      </c>
      <c r="E873" s="1">
        <v>71133</v>
      </c>
      <c r="F873" s="1">
        <v>399982</v>
      </c>
      <c r="G873">
        <v>280</v>
      </c>
      <c r="H873">
        <v>8</v>
      </c>
      <c r="I873" s="1">
        <f>fact[[#This Row],[units_sold]]*fact[[#This Row],[price_usd]]</f>
        <v>63948567</v>
      </c>
      <c r="J873">
        <v>899</v>
      </c>
    </row>
    <row r="874" spans="1:10" x14ac:dyDescent="0.35">
      <c r="A874">
        <v>873</v>
      </c>
      <c r="B874" t="s">
        <v>278</v>
      </c>
      <c r="C874" t="s">
        <v>107</v>
      </c>
      <c r="D874" t="s">
        <v>171</v>
      </c>
      <c r="E874" s="1">
        <v>93565</v>
      </c>
      <c r="F874" s="1">
        <v>464021</v>
      </c>
      <c r="G874">
        <v>378</v>
      </c>
      <c r="H874">
        <v>7</v>
      </c>
      <c r="I874" s="1">
        <f>fact[[#This Row],[units_sold]]*fact[[#This Row],[price_usd]]</f>
        <v>86828320</v>
      </c>
      <c r="J874">
        <v>928</v>
      </c>
    </row>
    <row r="875" spans="1:10" x14ac:dyDescent="0.35">
      <c r="A875">
        <v>874</v>
      </c>
      <c r="B875" t="s">
        <v>278</v>
      </c>
      <c r="C875" t="s">
        <v>118</v>
      </c>
      <c r="D875" t="s">
        <v>173</v>
      </c>
      <c r="E875" s="1">
        <v>52558</v>
      </c>
      <c r="F875" s="1">
        <v>327483</v>
      </c>
      <c r="G875">
        <v>176</v>
      </c>
      <c r="H875">
        <v>4</v>
      </c>
      <c r="I875" s="1">
        <f>fact[[#This Row],[units_sold]]*fact[[#This Row],[price_usd]]</f>
        <v>28644110</v>
      </c>
      <c r="J875">
        <v>545</v>
      </c>
    </row>
    <row r="876" spans="1:10" x14ac:dyDescent="0.35">
      <c r="A876">
        <v>875</v>
      </c>
      <c r="B876" t="s">
        <v>278</v>
      </c>
      <c r="C876" t="s">
        <v>119</v>
      </c>
      <c r="D876" t="s">
        <v>167</v>
      </c>
      <c r="E876" s="1">
        <v>67574</v>
      </c>
      <c r="F876" s="1">
        <v>171544</v>
      </c>
      <c r="G876">
        <v>263</v>
      </c>
      <c r="H876">
        <v>4</v>
      </c>
      <c r="I876" s="1">
        <f>fact[[#This Row],[units_sold]]*fact[[#This Row],[price_usd]]</f>
        <v>48180262</v>
      </c>
      <c r="J876">
        <v>713</v>
      </c>
    </row>
    <row r="877" spans="1:10" x14ac:dyDescent="0.35">
      <c r="A877">
        <v>876</v>
      </c>
      <c r="B877" t="s">
        <v>278</v>
      </c>
      <c r="C877" t="s">
        <v>129</v>
      </c>
      <c r="D877" t="s">
        <v>166</v>
      </c>
      <c r="E877" s="1">
        <v>59700</v>
      </c>
      <c r="F877" s="1">
        <v>364853</v>
      </c>
      <c r="G877">
        <v>211</v>
      </c>
      <c r="H877">
        <v>10</v>
      </c>
      <c r="I877" s="1">
        <f>fact[[#This Row],[units_sold]]*fact[[#This Row],[price_usd]]</f>
        <v>28775400</v>
      </c>
      <c r="J877">
        <v>482</v>
      </c>
    </row>
    <row r="878" spans="1:10" x14ac:dyDescent="0.35">
      <c r="A878">
        <v>877</v>
      </c>
      <c r="B878" t="s">
        <v>278</v>
      </c>
      <c r="C878" t="s">
        <v>148</v>
      </c>
      <c r="D878" t="s">
        <v>166</v>
      </c>
      <c r="E878" s="1">
        <v>60791</v>
      </c>
      <c r="F878" s="1">
        <v>490847</v>
      </c>
      <c r="G878">
        <v>288</v>
      </c>
      <c r="H878">
        <v>4</v>
      </c>
      <c r="I878" s="1">
        <f>fact[[#This Row],[units_sold]]*fact[[#This Row],[price_usd]]</f>
        <v>37994375</v>
      </c>
      <c r="J878">
        <v>625</v>
      </c>
    </row>
    <row r="879" spans="1:10" x14ac:dyDescent="0.35">
      <c r="A879">
        <v>878</v>
      </c>
      <c r="B879" t="s">
        <v>278</v>
      </c>
      <c r="C879" t="s">
        <v>155</v>
      </c>
      <c r="D879" t="s">
        <v>166</v>
      </c>
      <c r="E879" s="1">
        <v>111646</v>
      </c>
      <c r="F879" s="1">
        <v>351763</v>
      </c>
      <c r="G879">
        <v>142</v>
      </c>
      <c r="H879">
        <v>9</v>
      </c>
      <c r="I879" s="1">
        <f>fact[[#This Row],[units_sold]]*fact[[#This Row],[price_usd]]</f>
        <v>79938536</v>
      </c>
      <c r="J879">
        <v>716</v>
      </c>
    </row>
    <row r="880" spans="1:10" x14ac:dyDescent="0.35">
      <c r="A880">
        <v>879</v>
      </c>
      <c r="B880" t="s">
        <v>239</v>
      </c>
      <c r="C880" t="s">
        <v>47</v>
      </c>
      <c r="D880" t="s">
        <v>169</v>
      </c>
      <c r="E880" s="1">
        <v>62777</v>
      </c>
      <c r="F880" s="1">
        <v>372926</v>
      </c>
      <c r="G880">
        <v>49</v>
      </c>
      <c r="H880">
        <v>4</v>
      </c>
      <c r="I880" s="1">
        <f>fact[[#This Row],[units_sold]]*fact[[#This Row],[price_usd]]</f>
        <v>9855989</v>
      </c>
      <c r="J880">
        <v>157</v>
      </c>
    </row>
    <row r="881" spans="1:10" x14ac:dyDescent="0.35">
      <c r="A881">
        <v>880</v>
      </c>
      <c r="B881" t="s">
        <v>239</v>
      </c>
      <c r="C881" t="s">
        <v>44</v>
      </c>
      <c r="D881" t="s">
        <v>173</v>
      </c>
      <c r="E881" s="1">
        <v>116395</v>
      </c>
      <c r="F881" s="1">
        <v>89236</v>
      </c>
      <c r="G881">
        <v>155</v>
      </c>
      <c r="H881">
        <v>6</v>
      </c>
      <c r="I881" s="1">
        <f>fact[[#This Row],[units_sold]]*fact[[#This Row],[price_usd]]</f>
        <v>64017250</v>
      </c>
      <c r="J881">
        <v>550</v>
      </c>
    </row>
    <row r="882" spans="1:10" x14ac:dyDescent="0.35">
      <c r="A882">
        <v>881</v>
      </c>
      <c r="B882" t="s">
        <v>239</v>
      </c>
      <c r="C882" t="s">
        <v>55</v>
      </c>
      <c r="D882" t="s">
        <v>167</v>
      </c>
      <c r="E882" s="1">
        <v>63899</v>
      </c>
      <c r="F882" s="1">
        <v>200862</v>
      </c>
      <c r="G882">
        <v>350</v>
      </c>
      <c r="H882">
        <v>9</v>
      </c>
      <c r="I882" s="1">
        <f>fact[[#This Row],[units_sold]]*fact[[#This Row],[price_usd]]</f>
        <v>65240879</v>
      </c>
      <c r="J882">
        <v>1021</v>
      </c>
    </row>
    <row r="883" spans="1:10" x14ac:dyDescent="0.35">
      <c r="A883">
        <v>882</v>
      </c>
      <c r="B883" t="s">
        <v>239</v>
      </c>
      <c r="C883" t="s">
        <v>46</v>
      </c>
      <c r="D883" t="s">
        <v>172</v>
      </c>
      <c r="E883" s="1">
        <v>53557</v>
      </c>
      <c r="F883" s="1">
        <v>219357</v>
      </c>
      <c r="G883">
        <v>187</v>
      </c>
      <c r="H883">
        <v>1</v>
      </c>
      <c r="I883" s="1">
        <f>fact[[#This Row],[units_sold]]*fact[[#This Row],[price_usd]]</f>
        <v>32080643</v>
      </c>
      <c r="J883">
        <v>599</v>
      </c>
    </row>
    <row r="884" spans="1:10" x14ac:dyDescent="0.35">
      <c r="A884">
        <v>883</v>
      </c>
      <c r="B884" t="s">
        <v>239</v>
      </c>
      <c r="C884" t="s">
        <v>71</v>
      </c>
      <c r="D884" t="s">
        <v>168</v>
      </c>
      <c r="E884" s="1">
        <v>72394</v>
      </c>
      <c r="F884" s="1">
        <v>154843</v>
      </c>
      <c r="G884">
        <v>155</v>
      </c>
      <c r="H884">
        <v>9</v>
      </c>
      <c r="I884" s="1">
        <f>fact[[#This Row],[units_sold]]*fact[[#This Row],[price_usd]]</f>
        <v>37717274</v>
      </c>
      <c r="J884">
        <v>521</v>
      </c>
    </row>
    <row r="885" spans="1:10" x14ac:dyDescent="0.35">
      <c r="A885">
        <v>884</v>
      </c>
      <c r="B885" t="s">
        <v>239</v>
      </c>
      <c r="C885" t="s">
        <v>89</v>
      </c>
      <c r="D885" t="s">
        <v>170</v>
      </c>
      <c r="E885" s="1">
        <v>49559</v>
      </c>
      <c r="F885" s="1">
        <v>333539</v>
      </c>
      <c r="G885">
        <v>217</v>
      </c>
      <c r="H885">
        <v>10</v>
      </c>
      <c r="I885" s="1">
        <f>fact[[#This Row],[units_sold]]*fact[[#This Row],[price_usd]]</f>
        <v>33105412</v>
      </c>
      <c r="J885">
        <v>668</v>
      </c>
    </row>
    <row r="886" spans="1:10" x14ac:dyDescent="0.35">
      <c r="A886">
        <v>885</v>
      </c>
      <c r="B886" t="s">
        <v>239</v>
      </c>
      <c r="C886" t="s">
        <v>156</v>
      </c>
      <c r="D886" t="s">
        <v>172</v>
      </c>
      <c r="E886" s="1">
        <v>91827</v>
      </c>
      <c r="F886" s="1">
        <v>474315</v>
      </c>
      <c r="G886">
        <v>393</v>
      </c>
      <c r="H886">
        <v>1</v>
      </c>
      <c r="I886" s="1">
        <f>fact[[#This Row],[units_sold]]*fact[[#This Row],[price_usd]]</f>
        <v>82276992</v>
      </c>
      <c r="J886">
        <v>896</v>
      </c>
    </row>
    <row r="887" spans="1:10" x14ac:dyDescent="0.35">
      <c r="A887">
        <v>886</v>
      </c>
      <c r="B887" t="s">
        <v>239</v>
      </c>
      <c r="C887" t="s">
        <v>159</v>
      </c>
      <c r="D887" t="s">
        <v>169</v>
      </c>
      <c r="E887" s="1">
        <v>113812</v>
      </c>
      <c r="F887" s="1">
        <v>300449</v>
      </c>
      <c r="G887">
        <v>146</v>
      </c>
      <c r="H887">
        <v>7</v>
      </c>
      <c r="I887" s="1">
        <f>fact[[#This Row],[units_sold]]*fact[[#This Row],[price_usd]]</f>
        <v>64872840</v>
      </c>
      <c r="J887">
        <v>570</v>
      </c>
    </row>
    <row r="888" spans="1:10" x14ac:dyDescent="0.35">
      <c r="A888">
        <v>887</v>
      </c>
      <c r="B888" t="s">
        <v>239</v>
      </c>
      <c r="C888" t="s">
        <v>155</v>
      </c>
      <c r="D888" t="s">
        <v>165</v>
      </c>
      <c r="E888" s="1">
        <v>105456</v>
      </c>
      <c r="F888" s="1">
        <v>261027</v>
      </c>
      <c r="G888">
        <v>397</v>
      </c>
      <c r="H888">
        <v>4</v>
      </c>
      <c r="I888" s="1">
        <f>fact[[#This Row],[units_sold]]*fact[[#This Row],[price_usd]]</f>
        <v>119165280</v>
      </c>
      <c r="J888">
        <v>1130</v>
      </c>
    </row>
    <row r="889" spans="1:10" x14ac:dyDescent="0.35">
      <c r="A889">
        <v>888</v>
      </c>
      <c r="B889" t="s">
        <v>249</v>
      </c>
      <c r="C889" t="s">
        <v>65</v>
      </c>
      <c r="D889" t="s">
        <v>171</v>
      </c>
      <c r="E889" s="1">
        <v>59495</v>
      </c>
      <c r="F889" s="1">
        <v>430350</v>
      </c>
      <c r="G889">
        <v>103</v>
      </c>
      <c r="H889">
        <v>10</v>
      </c>
      <c r="I889" s="1">
        <f>fact[[#This Row],[units_sold]]*fact[[#This Row],[price_usd]]</f>
        <v>25285375</v>
      </c>
      <c r="J889">
        <v>425</v>
      </c>
    </row>
    <row r="890" spans="1:10" x14ac:dyDescent="0.35">
      <c r="A890">
        <v>889</v>
      </c>
      <c r="B890" t="s">
        <v>249</v>
      </c>
      <c r="C890" t="s">
        <v>74</v>
      </c>
      <c r="D890" t="s">
        <v>167</v>
      </c>
      <c r="E890" s="1">
        <v>58345</v>
      </c>
      <c r="F890" s="1">
        <v>433015</v>
      </c>
      <c r="G890">
        <v>145</v>
      </c>
      <c r="H890">
        <v>8</v>
      </c>
      <c r="I890" s="1">
        <f>fact[[#This Row],[units_sold]]*fact[[#This Row],[price_usd]]</f>
        <v>19487230</v>
      </c>
      <c r="J890">
        <v>334</v>
      </c>
    </row>
    <row r="891" spans="1:10" x14ac:dyDescent="0.35">
      <c r="A891">
        <v>890</v>
      </c>
      <c r="B891" t="s">
        <v>249</v>
      </c>
      <c r="C891" t="s">
        <v>101</v>
      </c>
      <c r="D891" t="s">
        <v>168</v>
      </c>
      <c r="E891" s="1">
        <v>108717</v>
      </c>
      <c r="F891" s="1">
        <v>115184</v>
      </c>
      <c r="G891">
        <v>256</v>
      </c>
      <c r="H891">
        <v>4</v>
      </c>
      <c r="I891" s="1">
        <f>fact[[#This Row],[units_sold]]*fact[[#This Row],[price_usd]]</f>
        <v>57620010</v>
      </c>
      <c r="J891">
        <v>530</v>
      </c>
    </row>
    <row r="892" spans="1:10" x14ac:dyDescent="0.35">
      <c r="A892">
        <v>891</v>
      </c>
      <c r="B892" t="s">
        <v>249</v>
      </c>
      <c r="C892" t="s">
        <v>143</v>
      </c>
      <c r="D892" t="s">
        <v>170</v>
      </c>
      <c r="E892" s="1">
        <v>97287</v>
      </c>
      <c r="F892" s="1">
        <v>227170</v>
      </c>
      <c r="G892">
        <v>396</v>
      </c>
      <c r="H892">
        <v>2</v>
      </c>
      <c r="I892" s="1">
        <f>fact[[#This Row],[units_sold]]*fact[[#This Row],[price_usd]]</f>
        <v>93687381</v>
      </c>
      <c r="J892">
        <v>963</v>
      </c>
    </row>
    <row r="893" spans="1:10" x14ac:dyDescent="0.35">
      <c r="A893">
        <v>892</v>
      </c>
      <c r="B893" t="s">
        <v>249</v>
      </c>
      <c r="C893" t="s">
        <v>143</v>
      </c>
      <c r="D893" t="s">
        <v>167</v>
      </c>
      <c r="E893" s="1">
        <v>78601</v>
      </c>
      <c r="F893" s="1">
        <v>488988</v>
      </c>
      <c r="G893">
        <v>235</v>
      </c>
      <c r="H893">
        <v>9</v>
      </c>
      <c r="I893" s="1">
        <f>fact[[#This Row],[units_sold]]*fact[[#This Row],[price_usd]]</f>
        <v>63666810</v>
      </c>
      <c r="J893">
        <v>810</v>
      </c>
    </row>
    <row r="894" spans="1:10" x14ac:dyDescent="0.35">
      <c r="A894">
        <v>893</v>
      </c>
      <c r="B894" t="s">
        <v>249</v>
      </c>
      <c r="C894" t="s">
        <v>156</v>
      </c>
      <c r="D894" t="s">
        <v>167</v>
      </c>
      <c r="E894" s="1">
        <v>55651</v>
      </c>
      <c r="F894" s="1">
        <v>105390</v>
      </c>
      <c r="G894">
        <v>130</v>
      </c>
      <c r="H894">
        <v>8</v>
      </c>
      <c r="I894" s="1">
        <f>fact[[#This Row],[units_sold]]*fact[[#This Row],[price_usd]]</f>
        <v>28437661</v>
      </c>
      <c r="J894">
        <v>511</v>
      </c>
    </row>
    <row r="895" spans="1:10" x14ac:dyDescent="0.35">
      <c r="A895">
        <v>894</v>
      </c>
      <c r="B895" t="s">
        <v>286</v>
      </c>
      <c r="C895" t="s">
        <v>89</v>
      </c>
      <c r="D895" t="s">
        <v>167</v>
      </c>
      <c r="E895" s="1">
        <v>86415</v>
      </c>
      <c r="F895" s="1">
        <v>378082</v>
      </c>
      <c r="G895">
        <v>291</v>
      </c>
      <c r="H895">
        <v>4</v>
      </c>
      <c r="I895" s="1">
        <f>fact[[#This Row],[units_sold]]*fact[[#This Row],[price_usd]]</f>
        <v>57552390</v>
      </c>
      <c r="J895">
        <v>666</v>
      </c>
    </row>
    <row r="896" spans="1:10" x14ac:dyDescent="0.35">
      <c r="A896">
        <v>895</v>
      </c>
      <c r="B896" t="s">
        <v>286</v>
      </c>
      <c r="C896" t="s">
        <v>89</v>
      </c>
      <c r="D896" t="s">
        <v>169</v>
      </c>
      <c r="E896" s="1">
        <v>78880</v>
      </c>
      <c r="F896" s="1">
        <v>189133</v>
      </c>
      <c r="G896">
        <v>356</v>
      </c>
      <c r="H896">
        <v>7</v>
      </c>
      <c r="I896" s="1">
        <f>fact[[#This Row],[units_sold]]*fact[[#This Row],[price_usd]]</f>
        <v>88503360</v>
      </c>
      <c r="J896">
        <v>1122</v>
      </c>
    </row>
    <row r="897" spans="1:10" x14ac:dyDescent="0.35">
      <c r="A897">
        <v>896</v>
      </c>
      <c r="B897" t="s">
        <v>286</v>
      </c>
      <c r="C897" t="s">
        <v>101</v>
      </c>
      <c r="D897" t="s">
        <v>171</v>
      </c>
      <c r="E897" s="1">
        <v>80201</v>
      </c>
      <c r="F897" s="1">
        <v>207699</v>
      </c>
      <c r="G897">
        <v>77</v>
      </c>
      <c r="H897">
        <v>9</v>
      </c>
      <c r="I897" s="1">
        <f>fact[[#This Row],[units_sold]]*fact[[#This Row],[price_usd]]</f>
        <v>42105525</v>
      </c>
      <c r="J897">
        <v>525</v>
      </c>
    </row>
    <row r="898" spans="1:10" x14ac:dyDescent="0.35">
      <c r="A898">
        <v>897</v>
      </c>
      <c r="B898" t="s">
        <v>286</v>
      </c>
      <c r="C898" t="s">
        <v>99</v>
      </c>
      <c r="D898" t="s">
        <v>168</v>
      </c>
      <c r="E898" s="1">
        <v>63132</v>
      </c>
      <c r="F898" s="1">
        <v>327267</v>
      </c>
      <c r="G898">
        <v>26</v>
      </c>
      <c r="H898">
        <v>1</v>
      </c>
      <c r="I898" s="1">
        <f>fact[[#This Row],[units_sold]]*fact[[#This Row],[price_usd]]</f>
        <v>16856244</v>
      </c>
      <c r="J898">
        <v>267</v>
      </c>
    </row>
    <row r="899" spans="1:10" x14ac:dyDescent="0.35">
      <c r="A899">
        <v>898</v>
      </c>
      <c r="B899" t="s">
        <v>286</v>
      </c>
      <c r="C899" t="s">
        <v>103</v>
      </c>
      <c r="D899" t="s">
        <v>168</v>
      </c>
      <c r="E899" s="1">
        <v>91754</v>
      </c>
      <c r="F899" s="1">
        <v>207255</v>
      </c>
      <c r="G899">
        <v>170</v>
      </c>
      <c r="H899">
        <v>1</v>
      </c>
      <c r="I899" s="1">
        <f>fact[[#This Row],[units_sold]]*fact[[#This Row],[price_usd]]</f>
        <v>62667982</v>
      </c>
      <c r="J899">
        <v>683</v>
      </c>
    </row>
    <row r="900" spans="1:10" x14ac:dyDescent="0.35">
      <c r="A900">
        <v>899</v>
      </c>
      <c r="B900" t="s">
        <v>286</v>
      </c>
      <c r="C900" t="s">
        <v>100</v>
      </c>
      <c r="D900" t="s">
        <v>169</v>
      </c>
      <c r="E900" s="1">
        <v>104101</v>
      </c>
      <c r="F900" s="1">
        <v>375893</v>
      </c>
      <c r="G900">
        <v>291</v>
      </c>
      <c r="H900">
        <v>10</v>
      </c>
      <c r="I900" s="1">
        <f>fact[[#This Row],[units_sold]]*fact[[#This Row],[price_usd]]</f>
        <v>75681427</v>
      </c>
      <c r="J900">
        <v>727</v>
      </c>
    </row>
    <row r="901" spans="1:10" x14ac:dyDescent="0.35">
      <c r="A901">
        <v>900</v>
      </c>
      <c r="B901" t="s">
        <v>286</v>
      </c>
      <c r="C901" t="s">
        <v>130</v>
      </c>
      <c r="D901" t="s">
        <v>173</v>
      </c>
      <c r="E901" s="1">
        <v>94251</v>
      </c>
      <c r="F901" s="1">
        <v>327342</v>
      </c>
      <c r="G901">
        <v>34</v>
      </c>
      <c r="H901">
        <v>5</v>
      </c>
      <c r="I901" s="1">
        <f>fact[[#This Row],[units_sold]]*fact[[#This Row],[price_usd]]</f>
        <v>42507201</v>
      </c>
      <c r="J901">
        <v>451</v>
      </c>
    </row>
    <row r="902" spans="1:10" x14ac:dyDescent="0.35">
      <c r="A902">
        <v>901</v>
      </c>
      <c r="B902" t="s">
        <v>286</v>
      </c>
      <c r="C902" t="s">
        <v>146</v>
      </c>
      <c r="D902" t="s">
        <v>32</v>
      </c>
      <c r="E902" s="1">
        <v>68367</v>
      </c>
      <c r="F902" s="1">
        <v>422050</v>
      </c>
      <c r="G902">
        <v>100</v>
      </c>
      <c r="H902">
        <v>9</v>
      </c>
      <c r="I902" s="1">
        <f>fact[[#This Row],[units_sold]]*fact[[#This Row],[price_usd]]</f>
        <v>39379392</v>
      </c>
      <c r="J902">
        <v>576</v>
      </c>
    </row>
    <row r="903" spans="1:10" x14ac:dyDescent="0.35">
      <c r="A903">
        <v>902</v>
      </c>
      <c r="B903" t="s">
        <v>255</v>
      </c>
      <c r="C903" t="s">
        <v>52</v>
      </c>
      <c r="D903" t="s">
        <v>168</v>
      </c>
      <c r="E903" s="1">
        <v>77814</v>
      </c>
      <c r="F903" s="1">
        <v>454427</v>
      </c>
      <c r="G903">
        <v>99</v>
      </c>
      <c r="H903">
        <v>7</v>
      </c>
      <c r="I903" s="1">
        <f>fact[[#This Row],[units_sold]]*fact[[#This Row],[price_usd]]</f>
        <v>38751372</v>
      </c>
      <c r="J903">
        <v>498</v>
      </c>
    </row>
    <row r="904" spans="1:10" x14ac:dyDescent="0.35">
      <c r="A904">
        <v>903</v>
      </c>
      <c r="B904" t="s">
        <v>255</v>
      </c>
      <c r="C904" t="s">
        <v>54</v>
      </c>
      <c r="D904" t="s">
        <v>168</v>
      </c>
      <c r="E904" s="1">
        <v>119431</v>
      </c>
      <c r="F904" s="1">
        <v>473502</v>
      </c>
      <c r="G904">
        <v>56</v>
      </c>
      <c r="H904">
        <v>7</v>
      </c>
      <c r="I904" s="1">
        <f>fact[[#This Row],[units_sold]]*fact[[#This Row],[price_usd]]</f>
        <v>51713623</v>
      </c>
      <c r="J904">
        <v>433</v>
      </c>
    </row>
    <row r="905" spans="1:10" x14ac:dyDescent="0.35">
      <c r="A905">
        <v>904</v>
      </c>
      <c r="B905" t="s">
        <v>255</v>
      </c>
      <c r="C905" t="s">
        <v>60</v>
      </c>
      <c r="D905" t="s">
        <v>172</v>
      </c>
      <c r="E905" s="1">
        <v>102163</v>
      </c>
      <c r="F905" s="1">
        <v>163768</v>
      </c>
      <c r="G905">
        <v>146</v>
      </c>
      <c r="H905">
        <v>2</v>
      </c>
      <c r="I905" s="1">
        <f>fact[[#This Row],[units_sold]]*fact[[#This Row],[price_usd]]</f>
        <v>56802628</v>
      </c>
      <c r="J905">
        <v>556</v>
      </c>
    </row>
    <row r="906" spans="1:10" x14ac:dyDescent="0.35">
      <c r="A906">
        <v>905</v>
      </c>
      <c r="B906" t="s">
        <v>255</v>
      </c>
      <c r="C906" t="s">
        <v>72</v>
      </c>
      <c r="D906" t="s">
        <v>32</v>
      </c>
      <c r="E906" s="1">
        <v>59846</v>
      </c>
      <c r="F906" s="1">
        <v>134523</v>
      </c>
      <c r="G906">
        <v>34</v>
      </c>
      <c r="H906">
        <v>7</v>
      </c>
      <c r="I906" s="1">
        <f>fact[[#This Row],[units_sold]]*fact[[#This Row],[price_usd]]</f>
        <v>20407486</v>
      </c>
      <c r="J906">
        <v>341</v>
      </c>
    </row>
    <row r="907" spans="1:10" x14ac:dyDescent="0.35">
      <c r="A907">
        <v>906</v>
      </c>
      <c r="B907" t="s">
        <v>255</v>
      </c>
      <c r="C907" t="s">
        <v>74</v>
      </c>
      <c r="D907" t="s">
        <v>171</v>
      </c>
      <c r="E907" s="1">
        <v>86322</v>
      </c>
      <c r="F907" s="1">
        <v>349850</v>
      </c>
      <c r="G907">
        <v>342</v>
      </c>
      <c r="H907">
        <v>7</v>
      </c>
      <c r="I907" s="1">
        <f>fact[[#This Row],[units_sold]]*fact[[#This Row],[price_usd]]</f>
        <v>60857010</v>
      </c>
      <c r="J907">
        <v>705</v>
      </c>
    </row>
    <row r="908" spans="1:10" x14ac:dyDescent="0.35">
      <c r="A908">
        <v>907</v>
      </c>
      <c r="B908" t="s">
        <v>255</v>
      </c>
      <c r="C908" t="s">
        <v>83</v>
      </c>
      <c r="D908" t="s">
        <v>169</v>
      </c>
      <c r="E908" s="1">
        <v>39567</v>
      </c>
      <c r="F908" s="1">
        <v>223979</v>
      </c>
      <c r="G908">
        <v>47</v>
      </c>
      <c r="H908">
        <v>9</v>
      </c>
      <c r="I908" s="1">
        <f>fact[[#This Row],[units_sold]]*fact[[#This Row],[price_usd]]</f>
        <v>4866741</v>
      </c>
      <c r="J908">
        <v>123</v>
      </c>
    </row>
    <row r="909" spans="1:10" x14ac:dyDescent="0.35">
      <c r="A909">
        <v>908</v>
      </c>
      <c r="B909" t="s">
        <v>255</v>
      </c>
      <c r="C909" t="s">
        <v>106</v>
      </c>
      <c r="D909" t="s">
        <v>172</v>
      </c>
      <c r="E909" s="1">
        <v>117203</v>
      </c>
      <c r="F909" s="1">
        <v>116381</v>
      </c>
      <c r="G909">
        <v>347</v>
      </c>
      <c r="H909">
        <v>6</v>
      </c>
      <c r="I909" s="1">
        <f>fact[[#This Row],[units_sold]]*fact[[#This Row],[price_usd]]</f>
        <v>108529978</v>
      </c>
      <c r="J909">
        <v>926</v>
      </c>
    </row>
    <row r="910" spans="1:10" x14ac:dyDescent="0.35">
      <c r="A910">
        <v>909</v>
      </c>
      <c r="B910" t="s">
        <v>255</v>
      </c>
      <c r="C910" t="s">
        <v>145</v>
      </c>
      <c r="D910" t="s">
        <v>167</v>
      </c>
      <c r="E910" s="1">
        <v>84630</v>
      </c>
      <c r="F910" s="1">
        <v>448167</v>
      </c>
      <c r="G910">
        <v>308</v>
      </c>
      <c r="H910">
        <v>9</v>
      </c>
      <c r="I910" s="1">
        <f>fact[[#This Row],[units_sold]]*fact[[#This Row],[price_usd]]</f>
        <v>72951060</v>
      </c>
      <c r="J910">
        <v>862</v>
      </c>
    </row>
    <row r="911" spans="1:10" x14ac:dyDescent="0.35">
      <c r="A911">
        <v>910</v>
      </c>
      <c r="B911" t="s">
        <v>255</v>
      </c>
      <c r="C911" t="s">
        <v>151</v>
      </c>
      <c r="D911" t="s">
        <v>165</v>
      </c>
      <c r="E911" s="1">
        <v>91207</v>
      </c>
      <c r="F911" s="1">
        <v>163012</v>
      </c>
      <c r="G911">
        <v>353</v>
      </c>
      <c r="H911">
        <v>4</v>
      </c>
      <c r="I911" s="1">
        <f>fact[[#This Row],[units_sold]]*fact[[#This Row],[price_usd]]</f>
        <v>74880947</v>
      </c>
      <c r="J911">
        <v>821</v>
      </c>
    </row>
    <row r="912" spans="1:10" x14ac:dyDescent="0.35">
      <c r="A912">
        <v>911</v>
      </c>
      <c r="B912" t="s">
        <v>255</v>
      </c>
      <c r="C912" t="s">
        <v>161</v>
      </c>
      <c r="D912" t="s">
        <v>171</v>
      </c>
      <c r="E912" s="1">
        <v>46695</v>
      </c>
      <c r="F912" s="1">
        <v>438333</v>
      </c>
      <c r="G912">
        <v>139</v>
      </c>
      <c r="H912">
        <v>10</v>
      </c>
      <c r="I912" s="1">
        <f>fact[[#This Row],[units_sold]]*fact[[#This Row],[price_usd]]</f>
        <v>14662230</v>
      </c>
      <c r="J912">
        <v>314</v>
      </c>
    </row>
    <row r="913" spans="1:10" x14ac:dyDescent="0.35">
      <c r="A913">
        <v>912</v>
      </c>
      <c r="B913" t="s">
        <v>183</v>
      </c>
      <c r="C913" t="s">
        <v>47</v>
      </c>
      <c r="D913" t="s">
        <v>170</v>
      </c>
      <c r="E913" s="1">
        <v>101972</v>
      </c>
      <c r="F913" s="1">
        <v>445460</v>
      </c>
      <c r="G913">
        <v>350</v>
      </c>
      <c r="H913">
        <v>5</v>
      </c>
      <c r="I913" s="1">
        <f>fact[[#This Row],[units_sold]]*fact[[#This Row],[price_usd]]</f>
        <v>79538160</v>
      </c>
      <c r="J913">
        <v>780</v>
      </c>
    </row>
    <row r="914" spans="1:10" x14ac:dyDescent="0.35">
      <c r="A914">
        <v>913</v>
      </c>
      <c r="B914" t="s">
        <v>183</v>
      </c>
      <c r="C914" t="s">
        <v>46</v>
      </c>
      <c r="D914" t="s">
        <v>171</v>
      </c>
      <c r="E914" s="1">
        <v>38729</v>
      </c>
      <c r="F914" s="1">
        <v>271439</v>
      </c>
      <c r="G914">
        <v>84</v>
      </c>
      <c r="H914">
        <v>3</v>
      </c>
      <c r="I914" s="1">
        <f>fact[[#This Row],[units_sold]]*fact[[#This Row],[price_usd]]</f>
        <v>9953353</v>
      </c>
      <c r="J914">
        <v>257</v>
      </c>
    </row>
    <row r="915" spans="1:10" x14ac:dyDescent="0.35">
      <c r="A915">
        <v>914</v>
      </c>
      <c r="B915" t="s">
        <v>183</v>
      </c>
      <c r="C915" t="s">
        <v>54</v>
      </c>
      <c r="D915" t="s">
        <v>173</v>
      </c>
      <c r="E915" s="1">
        <v>105610</v>
      </c>
      <c r="F915" s="1">
        <v>230388</v>
      </c>
      <c r="G915">
        <v>362</v>
      </c>
      <c r="H915">
        <v>10</v>
      </c>
      <c r="I915" s="1">
        <f>fact[[#This Row],[units_sold]]*fact[[#This Row],[price_usd]]</f>
        <v>107933420</v>
      </c>
      <c r="J915">
        <v>1022</v>
      </c>
    </row>
    <row r="916" spans="1:10" x14ac:dyDescent="0.35">
      <c r="A916">
        <v>915</v>
      </c>
      <c r="B916" t="s">
        <v>183</v>
      </c>
      <c r="C916" t="s">
        <v>56</v>
      </c>
      <c r="D916" t="s">
        <v>166</v>
      </c>
      <c r="E916" s="1">
        <v>36515</v>
      </c>
      <c r="F916" s="1">
        <v>262369</v>
      </c>
      <c r="G916">
        <v>48</v>
      </c>
      <c r="H916">
        <v>2</v>
      </c>
      <c r="I916" s="1">
        <f>fact[[#This Row],[units_sold]]*fact[[#This Row],[price_usd]]</f>
        <v>17308110</v>
      </c>
      <c r="J916">
        <v>474</v>
      </c>
    </row>
    <row r="917" spans="1:10" x14ac:dyDescent="0.35">
      <c r="A917">
        <v>916</v>
      </c>
      <c r="B917" t="s">
        <v>183</v>
      </c>
      <c r="C917" t="s">
        <v>75</v>
      </c>
      <c r="D917" t="s">
        <v>169</v>
      </c>
      <c r="E917" s="1">
        <v>67363</v>
      </c>
      <c r="F917" s="1">
        <v>53880</v>
      </c>
      <c r="G917">
        <v>269</v>
      </c>
      <c r="H917">
        <v>7</v>
      </c>
      <c r="I917" s="1">
        <f>fact[[#This Row],[units_sold]]*fact[[#This Row],[price_usd]]</f>
        <v>40889341</v>
      </c>
      <c r="J917">
        <v>607</v>
      </c>
    </row>
    <row r="918" spans="1:10" x14ac:dyDescent="0.35">
      <c r="A918">
        <v>917</v>
      </c>
      <c r="B918" t="s">
        <v>183</v>
      </c>
      <c r="C918" t="s">
        <v>113</v>
      </c>
      <c r="D918" t="s">
        <v>169</v>
      </c>
      <c r="E918" s="1">
        <v>59594</v>
      </c>
      <c r="F918" s="1">
        <v>456965</v>
      </c>
      <c r="G918">
        <v>82</v>
      </c>
      <c r="H918">
        <v>1</v>
      </c>
      <c r="I918" s="1">
        <f>fact[[#This Row],[units_sold]]*fact[[#This Row],[price_usd]]</f>
        <v>17163072</v>
      </c>
      <c r="J918">
        <v>288</v>
      </c>
    </row>
    <row r="919" spans="1:10" x14ac:dyDescent="0.35">
      <c r="A919">
        <v>918</v>
      </c>
      <c r="B919" t="s">
        <v>183</v>
      </c>
      <c r="C919" t="s">
        <v>114</v>
      </c>
      <c r="D919" t="s">
        <v>171</v>
      </c>
      <c r="E919" s="1">
        <v>58283</v>
      </c>
      <c r="F919" s="1">
        <v>396479</v>
      </c>
      <c r="G919">
        <v>135</v>
      </c>
      <c r="H919">
        <v>6</v>
      </c>
      <c r="I919" s="1">
        <f>fact[[#This Row],[units_sold]]*fact[[#This Row],[price_usd]]</f>
        <v>20690465</v>
      </c>
      <c r="J919">
        <v>355</v>
      </c>
    </row>
    <row r="920" spans="1:10" x14ac:dyDescent="0.35">
      <c r="A920">
        <v>919</v>
      </c>
      <c r="B920" t="s">
        <v>183</v>
      </c>
      <c r="C920" t="s">
        <v>107</v>
      </c>
      <c r="D920" t="s">
        <v>171</v>
      </c>
      <c r="E920" s="1">
        <v>113282</v>
      </c>
      <c r="F920" s="1">
        <v>363732</v>
      </c>
      <c r="G920">
        <v>393</v>
      </c>
      <c r="H920">
        <v>1</v>
      </c>
      <c r="I920" s="1">
        <f>fact[[#This Row],[units_sold]]*fact[[#This Row],[price_usd]]</f>
        <v>127895378</v>
      </c>
      <c r="J920">
        <v>1129</v>
      </c>
    </row>
    <row r="921" spans="1:10" x14ac:dyDescent="0.35">
      <c r="A921">
        <v>920</v>
      </c>
      <c r="B921" t="s">
        <v>183</v>
      </c>
      <c r="C921" t="s">
        <v>124</v>
      </c>
      <c r="D921" t="s">
        <v>169</v>
      </c>
      <c r="E921" s="1">
        <v>79306</v>
      </c>
      <c r="F921" s="1">
        <v>317956</v>
      </c>
      <c r="G921">
        <v>220</v>
      </c>
      <c r="H921">
        <v>9</v>
      </c>
      <c r="I921" s="1">
        <f>fact[[#This Row],[units_sold]]*fact[[#This Row],[price_usd]]</f>
        <v>41635650</v>
      </c>
      <c r="J921">
        <v>525</v>
      </c>
    </row>
    <row r="922" spans="1:10" x14ac:dyDescent="0.35">
      <c r="A922">
        <v>921</v>
      </c>
      <c r="B922" t="s">
        <v>183</v>
      </c>
      <c r="C922" t="s">
        <v>145</v>
      </c>
      <c r="D922" t="s">
        <v>169</v>
      </c>
      <c r="E922" s="1">
        <v>100431</v>
      </c>
      <c r="F922" s="1">
        <v>225993</v>
      </c>
      <c r="G922">
        <v>255</v>
      </c>
      <c r="H922">
        <v>2</v>
      </c>
      <c r="I922" s="1">
        <f>fact[[#This Row],[units_sold]]*fact[[#This Row],[price_usd]]</f>
        <v>64878426</v>
      </c>
      <c r="J922">
        <v>646</v>
      </c>
    </row>
    <row r="923" spans="1:10" x14ac:dyDescent="0.35">
      <c r="A923">
        <v>922</v>
      </c>
      <c r="B923" t="s">
        <v>289</v>
      </c>
      <c r="C923" t="s">
        <v>62</v>
      </c>
      <c r="D923" t="s">
        <v>171</v>
      </c>
      <c r="E923" s="1">
        <v>49175</v>
      </c>
      <c r="F923" s="1">
        <v>304817</v>
      </c>
      <c r="G923">
        <v>264</v>
      </c>
      <c r="H923">
        <v>6</v>
      </c>
      <c r="I923" s="1">
        <f>fact[[#This Row],[units_sold]]*fact[[#This Row],[price_usd]]</f>
        <v>45142650</v>
      </c>
      <c r="J923">
        <v>918</v>
      </c>
    </row>
    <row r="924" spans="1:10" x14ac:dyDescent="0.35">
      <c r="A924">
        <v>923</v>
      </c>
      <c r="B924" t="s">
        <v>289</v>
      </c>
      <c r="C924" t="s">
        <v>71</v>
      </c>
      <c r="D924" t="s">
        <v>171</v>
      </c>
      <c r="E924" s="1">
        <v>39837</v>
      </c>
      <c r="F924" s="1">
        <v>233500</v>
      </c>
      <c r="G924">
        <v>48</v>
      </c>
      <c r="H924">
        <v>6</v>
      </c>
      <c r="I924" s="1">
        <f>fact[[#This Row],[units_sold]]*fact[[#This Row],[price_usd]]</f>
        <v>17090073</v>
      </c>
      <c r="J924">
        <v>429</v>
      </c>
    </row>
    <row r="925" spans="1:10" x14ac:dyDescent="0.35">
      <c r="A925">
        <v>924</v>
      </c>
      <c r="B925" t="s">
        <v>289</v>
      </c>
      <c r="C925" t="s">
        <v>77</v>
      </c>
      <c r="D925" t="s">
        <v>166</v>
      </c>
      <c r="E925" s="1">
        <v>102087</v>
      </c>
      <c r="F925" s="1">
        <v>285943</v>
      </c>
      <c r="G925">
        <v>94</v>
      </c>
      <c r="H925">
        <v>9</v>
      </c>
      <c r="I925" s="1">
        <f>fact[[#This Row],[units_sold]]*fact[[#This Row],[price_usd]]</f>
        <v>26134272</v>
      </c>
      <c r="J925">
        <v>256</v>
      </c>
    </row>
    <row r="926" spans="1:10" x14ac:dyDescent="0.35">
      <c r="A926">
        <v>925</v>
      </c>
      <c r="B926" t="s">
        <v>289</v>
      </c>
      <c r="C926" t="s">
        <v>115</v>
      </c>
      <c r="D926" t="s">
        <v>32</v>
      </c>
      <c r="E926" s="1">
        <v>98143</v>
      </c>
      <c r="F926" s="1">
        <v>204062</v>
      </c>
      <c r="G926">
        <v>86</v>
      </c>
      <c r="H926">
        <v>8</v>
      </c>
      <c r="I926" s="1">
        <f>fact[[#This Row],[units_sold]]*fact[[#This Row],[price_usd]]</f>
        <v>45930924</v>
      </c>
      <c r="J926">
        <v>468</v>
      </c>
    </row>
    <row r="927" spans="1:10" x14ac:dyDescent="0.35">
      <c r="A927">
        <v>926</v>
      </c>
      <c r="B927" t="s">
        <v>289</v>
      </c>
      <c r="C927" t="s">
        <v>126</v>
      </c>
      <c r="D927" t="s">
        <v>172</v>
      </c>
      <c r="E927" s="1">
        <v>44873</v>
      </c>
      <c r="F927" s="1">
        <v>444051</v>
      </c>
      <c r="G927">
        <v>190</v>
      </c>
      <c r="H927">
        <v>3</v>
      </c>
      <c r="I927" s="1">
        <f>fact[[#This Row],[units_sold]]*fact[[#This Row],[price_usd]]</f>
        <v>36122765</v>
      </c>
      <c r="J927">
        <v>805</v>
      </c>
    </row>
    <row r="928" spans="1:10" x14ac:dyDescent="0.35">
      <c r="A928">
        <v>927</v>
      </c>
      <c r="B928" t="s">
        <v>289</v>
      </c>
      <c r="C928" t="s">
        <v>134</v>
      </c>
      <c r="D928" t="s">
        <v>32</v>
      </c>
      <c r="E928" s="1">
        <v>112242</v>
      </c>
      <c r="F928" s="1">
        <v>490041</v>
      </c>
      <c r="G928">
        <v>340</v>
      </c>
      <c r="H928">
        <v>9</v>
      </c>
      <c r="I928" s="1">
        <f>fact[[#This Row],[units_sold]]*fact[[#This Row],[price_usd]]</f>
        <v>100344348</v>
      </c>
      <c r="J928">
        <v>894</v>
      </c>
    </row>
    <row r="929" spans="1:10" x14ac:dyDescent="0.35">
      <c r="A929">
        <v>928</v>
      </c>
      <c r="B929" t="s">
        <v>289</v>
      </c>
      <c r="C929" t="s">
        <v>136</v>
      </c>
      <c r="D929" t="s">
        <v>168</v>
      </c>
      <c r="E929" s="1">
        <v>50386</v>
      </c>
      <c r="F929" s="1">
        <v>200953</v>
      </c>
      <c r="G929">
        <v>201</v>
      </c>
      <c r="H929">
        <v>8</v>
      </c>
      <c r="I929" s="1">
        <f>fact[[#This Row],[units_sold]]*fact[[#This Row],[price_usd]]</f>
        <v>41064590</v>
      </c>
      <c r="J929">
        <v>815</v>
      </c>
    </row>
    <row r="930" spans="1:10" x14ac:dyDescent="0.35">
      <c r="A930">
        <v>929</v>
      </c>
      <c r="B930" t="s">
        <v>289</v>
      </c>
      <c r="C930" t="s">
        <v>132</v>
      </c>
      <c r="D930" t="s">
        <v>169</v>
      </c>
      <c r="E930" s="1">
        <v>63610</v>
      </c>
      <c r="F930" s="1">
        <v>430214</v>
      </c>
      <c r="G930">
        <v>320</v>
      </c>
      <c r="H930">
        <v>4</v>
      </c>
      <c r="I930" s="1">
        <f>fact[[#This Row],[units_sold]]*fact[[#This Row],[price_usd]]</f>
        <v>69080460</v>
      </c>
      <c r="J930">
        <v>1086</v>
      </c>
    </row>
    <row r="931" spans="1:10" x14ac:dyDescent="0.35">
      <c r="A931">
        <v>930</v>
      </c>
      <c r="B931" t="s">
        <v>289</v>
      </c>
      <c r="C931" t="s">
        <v>147</v>
      </c>
      <c r="D931" t="s">
        <v>165</v>
      </c>
      <c r="E931" s="1">
        <v>69924</v>
      </c>
      <c r="F931" s="1">
        <v>395932</v>
      </c>
      <c r="G931">
        <v>205</v>
      </c>
      <c r="H931">
        <v>9</v>
      </c>
      <c r="I931" s="1">
        <f>fact[[#This Row],[units_sold]]*fact[[#This Row],[price_usd]]</f>
        <v>46639308</v>
      </c>
      <c r="J931">
        <v>667</v>
      </c>
    </row>
    <row r="932" spans="1:10" x14ac:dyDescent="0.35">
      <c r="A932">
        <v>931</v>
      </c>
      <c r="B932" t="s">
        <v>182</v>
      </c>
      <c r="C932" t="s">
        <v>51</v>
      </c>
      <c r="D932" t="s">
        <v>170</v>
      </c>
      <c r="E932" s="1">
        <v>48331</v>
      </c>
      <c r="F932" s="1">
        <v>75739</v>
      </c>
      <c r="G932">
        <v>56</v>
      </c>
      <c r="H932">
        <v>10</v>
      </c>
      <c r="I932" s="1">
        <f>fact[[#This Row],[units_sold]]*fact[[#This Row],[price_usd]]</f>
        <v>5171417</v>
      </c>
      <c r="J932">
        <v>107</v>
      </c>
    </row>
    <row r="933" spans="1:10" x14ac:dyDescent="0.35">
      <c r="A933">
        <v>932</v>
      </c>
      <c r="B933" t="s">
        <v>182</v>
      </c>
      <c r="C933" t="s">
        <v>96</v>
      </c>
      <c r="D933" t="s">
        <v>32</v>
      </c>
      <c r="E933" s="1">
        <v>56292</v>
      </c>
      <c r="F933" s="1">
        <v>143109</v>
      </c>
      <c r="G933">
        <v>371</v>
      </c>
      <c r="H933">
        <v>3</v>
      </c>
      <c r="I933" s="1">
        <f>fact[[#This Row],[units_sold]]*fact[[#This Row],[price_usd]]</f>
        <v>52407852</v>
      </c>
      <c r="J933">
        <v>931</v>
      </c>
    </row>
    <row r="934" spans="1:10" x14ac:dyDescent="0.35">
      <c r="A934">
        <v>933</v>
      </c>
      <c r="B934" t="s">
        <v>182</v>
      </c>
      <c r="C934" t="s">
        <v>96</v>
      </c>
      <c r="D934" t="s">
        <v>173</v>
      </c>
      <c r="E934" s="1">
        <v>86628</v>
      </c>
      <c r="F934" s="1">
        <v>53681</v>
      </c>
      <c r="G934">
        <v>320</v>
      </c>
      <c r="H934">
        <v>3</v>
      </c>
      <c r="I934" s="1">
        <f>fact[[#This Row],[units_sold]]*fact[[#This Row],[price_usd]]</f>
        <v>55268664</v>
      </c>
      <c r="J934">
        <v>638</v>
      </c>
    </row>
    <row r="935" spans="1:10" x14ac:dyDescent="0.35">
      <c r="A935">
        <v>934</v>
      </c>
      <c r="B935" t="s">
        <v>182</v>
      </c>
      <c r="C935" t="s">
        <v>103</v>
      </c>
      <c r="D935" t="s">
        <v>169</v>
      </c>
      <c r="E935" s="1">
        <v>79130</v>
      </c>
      <c r="F935" s="1">
        <v>357124</v>
      </c>
      <c r="G935">
        <v>142</v>
      </c>
      <c r="H935">
        <v>6</v>
      </c>
      <c r="I935" s="1">
        <f>fact[[#This Row],[units_sold]]*fact[[#This Row],[price_usd]]</f>
        <v>27537240</v>
      </c>
      <c r="J935">
        <v>348</v>
      </c>
    </row>
    <row r="936" spans="1:10" x14ac:dyDescent="0.35">
      <c r="A936">
        <v>935</v>
      </c>
      <c r="B936" t="s">
        <v>182</v>
      </c>
      <c r="C936" t="s">
        <v>110</v>
      </c>
      <c r="D936" t="s">
        <v>166</v>
      </c>
      <c r="E936" s="1">
        <v>49997</v>
      </c>
      <c r="F936" s="1">
        <v>400036</v>
      </c>
      <c r="G936">
        <v>146</v>
      </c>
      <c r="H936">
        <v>1</v>
      </c>
      <c r="I936" s="1">
        <f>fact[[#This Row],[units_sold]]*fact[[#This Row],[price_usd]]</f>
        <v>23248605</v>
      </c>
      <c r="J936">
        <v>465</v>
      </c>
    </row>
    <row r="937" spans="1:10" x14ac:dyDescent="0.35">
      <c r="A937">
        <v>936</v>
      </c>
      <c r="B937" t="s">
        <v>182</v>
      </c>
      <c r="C937" t="s">
        <v>104</v>
      </c>
      <c r="D937" t="s">
        <v>166</v>
      </c>
      <c r="E937" s="1">
        <v>35178</v>
      </c>
      <c r="F937" s="1">
        <v>196800</v>
      </c>
      <c r="G937">
        <v>238</v>
      </c>
      <c r="H937">
        <v>10</v>
      </c>
      <c r="I937" s="1">
        <f>fact[[#This Row],[units_sold]]*fact[[#This Row],[price_usd]]</f>
        <v>28318290</v>
      </c>
      <c r="J937">
        <v>805</v>
      </c>
    </row>
    <row r="938" spans="1:10" x14ac:dyDescent="0.35">
      <c r="A938">
        <v>937</v>
      </c>
      <c r="B938" t="s">
        <v>182</v>
      </c>
      <c r="C938" t="s">
        <v>124</v>
      </c>
      <c r="D938" t="s">
        <v>173</v>
      </c>
      <c r="E938" s="1">
        <v>37962</v>
      </c>
      <c r="F938" s="1">
        <v>105934</v>
      </c>
      <c r="G938">
        <v>397</v>
      </c>
      <c r="H938">
        <v>8</v>
      </c>
      <c r="I938" s="1">
        <f>fact[[#This Row],[units_sold]]*fact[[#This Row],[price_usd]]</f>
        <v>33900066</v>
      </c>
      <c r="J938">
        <v>893</v>
      </c>
    </row>
    <row r="939" spans="1:10" x14ac:dyDescent="0.35">
      <c r="A939">
        <v>938</v>
      </c>
      <c r="B939" t="s">
        <v>182</v>
      </c>
      <c r="C939" t="s">
        <v>116</v>
      </c>
      <c r="D939" t="s">
        <v>167</v>
      </c>
      <c r="E939" s="1">
        <v>90192</v>
      </c>
      <c r="F939" s="1">
        <v>260047</v>
      </c>
      <c r="G939">
        <v>287</v>
      </c>
      <c r="H939">
        <v>9</v>
      </c>
      <c r="I939" s="1">
        <f>fact[[#This Row],[units_sold]]*fact[[#This Row],[price_usd]]</f>
        <v>70710528</v>
      </c>
      <c r="J939">
        <v>784</v>
      </c>
    </row>
    <row r="940" spans="1:10" x14ac:dyDescent="0.35">
      <c r="A940">
        <v>939</v>
      </c>
      <c r="B940" t="s">
        <v>182</v>
      </c>
      <c r="C940" t="s">
        <v>135</v>
      </c>
      <c r="D940" t="s">
        <v>172</v>
      </c>
      <c r="E940" s="1">
        <v>63022</v>
      </c>
      <c r="F940" s="1">
        <v>90633</v>
      </c>
      <c r="G940">
        <v>382</v>
      </c>
      <c r="H940">
        <v>3</v>
      </c>
      <c r="I940" s="1">
        <f>fact[[#This Row],[units_sold]]*fact[[#This Row],[price_usd]]</f>
        <v>58925570</v>
      </c>
      <c r="J940">
        <v>935</v>
      </c>
    </row>
    <row r="941" spans="1:10" x14ac:dyDescent="0.35">
      <c r="A941">
        <v>940</v>
      </c>
      <c r="B941" t="s">
        <v>182</v>
      </c>
      <c r="C941" t="s">
        <v>133</v>
      </c>
      <c r="D941" t="s">
        <v>166</v>
      </c>
      <c r="E941" s="1">
        <v>88364</v>
      </c>
      <c r="F941" s="1">
        <v>311176</v>
      </c>
      <c r="G941">
        <v>132</v>
      </c>
      <c r="H941">
        <v>3</v>
      </c>
      <c r="I941" s="1">
        <f>fact[[#This Row],[units_sold]]*fact[[#This Row],[price_usd]]</f>
        <v>36317604</v>
      </c>
      <c r="J941">
        <v>411</v>
      </c>
    </row>
    <row r="942" spans="1:10" x14ac:dyDescent="0.35">
      <c r="A942">
        <v>941</v>
      </c>
      <c r="B942" t="s">
        <v>182</v>
      </c>
      <c r="C942" t="s">
        <v>152</v>
      </c>
      <c r="D942" t="s">
        <v>32</v>
      </c>
      <c r="E942" s="1">
        <v>106232</v>
      </c>
      <c r="F942" s="1">
        <v>318591</v>
      </c>
      <c r="G942">
        <v>391</v>
      </c>
      <c r="H942">
        <v>3</v>
      </c>
      <c r="I942" s="1">
        <f>fact[[#This Row],[units_sold]]*fact[[#This Row],[price_usd]]</f>
        <v>106338232</v>
      </c>
      <c r="J942">
        <v>1001</v>
      </c>
    </row>
    <row r="943" spans="1:10" x14ac:dyDescent="0.35">
      <c r="A943">
        <v>942</v>
      </c>
      <c r="B943" t="s">
        <v>182</v>
      </c>
      <c r="C943" t="s">
        <v>159</v>
      </c>
      <c r="D943" t="s">
        <v>166</v>
      </c>
      <c r="E943" s="1">
        <v>47632</v>
      </c>
      <c r="F943" s="1">
        <v>405266</v>
      </c>
      <c r="G943">
        <v>306</v>
      </c>
      <c r="H943">
        <v>10</v>
      </c>
      <c r="I943" s="1">
        <f>fact[[#This Row],[units_sold]]*fact[[#This Row],[price_usd]]</f>
        <v>45107504</v>
      </c>
      <c r="J943">
        <v>947</v>
      </c>
    </row>
    <row r="944" spans="1:10" x14ac:dyDescent="0.35">
      <c r="A944">
        <v>943</v>
      </c>
      <c r="B944" t="s">
        <v>182</v>
      </c>
      <c r="C944" t="s">
        <v>160</v>
      </c>
      <c r="D944" t="s">
        <v>168</v>
      </c>
      <c r="E944" s="1">
        <v>46360</v>
      </c>
      <c r="F944" s="1">
        <v>130674</v>
      </c>
      <c r="G944">
        <v>265</v>
      </c>
      <c r="H944">
        <v>1</v>
      </c>
      <c r="I944" s="1">
        <f>fact[[#This Row],[units_sold]]*fact[[#This Row],[price_usd]]</f>
        <v>32220200</v>
      </c>
      <c r="J944">
        <v>695</v>
      </c>
    </row>
    <row r="945" spans="1:10" x14ac:dyDescent="0.35">
      <c r="A945">
        <v>944</v>
      </c>
      <c r="B945" t="s">
        <v>256</v>
      </c>
      <c r="C945" t="s">
        <v>48</v>
      </c>
      <c r="D945" t="s">
        <v>169</v>
      </c>
      <c r="E945" s="1">
        <v>83821</v>
      </c>
      <c r="F945" s="1">
        <v>231649</v>
      </c>
      <c r="G945">
        <v>341</v>
      </c>
      <c r="H945">
        <v>2</v>
      </c>
      <c r="I945" s="1">
        <f>fact[[#This Row],[units_sold]]*fact[[#This Row],[price_usd]]</f>
        <v>74013943</v>
      </c>
      <c r="J945">
        <v>883</v>
      </c>
    </row>
    <row r="946" spans="1:10" x14ac:dyDescent="0.35">
      <c r="A946">
        <v>945</v>
      </c>
      <c r="B946" t="s">
        <v>256</v>
      </c>
      <c r="C946" t="s">
        <v>67</v>
      </c>
      <c r="D946" t="s">
        <v>166</v>
      </c>
      <c r="E946" s="1">
        <v>42354</v>
      </c>
      <c r="F946" s="1">
        <v>231089</v>
      </c>
      <c r="G946">
        <v>311</v>
      </c>
      <c r="H946">
        <v>4</v>
      </c>
      <c r="I946" s="1">
        <f>fact[[#This Row],[units_sold]]*fact[[#This Row],[price_usd]]</f>
        <v>41888106</v>
      </c>
      <c r="J946">
        <v>989</v>
      </c>
    </row>
    <row r="947" spans="1:10" x14ac:dyDescent="0.35">
      <c r="A947">
        <v>946</v>
      </c>
      <c r="B947" t="s">
        <v>256</v>
      </c>
      <c r="C947" t="s">
        <v>77</v>
      </c>
      <c r="D947" t="s">
        <v>168</v>
      </c>
      <c r="E947" s="1">
        <v>116720</v>
      </c>
      <c r="F947" s="1">
        <v>409014</v>
      </c>
      <c r="G947">
        <v>384</v>
      </c>
      <c r="H947">
        <v>2</v>
      </c>
      <c r="I947" s="1">
        <f>fact[[#This Row],[units_sold]]*fact[[#This Row],[price_usd]]</f>
        <v>101312960</v>
      </c>
      <c r="J947">
        <v>868</v>
      </c>
    </row>
    <row r="948" spans="1:10" x14ac:dyDescent="0.35">
      <c r="A948">
        <v>947</v>
      </c>
      <c r="B948" t="s">
        <v>256</v>
      </c>
      <c r="C948" t="s">
        <v>107</v>
      </c>
      <c r="D948" t="s">
        <v>171</v>
      </c>
      <c r="E948" s="1">
        <v>63931</v>
      </c>
      <c r="F948" s="1">
        <v>314140</v>
      </c>
      <c r="G948">
        <v>108</v>
      </c>
      <c r="H948">
        <v>4</v>
      </c>
      <c r="I948" s="1">
        <f>fact[[#This Row],[units_sold]]*fact[[#This Row],[price_usd]]</f>
        <v>19626817</v>
      </c>
      <c r="J948">
        <v>307</v>
      </c>
    </row>
    <row r="949" spans="1:10" x14ac:dyDescent="0.35">
      <c r="A949">
        <v>948</v>
      </c>
      <c r="B949" t="s">
        <v>256</v>
      </c>
      <c r="C949" t="s">
        <v>125</v>
      </c>
      <c r="D949" t="s">
        <v>170</v>
      </c>
      <c r="E949" s="1">
        <v>103694</v>
      </c>
      <c r="F949" s="1">
        <v>459861</v>
      </c>
      <c r="G949">
        <v>103</v>
      </c>
      <c r="H949">
        <v>6</v>
      </c>
      <c r="I949" s="1">
        <f>fact[[#This Row],[units_sold]]*fact[[#This Row],[price_usd]]</f>
        <v>54646738</v>
      </c>
      <c r="J949">
        <v>527</v>
      </c>
    </row>
    <row r="950" spans="1:10" x14ac:dyDescent="0.35">
      <c r="A950">
        <v>949</v>
      </c>
      <c r="B950" t="s">
        <v>256</v>
      </c>
      <c r="C950" t="s">
        <v>129</v>
      </c>
      <c r="D950" t="s">
        <v>170</v>
      </c>
      <c r="E950" s="1">
        <v>80039</v>
      </c>
      <c r="F950" s="1">
        <v>269631</v>
      </c>
      <c r="G950">
        <v>109</v>
      </c>
      <c r="H950">
        <v>10</v>
      </c>
      <c r="I950" s="1">
        <f>fact[[#This Row],[units_sold]]*fact[[#This Row],[price_usd]]</f>
        <v>43381138</v>
      </c>
      <c r="J950">
        <v>542</v>
      </c>
    </row>
    <row r="951" spans="1:10" x14ac:dyDescent="0.35">
      <c r="A951">
        <v>950</v>
      </c>
      <c r="B951" t="s">
        <v>256</v>
      </c>
      <c r="C951" t="s">
        <v>129</v>
      </c>
      <c r="D951" t="s">
        <v>32</v>
      </c>
      <c r="E951" s="1">
        <v>109797</v>
      </c>
      <c r="F951" s="1">
        <v>118369</v>
      </c>
      <c r="G951">
        <v>271</v>
      </c>
      <c r="H951">
        <v>3</v>
      </c>
      <c r="I951" s="1">
        <f>fact[[#This Row],[units_sold]]*fact[[#This Row],[price_usd]]</f>
        <v>79053840</v>
      </c>
      <c r="J951">
        <v>720</v>
      </c>
    </row>
    <row r="952" spans="1:10" x14ac:dyDescent="0.35">
      <c r="A952">
        <v>951</v>
      </c>
      <c r="B952" t="s">
        <v>287</v>
      </c>
      <c r="C952" t="s">
        <v>51</v>
      </c>
      <c r="D952" t="s">
        <v>165</v>
      </c>
      <c r="E952" s="1">
        <v>62241</v>
      </c>
      <c r="F952" s="1">
        <v>403972</v>
      </c>
      <c r="G952">
        <v>198</v>
      </c>
      <c r="H952">
        <v>8</v>
      </c>
      <c r="I952" s="1">
        <f>fact[[#This Row],[units_sold]]*fact[[#This Row],[price_usd]]</f>
        <v>31618428</v>
      </c>
      <c r="J952">
        <v>508</v>
      </c>
    </row>
    <row r="953" spans="1:10" x14ac:dyDescent="0.35">
      <c r="A953">
        <v>952</v>
      </c>
      <c r="B953" t="s">
        <v>287</v>
      </c>
      <c r="C953" t="s">
        <v>63</v>
      </c>
      <c r="D953" t="s">
        <v>169</v>
      </c>
      <c r="E953" s="1">
        <v>56638</v>
      </c>
      <c r="F953" s="1">
        <v>471175</v>
      </c>
      <c r="G953">
        <v>219</v>
      </c>
      <c r="H953">
        <v>8</v>
      </c>
      <c r="I953" s="1">
        <f>fact[[#This Row],[units_sold]]*fact[[#This Row],[price_usd]]</f>
        <v>44744020</v>
      </c>
      <c r="J953">
        <v>790</v>
      </c>
    </row>
    <row r="954" spans="1:10" x14ac:dyDescent="0.35">
      <c r="A954">
        <v>953</v>
      </c>
      <c r="B954" t="s">
        <v>287</v>
      </c>
      <c r="C954" t="s">
        <v>59</v>
      </c>
      <c r="D954" t="s">
        <v>169</v>
      </c>
      <c r="E954" s="1">
        <v>41080</v>
      </c>
      <c r="F954" s="1">
        <v>348451</v>
      </c>
      <c r="G954">
        <v>328</v>
      </c>
      <c r="H954">
        <v>9</v>
      </c>
      <c r="I954" s="1">
        <f>fact[[#This Row],[units_sold]]*fact[[#This Row],[price_usd]]</f>
        <v>39724360</v>
      </c>
      <c r="J954">
        <v>967</v>
      </c>
    </row>
    <row r="955" spans="1:10" x14ac:dyDescent="0.35">
      <c r="A955">
        <v>954</v>
      </c>
      <c r="B955" t="s">
        <v>287</v>
      </c>
      <c r="C955" t="s">
        <v>76</v>
      </c>
      <c r="D955" t="s">
        <v>167</v>
      </c>
      <c r="E955" s="1">
        <v>78390</v>
      </c>
      <c r="F955" s="1">
        <v>190399</v>
      </c>
      <c r="G955">
        <v>102</v>
      </c>
      <c r="H955">
        <v>10</v>
      </c>
      <c r="I955" s="1">
        <f>fact[[#This Row],[units_sold]]*fact[[#This Row],[price_usd]]</f>
        <v>35118720</v>
      </c>
      <c r="J955">
        <v>448</v>
      </c>
    </row>
    <row r="956" spans="1:10" x14ac:dyDescent="0.35">
      <c r="A956">
        <v>955</v>
      </c>
      <c r="B956" t="s">
        <v>287</v>
      </c>
      <c r="C956" t="s">
        <v>72</v>
      </c>
      <c r="D956" t="s">
        <v>166</v>
      </c>
      <c r="E956" s="1">
        <v>37887</v>
      </c>
      <c r="F956" s="1">
        <v>201770</v>
      </c>
      <c r="G956">
        <v>194</v>
      </c>
      <c r="H956">
        <v>1</v>
      </c>
      <c r="I956" s="1">
        <f>fact[[#This Row],[units_sold]]*fact[[#This Row],[price_usd]]</f>
        <v>21633477</v>
      </c>
      <c r="J956">
        <v>571</v>
      </c>
    </row>
    <row r="957" spans="1:10" x14ac:dyDescent="0.35">
      <c r="A957">
        <v>956</v>
      </c>
      <c r="B957" t="s">
        <v>287</v>
      </c>
      <c r="C957" t="s">
        <v>91</v>
      </c>
      <c r="D957" t="s">
        <v>169</v>
      </c>
      <c r="E957" s="1">
        <v>35946</v>
      </c>
      <c r="F957" s="1">
        <v>455881</v>
      </c>
      <c r="G957">
        <v>398</v>
      </c>
      <c r="H957">
        <v>2</v>
      </c>
      <c r="I957" s="1">
        <f>fact[[#This Row],[units_sold]]*fact[[#This Row],[price_usd]]</f>
        <v>31308966</v>
      </c>
      <c r="J957">
        <v>871</v>
      </c>
    </row>
    <row r="958" spans="1:10" x14ac:dyDescent="0.35">
      <c r="A958">
        <v>957</v>
      </c>
      <c r="B958" t="s">
        <v>287</v>
      </c>
      <c r="C958" t="s">
        <v>99</v>
      </c>
      <c r="D958" t="s">
        <v>172</v>
      </c>
      <c r="E958" s="1">
        <v>73367</v>
      </c>
      <c r="F958" s="1">
        <v>462289</v>
      </c>
      <c r="G958">
        <v>215</v>
      </c>
      <c r="H958">
        <v>4</v>
      </c>
      <c r="I958" s="1">
        <f>fact[[#This Row],[units_sold]]*fact[[#This Row],[price_usd]]</f>
        <v>43726732</v>
      </c>
      <c r="J958">
        <v>596</v>
      </c>
    </row>
    <row r="959" spans="1:10" x14ac:dyDescent="0.35">
      <c r="A959">
        <v>958</v>
      </c>
      <c r="B959" t="s">
        <v>287</v>
      </c>
      <c r="C959" t="s">
        <v>133</v>
      </c>
      <c r="D959" t="s">
        <v>166</v>
      </c>
      <c r="E959" s="1">
        <v>76910</v>
      </c>
      <c r="F959" s="1">
        <v>474429</v>
      </c>
      <c r="G959">
        <v>225</v>
      </c>
      <c r="H959">
        <v>1</v>
      </c>
      <c r="I959" s="1">
        <f>fact[[#This Row],[units_sold]]*fact[[#This Row],[price_usd]]</f>
        <v>52760260</v>
      </c>
      <c r="J959">
        <v>686</v>
      </c>
    </row>
    <row r="960" spans="1:10" x14ac:dyDescent="0.35">
      <c r="A960">
        <v>959</v>
      </c>
      <c r="B960" t="s">
        <v>287</v>
      </c>
      <c r="C960" t="s">
        <v>151</v>
      </c>
      <c r="D960" t="s">
        <v>165</v>
      </c>
      <c r="E960" s="1">
        <v>76979</v>
      </c>
      <c r="F960" s="1">
        <v>267508</v>
      </c>
      <c r="G960">
        <v>310</v>
      </c>
      <c r="H960">
        <v>7</v>
      </c>
      <c r="I960" s="1">
        <f>fact[[#This Row],[units_sold]]*fact[[#This Row],[price_usd]]</f>
        <v>48496770</v>
      </c>
      <c r="J960">
        <v>630</v>
      </c>
    </row>
    <row r="961" spans="1:10" x14ac:dyDescent="0.35">
      <c r="A961">
        <v>960</v>
      </c>
      <c r="B961" t="s">
        <v>287</v>
      </c>
      <c r="C961" t="s">
        <v>145</v>
      </c>
      <c r="D961" t="s">
        <v>169</v>
      </c>
      <c r="E961" s="1">
        <v>82922</v>
      </c>
      <c r="F961" s="1">
        <v>455932</v>
      </c>
      <c r="G961">
        <v>276</v>
      </c>
      <c r="H961">
        <v>2</v>
      </c>
      <c r="I961" s="1">
        <f>fact[[#This Row],[units_sold]]*fact[[#This Row],[price_usd]]</f>
        <v>70732466</v>
      </c>
      <c r="J961">
        <v>853</v>
      </c>
    </row>
    <row r="962" spans="1:10" x14ac:dyDescent="0.35">
      <c r="A962">
        <v>961</v>
      </c>
      <c r="B962" t="s">
        <v>202</v>
      </c>
      <c r="C962" t="s">
        <v>48</v>
      </c>
      <c r="D962" t="s">
        <v>168</v>
      </c>
      <c r="E962" s="1">
        <v>57706</v>
      </c>
      <c r="F962" s="1">
        <v>487043</v>
      </c>
      <c r="G962">
        <v>235</v>
      </c>
      <c r="H962">
        <v>3</v>
      </c>
      <c r="I962" s="1">
        <f>fact[[#This Row],[units_sold]]*fact[[#This Row],[price_usd]]</f>
        <v>42529322</v>
      </c>
      <c r="J962">
        <v>737</v>
      </c>
    </row>
    <row r="963" spans="1:10" x14ac:dyDescent="0.35">
      <c r="A963">
        <v>962</v>
      </c>
      <c r="B963" t="s">
        <v>202</v>
      </c>
      <c r="C963" t="s">
        <v>46</v>
      </c>
      <c r="D963" t="s">
        <v>173</v>
      </c>
      <c r="E963" s="1">
        <v>57813</v>
      </c>
      <c r="F963" s="1">
        <v>85362</v>
      </c>
      <c r="G963">
        <v>181</v>
      </c>
      <c r="H963">
        <v>1</v>
      </c>
      <c r="I963" s="1">
        <f>fact[[#This Row],[units_sold]]*fact[[#This Row],[price_usd]]</f>
        <v>29715882</v>
      </c>
      <c r="J963">
        <v>514</v>
      </c>
    </row>
    <row r="964" spans="1:10" x14ac:dyDescent="0.35">
      <c r="A964">
        <v>963</v>
      </c>
      <c r="B964" t="s">
        <v>202</v>
      </c>
      <c r="C964" t="s">
        <v>73</v>
      </c>
      <c r="D964" t="s">
        <v>172</v>
      </c>
      <c r="E964" s="1">
        <v>84768</v>
      </c>
      <c r="F964" s="1">
        <v>257383</v>
      </c>
      <c r="G964">
        <v>130</v>
      </c>
      <c r="H964">
        <v>6</v>
      </c>
      <c r="I964" s="1">
        <f>fact[[#This Row],[units_sold]]*fact[[#This Row],[price_usd]]</f>
        <v>38230368</v>
      </c>
      <c r="J964">
        <v>451</v>
      </c>
    </row>
    <row r="965" spans="1:10" x14ac:dyDescent="0.35">
      <c r="A965">
        <v>964</v>
      </c>
      <c r="B965" t="s">
        <v>202</v>
      </c>
      <c r="C965" t="s">
        <v>89</v>
      </c>
      <c r="D965" t="s">
        <v>173</v>
      </c>
      <c r="E965" s="1">
        <v>35901</v>
      </c>
      <c r="F965" s="1">
        <v>68830</v>
      </c>
      <c r="G965">
        <v>38</v>
      </c>
      <c r="H965">
        <v>6</v>
      </c>
      <c r="I965" s="1">
        <f>fact[[#This Row],[units_sold]]*fact[[#This Row],[price_usd]]</f>
        <v>7431507</v>
      </c>
      <c r="J965">
        <v>207</v>
      </c>
    </row>
    <row r="966" spans="1:10" x14ac:dyDescent="0.35">
      <c r="A966">
        <v>965</v>
      </c>
      <c r="B966" t="s">
        <v>202</v>
      </c>
      <c r="C966" t="s">
        <v>85</v>
      </c>
      <c r="D966" t="s">
        <v>167</v>
      </c>
      <c r="E966" s="1">
        <v>92769</v>
      </c>
      <c r="F966" s="1">
        <v>440508</v>
      </c>
      <c r="G966">
        <v>234</v>
      </c>
      <c r="H966">
        <v>10</v>
      </c>
      <c r="I966" s="1">
        <f>fact[[#This Row],[units_sold]]*fact[[#This Row],[price_usd]]</f>
        <v>72174282</v>
      </c>
      <c r="J966">
        <v>778</v>
      </c>
    </row>
    <row r="967" spans="1:10" x14ac:dyDescent="0.35">
      <c r="A967">
        <v>966</v>
      </c>
      <c r="B967" t="s">
        <v>202</v>
      </c>
      <c r="C967" t="s">
        <v>96</v>
      </c>
      <c r="D967" t="s">
        <v>172</v>
      </c>
      <c r="E967" s="1">
        <v>62856</v>
      </c>
      <c r="F967" s="1">
        <v>177536</v>
      </c>
      <c r="G967">
        <v>368</v>
      </c>
      <c r="H967">
        <v>4</v>
      </c>
      <c r="I967" s="1">
        <f>fact[[#This Row],[units_sold]]*fact[[#This Row],[price_usd]]</f>
        <v>54621864</v>
      </c>
      <c r="J967">
        <v>869</v>
      </c>
    </row>
    <row r="968" spans="1:10" x14ac:dyDescent="0.35">
      <c r="A968">
        <v>967</v>
      </c>
      <c r="B968" t="s">
        <v>202</v>
      </c>
      <c r="C968" t="s">
        <v>117</v>
      </c>
      <c r="D968" t="s">
        <v>32</v>
      </c>
      <c r="E968" s="1">
        <v>97766</v>
      </c>
      <c r="F968" s="1">
        <v>193029</v>
      </c>
      <c r="G968">
        <v>111</v>
      </c>
      <c r="H968">
        <v>5</v>
      </c>
      <c r="I968" s="1">
        <f>fact[[#This Row],[units_sold]]*fact[[#This Row],[price_usd]]</f>
        <v>48785234</v>
      </c>
      <c r="J968">
        <v>499</v>
      </c>
    </row>
    <row r="969" spans="1:10" x14ac:dyDescent="0.35">
      <c r="A969">
        <v>968</v>
      </c>
      <c r="B969" t="s">
        <v>202</v>
      </c>
      <c r="C969" t="s">
        <v>120</v>
      </c>
      <c r="D969" t="s">
        <v>167</v>
      </c>
      <c r="E969" s="1">
        <v>74867</v>
      </c>
      <c r="F969" s="1">
        <v>417508</v>
      </c>
      <c r="G969">
        <v>244</v>
      </c>
      <c r="H969">
        <v>6</v>
      </c>
      <c r="I969" s="1">
        <f>fact[[#This Row],[units_sold]]*fact[[#This Row],[price_usd]]</f>
        <v>71198517</v>
      </c>
      <c r="J969">
        <v>951</v>
      </c>
    </row>
    <row r="970" spans="1:10" x14ac:dyDescent="0.35">
      <c r="A970">
        <v>969</v>
      </c>
      <c r="B970" t="s">
        <v>202</v>
      </c>
      <c r="C970" t="s">
        <v>133</v>
      </c>
      <c r="D970" t="s">
        <v>171</v>
      </c>
      <c r="E970" s="1">
        <v>80875</v>
      </c>
      <c r="F970" s="1">
        <v>322502</v>
      </c>
      <c r="G970">
        <v>244</v>
      </c>
      <c r="H970">
        <v>2</v>
      </c>
      <c r="I970" s="1">
        <f>fact[[#This Row],[units_sold]]*fact[[#This Row],[price_usd]]</f>
        <v>69309875</v>
      </c>
      <c r="J970">
        <v>857</v>
      </c>
    </row>
    <row r="971" spans="1:10" x14ac:dyDescent="0.35">
      <c r="A971">
        <v>970</v>
      </c>
      <c r="B971" t="s">
        <v>276</v>
      </c>
      <c r="C971" t="s">
        <v>79</v>
      </c>
      <c r="D971" t="s">
        <v>171</v>
      </c>
      <c r="E971" s="1">
        <v>54627</v>
      </c>
      <c r="F971" s="1">
        <v>360714</v>
      </c>
      <c r="G971">
        <v>159</v>
      </c>
      <c r="H971">
        <v>2</v>
      </c>
      <c r="I971" s="1">
        <f>fact[[#This Row],[units_sold]]*fact[[#This Row],[price_usd]]</f>
        <v>38075019</v>
      </c>
      <c r="J971">
        <v>697</v>
      </c>
    </row>
    <row r="972" spans="1:10" x14ac:dyDescent="0.35">
      <c r="A972">
        <v>971</v>
      </c>
      <c r="B972" t="s">
        <v>276</v>
      </c>
      <c r="C972" t="s">
        <v>87</v>
      </c>
      <c r="D972" t="s">
        <v>171</v>
      </c>
      <c r="E972" s="1">
        <v>42951</v>
      </c>
      <c r="F972" s="1">
        <v>206688</v>
      </c>
      <c r="G972">
        <v>136</v>
      </c>
      <c r="H972">
        <v>10</v>
      </c>
      <c r="I972" s="1">
        <f>fact[[#This Row],[units_sold]]*fact[[#This Row],[price_usd]]</f>
        <v>20401725</v>
      </c>
      <c r="J972">
        <v>475</v>
      </c>
    </row>
    <row r="973" spans="1:10" x14ac:dyDescent="0.35">
      <c r="A973">
        <v>972</v>
      </c>
      <c r="B973" t="s">
        <v>276</v>
      </c>
      <c r="C973" t="s">
        <v>129</v>
      </c>
      <c r="D973" t="s">
        <v>166</v>
      </c>
      <c r="E973" s="1">
        <v>96957</v>
      </c>
      <c r="F973" s="1">
        <v>165140</v>
      </c>
      <c r="G973">
        <v>159</v>
      </c>
      <c r="H973">
        <v>2</v>
      </c>
      <c r="I973" s="1">
        <f>fact[[#This Row],[units_sold]]*fact[[#This Row],[price_usd]]</f>
        <v>58658985</v>
      </c>
      <c r="J973">
        <v>605</v>
      </c>
    </row>
    <row r="974" spans="1:10" x14ac:dyDescent="0.35">
      <c r="A974">
        <v>973</v>
      </c>
      <c r="B974" t="s">
        <v>276</v>
      </c>
      <c r="C974" t="s">
        <v>144</v>
      </c>
      <c r="D974" t="s">
        <v>165</v>
      </c>
      <c r="E974" s="1">
        <v>96360</v>
      </c>
      <c r="F974" s="1">
        <v>403699</v>
      </c>
      <c r="G974">
        <v>139</v>
      </c>
      <c r="H974">
        <v>6</v>
      </c>
      <c r="I974" s="1">
        <f>fact[[#This Row],[units_sold]]*fact[[#This Row],[price_usd]]</f>
        <v>30160680</v>
      </c>
      <c r="J974">
        <v>313</v>
      </c>
    </row>
    <row r="975" spans="1:10" x14ac:dyDescent="0.35">
      <c r="A975">
        <v>974</v>
      </c>
      <c r="B975" t="s">
        <v>276</v>
      </c>
      <c r="C975" t="s">
        <v>141</v>
      </c>
      <c r="D975" t="s">
        <v>173</v>
      </c>
      <c r="E975" s="1">
        <v>65734</v>
      </c>
      <c r="F975" s="1">
        <v>287474</v>
      </c>
      <c r="G975">
        <v>197</v>
      </c>
      <c r="H975">
        <v>10</v>
      </c>
      <c r="I975" s="1">
        <f>fact[[#This Row],[units_sold]]*fact[[#This Row],[price_usd]]</f>
        <v>26885206</v>
      </c>
      <c r="J975">
        <v>409</v>
      </c>
    </row>
    <row r="976" spans="1:10" x14ac:dyDescent="0.35">
      <c r="A976">
        <v>975</v>
      </c>
      <c r="B976" t="s">
        <v>276</v>
      </c>
      <c r="C976" t="s">
        <v>150</v>
      </c>
      <c r="D976" t="s">
        <v>168</v>
      </c>
      <c r="E976" s="1">
        <v>54267</v>
      </c>
      <c r="F976" s="1">
        <v>319579</v>
      </c>
      <c r="G976">
        <v>380</v>
      </c>
      <c r="H976">
        <v>10</v>
      </c>
      <c r="I976" s="1">
        <f>fact[[#This Row],[units_sold]]*fact[[#This Row],[price_usd]]</f>
        <v>62352783</v>
      </c>
      <c r="J976">
        <v>1149</v>
      </c>
    </row>
    <row r="977" spans="1:10" x14ac:dyDescent="0.35">
      <c r="A977">
        <v>976</v>
      </c>
      <c r="B977" t="s">
        <v>259</v>
      </c>
      <c r="C977" t="s">
        <v>55</v>
      </c>
      <c r="D977" t="s">
        <v>167</v>
      </c>
      <c r="E977" s="1">
        <v>52027</v>
      </c>
      <c r="F977" s="1">
        <v>141074</v>
      </c>
      <c r="G977">
        <v>99</v>
      </c>
      <c r="H977">
        <v>2</v>
      </c>
      <c r="I977" s="1">
        <f>fact[[#This Row],[units_sold]]*fact[[#This Row],[price_usd]]</f>
        <v>15556073</v>
      </c>
      <c r="J977">
        <v>299</v>
      </c>
    </row>
    <row r="978" spans="1:10" x14ac:dyDescent="0.35">
      <c r="A978">
        <v>977</v>
      </c>
      <c r="B978" t="s">
        <v>259</v>
      </c>
      <c r="C978" t="s">
        <v>73</v>
      </c>
      <c r="D978" t="s">
        <v>170</v>
      </c>
      <c r="E978" s="1">
        <v>69980</v>
      </c>
      <c r="F978" s="1">
        <v>391524</v>
      </c>
      <c r="G978">
        <v>219</v>
      </c>
      <c r="H978">
        <v>3</v>
      </c>
      <c r="I978" s="1">
        <f>fact[[#This Row],[units_sold]]*fact[[#This Row],[price_usd]]</f>
        <v>63961720</v>
      </c>
      <c r="J978">
        <v>914</v>
      </c>
    </row>
    <row r="979" spans="1:10" x14ac:dyDescent="0.35">
      <c r="A979">
        <v>978</v>
      </c>
      <c r="B979" t="s">
        <v>259</v>
      </c>
      <c r="C979" t="s">
        <v>84</v>
      </c>
      <c r="D979" t="s">
        <v>32</v>
      </c>
      <c r="E979" s="1">
        <v>64813</v>
      </c>
      <c r="F979" s="1">
        <v>126425</v>
      </c>
      <c r="G979">
        <v>177</v>
      </c>
      <c r="H979">
        <v>1</v>
      </c>
      <c r="I979" s="1">
        <f>fact[[#This Row],[units_sold]]*fact[[#This Row],[price_usd]]</f>
        <v>36943410</v>
      </c>
      <c r="J979">
        <v>570</v>
      </c>
    </row>
    <row r="980" spans="1:10" x14ac:dyDescent="0.35">
      <c r="A980">
        <v>979</v>
      </c>
      <c r="B980" t="s">
        <v>259</v>
      </c>
      <c r="C980" t="s">
        <v>154</v>
      </c>
      <c r="D980" t="s">
        <v>32</v>
      </c>
      <c r="E980" s="1">
        <v>36539</v>
      </c>
      <c r="F980" s="1">
        <v>424416</v>
      </c>
      <c r="G980">
        <v>175</v>
      </c>
      <c r="H980">
        <v>4</v>
      </c>
      <c r="I980" s="1">
        <f>fact[[#This Row],[units_sold]]*fact[[#This Row],[price_usd]]</f>
        <v>25065754</v>
      </c>
      <c r="J980">
        <v>686</v>
      </c>
    </row>
    <row r="981" spans="1:10" x14ac:dyDescent="0.35">
      <c r="A981">
        <v>980</v>
      </c>
      <c r="B981" t="s">
        <v>259</v>
      </c>
      <c r="C981" t="s">
        <v>154</v>
      </c>
      <c r="D981" t="s">
        <v>32</v>
      </c>
      <c r="E981" s="1">
        <v>118123</v>
      </c>
      <c r="F981" s="1">
        <v>378634</v>
      </c>
      <c r="G981">
        <v>264</v>
      </c>
      <c r="H981">
        <v>9</v>
      </c>
      <c r="I981" s="1">
        <f>fact[[#This Row],[units_sold]]*fact[[#This Row],[price_usd]]</f>
        <v>107728176</v>
      </c>
      <c r="J981">
        <v>912</v>
      </c>
    </row>
    <row r="982" spans="1:10" x14ac:dyDescent="0.35">
      <c r="A982">
        <v>981</v>
      </c>
      <c r="B982" t="s">
        <v>219</v>
      </c>
      <c r="C982" t="s">
        <v>46</v>
      </c>
      <c r="D982" t="s">
        <v>167</v>
      </c>
      <c r="E982" s="1">
        <v>71405</v>
      </c>
      <c r="F982" s="1">
        <v>271421</v>
      </c>
      <c r="G982">
        <v>132</v>
      </c>
      <c r="H982">
        <v>10</v>
      </c>
      <c r="I982" s="1">
        <f>fact[[#This Row],[units_sold]]*fact[[#This Row],[price_usd]]</f>
        <v>24848940</v>
      </c>
      <c r="J982">
        <v>348</v>
      </c>
    </row>
    <row r="983" spans="1:10" x14ac:dyDescent="0.35">
      <c r="A983">
        <v>982</v>
      </c>
      <c r="B983" t="s">
        <v>219</v>
      </c>
      <c r="C983" t="s">
        <v>65</v>
      </c>
      <c r="D983" t="s">
        <v>32</v>
      </c>
      <c r="E983" s="1">
        <v>65024</v>
      </c>
      <c r="F983" s="1">
        <v>130730</v>
      </c>
      <c r="G983">
        <v>207</v>
      </c>
      <c r="H983">
        <v>7</v>
      </c>
      <c r="I983" s="1">
        <f>fact[[#This Row],[units_sold]]*fact[[#This Row],[price_usd]]</f>
        <v>40705024</v>
      </c>
      <c r="J983">
        <v>626</v>
      </c>
    </row>
    <row r="984" spans="1:10" x14ac:dyDescent="0.35">
      <c r="A984">
        <v>983</v>
      </c>
      <c r="B984" t="s">
        <v>219</v>
      </c>
      <c r="C984" t="s">
        <v>75</v>
      </c>
      <c r="D984" t="s">
        <v>172</v>
      </c>
      <c r="E984" s="1">
        <v>58154</v>
      </c>
      <c r="F984" s="1">
        <v>494874</v>
      </c>
      <c r="G984">
        <v>359</v>
      </c>
      <c r="H984">
        <v>1</v>
      </c>
      <c r="I984" s="1">
        <f>fact[[#This Row],[units_sold]]*fact[[#This Row],[price_usd]]</f>
        <v>61701394</v>
      </c>
      <c r="J984">
        <v>1061</v>
      </c>
    </row>
    <row r="985" spans="1:10" x14ac:dyDescent="0.35">
      <c r="A985">
        <v>984</v>
      </c>
      <c r="B985" t="s">
        <v>219</v>
      </c>
      <c r="C985" t="s">
        <v>82</v>
      </c>
      <c r="D985" t="s">
        <v>173</v>
      </c>
      <c r="E985" s="1">
        <v>89970</v>
      </c>
      <c r="F985" s="1">
        <v>168910</v>
      </c>
      <c r="G985">
        <v>342</v>
      </c>
      <c r="H985">
        <v>5</v>
      </c>
      <c r="I985" s="1">
        <f>fact[[#This Row],[units_sold]]*fact[[#This Row],[price_usd]]</f>
        <v>71796060</v>
      </c>
      <c r="J985">
        <v>798</v>
      </c>
    </row>
    <row r="986" spans="1:10" x14ac:dyDescent="0.35">
      <c r="A986">
        <v>985</v>
      </c>
      <c r="B986" t="s">
        <v>219</v>
      </c>
      <c r="C986" t="s">
        <v>95</v>
      </c>
      <c r="D986" t="s">
        <v>165</v>
      </c>
      <c r="E986" s="1">
        <v>97699</v>
      </c>
      <c r="F986" s="1">
        <v>77307</v>
      </c>
      <c r="G986">
        <v>291</v>
      </c>
      <c r="H986">
        <v>3</v>
      </c>
      <c r="I986" s="1">
        <f>fact[[#This Row],[units_sold]]*fact[[#This Row],[price_usd]]</f>
        <v>71320270</v>
      </c>
      <c r="J986">
        <v>730</v>
      </c>
    </row>
    <row r="987" spans="1:10" x14ac:dyDescent="0.35">
      <c r="A987">
        <v>986</v>
      </c>
      <c r="B987" t="s">
        <v>219</v>
      </c>
      <c r="C987" t="s">
        <v>119</v>
      </c>
      <c r="D987" t="s">
        <v>166</v>
      </c>
      <c r="E987" s="1">
        <v>92656</v>
      </c>
      <c r="F987" s="1">
        <v>418615</v>
      </c>
      <c r="G987">
        <v>395</v>
      </c>
      <c r="H987">
        <v>5</v>
      </c>
      <c r="I987" s="1">
        <f>fact[[#This Row],[units_sold]]*fact[[#This Row],[price_usd]]</f>
        <v>103311440</v>
      </c>
      <c r="J987">
        <v>1115</v>
      </c>
    </row>
    <row r="988" spans="1:10" x14ac:dyDescent="0.35">
      <c r="A988">
        <v>987</v>
      </c>
      <c r="B988" t="s">
        <v>219</v>
      </c>
      <c r="C988" t="s">
        <v>147</v>
      </c>
      <c r="D988" t="s">
        <v>166</v>
      </c>
      <c r="E988" s="1">
        <v>47379</v>
      </c>
      <c r="F988" s="1">
        <v>103997</v>
      </c>
      <c r="G988">
        <v>15</v>
      </c>
      <c r="H988">
        <v>2</v>
      </c>
      <c r="I988" s="1">
        <f>fact[[#This Row],[units_sold]]*fact[[#This Row],[price_usd]]</f>
        <v>2795361</v>
      </c>
      <c r="J988">
        <v>59</v>
      </c>
    </row>
    <row r="989" spans="1:10" x14ac:dyDescent="0.35">
      <c r="A989">
        <v>988</v>
      </c>
      <c r="B989" t="s">
        <v>219</v>
      </c>
      <c r="C989" t="s">
        <v>160</v>
      </c>
      <c r="D989" t="s">
        <v>170</v>
      </c>
      <c r="E989" s="1">
        <v>110179</v>
      </c>
      <c r="F989" s="1">
        <v>205976</v>
      </c>
      <c r="G989">
        <v>185</v>
      </c>
      <c r="H989">
        <v>3</v>
      </c>
      <c r="I989" s="1">
        <f>fact[[#This Row],[units_sold]]*fact[[#This Row],[price_usd]]</f>
        <v>47376970</v>
      </c>
      <c r="J989">
        <v>430</v>
      </c>
    </row>
    <row r="990" spans="1:10" x14ac:dyDescent="0.35">
      <c r="A990">
        <v>989</v>
      </c>
      <c r="B990" t="s">
        <v>219</v>
      </c>
      <c r="C990" t="s">
        <v>156</v>
      </c>
      <c r="D990" t="s">
        <v>167</v>
      </c>
      <c r="E990" s="1">
        <v>101766</v>
      </c>
      <c r="F990" s="1">
        <v>153215</v>
      </c>
      <c r="G990">
        <v>272</v>
      </c>
      <c r="H990">
        <v>9</v>
      </c>
      <c r="I990" s="1">
        <f>fact[[#This Row],[units_sold]]*fact[[#This Row],[price_usd]]</f>
        <v>76629798</v>
      </c>
      <c r="J990">
        <v>753</v>
      </c>
    </row>
    <row r="991" spans="1:10" x14ac:dyDescent="0.35">
      <c r="A991">
        <v>990</v>
      </c>
      <c r="B991" t="s">
        <v>274</v>
      </c>
      <c r="C991" t="s">
        <v>49</v>
      </c>
      <c r="D991" t="s">
        <v>172</v>
      </c>
      <c r="E991" s="1">
        <v>64709</v>
      </c>
      <c r="F991" s="1">
        <v>292599</v>
      </c>
      <c r="G991">
        <v>11</v>
      </c>
      <c r="H991">
        <v>1</v>
      </c>
      <c r="I991" s="1">
        <f>fact[[#This Row],[units_sold]]*fact[[#This Row],[price_usd]]</f>
        <v>8412170</v>
      </c>
      <c r="J991">
        <v>130</v>
      </c>
    </row>
    <row r="992" spans="1:10" x14ac:dyDescent="0.35">
      <c r="A992">
        <v>991</v>
      </c>
      <c r="B992" t="s">
        <v>274</v>
      </c>
      <c r="C992" t="s">
        <v>62</v>
      </c>
      <c r="D992" t="s">
        <v>32</v>
      </c>
      <c r="E992" s="1">
        <v>96078</v>
      </c>
      <c r="F992" s="1">
        <v>446108</v>
      </c>
      <c r="G992">
        <v>252</v>
      </c>
      <c r="H992">
        <v>6</v>
      </c>
      <c r="I992" s="1">
        <f>fact[[#This Row],[units_sold]]*fact[[#This Row],[price_usd]]</f>
        <v>60529140</v>
      </c>
      <c r="J992">
        <v>630</v>
      </c>
    </row>
    <row r="993" spans="1:10" x14ac:dyDescent="0.35">
      <c r="A993">
        <v>992</v>
      </c>
      <c r="B993" t="s">
        <v>274</v>
      </c>
      <c r="C993" t="s">
        <v>70</v>
      </c>
      <c r="D993" t="s">
        <v>167</v>
      </c>
      <c r="E993" s="1">
        <v>84646</v>
      </c>
      <c r="F993" s="1">
        <v>277966</v>
      </c>
      <c r="G993">
        <v>282</v>
      </c>
      <c r="H993">
        <v>7</v>
      </c>
      <c r="I993" s="1">
        <f>fact[[#This Row],[units_sold]]*fact[[#This Row],[price_usd]]</f>
        <v>62299456</v>
      </c>
      <c r="J993">
        <v>736</v>
      </c>
    </row>
    <row r="994" spans="1:10" x14ac:dyDescent="0.35">
      <c r="A994">
        <v>993</v>
      </c>
      <c r="B994" t="s">
        <v>274</v>
      </c>
      <c r="C994" t="s">
        <v>72</v>
      </c>
      <c r="D994" t="s">
        <v>167</v>
      </c>
      <c r="E994" s="1">
        <v>67769</v>
      </c>
      <c r="F994" s="1">
        <v>164161</v>
      </c>
      <c r="G994">
        <v>339</v>
      </c>
      <c r="H994">
        <v>2</v>
      </c>
      <c r="I994" s="1">
        <f>fact[[#This Row],[units_sold]]*fact[[#This Row],[price_usd]]</f>
        <v>74207055</v>
      </c>
      <c r="J994">
        <v>1095</v>
      </c>
    </row>
    <row r="995" spans="1:10" x14ac:dyDescent="0.35">
      <c r="A995">
        <v>994</v>
      </c>
      <c r="B995" t="s">
        <v>274</v>
      </c>
      <c r="C995" t="s">
        <v>92</v>
      </c>
      <c r="D995" t="s">
        <v>170</v>
      </c>
      <c r="E995" s="1">
        <v>118564</v>
      </c>
      <c r="F995" s="1">
        <v>349155</v>
      </c>
      <c r="G995">
        <v>172</v>
      </c>
      <c r="H995">
        <v>6</v>
      </c>
      <c r="I995" s="1">
        <f>fact[[#This Row],[units_sold]]*fact[[#This Row],[price_usd]]</f>
        <v>81453468</v>
      </c>
      <c r="J995">
        <v>687</v>
      </c>
    </row>
    <row r="996" spans="1:10" x14ac:dyDescent="0.35">
      <c r="A996">
        <v>995</v>
      </c>
      <c r="B996" t="s">
        <v>274</v>
      </c>
      <c r="C996" t="s">
        <v>95</v>
      </c>
      <c r="D996" t="s">
        <v>171</v>
      </c>
      <c r="E996" s="1">
        <v>59354</v>
      </c>
      <c r="F996" s="1">
        <v>317614</v>
      </c>
      <c r="G996">
        <v>88</v>
      </c>
      <c r="H996">
        <v>6</v>
      </c>
      <c r="I996" s="1">
        <f>fact[[#This Row],[units_sold]]*fact[[#This Row],[price_usd]]</f>
        <v>25284804</v>
      </c>
      <c r="J996">
        <v>426</v>
      </c>
    </row>
    <row r="997" spans="1:10" x14ac:dyDescent="0.35">
      <c r="A997">
        <v>996</v>
      </c>
      <c r="B997" t="s">
        <v>274</v>
      </c>
      <c r="C997" t="s">
        <v>104</v>
      </c>
      <c r="D997" t="s">
        <v>171</v>
      </c>
      <c r="E997" s="1">
        <v>51562</v>
      </c>
      <c r="F997" s="1">
        <v>318667</v>
      </c>
      <c r="G997">
        <v>102</v>
      </c>
      <c r="H997">
        <v>2</v>
      </c>
      <c r="I997" s="1">
        <f>fact[[#This Row],[units_sold]]*fact[[#This Row],[price_usd]]</f>
        <v>24543512</v>
      </c>
      <c r="J997">
        <v>476</v>
      </c>
    </row>
    <row r="998" spans="1:10" x14ac:dyDescent="0.35">
      <c r="A998">
        <v>997</v>
      </c>
      <c r="B998" t="s">
        <v>274</v>
      </c>
      <c r="C998" t="s">
        <v>110</v>
      </c>
      <c r="D998" t="s">
        <v>171</v>
      </c>
      <c r="E998" s="1">
        <v>67016</v>
      </c>
      <c r="F998" s="1">
        <v>388246</v>
      </c>
      <c r="G998">
        <v>82</v>
      </c>
      <c r="H998">
        <v>2</v>
      </c>
      <c r="I998" s="1">
        <f>fact[[#This Row],[units_sold]]*fact[[#This Row],[price_usd]]</f>
        <v>42957256</v>
      </c>
      <c r="J998">
        <v>641</v>
      </c>
    </row>
    <row r="999" spans="1:10" x14ac:dyDescent="0.35">
      <c r="A999">
        <v>998</v>
      </c>
      <c r="B999" t="s">
        <v>274</v>
      </c>
      <c r="C999" t="s">
        <v>122</v>
      </c>
      <c r="D999" t="s">
        <v>167</v>
      </c>
      <c r="E999" s="1">
        <v>36605</v>
      </c>
      <c r="F999" s="1">
        <v>258726</v>
      </c>
      <c r="G999">
        <v>186</v>
      </c>
      <c r="H999">
        <v>8</v>
      </c>
      <c r="I999" s="1">
        <f>fact[[#This Row],[units_sold]]*fact[[#This Row],[price_usd]]</f>
        <v>22768310</v>
      </c>
      <c r="J999">
        <v>622</v>
      </c>
    </row>
    <row r="1000" spans="1:10" x14ac:dyDescent="0.35">
      <c r="A1000">
        <v>999</v>
      </c>
      <c r="B1000" t="s">
        <v>274</v>
      </c>
      <c r="C1000" t="s">
        <v>157</v>
      </c>
      <c r="D1000" t="s">
        <v>172</v>
      </c>
      <c r="E1000" s="1">
        <v>118597</v>
      </c>
      <c r="F1000" s="1">
        <v>367188</v>
      </c>
      <c r="G1000">
        <v>140</v>
      </c>
      <c r="H1000">
        <v>7</v>
      </c>
      <c r="I1000" s="1">
        <f>fact[[#This Row],[units_sold]]*fact[[#This Row],[price_usd]]</f>
        <v>33325757</v>
      </c>
      <c r="J1000">
        <v>281</v>
      </c>
    </row>
    <row r="1001" spans="1:10" x14ac:dyDescent="0.35">
      <c r="A1001">
        <v>1000</v>
      </c>
      <c r="B1001" t="s">
        <v>274</v>
      </c>
      <c r="C1001" t="s">
        <v>153</v>
      </c>
      <c r="D1001" t="s">
        <v>169</v>
      </c>
      <c r="E1001" s="1">
        <v>35228</v>
      </c>
      <c r="F1001" s="1">
        <v>363045</v>
      </c>
      <c r="G1001">
        <v>35</v>
      </c>
      <c r="H1001">
        <v>5</v>
      </c>
      <c r="I1001" s="1">
        <f>fact[[#This Row],[units_sold]]*fact[[#This Row],[price_usd]]</f>
        <v>6023988</v>
      </c>
      <c r="J1001">
        <v>171</v>
      </c>
    </row>
    <row r="1002" spans="1:10" ht="19" customHeight="1" x14ac:dyDescent="0.35"/>
  </sheetData>
  <conditionalFormatting sqref="C1:D1">
    <cfRule type="duplicateValues" dxfId="2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9FA0-193E-4C46-8FFB-664A4FE90130}">
  <dimension ref="A1:C121"/>
  <sheetViews>
    <sheetView topLeftCell="A101" workbookViewId="0">
      <selection activeCell="A111" sqref="A102:XFD111"/>
    </sheetView>
  </sheetViews>
  <sheetFormatPr defaultRowHeight="14.5" x14ac:dyDescent="0.35"/>
  <cols>
    <col min="3" max="3" width="9.1796875" style="8" customWidth="1"/>
  </cols>
  <sheetData>
    <row r="1" spans="1:3" x14ac:dyDescent="0.35">
      <c r="A1" t="s">
        <v>0</v>
      </c>
      <c r="B1" t="s">
        <v>1</v>
      </c>
      <c r="C1" s="8" t="s">
        <v>174</v>
      </c>
    </row>
    <row r="2" spans="1:3" x14ac:dyDescent="0.35">
      <c r="A2" s="2">
        <v>2015</v>
      </c>
      <c r="B2">
        <v>1</v>
      </c>
      <c r="C2" s="8" t="str">
        <f>CONCATENATE(A2,B2)</f>
        <v>20151</v>
      </c>
    </row>
    <row r="3" spans="1:3" x14ac:dyDescent="0.35">
      <c r="A3" s="2">
        <v>2016</v>
      </c>
      <c r="B3">
        <v>1</v>
      </c>
      <c r="C3" s="8" t="str">
        <f t="shared" ref="C3:C66" si="0">CONCATENATE(A3,B3)</f>
        <v>20161</v>
      </c>
    </row>
    <row r="4" spans="1:3" x14ac:dyDescent="0.35">
      <c r="A4" s="2">
        <v>2017</v>
      </c>
      <c r="B4">
        <v>1</v>
      </c>
      <c r="C4" s="8" t="str">
        <f t="shared" si="0"/>
        <v>20171</v>
      </c>
    </row>
    <row r="5" spans="1:3" x14ac:dyDescent="0.35">
      <c r="A5" s="2">
        <v>2018</v>
      </c>
      <c r="B5">
        <v>1</v>
      </c>
      <c r="C5" s="8" t="str">
        <f t="shared" si="0"/>
        <v>20181</v>
      </c>
    </row>
    <row r="6" spans="1:3" x14ac:dyDescent="0.35">
      <c r="A6" s="2">
        <v>2019</v>
      </c>
      <c r="B6">
        <v>1</v>
      </c>
      <c r="C6" s="8" t="str">
        <f t="shared" si="0"/>
        <v>20191</v>
      </c>
    </row>
    <row r="7" spans="1:3" x14ac:dyDescent="0.35">
      <c r="A7" s="2">
        <v>2020</v>
      </c>
      <c r="B7">
        <v>1</v>
      </c>
      <c r="C7" s="8" t="str">
        <f t="shared" si="0"/>
        <v>20201</v>
      </c>
    </row>
    <row r="8" spans="1:3" x14ac:dyDescent="0.35">
      <c r="A8" s="2">
        <v>2021</v>
      </c>
      <c r="B8">
        <v>1</v>
      </c>
      <c r="C8" s="8" t="str">
        <f t="shared" si="0"/>
        <v>20211</v>
      </c>
    </row>
    <row r="9" spans="1:3" x14ac:dyDescent="0.35">
      <c r="A9" s="2">
        <v>2022</v>
      </c>
      <c r="B9">
        <v>1</v>
      </c>
      <c r="C9" s="8" t="str">
        <f t="shared" si="0"/>
        <v>20221</v>
      </c>
    </row>
    <row r="10" spans="1:3" x14ac:dyDescent="0.35">
      <c r="A10" s="2">
        <v>2023</v>
      </c>
      <c r="B10">
        <v>1</v>
      </c>
      <c r="C10" s="8" t="str">
        <f t="shared" si="0"/>
        <v>20231</v>
      </c>
    </row>
    <row r="11" spans="1:3" x14ac:dyDescent="0.35">
      <c r="A11" s="2">
        <v>2024</v>
      </c>
      <c r="B11">
        <v>1</v>
      </c>
      <c r="C11" s="8" t="str">
        <f t="shared" si="0"/>
        <v>20241</v>
      </c>
    </row>
    <row r="12" spans="1:3" x14ac:dyDescent="0.35">
      <c r="A12" s="2">
        <v>2015</v>
      </c>
      <c r="B12">
        <v>2</v>
      </c>
      <c r="C12" s="8" t="str">
        <f t="shared" si="0"/>
        <v>20152</v>
      </c>
    </row>
    <row r="13" spans="1:3" x14ac:dyDescent="0.35">
      <c r="A13" s="2">
        <v>2016</v>
      </c>
      <c r="B13">
        <v>2</v>
      </c>
      <c r="C13" s="8" t="str">
        <f t="shared" si="0"/>
        <v>20162</v>
      </c>
    </row>
    <row r="14" spans="1:3" x14ac:dyDescent="0.35">
      <c r="A14" s="2">
        <v>2017</v>
      </c>
      <c r="B14">
        <v>2</v>
      </c>
      <c r="C14" s="8" t="str">
        <f t="shared" si="0"/>
        <v>20172</v>
      </c>
    </row>
    <row r="15" spans="1:3" x14ac:dyDescent="0.35">
      <c r="A15" s="2">
        <v>2018</v>
      </c>
      <c r="B15">
        <v>2</v>
      </c>
      <c r="C15" s="8" t="str">
        <f t="shared" si="0"/>
        <v>20182</v>
      </c>
    </row>
    <row r="16" spans="1:3" x14ac:dyDescent="0.35">
      <c r="A16" s="2">
        <v>2019</v>
      </c>
      <c r="B16">
        <v>2</v>
      </c>
      <c r="C16" s="8" t="str">
        <f t="shared" si="0"/>
        <v>20192</v>
      </c>
    </row>
    <row r="17" spans="1:3" x14ac:dyDescent="0.35">
      <c r="A17" s="2">
        <v>2020</v>
      </c>
      <c r="B17">
        <v>2</v>
      </c>
      <c r="C17" s="8" t="str">
        <f t="shared" si="0"/>
        <v>20202</v>
      </c>
    </row>
    <row r="18" spans="1:3" x14ac:dyDescent="0.35">
      <c r="A18" s="2">
        <v>2021</v>
      </c>
      <c r="B18">
        <v>2</v>
      </c>
      <c r="C18" s="8" t="str">
        <f t="shared" si="0"/>
        <v>20212</v>
      </c>
    </row>
    <row r="19" spans="1:3" x14ac:dyDescent="0.35">
      <c r="A19" s="2">
        <v>2022</v>
      </c>
      <c r="B19">
        <v>2</v>
      </c>
      <c r="C19" s="8" t="str">
        <f t="shared" si="0"/>
        <v>20222</v>
      </c>
    </row>
    <row r="20" spans="1:3" x14ac:dyDescent="0.35">
      <c r="A20" s="2">
        <v>2023</v>
      </c>
      <c r="B20">
        <v>2</v>
      </c>
      <c r="C20" s="8" t="str">
        <f t="shared" si="0"/>
        <v>20232</v>
      </c>
    </row>
    <row r="21" spans="1:3" x14ac:dyDescent="0.35">
      <c r="A21" s="2">
        <v>2024</v>
      </c>
      <c r="B21">
        <v>2</v>
      </c>
      <c r="C21" s="8" t="str">
        <f t="shared" si="0"/>
        <v>20242</v>
      </c>
    </row>
    <row r="22" spans="1:3" x14ac:dyDescent="0.35">
      <c r="A22" s="2">
        <v>2015</v>
      </c>
      <c r="B22">
        <v>3</v>
      </c>
      <c r="C22" s="8" t="str">
        <f t="shared" si="0"/>
        <v>20153</v>
      </c>
    </row>
    <row r="23" spans="1:3" x14ac:dyDescent="0.35">
      <c r="A23" s="2">
        <v>2016</v>
      </c>
      <c r="B23">
        <v>3</v>
      </c>
      <c r="C23" s="8" t="str">
        <f t="shared" si="0"/>
        <v>20163</v>
      </c>
    </row>
    <row r="24" spans="1:3" x14ac:dyDescent="0.35">
      <c r="A24" s="2">
        <v>2017</v>
      </c>
      <c r="B24">
        <v>3</v>
      </c>
      <c r="C24" s="8" t="str">
        <f t="shared" si="0"/>
        <v>20173</v>
      </c>
    </row>
    <row r="25" spans="1:3" x14ac:dyDescent="0.35">
      <c r="A25" s="2">
        <v>2018</v>
      </c>
      <c r="B25">
        <v>3</v>
      </c>
      <c r="C25" s="8" t="str">
        <f t="shared" si="0"/>
        <v>20183</v>
      </c>
    </row>
    <row r="26" spans="1:3" x14ac:dyDescent="0.35">
      <c r="A26" s="2">
        <v>2019</v>
      </c>
      <c r="B26">
        <v>3</v>
      </c>
      <c r="C26" s="8" t="str">
        <f t="shared" si="0"/>
        <v>20193</v>
      </c>
    </row>
    <row r="27" spans="1:3" x14ac:dyDescent="0.35">
      <c r="A27" s="2">
        <v>2020</v>
      </c>
      <c r="B27">
        <v>3</v>
      </c>
      <c r="C27" s="8" t="str">
        <f t="shared" si="0"/>
        <v>20203</v>
      </c>
    </row>
    <row r="28" spans="1:3" x14ac:dyDescent="0.35">
      <c r="A28" s="2">
        <v>2021</v>
      </c>
      <c r="B28">
        <v>3</v>
      </c>
      <c r="C28" s="8" t="str">
        <f t="shared" si="0"/>
        <v>20213</v>
      </c>
    </row>
    <row r="29" spans="1:3" x14ac:dyDescent="0.35">
      <c r="A29" s="2">
        <v>2022</v>
      </c>
      <c r="B29">
        <v>3</v>
      </c>
      <c r="C29" s="8" t="str">
        <f t="shared" si="0"/>
        <v>20223</v>
      </c>
    </row>
    <row r="30" spans="1:3" x14ac:dyDescent="0.35">
      <c r="A30" s="2">
        <v>2023</v>
      </c>
      <c r="B30">
        <v>3</v>
      </c>
      <c r="C30" s="8" t="str">
        <f t="shared" si="0"/>
        <v>20233</v>
      </c>
    </row>
    <row r="31" spans="1:3" x14ac:dyDescent="0.35">
      <c r="A31" s="2">
        <v>2024</v>
      </c>
      <c r="B31">
        <v>3</v>
      </c>
      <c r="C31" s="8" t="str">
        <f t="shared" si="0"/>
        <v>20243</v>
      </c>
    </row>
    <row r="32" spans="1:3" x14ac:dyDescent="0.35">
      <c r="A32" s="2">
        <v>2015</v>
      </c>
      <c r="B32">
        <v>4</v>
      </c>
      <c r="C32" s="8" t="str">
        <f t="shared" si="0"/>
        <v>20154</v>
      </c>
    </row>
    <row r="33" spans="1:3" x14ac:dyDescent="0.35">
      <c r="A33" s="2">
        <v>2016</v>
      </c>
      <c r="B33">
        <v>4</v>
      </c>
      <c r="C33" s="8" t="str">
        <f t="shared" si="0"/>
        <v>20164</v>
      </c>
    </row>
    <row r="34" spans="1:3" x14ac:dyDescent="0.35">
      <c r="A34" s="2">
        <v>2017</v>
      </c>
      <c r="B34">
        <v>4</v>
      </c>
      <c r="C34" s="8" t="str">
        <f t="shared" si="0"/>
        <v>20174</v>
      </c>
    </row>
    <row r="35" spans="1:3" x14ac:dyDescent="0.35">
      <c r="A35" s="2">
        <v>2018</v>
      </c>
      <c r="B35">
        <v>4</v>
      </c>
      <c r="C35" s="8" t="str">
        <f t="shared" si="0"/>
        <v>20184</v>
      </c>
    </row>
    <row r="36" spans="1:3" x14ac:dyDescent="0.35">
      <c r="A36" s="2">
        <v>2019</v>
      </c>
      <c r="B36">
        <v>4</v>
      </c>
      <c r="C36" s="8" t="str">
        <f t="shared" si="0"/>
        <v>20194</v>
      </c>
    </row>
    <row r="37" spans="1:3" x14ac:dyDescent="0.35">
      <c r="A37" s="2">
        <v>2020</v>
      </c>
      <c r="B37">
        <v>4</v>
      </c>
      <c r="C37" s="8" t="str">
        <f t="shared" si="0"/>
        <v>20204</v>
      </c>
    </row>
    <row r="38" spans="1:3" x14ac:dyDescent="0.35">
      <c r="A38" s="2">
        <v>2021</v>
      </c>
      <c r="B38">
        <v>4</v>
      </c>
      <c r="C38" s="8" t="str">
        <f t="shared" si="0"/>
        <v>20214</v>
      </c>
    </row>
    <row r="39" spans="1:3" x14ac:dyDescent="0.35">
      <c r="A39" s="2">
        <v>2022</v>
      </c>
      <c r="B39">
        <v>4</v>
      </c>
      <c r="C39" s="8" t="str">
        <f t="shared" si="0"/>
        <v>20224</v>
      </c>
    </row>
    <row r="40" spans="1:3" x14ac:dyDescent="0.35">
      <c r="A40" s="2">
        <v>2023</v>
      </c>
      <c r="B40">
        <v>4</v>
      </c>
      <c r="C40" s="8" t="str">
        <f t="shared" si="0"/>
        <v>20234</v>
      </c>
    </row>
    <row r="41" spans="1:3" x14ac:dyDescent="0.35">
      <c r="A41" s="2">
        <v>2024</v>
      </c>
      <c r="B41">
        <v>4</v>
      </c>
      <c r="C41" s="8" t="str">
        <f t="shared" si="0"/>
        <v>20244</v>
      </c>
    </row>
    <row r="42" spans="1:3" x14ac:dyDescent="0.35">
      <c r="A42" s="2">
        <v>2015</v>
      </c>
      <c r="B42">
        <v>5</v>
      </c>
      <c r="C42" s="8" t="str">
        <f t="shared" si="0"/>
        <v>20155</v>
      </c>
    </row>
    <row r="43" spans="1:3" x14ac:dyDescent="0.35">
      <c r="A43" s="2">
        <v>2016</v>
      </c>
      <c r="B43">
        <v>5</v>
      </c>
      <c r="C43" s="8" t="str">
        <f t="shared" si="0"/>
        <v>20165</v>
      </c>
    </row>
    <row r="44" spans="1:3" x14ac:dyDescent="0.35">
      <c r="A44" s="2">
        <v>2017</v>
      </c>
      <c r="B44">
        <v>5</v>
      </c>
      <c r="C44" s="8" t="str">
        <f t="shared" si="0"/>
        <v>20175</v>
      </c>
    </row>
    <row r="45" spans="1:3" x14ac:dyDescent="0.35">
      <c r="A45" s="2">
        <v>2018</v>
      </c>
      <c r="B45">
        <v>5</v>
      </c>
      <c r="C45" s="8" t="str">
        <f t="shared" si="0"/>
        <v>20185</v>
      </c>
    </row>
    <row r="46" spans="1:3" x14ac:dyDescent="0.35">
      <c r="A46" s="2">
        <v>2019</v>
      </c>
      <c r="B46">
        <v>5</v>
      </c>
      <c r="C46" s="8" t="str">
        <f t="shared" si="0"/>
        <v>20195</v>
      </c>
    </row>
    <row r="47" spans="1:3" x14ac:dyDescent="0.35">
      <c r="A47" s="2">
        <v>2020</v>
      </c>
      <c r="B47">
        <v>5</v>
      </c>
      <c r="C47" s="8" t="str">
        <f t="shared" si="0"/>
        <v>20205</v>
      </c>
    </row>
    <row r="48" spans="1:3" x14ac:dyDescent="0.35">
      <c r="A48" s="2">
        <v>2021</v>
      </c>
      <c r="B48">
        <v>5</v>
      </c>
      <c r="C48" s="8" t="str">
        <f t="shared" si="0"/>
        <v>20215</v>
      </c>
    </row>
    <row r="49" spans="1:3" x14ac:dyDescent="0.35">
      <c r="A49" s="2">
        <v>2022</v>
      </c>
      <c r="B49">
        <v>5</v>
      </c>
      <c r="C49" s="8" t="str">
        <f t="shared" si="0"/>
        <v>20225</v>
      </c>
    </row>
    <row r="50" spans="1:3" x14ac:dyDescent="0.35">
      <c r="A50" s="2">
        <v>2023</v>
      </c>
      <c r="B50">
        <v>5</v>
      </c>
      <c r="C50" s="8" t="str">
        <f t="shared" si="0"/>
        <v>20235</v>
      </c>
    </row>
    <row r="51" spans="1:3" x14ac:dyDescent="0.35">
      <c r="A51" s="2">
        <v>2024</v>
      </c>
      <c r="B51">
        <v>5</v>
      </c>
      <c r="C51" s="8" t="str">
        <f t="shared" si="0"/>
        <v>20245</v>
      </c>
    </row>
    <row r="52" spans="1:3" x14ac:dyDescent="0.35">
      <c r="A52" s="2">
        <v>2015</v>
      </c>
      <c r="B52">
        <v>6</v>
      </c>
      <c r="C52" s="8" t="str">
        <f t="shared" si="0"/>
        <v>20156</v>
      </c>
    </row>
    <row r="53" spans="1:3" x14ac:dyDescent="0.35">
      <c r="A53" s="2">
        <v>2016</v>
      </c>
      <c r="B53">
        <v>6</v>
      </c>
      <c r="C53" s="8" t="str">
        <f t="shared" si="0"/>
        <v>20166</v>
      </c>
    </row>
    <row r="54" spans="1:3" x14ac:dyDescent="0.35">
      <c r="A54" s="2">
        <v>2017</v>
      </c>
      <c r="B54">
        <v>6</v>
      </c>
      <c r="C54" s="8" t="str">
        <f t="shared" si="0"/>
        <v>20176</v>
      </c>
    </row>
    <row r="55" spans="1:3" x14ac:dyDescent="0.35">
      <c r="A55" s="2">
        <v>2018</v>
      </c>
      <c r="B55">
        <v>6</v>
      </c>
      <c r="C55" s="8" t="str">
        <f t="shared" si="0"/>
        <v>20186</v>
      </c>
    </row>
    <row r="56" spans="1:3" x14ac:dyDescent="0.35">
      <c r="A56" s="2">
        <v>2019</v>
      </c>
      <c r="B56">
        <v>6</v>
      </c>
      <c r="C56" s="8" t="str">
        <f t="shared" si="0"/>
        <v>20196</v>
      </c>
    </row>
    <row r="57" spans="1:3" x14ac:dyDescent="0.35">
      <c r="A57" s="2">
        <v>2020</v>
      </c>
      <c r="B57">
        <v>6</v>
      </c>
      <c r="C57" s="8" t="str">
        <f t="shared" si="0"/>
        <v>20206</v>
      </c>
    </row>
    <row r="58" spans="1:3" x14ac:dyDescent="0.35">
      <c r="A58" s="2">
        <v>2021</v>
      </c>
      <c r="B58">
        <v>6</v>
      </c>
      <c r="C58" s="8" t="str">
        <f t="shared" si="0"/>
        <v>20216</v>
      </c>
    </row>
    <row r="59" spans="1:3" x14ac:dyDescent="0.35">
      <c r="A59" s="2">
        <v>2022</v>
      </c>
      <c r="B59">
        <v>6</v>
      </c>
      <c r="C59" s="8" t="str">
        <f t="shared" si="0"/>
        <v>20226</v>
      </c>
    </row>
    <row r="60" spans="1:3" x14ac:dyDescent="0.35">
      <c r="A60" s="2">
        <v>2023</v>
      </c>
      <c r="B60">
        <v>6</v>
      </c>
      <c r="C60" s="8" t="str">
        <f t="shared" si="0"/>
        <v>20236</v>
      </c>
    </row>
    <row r="61" spans="1:3" x14ac:dyDescent="0.35">
      <c r="A61" s="2">
        <v>2024</v>
      </c>
      <c r="B61">
        <v>6</v>
      </c>
      <c r="C61" s="8" t="str">
        <f t="shared" si="0"/>
        <v>20246</v>
      </c>
    </row>
    <row r="62" spans="1:3" x14ac:dyDescent="0.35">
      <c r="A62" s="2">
        <v>2015</v>
      </c>
      <c r="B62">
        <v>7</v>
      </c>
      <c r="C62" s="8" t="str">
        <f t="shared" si="0"/>
        <v>20157</v>
      </c>
    </row>
    <row r="63" spans="1:3" x14ac:dyDescent="0.35">
      <c r="A63" s="2">
        <v>2016</v>
      </c>
      <c r="B63">
        <v>7</v>
      </c>
      <c r="C63" s="8" t="str">
        <f t="shared" si="0"/>
        <v>20167</v>
      </c>
    </row>
    <row r="64" spans="1:3" x14ac:dyDescent="0.35">
      <c r="A64" s="2">
        <v>2017</v>
      </c>
      <c r="B64">
        <v>7</v>
      </c>
      <c r="C64" s="8" t="str">
        <f t="shared" si="0"/>
        <v>20177</v>
      </c>
    </row>
    <row r="65" spans="1:3" x14ac:dyDescent="0.35">
      <c r="A65" s="2">
        <v>2018</v>
      </c>
      <c r="B65">
        <v>7</v>
      </c>
      <c r="C65" s="8" t="str">
        <f t="shared" si="0"/>
        <v>20187</v>
      </c>
    </row>
    <row r="66" spans="1:3" x14ac:dyDescent="0.35">
      <c r="A66" s="2">
        <v>2019</v>
      </c>
      <c r="B66">
        <v>7</v>
      </c>
      <c r="C66" s="8" t="str">
        <f t="shared" si="0"/>
        <v>20197</v>
      </c>
    </row>
    <row r="67" spans="1:3" x14ac:dyDescent="0.35">
      <c r="A67" s="2">
        <v>2020</v>
      </c>
      <c r="B67">
        <v>7</v>
      </c>
      <c r="C67" s="8" t="str">
        <f t="shared" ref="C67:C120" si="1">CONCATENATE(A67,B67)</f>
        <v>20207</v>
      </c>
    </row>
    <row r="68" spans="1:3" x14ac:dyDescent="0.35">
      <c r="A68" s="2">
        <v>2021</v>
      </c>
      <c r="B68">
        <v>7</v>
      </c>
      <c r="C68" s="8" t="str">
        <f t="shared" si="1"/>
        <v>20217</v>
      </c>
    </row>
    <row r="69" spans="1:3" x14ac:dyDescent="0.35">
      <c r="A69" s="2">
        <v>2022</v>
      </c>
      <c r="B69">
        <v>7</v>
      </c>
      <c r="C69" s="8" t="str">
        <f t="shared" si="1"/>
        <v>20227</v>
      </c>
    </row>
    <row r="70" spans="1:3" x14ac:dyDescent="0.35">
      <c r="A70" s="2">
        <v>2023</v>
      </c>
      <c r="B70">
        <v>7</v>
      </c>
      <c r="C70" s="8" t="str">
        <f t="shared" si="1"/>
        <v>20237</v>
      </c>
    </row>
    <row r="71" spans="1:3" x14ac:dyDescent="0.35">
      <c r="A71" s="2">
        <v>2024</v>
      </c>
      <c r="B71">
        <v>7</v>
      </c>
      <c r="C71" s="8" t="str">
        <f t="shared" si="1"/>
        <v>20247</v>
      </c>
    </row>
    <row r="72" spans="1:3" x14ac:dyDescent="0.35">
      <c r="A72" s="2">
        <v>2015</v>
      </c>
      <c r="B72">
        <v>8</v>
      </c>
      <c r="C72" s="8" t="str">
        <f t="shared" si="1"/>
        <v>20158</v>
      </c>
    </row>
    <row r="73" spans="1:3" x14ac:dyDescent="0.35">
      <c r="A73" s="2">
        <v>2016</v>
      </c>
      <c r="B73">
        <v>8</v>
      </c>
      <c r="C73" s="8" t="str">
        <f t="shared" si="1"/>
        <v>20168</v>
      </c>
    </row>
    <row r="74" spans="1:3" x14ac:dyDescent="0.35">
      <c r="A74" s="2">
        <v>2017</v>
      </c>
      <c r="B74">
        <v>8</v>
      </c>
      <c r="C74" s="8" t="str">
        <f t="shared" si="1"/>
        <v>20178</v>
      </c>
    </row>
    <row r="75" spans="1:3" x14ac:dyDescent="0.35">
      <c r="A75" s="2">
        <v>2018</v>
      </c>
      <c r="B75">
        <v>8</v>
      </c>
      <c r="C75" s="8" t="str">
        <f t="shared" si="1"/>
        <v>20188</v>
      </c>
    </row>
    <row r="76" spans="1:3" x14ac:dyDescent="0.35">
      <c r="A76" s="2">
        <v>2019</v>
      </c>
      <c r="B76">
        <v>8</v>
      </c>
      <c r="C76" s="8" t="str">
        <f t="shared" si="1"/>
        <v>20198</v>
      </c>
    </row>
    <row r="77" spans="1:3" x14ac:dyDescent="0.35">
      <c r="A77" s="2">
        <v>2020</v>
      </c>
      <c r="B77">
        <v>8</v>
      </c>
      <c r="C77" s="8" t="str">
        <f t="shared" si="1"/>
        <v>20208</v>
      </c>
    </row>
    <row r="78" spans="1:3" x14ac:dyDescent="0.35">
      <c r="A78" s="2">
        <v>2021</v>
      </c>
      <c r="B78">
        <v>8</v>
      </c>
      <c r="C78" s="8" t="str">
        <f t="shared" si="1"/>
        <v>20218</v>
      </c>
    </row>
    <row r="79" spans="1:3" x14ac:dyDescent="0.35">
      <c r="A79" s="2">
        <v>2022</v>
      </c>
      <c r="B79">
        <v>8</v>
      </c>
      <c r="C79" s="8" t="str">
        <f t="shared" si="1"/>
        <v>20228</v>
      </c>
    </row>
    <row r="80" spans="1:3" x14ac:dyDescent="0.35">
      <c r="A80" s="2">
        <v>2023</v>
      </c>
      <c r="B80">
        <v>8</v>
      </c>
      <c r="C80" s="8" t="str">
        <f t="shared" si="1"/>
        <v>20238</v>
      </c>
    </row>
    <row r="81" spans="1:3" x14ac:dyDescent="0.35">
      <c r="A81" s="2">
        <v>2024</v>
      </c>
      <c r="B81">
        <v>8</v>
      </c>
      <c r="C81" s="8" t="str">
        <f t="shared" si="1"/>
        <v>20248</v>
      </c>
    </row>
    <row r="82" spans="1:3" x14ac:dyDescent="0.35">
      <c r="A82" s="2">
        <v>2015</v>
      </c>
      <c r="B82">
        <v>9</v>
      </c>
      <c r="C82" s="8" t="str">
        <f t="shared" si="1"/>
        <v>20159</v>
      </c>
    </row>
    <row r="83" spans="1:3" x14ac:dyDescent="0.35">
      <c r="A83" s="2">
        <v>2016</v>
      </c>
      <c r="B83">
        <v>9</v>
      </c>
      <c r="C83" s="8" t="str">
        <f t="shared" si="1"/>
        <v>20169</v>
      </c>
    </row>
    <row r="84" spans="1:3" x14ac:dyDescent="0.35">
      <c r="A84" s="2">
        <v>2017</v>
      </c>
      <c r="B84">
        <v>9</v>
      </c>
      <c r="C84" s="8" t="str">
        <f t="shared" si="1"/>
        <v>20179</v>
      </c>
    </row>
    <row r="85" spans="1:3" x14ac:dyDescent="0.35">
      <c r="A85" s="2">
        <v>2018</v>
      </c>
      <c r="B85">
        <v>9</v>
      </c>
      <c r="C85" s="8" t="str">
        <f t="shared" si="1"/>
        <v>20189</v>
      </c>
    </row>
    <row r="86" spans="1:3" x14ac:dyDescent="0.35">
      <c r="A86" s="2">
        <v>2019</v>
      </c>
      <c r="B86">
        <v>9</v>
      </c>
      <c r="C86" s="8" t="str">
        <f t="shared" si="1"/>
        <v>20199</v>
      </c>
    </row>
    <row r="87" spans="1:3" x14ac:dyDescent="0.35">
      <c r="A87" s="2">
        <v>2020</v>
      </c>
      <c r="B87">
        <v>9</v>
      </c>
      <c r="C87" s="8" t="str">
        <f t="shared" si="1"/>
        <v>20209</v>
      </c>
    </row>
    <row r="88" spans="1:3" x14ac:dyDescent="0.35">
      <c r="A88" s="2">
        <v>2021</v>
      </c>
      <c r="B88">
        <v>9</v>
      </c>
      <c r="C88" s="8" t="str">
        <f t="shared" si="1"/>
        <v>20219</v>
      </c>
    </row>
    <row r="89" spans="1:3" x14ac:dyDescent="0.35">
      <c r="A89" s="2">
        <v>2022</v>
      </c>
      <c r="B89">
        <v>9</v>
      </c>
      <c r="C89" s="8" t="str">
        <f t="shared" si="1"/>
        <v>20229</v>
      </c>
    </row>
    <row r="90" spans="1:3" x14ac:dyDescent="0.35">
      <c r="A90" s="2">
        <v>2023</v>
      </c>
      <c r="B90">
        <v>9</v>
      </c>
      <c r="C90" s="8" t="str">
        <f t="shared" si="1"/>
        <v>20239</v>
      </c>
    </row>
    <row r="91" spans="1:3" x14ac:dyDescent="0.35">
      <c r="A91" s="2">
        <v>2024</v>
      </c>
      <c r="B91">
        <v>9</v>
      </c>
      <c r="C91" s="8" t="str">
        <f t="shared" si="1"/>
        <v>20249</v>
      </c>
    </row>
    <row r="92" spans="1:3" x14ac:dyDescent="0.35">
      <c r="A92" s="2">
        <v>2015</v>
      </c>
      <c r="B92">
        <v>10</v>
      </c>
      <c r="C92" s="8" t="str">
        <f t="shared" si="1"/>
        <v>201510</v>
      </c>
    </row>
    <row r="93" spans="1:3" x14ac:dyDescent="0.35">
      <c r="A93" s="2">
        <v>2016</v>
      </c>
      <c r="B93">
        <v>10</v>
      </c>
      <c r="C93" s="8" t="str">
        <f t="shared" si="1"/>
        <v>201610</v>
      </c>
    </row>
    <row r="94" spans="1:3" x14ac:dyDescent="0.35">
      <c r="A94" s="2">
        <v>2017</v>
      </c>
      <c r="B94">
        <v>10</v>
      </c>
      <c r="C94" s="8" t="str">
        <f t="shared" si="1"/>
        <v>201710</v>
      </c>
    </row>
    <row r="95" spans="1:3" x14ac:dyDescent="0.35">
      <c r="A95" s="2">
        <v>2018</v>
      </c>
      <c r="B95">
        <v>10</v>
      </c>
      <c r="C95" s="8" t="str">
        <f t="shared" si="1"/>
        <v>201810</v>
      </c>
    </row>
    <row r="96" spans="1:3" x14ac:dyDescent="0.35">
      <c r="A96" s="2">
        <v>2019</v>
      </c>
      <c r="B96">
        <v>10</v>
      </c>
      <c r="C96" s="8" t="str">
        <f t="shared" si="1"/>
        <v>201910</v>
      </c>
    </row>
    <row r="97" spans="1:3" x14ac:dyDescent="0.35">
      <c r="A97" s="2">
        <v>2020</v>
      </c>
      <c r="B97">
        <v>10</v>
      </c>
      <c r="C97" s="8" t="str">
        <f t="shared" si="1"/>
        <v>202010</v>
      </c>
    </row>
    <row r="98" spans="1:3" x14ac:dyDescent="0.35">
      <c r="A98" s="2">
        <v>2021</v>
      </c>
      <c r="B98">
        <v>10</v>
      </c>
      <c r="C98" s="8" t="str">
        <f t="shared" si="1"/>
        <v>202110</v>
      </c>
    </row>
    <row r="99" spans="1:3" x14ac:dyDescent="0.35">
      <c r="A99" s="2">
        <v>2022</v>
      </c>
      <c r="B99">
        <v>10</v>
      </c>
      <c r="C99" s="8" t="str">
        <f t="shared" si="1"/>
        <v>202210</v>
      </c>
    </row>
    <row r="100" spans="1:3" x14ac:dyDescent="0.35">
      <c r="A100" s="2">
        <v>2023</v>
      </c>
      <c r="B100">
        <v>10</v>
      </c>
      <c r="C100" s="8" t="str">
        <f t="shared" si="1"/>
        <v>202310</v>
      </c>
    </row>
    <row r="101" spans="1:3" x14ac:dyDescent="0.35">
      <c r="A101" s="2">
        <v>2024</v>
      </c>
      <c r="B101">
        <v>10</v>
      </c>
      <c r="C101" s="8" t="str">
        <f t="shared" si="1"/>
        <v>202410</v>
      </c>
    </row>
    <row r="102" spans="1:3" x14ac:dyDescent="0.35">
      <c r="A102" s="2">
        <v>2015</v>
      </c>
      <c r="B102">
        <v>11</v>
      </c>
      <c r="C102" s="8" t="str">
        <f t="shared" si="1"/>
        <v>201511</v>
      </c>
    </row>
    <row r="103" spans="1:3" x14ac:dyDescent="0.35">
      <c r="A103" s="2">
        <v>2016</v>
      </c>
      <c r="B103">
        <v>11</v>
      </c>
      <c r="C103" s="8" t="str">
        <f t="shared" si="1"/>
        <v>201611</v>
      </c>
    </row>
    <row r="104" spans="1:3" x14ac:dyDescent="0.35">
      <c r="A104" s="2">
        <v>2017</v>
      </c>
      <c r="B104">
        <v>11</v>
      </c>
      <c r="C104" s="8" t="str">
        <f t="shared" si="1"/>
        <v>201711</v>
      </c>
    </row>
    <row r="105" spans="1:3" x14ac:dyDescent="0.35">
      <c r="A105" s="2">
        <v>2018</v>
      </c>
      <c r="B105">
        <v>11</v>
      </c>
      <c r="C105" s="8" t="str">
        <f t="shared" si="1"/>
        <v>201811</v>
      </c>
    </row>
    <row r="106" spans="1:3" x14ac:dyDescent="0.35">
      <c r="A106" s="2">
        <v>2019</v>
      </c>
      <c r="B106">
        <v>11</v>
      </c>
      <c r="C106" s="8" t="str">
        <f t="shared" si="1"/>
        <v>201911</v>
      </c>
    </row>
    <row r="107" spans="1:3" x14ac:dyDescent="0.35">
      <c r="A107" s="2">
        <v>2020</v>
      </c>
      <c r="B107">
        <v>11</v>
      </c>
      <c r="C107" s="8" t="str">
        <f t="shared" si="1"/>
        <v>202011</v>
      </c>
    </row>
    <row r="108" spans="1:3" x14ac:dyDescent="0.35">
      <c r="A108" s="2">
        <v>2021</v>
      </c>
      <c r="B108">
        <v>11</v>
      </c>
      <c r="C108" s="8" t="str">
        <f t="shared" si="1"/>
        <v>202111</v>
      </c>
    </row>
    <row r="109" spans="1:3" x14ac:dyDescent="0.35">
      <c r="A109" s="2">
        <v>2022</v>
      </c>
      <c r="B109">
        <v>11</v>
      </c>
      <c r="C109" s="8" t="str">
        <f t="shared" si="1"/>
        <v>202211</v>
      </c>
    </row>
    <row r="110" spans="1:3" x14ac:dyDescent="0.35">
      <c r="A110" s="2">
        <v>2023</v>
      </c>
      <c r="B110">
        <v>11</v>
      </c>
      <c r="C110" s="8" t="str">
        <f t="shared" si="1"/>
        <v>202311</v>
      </c>
    </row>
    <row r="111" spans="1:3" x14ac:dyDescent="0.35">
      <c r="A111" s="2">
        <v>2024</v>
      </c>
      <c r="B111">
        <v>11</v>
      </c>
      <c r="C111" s="8" t="str">
        <f t="shared" si="1"/>
        <v>202411</v>
      </c>
    </row>
    <row r="112" spans="1:3" x14ac:dyDescent="0.35">
      <c r="A112" s="2">
        <v>2015</v>
      </c>
      <c r="B112">
        <v>12</v>
      </c>
      <c r="C112" s="8" t="str">
        <f t="shared" si="1"/>
        <v>201512</v>
      </c>
    </row>
    <row r="113" spans="1:3" x14ac:dyDescent="0.35">
      <c r="A113" s="2">
        <v>2016</v>
      </c>
      <c r="B113">
        <v>12</v>
      </c>
      <c r="C113" s="8" t="str">
        <f t="shared" si="1"/>
        <v>201612</v>
      </c>
    </row>
    <row r="114" spans="1:3" x14ac:dyDescent="0.35">
      <c r="A114" s="2">
        <v>2017</v>
      </c>
      <c r="B114">
        <v>12</v>
      </c>
      <c r="C114" s="8" t="str">
        <f t="shared" si="1"/>
        <v>201712</v>
      </c>
    </row>
    <row r="115" spans="1:3" x14ac:dyDescent="0.35">
      <c r="A115" s="2">
        <v>2018</v>
      </c>
      <c r="B115">
        <v>12</v>
      </c>
      <c r="C115" s="8" t="str">
        <f t="shared" si="1"/>
        <v>201812</v>
      </c>
    </row>
    <row r="116" spans="1:3" x14ac:dyDescent="0.35">
      <c r="A116" s="2">
        <v>2019</v>
      </c>
      <c r="B116">
        <v>12</v>
      </c>
      <c r="C116" s="8" t="str">
        <f t="shared" si="1"/>
        <v>201912</v>
      </c>
    </row>
    <row r="117" spans="1:3" x14ac:dyDescent="0.35">
      <c r="A117" s="2">
        <v>2020</v>
      </c>
      <c r="B117">
        <v>12</v>
      </c>
      <c r="C117" s="8" t="str">
        <f t="shared" si="1"/>
        <v>202012</v>
      </c>
    </row>
    <row r="118" spans="1:3" x14ac:dyDescent="0.35">
      <c r="A118" s="2">
        <v>2021</v>
      </c>
      <c r="B118">
        <v>12</v>
      </c>
      <c r="C118" s="8" t="str">
        <f t="shared" si="1"/>
        <v>202112</v>
      </c>
    </row>
    <row r="119" spans="1:3" x14ac:dyDescent="0.35">
      <c r="A119" s="2">
        <v>2022</v>
      </c>
      <c r="B119">
        <v>12</v>
      </c>
      <c r="C119" s="8" t="str">
        <f t="shared" si="1"/>
        <v>202212</v>
      </c>
    </row>
    <row r="120" spans="1:3" x14ac:dyDescent="0.35">
      <c r="A120" s="2">
        <v>2023</v>
      </c>
      <c r="B120">
        <v>12</v>
      </c>
      <c r="C120" s="8" t="str">
        <f t="shared" si="1"/>
        <v>202312</v>
      </c>
    </row>
    <row r="121" spans="1:3" x14ac:dyDescent="0.35">
      <c r="A121" s="2">
        <v>2024</v>
      </c>
      <c r="B121">
        <v>12</v>
      </c>
      <c r="C121" s="8" t="str">
        <f>CONCATENATE(A121,B121)</f>
        <v>202412</v>
      </c>
    </row>
  </sheetData>
  <conditionalFormatting sqref="C2:C121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C247-A1A0-4928-AB7D-6E524C6628E1}">
  <dimension ref="A1:F17"/>
  <sheetViews>
    <sheetView workbookViewId="0">
      <selection activeCell="A9" sqref="A9"/>
    </sheetView>
  </sheetViews>
  <sheetFormatPr defaultRowHeight="14.5" x14ac:dyDescent="0.35"/>
  <cols>
    <col min="1" max="1" width="9.26953125" customWidth="1"/>
    <col min="2" max="2" width="11.36328125" customWidth="1"/>
  </cols>
  <sheetData>
    <row r="1" spans="1:6" x14ac:dyDescent="0.35">
      <c r="A1" s="7" t="s">
        <v>2</v>
      </c>
      <c r="B1" t="s">
        <v>163</v>
      </c>
    </row>
    <row r="2" spans="1:6" x14ac:dyDescent="0.35">
      <c r="A2" s="2" t="s">
        <v>25</v>
      </c>
      <c r="B2" t="s">
        <v>172</v>
      </c>
    </row>
    <row r="3" spans="1:6" x14ac:dyDescent="0.35">
      <c r="A3" s="2" t="s">
        <v>35</v>
      </c>
      <c r="B3" t="s">
        <v>171</v>
      </c>
    </row>
    <row r="4" spans="1:6" x14ac:dyDescent="0.35">
      <c r="A4" s="2" t="s">
        <v>28</v>
      </c>
      <c r="B4" t="s">
        <v>170</v>
      </c>
    </row>
    <row r="5" spans="1:6" x14ac:dyDescent="0.35">
      <c r="A5" s="2" t="s">
        <v>37</v>
      </c>
      <c r="B5" t="s">
        <v>167</v>
      </c>
    </row>
    <row r="6" spans="1:6" x14ac:dyDescent="0.35">
      <c r="A6" s="2" t="s">
        <v>36</v>
      </c>
      <c r="B6" t="s">
        <v>169</v>
      </c>
    </row>
    <row r="7" spans="1:6" x14ac:dyDescent="0.35">
      <c r="A7" s="2" t="s">
        <v>30</v>
      </c>
      <c r="B7" t="s">
        <v>168</v>
      </c>
      <c r="F7" s="9"/>
    </row>
    <row r="8" spans="1:6" x14ac:dyDescent="0.35">
      <c r="A8" s="2" t="s">
        <v>38</v>
      </c>
      <c r="B8" t="s">
        <v>166</v>
      </c>
      <c r="F8" s="9"/>
    </row>
    <row r="9" spans="1:6" x14ac:dyDescent="0.35">
      <c r="A9" t="s">
        <v>14</v>
      </c>
      <c r="B9" t="s">
        <v>173</v>
      </c>
      <c r="F9" s="9"/>
    </row>
    <row r="10" spans="1:6" x14ac:dyDescent="0.35">
      <c r="A10" s="2" t="s">
        <v>32</v>
      </c>
      <c r="B10" t="s">
        <v>32</v>
      </c>
      <c r="F10" s="9"/>
    </row>
    <row r="11" spans="1:6" x14ac:dyDescent="0.35">
      <c r="A11" s="2" t="s">
        <v>21</v>
      </c>
      <c r="B11" t="s">
        <v>165</v>
      </c>
      <c r="F11" s="9"/>
    </row>
    <row r="12" spans="1:6" x14ac:dyDescent="0.35">
      <c r="F12" s="9"/>
    </row>
    <row r="13" spans="1:6" x14ac:dyDescent="0.35">
      <c r="F13" s="9"/>
    </row>
    <row r="14" spans="1:6" x14ac:dyDescent="0.35">
      <c r="F14" s="9"/>
    </row>
    <row r="15" spans="1:6" x14ac:dyDescent="0.35">
      <c r="F15" s="9"/>
    </row>
    <row r="16" spans="1:6" x14ac:dyDescent="0.35">
      <c r="F16" s="9"/>
    </row>
    <row r="17" spans="6:6" x14ac:dyDescent="0.35">
      <c r="F17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workbookViewId="0">
      <selection activeCell="H6" sqref="H6"/>
    </sheetView>
  </sheetViews>
  <sheetFormatPr defaultRowHeight="14.5" x14ac:dyDescent="0.35"/>
  <cols>
    <col min="1" max="1" width="10.81640625" customWidth="1"/>
    <col min="3" max="3" width="10" customWidth="1"/>
    <col min="4" max="4" width="13.1796875" customWidth="1"/>
  </cols>
  <sheetData>
    <row r="1" spans="1:4" x14ac:dyDescent="0.35">
      <c r="A1" t="s">
        <v>164</v>
      </c>
      <c r="B1" s="2" t="s">
        <v>42</v>
      </c>
      <c r="C1" t="s">
        <v>4</v>
      </c>
      <c r="D1" s="4" t="s">
        <v>5</v>
      </c>
    </row>
    <row r="2" spans="1:4" x14ac:dyDescent="0.35">
      <c r="A2" t="str">
        <f>LEFT(Car_description[[#This Row],[Model]],3) &amp; LEFT(Car_description[[#This Row],[segment]],2) &amp; LEFT(Car_description[[#This Row],[engine_type]],2)</f>
        <v>3 SElDi</v>
      </c>
      <c r="B2" s="2" t="s">
        <v>31</v>
      </c>
      <c r="C2" s="5" t="s">
        <v>20</v>
      </c>
      <c r="D2" s="3" t="s">
        <v>27</v>
      </c>
    </row>
    <row r="3" spans="1:4" x14ac:dyDescent="0.35">
      <c r="A3" t="str">
        <f>LEFT(Car_description[[#This Row],[Model]],3) &amp; LEFT(Car_description[[#This Row],[segment]],2) &amp; LEFT(Car_description[[#This Row],[engine_type]],2)</f>
        <v>3 SSeDi</v>
      </c>
      <c r="B3" s="2" t="s">
        <v>31</v>
      </c>
      <c r="C3" s="6" t="s">
        <v>19</v>
      </c>
      <c r="D3" s="3" t="s">
        <v>27</v>
      </c>
    </row>
    <row r="4" spans="1:4" x14ac:dyDescent="0.35">
      <c r="A4" t="str">
        <f>LEFT(Car_description[[#This Row],[Model]],3) &amp; LEFT(Car_description[[#This Row],[segment]],2) &amp; LEFT(Car_description[[#This Row],[engine_type]],2)</f>
        <v>3 SSUDi</v>
      </c>
      <c r="B4" s="2" t="s">
        <v>31</v>
      </c>
      <c r="C4" s="5" t="s">
        <v>16</v>
      </c>
      <c r="D4" s="3" t="s">
        <v>27</v>
      </c>
    </row>
    <row r="5" spans="1:4" x14ac:dyDescent="0.35">
      <c r="A5" t="str">
        <f>LEFT(Car_description[[#This Row],[Model]],3) &amp; LEFT(Car_description[[#This Row],[segment]],2) &amp; LEFT(Car_description[[#This Row],[engine_type]],2)</f>
        <v>3 SElEl</v>
      </c>
      <c r="B5" s="2" t="s">
        <v>31</v>
      </c>
      <c r="C5" s="5" t="s">
        <v>20</v>
      </c>
      <c r="D5" s="3" t="s">
        <v>20</v>
      </c>
    </row>
    <row r="6" spans="1:4" x14ac:dyDescent="0.35">
      <c r="A6" t="str">
        <f>LEFT(Car_description[[#This Row],[Model]],3) &amp; LEFT(Car_description[[#This Row],[segment]],2) &amp; LEFT(Car_description[[#This Row],[engine_type]],2)</f>
        <v>3 SSeEl</v>
      </c>
      <c r="B6" s="2" t="s">
        <v>31</v>
      </c>
      <c r="C6" s="6" t="s">
        <v>19</v>
      </c>
      <c r="D6" s="3" t="s">
        <v>20</v>
      </c>
    </row>
    <row r="7" spans="1:4" x14ac:dyDescent="0.35">
      <c r="A7" t="str">
        <f>LEFT(Car_description[[#This Row],[Model]],3) &amp; LEFT(Car_description[[#This Row],[segment]],2) &amp; LEFT(Car_description[[#This Row],[engine_type]],2)</f>
        <v>3 SSUEl</v>
      </c>
      <c r="B7" s="2" t="s">
        <v>31</v>
      </c>
      <c r="C7" s="5" t="s">
        <v>16</v>
      </c>
      <c r="D7" s="3" t="s">
        <v>20</v>
      </c>
    </row>
    <row r="8" spans="1:4" x14ac:dyDescent="0.35">
      <c r="A8" t="str">
        <f>LEFT(Car_description[[#This Row],[Model]],3) &amp; LEFT(Car_description[[#This Row],[segment]],2) &amp; LEFT(Car_description[[#This Row],[engine_type]],2)</f>
        <v>3 SElHy</v>
      </c>
      <c r="B8" s="2" t="s">
        <v>31</v>
      </c>
      <c r="C8" s="5" t="s">
        <v>20</v>
      </c>
      <c r="D8" s="3" t="s">
        <v>23</v>
      </c>
    </row>
    <row r="9" spans="1:4" x14ac:dyDescent="0.35">
      <c r="A9" t="str">
        <f>LEFT(Car_description[[#This Row],[Model]],3) &amp; LEFT(Car_description[[#This Row],[segment]],2) &amp; LEFT(Car_description[[#This Row],[engine_type]],2)</f>
        <v>3 SSeHy</v>
      </c>
      <c r="B9" s="2" t="s">
        <v>31</v>
      </c>
      <c r="C9" s="6" t="s">
        <v>19</v>
      </c>
      <c r="D9" s="3" t="s">
        <v>23</v>
      </c>
    </row>
    <row r="10" spans="1:4" x14ac:dyDescent="0.35">
      <c r="A10" t="str">
        <f>LEFT(Car_description[[#This Row],[Model]],3) &amp; LEFT(Car_description[[#This Row],[segment]],2) &amp; LEFT(Car_description[[#This Row],[engine_type]],2)</f>
        <v>3 SSUHy</v>
      </c>
      <c r="B10" s="2" t="s">
        <v>31</v>
      </c>
      <c r="C10" s="5" t="s">
        <v>16</v>
      </c>
      <c r="D10" s="3" t="s">
        <v>23</v>
      </c>
    </row>
    <row r="11" spans="1:4" x14ac:dyDescent="0.35">
      <c r="A11" t="str">
        <f>LEFT(Car_description[[#This Row],[Model]],3) &amp; LEFT(Car_description[[#This Row],[segment]],2) &amp; LEFT(Car_description[[#This Row],[engine_type]],2)</f>
        <v>3 SElPe</v>
      </c>
      <c r="B11" s="2" t="s">
        <v>31</v>
      </c>
      <c r="C11" s="5" t="s">
        <v>20</v>
      </c>
      <c r="D11" s="3" t="s">
        <v>17</v>
      </c>
    </row>
    <row r="12" spans="1:4" x14ac:dyDescent="0.35">
      <c r="A12" t="str">
        <f>LEFT(Car_description[[#This Row],[Model]],3) &amp; LEFT(Car_description[[#This Row],[segment]],2) &amp; LEFT(Car_description[[#This Row],[engine_type]],2)</f>
        <v>3 SSePe</v>
      </c>
      <c r="B12" s="2" t="s">
        <v>31</v>
      </c>
      <c r="C12" s="6" t="s">
        <v>19</v>
      </c>
      <c r="D12" s="3" t="s">
        <v>17</v>
      </c>
    </row>
    <row r="13" spans="1:4" x14ac:dyDescent="0.35">
      <c r="A13" t="str">
        <f>LEFT(Car_description[[#This Row],[Model]],3) &amp; LEFT(Car_description[[#This Row],[segment]],2) &amp; LEFT(Car_description[[#This Row],[engine_type]],2)</f>
        <v>3 SSUPe</v>
      </c>
      <c r="B13" s="2" t="s">
        <v>31</v>
      </c>
      <c r="C13" s="5" t="s">
        <v>16</v>
      </c>
      <c r="D13" s="3" t="s">
        <v>17</v>
      </c>
    </row>
    <row r="14" spans="1:4" x14ac:dyDescent="0.35">
      <c r="A14" t="str">
        <f>LEFT(Car_description[[#This Row],[Model]],3) &amp; LEFT(Car_description[[#This Row],[segment]],2) &amp; LEFT(Car_description[[#This Row],[engine_type]],2)</f>
        <v>5 SElDi</v>
      </c>
      <c r="B14" s="2" t="s">
        <v>22</v>
      </c>
      <c r="C14" s="5" t="s">
        <v>20</v>
      </c>
      <c r="D14" s="3" t="s">
        <v>27</v>
      </c>
    </row>
    <row r="15" spans="1:4" x14ac:dyDescent="0.35">
      <c r="A15" t="str">
        <f>LEFT(Car_description[[#This Row],[Model]],3) &amp; LEFT(Car_description[[#This Row],[segment]],2) &amp; LEFT(Car_description[[#This Row],[engine_type]],2)</f>
        <v>5 SSeDi</v>
      </c>
      <c r="B15" s="2" t="s">
        <v>22</v>
      </c>
      <c r="C15" s="6" t="s">
        <v>19</v>
      </c>
      <c r="D15" s="3" t="s">
        <v>27</v>
      </c>
    </row>
    <row r="16" spans="1:4" x14ac:dyDescent="0.35">
      <c r="A16" t="str">
        <f>LEFT(Car_description[[#This Row],[Model]],3) &amp; LEFT(Car_description[[#This Row],[segment]],2) &amp; LEFT(Car_description[[#This Row],[engine_type]],2)</f>
        <v>5 SSUDi</v>
      </c>
      <c r="B16" s="2" t="s">
        <v>22</v>
      </c>
      <c r="C16" s="5" t="s">
        <v>16</v>
      </c>
      <c r="D16" s="3" t="s">
        <v>27</v>
      </c>
    </row>
    <row r="17" spans="1:4" x14ac:dyDescent="0.35">
      <c r="A17" t="str">
        <f>LEFT(Car_description[[#This Row],[Model]],3) &amp; LEFT(Car_description[[#This Row],[segment]],2) &amp; LEFT(Car_description[[#This Row],[engine_type]],2)</f>
        <v>5 SElEl</v>
      </c>
      <c r="B17" s="2" t="s">
        <v>22</v>
      </c>
      <c r="C17" s="5" t="s">
        <v>20</v>
      </c>
      <c r="D17" s="3" t="s">
        <v>20</v>
      </c>
    </row>
    <row r="18" spans="1:4" x14ac:dyDescent="0.35">
      <c r="A18" t="str">
        <f>LEFT(Car_description[[#This Row],[Model]],3) &amp; LEFT(Car_description[[#This Row],[segment]],2) &amp; LEFT(Car_description[[#This Row],[engine_type]],2)</f>
        <v>5 SSeEl</v>
      </c>
      <c r="B18" s="2" t="s">
        <v>22</v>
      </c>
      <c r="C18" s="6" t="s">
        <v>19</v>
      </c>
      <c r="D18" s="3" t="s">
        <v>20</v>
      </c>
    </row>
    <row r="19" spans="1:4" x14ac:dyDescent="0.35">
      <c r="A19" t="str">
        <f>LEFT(Car_description[[#This Row],[Model]],3) &amp; LEFT(Car_description[[#This Row],[segment]],2) &amp; LEFT(Car_description[[#This Row],[engine_type]],2)</f>
        <v>5 SSUEl</v>
      </c>
      <c r="B19" s="2" t="s">
        <v>22</v>
      </c>
      <c r="C19" s="5" t="s">
        <v>16</v>
      </c>
      <c r="D19" s="3" t="s">
        <v>20</v>
      </c>
    </row>
    <row r="20" spans="1:4" x14ac:dyDescent="0.35">
      <c r="A20" t="str">
        <f>LEFT(Car_description[[#This Row],[Model]],3) &amp; LEFT(Car_description[[#This Row],[segment]],2) &amp; LEFT(Car_description[[#This Row],[engine_type]],2)</f>
        <v>5 SElHy</v>
      </c>
      <c r="B20" s="2" t="s">
        <v>22</v>
      </c>
      <c r="C20" s="5" t="s">
        <v>20</v>
      </c>
      <c r="D20" s="3" t="s">
        <v>23</v>
      </c>
    </row>
    <row r="21" spans="1:4" x14ac:dyDescent="0.35">
      <c r="A21" t="str">
        <f>LEFT(Car_description[[#This Row],[Model]],3) &amp; LEFT(Car_description[[#This Row],[segment]],2) &amp; LEFT(Car_description[[#This Row],[engine_type]],2)</f>
        <v>5 SSeHy</v>
      </c>
      <c r="B21" s="2" t="s">
        <v>22</v>
      </c>
      <c r="C21" s="6" t="s">
        <v>19</v>
      </c>
      <c r="D21" s="3" t="s">
        <v>23</v>
      </c>
    </row>
    <row r="22" spans="1:4" x14ac:dyDescent="0.35">
      <c r="A22" t="str">
        <f>LEFT(Car_description[[#This Row],[Model]],3) &amp; LEFT(Car_description[[#This Row],[segment]],2) &amp; LEFT(Car_description[[#This Row],[engine_type]],2)</f>
        <v>5 SSUHy</v>
      </c>
      <c r="B22" s="2" t="s">
        <v>22</v>
      </c>
      <c r="C22" s="5" t="s">
        <v>16</v>
      </c>
      <c r="D22" s="3" t="s">
        <v>23</v>
      </c>
    </row>
    <row r="23" spans="1:4" x14ac:dyDescent="0.35">
      <c r="A23" t="str">
        <f>LEFT(Car_description[[#This Row],[Model]],3) &amp; LEFT(Car_description[[#This Row],[segment]],2) &amp; LEFT(Car_description[[#This Row],[engine_type]],2)</f>
        <v>5 SElPe</v>
      </c>
      <c r="B23" s="2" t="s">
        <v>22</v>
      </c>
      <c r="C23" s="5" t="s">
        <v>20</v>
      </c>
      <c r="D23" s="3" t="s">
        <v>17</v>
      </c>
    </row>
    <row r="24" spans="1:4" x14ac:dyDescent="0.35">
      <c r="A24" t="str">
        <f>LEFT(Car_description[[#This Row],[Model]],3) &amp; LEFT(Car_description[[#This Row],[segment]],2) &amp; LEFT(Car_description[[#This Row],[engine_type]],2)</f>
        <v>5 SSePe</v>
      </c>
      <c r="B24" s="2" t="s">
        <v>22</v>
      </c>
      <c r="C24" s="6" t="s">
        <v>19</v>
      </c>
      <c r="D24" s="3" t="s">
        <v>17</v>
      </c>
    </row>
    <row r="25" spans="1:4" x14ac:dyDescent="0.35">
      <c r="A25" t="str">
        <f>LEFT(Car_description[[#This Row],[Model]],3) &amp; LEFT(Car_description[[#This Row],[segment]],2) &amp; LEFT(Car_description[[#This Row],[engine_type]],2)</f>
        <v>5 SSUPe</v>
      </c>
      <c r="B25" s="2" t="s">
        <v>22</v>
      </c>
      <c r="C25" s="5" t="s">
        <v>16</v>
      </c>
      <c r="D25" s="3" t="s">
        <v>17</v>
      </c>
    </row>
    <row r="26" spans="1:4" x14ac:dyDescent="0.35">
      <c r="A26" t="str">
        <f>LEFT(Car_description[[#This Row],[Model]],3) &amp; LEFT(Car_description[[#This Row],[segment]],2) &amp; LEFT(Car_description[[#This Row],[engine_type]],2)</f>
        <v>7 SElDi</v>
      </c>
      <c r="B26" s="2" t="s">
        <v>33</v>
      </c>
      <c r="C26" s="5" t="s">
        <v>20</v>
      </c>
      <c r="D26" s="3" t="s">
        <v>27</v>
      </c>
    </row>
    <row r="27" spans="1:4" x14ac:dyDescent="0.35">
      <c r="A27" t="str">
        <f>LEFT(Car_description[[#This Row],[Model]],3) &amp; LEFT(Car_description[[#This Row],[segment]],2) &amp; LEFT(Car_description[[#This Row],[engine_type]],2)</f>
        <v>7 SSeDi</v>
      </c>
      <c r="B27" s="2" t="s">
        <v>33</v>
      </c>
      <c r="C27" s="6" t="s">
        <v>19</v>
      </c>
      <c r="D27" s="3" t="s">
        <v>27</v>
      </c>
    </row>
    <row r="28" spans="1:4" x14ac:dyDescent="0.35">
      <c r="A28" t="str">
        <f>LEFT(Car_description[[#This Row],[Model]],3) &amp; LEFT(Car_description[[#This Row],[segment]],2) &amp; LEFT(Car_description[[#This Row],[engine_type]],2)</f>
        <v>7 SSUDi</v>
      </c>
      <c r="B28" s="2" t="s">
        <v>33</v>
      </c>
      <c r="C28" s="5" t="s">
        <v>16</v>
      </c>
      <c r="D28" s="3" t="s">
        <v>27</v>
      </c>
    </row>
    <row r="29" spans="1:4" x14ac:dyDescent="0.35">
      <c r="A29" t="str">
        <f>LEFT(Car_description[[#This Row],[Model]],3) &amp; LEFT(Car_description[[#This Row],[segment]],2) &amp; LEFT(Car_description[[#This Row],[engine_type]],2)</f>
        <v>7 SElEl</v>
      </c>
      <c r="B29" s="2" t="s">
        <v>33</v>
      </c>
      <c r="C29" s="5" t="s">
        <v>20</v>
      </c>
      <c r="D29" s="3" t="s">
        <v>20</v>
      </c>
    </row>
    <row r="30" spans="1:4" x14ac:dyDescent="0.35">
      <c r="A30" t="str">
        <f>LEFT(Car_description[[#This Row],[Model]],3) &amp; LEFT(Car_description[[#This Row],[segment]],2) &amp; LEFT(Car_description[[#This Row],[engine_type]],2)</f>
        <v>7 SSeEl</v>
      </c>
      <c r="B30" s="2" t="s">
        <v>33</v>
      </c>
      <c r="C30" s="6" t="s">
        <v>19</v>
      </c>
      <c r="D30" s="3" t="s">
        <v>20</v>
      </c>
    </row>
    <row r="31" spans="1:4" x14ac:dyDescent="0.35">
      <c r="A31" t="str">
        <f>LEFT(Car_description[[#This Row],[Model]],3) &amp; LEFT(Car_description[[#This Row],[segment]],2) &amp; LEFT(Car_description[[#This Row],[engine_type]],2)</f>
        <v>7 SSUEl</v>
      </c>
      <c r="B31" s="2" t="s">
        <v>33</v>
      </c>
      <c r="C31" s="5" t="s">
        <v>16</v>
      </c>
      <c r="D31" s="3" t="s">
        <v>20</v>
      </c>
    </row>
    <row r="32" spans="1:4" x14ac:dyDescent="0.35">
      <c r="A32" t="str">
        <f>LEFT(Car_description[[#This Row],[Model]],3) &amp; LEFT(Car_description[[#This Row],[segment]],2) &amp; LEFT(Car_description[[#This Row],[engine_type]],2)</f>
        <v>7 SElHy</v>
      </c>
      <c r="B32" s="2" t="s">
        <v>33</v>
      </c>
      <c r="C32" s="5" t="s">
        <v>20</v>
      </c>
      <c r="D32" s="3" t="s">
        <v>23</v>
      </c>
    </row>
    <row r="33" spans="1:4" x14ac:dyDescent="0.35">
      <c r="A33" t="str">
        <f>LEFT(Car_description[[#This Row],[Model]],3) &amp; LEFT(Car_description[[#This Row],[segment]],2) &amp; LEFT(Car_description[[#This Row],[engine_type]],2)</f>
        <v>7 SSeHy</v>
      </c>
      <c r="B33" s="2" t="s">
        <v>33</v>
      </c>
      <c r="C33" s="6" t="s">
        <v>19</v>
      </c>
      <c r="D33" s="3" t="s">
        <v>23</v>
      </c>
    </row>
    <row r="34" spans="1:4" x14ac:dyDescent="0.35">
      <c r="A34" t="str">
        <f>LEFT(Car_description[[#This Row],[Model]],3) &amp; LEFT(Car_description[[#This Row],[segment]],2) &amp; LEFT(Car_description[[#This Row],[engine_type]],2)</f>
        <v>7 SSUHy</v>
      </c>
      <c r="B34" s="2" t="s">
        <v>33</v>
      </c>
      <c r="C34" s="5" t="s">
        <v>16</v>
      </c>
      <c r="D34" s="3" t="s">
        <v>23</v>
      </c>
    </row>
    <row r="35" spans="1:4" x14ac:dyDescent="0.35">
      <c r="A35" t="str">
        <f>LEFT(Car_description[[#This Row],[Model]],3) &amp; LEFT(Car_description[[#This Row],[segment]],2) &amp; LEFT(Car_description[[#This Row],[engine_type]],2)</f>
        <v>7 SElPe</v>
      </c>
      <c r="B35" s="2" t="s">
        <v>33</v>
      </c>
      <c r="C35" s="5" t="s">
        <v>20</v>
      </c>
      <c r="D35" s="3" t="s">
        <v>17</v>
      </c>
    </row>
    <row r="36" spans="1:4" x14ac:dyDescent="0.35">
      <c r="A36" t="str">
        <f>LEFT(Car_description[[#This Row],[Model]],3) &amp; LEFT(Car_description[[#This Row],[segment]],2) &amp; LEFT(Car_description[[#This Row],[engine_type]],2)</f>
        <v>7 SSePe</v>
      </c>
      <c r="B36" s="2" t="s">
        <v>33</v>
      </c>
      <c r="C36" s="6" t="s">
        <v>19</v>
      </c>
      <c r="D36" s="3" t="s">
        <v>17</v>
      </c>
    </row>
    <row r="37" spans="1:4" x14ac:dyDescent="0.35">
      <c r="A37" t="str">
        <f>LEFT(Car_description[[#This Row],[Model]],3) &amp; LEFT(Car_description[[#This Row],[segment]],2) &amp; LEFT(Car_description[[#This Row],[engine_type]],2)</f>
        <v>7 SSUPe</v>
      </c>
      <c r="B37" s="2" t="s">
        <v>33</v>
      </c>
      <c r="C37" s="5" t="s">
        <v>16</v>
      </c>
      <c r="D37" s="3" t="s">
        <v>17</v>
      </c>
    </row>
    <row r="38" spans="1:4" x14ac:dyDescent="0.35">
      <c r="A38" t="str">
        <f>LEFT(Car_description[[#This Row],[Model]],3) &amp; LEFT(Car_description[[#This Row],[segment]],2) &amp; LEFT(Car_description[[#This Row],[engine_type]],2)</f>
        <v>i4ElDi</v>
      </c>
      <c r="B38" s="2" t="s">
        <v>18</v>
      </c>
      <c r="C38" s="5" t="s">
        <v>20</v>
      </c>
      <c r="D38" s="3" t="s">
        <v>27</v>
      </c>
    </row>
    <row r="39" spans="1:4" x14ac:dyDescent="0.35">
      <c r="A39" t="str">
        <f>LEFT(Car_description[[#This Row],[Model]],3) &amp; LEFT(Car_description[[#This Row],[segment]],2) &amp; LEFT(Car_description[[#This Row],[engine_type]],2)</f>
        <v>i4SeDi</v>
      </c>
      <c r="B39" s="2" t="s">
        <v>18</v>
      </c>
      <c r="C39" s="6" t="s">
        <v>19</v>
      </c>
      <c r="D39" s="3" t="s">
        <v>27</v>
      </c>
    </row>
    <row r="40" spans="1:4" x14ac:dyDescent="0.35">
      <c r="A40" t="str">
        <f>LEFT(Car_description[[#This Row],[Model]],3) &amp; LEFT(Car_description[[#This Row],[segment]],2) &amp; LEFT(Car_description[[#This Row],[engine_type]],2)</f>
        <v>i4SUDi</v>
      </c>
      <c r="B40" s="2" t="s">
        <v>18</v>
      </c>
      <c r="C40" s="5" t="s">
        <v>16</v>
      </c>
      <c r="D40" s="3" t="s">
        <v>27</v>
      </c>
    </row>
    <row r="41" spans="1:4" x14ac:dyDescent="0.35">
      <c r="A41" t="str">
        <f>LEFT(Car_description[[#This Row],[Model]],3) &amp; LEFT(Car_description[[#This Row],[segment]],2) &amp; LEFT(Car_description[[#This Row],[engine_type]],2)</f>
        <v>i4ElEl</v>
      </c>
      <c r="B41" s="2" t="s">
        <v>18</v>
      </c>
      <c r="C41" s="5" t="s">
        <v>20</v>
      </c>
      <c r="D41" s="3" t="s">
        <v>20</v>
      </c>
    </row>
    <row r="42" spans="1:4" x14ac:dyDescent="0.35">
      <c r="A42" t="str">
        <f>LEFT(Car_description[[#This Row],[Model]],3) &amp; LEFT(Car_description[[#This Row],[segment]],2) &amp; LEFT(Car_description[[#This Row],[engine_type]],2)</f>
        <v>i4SeEl</v>
      </c>
      <c r="B42" s="2" t="s">
        <v>18</v>
      </c>
      <c r="C42" s="6" t="s">
        <v>19</v>
      </c>
      <c r="D42" s="3" t="s">
        <v>20</v>
      </c>
    </row>
    <row r="43" spans="1:4" x14ac:dyDescent="0.35">
      <c r="A43" t="str">
        <f>LEFT(Car_description[[#This Row],[Model]],3) &amp; LEFT(Car_description[[#This Row],[segment]],2) &amp; LEFT(Car_description[[#This Row],[engine_type]],2)</f>
        <v>i4SUEl</v>
      </c>
      <c r="B43" s="2" t="s">
        <v>18</v>
      </c>
      <c r="C43" s="5" t="s">
        <v>16</v>
      </c>
      <c r="D43" s="3" t="s">
        <v>20</v>
      </c>
    </row>
    <row r="44" spans="1:4" x14ac:dyDescent="0.35">
      <c r="A44" t="str">
        <f>LEFT(Car_description[[#This Row],[Model]],3) &amp; LEFT(Car_description[[#This Row],[segment]],2) &amp; LEFT(Car_description[[#This Row],[engine_type]],2)</f>
        <v>i4ElHy</v>
      </c>
      <c r="B44" s="2" t="s">
        <v>18</v>
      </c>
      <c r="C44" s="5" t="s">
        <v>20</v>
      </c>
      <c r="D44" s="3" t="s">
        <v>23</v>
      </c>
    </row>
    <row r="45" spans="1:4" x14ac:dyDescent="0.35">
      <c r="A45" t="str">
        <f>LEFT(Car_description[[#This Row],[Model]],3) &amp; LEFT(Car_description[[#This Row],[segment]],2) &amp; LEFT(Car_description[[#This Row],[engine_type]],2)</f>
        <v>i4SeHy</v>
      </c>
      <c r="B45" s="2" t="s">
        <v>18</v>
      </c>
      <c r="C45" s="6" t="s">
        <v>19</v>
      </c>
      <c r="D45" s="3" t="s">
        <v>23</v>
      </c>
    </row>
    <row r="46" spans="1:4" x14ac:dyDescent="0.35">
      <c r="A46" t="str">
        <f>LEFT(Car_description[[#This Row],[Model]],3) &amp; LEFT(Car_description[[#This Row],[segment]],2) &amp; LEFT(Car_description[[#This Row],[engine_type]],2)</f>
        <v>i4SUHy</v>
      </c>
      <c r="B46" s="2" t="s">
        <v>18</v>
      </c>
      <c r="C46" s="5" t="s">
        <v>16</v>
      </c>
      <c r="D46" s="3" t="s">
        <v>23</v>
      </c>
    </row>
    <row r="47" spans="1:4" x14ac:dyDescent="0.35">
      <c r="A47" t="str">
        <f>LEFT(Car_description[[#This Row],[Model]],3) &amp; LEFT(Car_description[[#This Row],[segment]],2) &amp; LEFT(Car_description[[#This Row],[engine_type]],2)</f>
        <v>i4ElPe</v>
      </c>
      <c r="B47" s="2" t="s">
        <v>18</v>
      </c>
      <c r="C47" s="5" t="s">
        <v>20</v>
      </c>
      <c r="D47" s="3" t="s">
        <v>17</v>
      </c>
    </row>
    <row r="48" spans="1:4" x14ac:dyDescent="0.35">
      <c r="A48" t="str">
        <f>LEFT(Car_description[[#This Row],[Model]],3) &amp; LEFT(Car_description[[#This Row],[segment]],2) &amp; LEFT(Car_description[[#This Row],[engine_type]],2)</f>
        <v>i4SePe</v>
      </c>
      <c r="B48" s="2" t="s">
        <v>18</v>
      </c>
      <c r="C48" s="6" t="s">
        <v>19</v>
      </c>
      <c r="D48" s="3" t="s">
        <v>17</v>
      </c>
    </row>
    <row r="49" spans="1:4" x14ac:dyDescent="0.35">
      <c r="A49" t="str">
        <f>LEFT(Car_description[[#This Row],[Model]],3) &amp; LEFT(Car_description[[#This Row],[segment]],2) &amp; LEFT(Car_description[[#This Row],[engine_type]],2)</f>
        <v>i4SUPe</v>
      </c>
      <c r="B49" s="2" t="s">
        <v>18</v>
      </c>
      <c r="C49" s="5" t="s">
        <v>16</v>
      </c>
      <c r="D49" s="3" t="s">
        <v>17</v>
      </c>
    </row>
    <row r="50" spans="1:4" x14ac:dyDescent="0.35">
      <c r="A50" t="str">
        <f>LEFT(Car_description[[#This Row],[Model]],3) &amp; LEFT(Car_description[[#This Row],[segment]],2) &amp; LEFT(Car_description[[#This Row],[engine_type]],2)</f>
        <v>i7ElDi</v>
      </c>
      <c r="B50" s="2" t="s">
        <v>24</v>
      </c>
      <c r="C50" s="5" t="s">
        <v>20</v>
      </c>
      <c r="D50" s="3" t="s">
        <v>27</v>
      </c>
    </row>
    <row r="51" spans="1:4" x14ac:dyDescent="0.35">
      <c r="A51" t="str">
        <f>LEFT(Car_description[[#This Row],[Model]],3) &amp; LEFT(Car_description[[#This Row],[segment]],2) &amp; LEFT(Car_description[[#This Row],[engine_type]],2)</f>
        <v>i7SeDi</v>
      </c>
      <c r="B51" s="2" t="s">
        <v>24</v>
      </c>
      <c r="C51" s="6" t="s">
        <v>19</v>
      </c>
      <c r="D51" s="3" t="s">
        <v>27</v>
      </c>
    </row>
    <row r="52" spans="1:4" x14ac:dyDescent="0.35">
      <c r="A52" t="str">
        <f>LEFT(Car_description[[#This Row],[Model]],3) &amp; LEFT(Car_description[[#This Row],[segment]],2) &amp; LEFT(Car_description[[#This Row],[engine_type]],2)</f>
        <v>i7SUDi</v>
      </c>
      <c r="B52" s="2" t="s">
        <v>24</v>
      </c>
      <c r="C52" s="5" t="s">
        <v>16</v>
      </c>
      <c r="D52" s="3" t="s">
        <v>27</v>
      </c>
    </row>
    <row r="53" spans="1:4" x14ac:dyDescent="0.35">
      <c r="A53" t="str">
        <f>LEFT(Car_description[[#This Row],[Model]],3) &amp; LEFT(Car_description[[#This Row],[segment]],2) &amp; LEFT(Car_description[[#This Row],[engine_type]],2)</f>
        <v>i7ElEl</v>
      </c>
      <c r="B53" s="2" t="s">
        <v>24</v>
      </c>
      <c r="C53" s="5" t="s">
        <v>20</v>
      </c>
      <c r="D53" s="3" t="s">
        <v>20</v>
      </c>
    </row>
    <row r="54" spans="1:4" x14ac:dyDescent="0.35">
      <c r="A54" t="str">
        <f>LEFT(Car_description[[#This Row],[Model]],3) &amp; LEFT(Car_description[[#This Row],[segment]],2) &amp; LEFT(Car_description[[#This Row],[engine_type]],2)</f>
        <v>i7SeEl</v>
      </c>
      <c r="B54" s="2" t="s">
        <v>24</v>
      </c>
      <c r="C54" s="6" t="s">
        <v>19</v>
      </c>
      <c r="D54" s="3" t="s">
        <v>20</v>
      </c>
    </row>
    <row r="55" spans="1:4" x14ac:dyDescent="0.35">
      <c r="A55" t="str">
        <f>LEFT(Car_description[[#This Row],[Model]],3) &amp; LEFT(Car_description[[#This Row],[segment]],2) &amp; LEFT(Car_description[[#This Row],[engine_type]],2)</f>
        <v>i7SUEl</v>
      </c>
      <c r="B55" s="2" t="s">
        <v>24</v>
      </c>
      <c r="C55" s="5" t="s">
        <v>16</v>
      </c>
      <c r="D55" s="3" t="s">
        <v>20</v>
      </c>
    </row>
    <row r="56" spans="1:4" x14ac:dyDescent="0.35">
      <c r="A56" t="str">
        <f>LEFT(Car_description[[#This Row],[Model]],3) &amp; LEFT(Car_description[[#This Row],[segment]],2) &amp; LEFT(Car_description[[#This Row],[engine_type]],2)</f>
        <v>i7ElHy</v>
      </c>
      <c r="B56" s="2" t="s">
        <v>24</v>
      </c>
      <c r="C56" s="5" t="s">
        <v>20</v>
      </c>
      <c r="D56" s="3" t="s">
        <v>23</v>
      </c>
    </row>
    <row r="57" spans="1:4" x14ac:dyDescent="0.35">
      <c r="A57" t="str">
        <f>LEFT(Car_description[[#This Row],[Model]],3) &amp; LEFT(Car_description[[#This Row],[segment]],2) &amp; LEFT(Car_description[[#This Row],[engine_type]],2)</f>
        <v>i7SeHy</v>
      </c>
      <c r="B57" s="2" t="s">
        <v>24</v>
      </c>
      <c r="C57" s="6" t="s">
        <v>19</v>
      </c>
      <c r="D57" s="3" t="s">
        <v>23</v>
      </c>
    </row>
    <row r="58" spans="1:4" x14ac:dyDescent="0.35">
      <c r="A58" t="str">
        <f>LEFT(Car_description[[#This Row],[Model]],3) &amp; LEFT(Car_description[[#This Row],[segment]],2) &amp; LEFT(Car_description[[#This Row],[engine_type]],2)</f>
        <v>i7SUHy</v>
      </c>
      <c r="B58" s="2" t="s">
        <v>24</v>
      </c>
      <c r="C58" s="5" t="s">
        <v>16</v>
      </c>
      <c r="D58" s="3" t="s">
        <v>23</v>
      </c>
    </row>
    <row r="59" spans="1:4" x14ac:dyDescent="0.35">
      <c r="A59" t="str">
        <f>LEFT(Car_description[[#This Row],[Model]],3) &amp; LEFT(Car_description[[#This Row],[segment]],2) &amp; LEFT(Car_description[[#This Row],[engine_type]],2)</f>
        <v>i7ElPe</v>
      </c>
      <c r="B59" s="2" t="s">
        <v>24</v>
      </c>
      <c r="C59" s="5" t="s">
        <v>20</v>
      </c>
      <c r="D59" s="3" t="s">
        <v>17</v>
      </c>
    </row>
    <row r="60" spans="1:4" x14ac:dyDescent="0.35">
      <c r="A60" t="str">
        <f>LEFT(Car_description[[#This Row],[Model]],3) &amp; LEFT(Car_description[[#This Row],[segment]],2) &amp; LEFT(Car_description[[#This Row],[engine_type]],2)</f>
        <v>i7SePe</v>
      </c>
      <c r="B60" s="2" t="s">
        <v>24</v>
      </c>
      <c r="C60" s="6" t="s">
        <v>19</v>
      </c>
      <c r="D60" s="3" t="s">
        <v>17</v>
      </c>
    </row>
    <row r="61" spans="1:4" x14ac:dyDescent="0.35">
      <c r="A61" t="str">
        <f>LEFT(Car_description[[#This Row],[Model]],3) &amp; LEFT(Car_description[[#This Row],[segment]],2) &amp; LEFT(Car_description[[#This Row],[engine_type]],2)</f>
        <v>i7SUPe</v>
      </c>
      <c r="B61" s="2" t="s">
        <v>24</v>
      </c>
      <c r="C61" s="5" t="s">
        <v>16</v>
      </c>
      <c r="D61" s="3" t="s">
        <v>17</v>
      </c>
    </row>
    <row r="62" spans="1:4" x14ac:dyDescent="0.35">
      <c r="A62" t="str">
        <f>LEFT(Car_description[[#This Row],[Model]],3) &amp; LEFT(Car_description[[#This Row],[segment]],2) &amp; LEFT(Car_description[[#This Row],[engine_type]],2)</f>
        <v>iXElDi</v>
      </c>
      <c r="B62" s="2" t="s">
        <v>39</v>
      </c>
      <c r="C62" s="5" t="s">
        <v>20</v>
      </c>
      <c r="D62" s="3" t="s">
        <v>27</v>
      </c>
    </row>
    <row r="63" spans="1:4" x14ac:dyDescent="0.35">
      <c r="A63" t="str">
        <f>LEFT(Car_description[[#This Row],[Model]],3) &amp; LEFT(Car_description[[#This Row],[segment]],2) &amp; LEFT(Car_description[[#This Row],[engine_type]],2)</f>
        <v>iXSeDi</v>
      </c>
      <c r="B63" s="2" t="s">
        <v>39</v>
      </c>
      <c r="C63" s="6" t="s">
        <v>19</v>
      </c>
      <c r="D63" s="3" t="s">
        <v>27</v>
      </c>
    </row>
    <row r="64" spans="1:4" x14ac:dyDescent="0.35">
      <c r="A64" t="str">
        <f>LEFT(Car_description[[#This Row],[Model]],3) &amp; LEFT(Car_description[[#This Row],[segment]],2) &amp; LEFT(Car_description[[#This Row],[engine_type]],2)</f>
        <v>iXSUDi</v>
      </c>
      <c r="B64" s="2" t="s">
        <v>39</v>
      </c>
      <c r="C64" s="5" t="s">
        <v>16</v>
      </c>
      <c r="D64" s="3" t="s">
        <v>27</v>
      </c>
    </row>
    <row r="65" spans="1:4" x14ac:dyDescent="0.35">
      <c r="A65" t="str">
        <f>LEFT(Car_description[[#This Row],[Model]],3) &amp; LEFT(Car_description[[#This Row],[segment]],2) &amp; LEFT(Car_description[[#This Row],[engine_type]],2)</f>
        <v>iXElEl</v>
      </c>
      <c r="B65" s="2" t="s">
        <v>39</v>
      </c>
      <c r="C65" s="5" t="s">
        <v>20</v>
      </c>
      <c r="D65" s="3" t="s">
        <v>20</v>
      </c>
    </row>
    <row r="66" spans="1:4" x14ac:dyDescent="0.35">
      <c r="A66" t="str">
        <f>LEFT(Car_description[[#This Row],[Model]],3) &amp; LEFT(Car_description[[#This Row],[segment]],2) &amp; LEFT(Car_description[[#This Row],[engine_type]],2)</f>
        <v>iXSeEl</v>
      </c>
      <c r="B66" s="2" t="s">
        <v>39</v>
      </c>
      <c r="C66" s="6" t="s">
        <v>19</v>
      </c>
      <c r="D66" s="3" t="s">
        <v>20</v>
      </c>
    </row>
    <row r="67" spans="1:4" x14ac:dyDescent="0.35">
      <c r="A67" t="str">
        <f>LEFT(Car_description[[#This Row],[Model]],3) &amp; LEFT(Car_description[[#This Row],[segment]],2) &amp; LEFT(Car_description[[#This Row],[engine_type]],2)</f>
        <v>iXSUEl</v>
      </c>
      <c r="B67" s="2" t="s">
        <v>39</v>
      </c>
      <c r="C67" s="5" t="s">
        <v>16</v>
      </c>
      <c r="D67" s="3" t="s">
        <v>20</v>
      </c>
    </row>
    <row r="68" spans="1:4" x14ac:dyDescent="0.35">
      <c r="A68" t="str">
        <f>LEFT(Car_description[[#This Row],[Model]],3) &amp; LEFT(Car_description[[#This Row],[segment]],2) &amp; LEFT(Car_description[[#This Row],[engine_type]],2)</f>
        <v>iXElHy</v>
      </c>
      <c r="B68" s="2" t="s">
        <v>39</v>
      </c>
      <c r="C68" s="5" t="s">
        <v>20</v>
      </c>
      <c r="D68" s="3" t="s">
        <v>23</v>
      </c>
    </row>
    <row r="69" spans="1:4" x14ac:dyDescent="0.35">
      <c r="A69" t="str">
        <f>LEFT(Car_description[[#This Row],[Model]],3) &amp; LEFT(Car_description[[#This Row],[segment]],2) &amp; LEFT(Car_description[[#This Row],[engine_type]],2)</f>
        <v>iXSeHy</v>
      </c>
      <c r="B69" s="2" t="s">
        <v>39</v>
      </c>
      <c r="C69" s="6" t="s">
        <v>19</v>
      </c>
      <c r="D69" s="3" t="s">
        <v>23</v>
      </c>
    </row>
    <row r="70" spans="1:4" x14ac:dyDescent="0.35">
      <c r="A70" t="str">
        <f>LEFT(Car_description[[#This Row],[Model]],3) &amp; LEFT(Car_description[[#This Row],[segment]],2) &amp; LEFT(Car_description[[#This Row],[engine_type]],2)</f>
        <v>iXSUHy</v>
      </c>
      <c r="B70" s="2" t="s">
        <v>39</v>
      </c>
      <c r="C70" s="5" t="s">
        <v>16</v>
      </c>
      <c r="D70" s="3" t="s">
        <v>23</v>
      </c>
    </row>
    <row r="71" spans="1:4" x14ac:dyDescent="0.35">
      <c r="A71" t="str">
        <f>LEFT(Car_description[[#This Row],[Model]],3) &amp; LEFT(Car_description[[#This Row],[segment]],2) &amp; LEFT(Car_description[[#This Row],[engine_type]],2)</f>
        <v>iXElPe</v>
      </c>
      <c r="B71" s="2" t="s">
        <v>39</v>
      </c>
      <c r="C71" s="5" t="s">
        <v>20</v>
      </c>
      <c r="D71" s="3" t="s">
        <v>17</v>
      </c>
    </row>
    <row r="72" spans="1:4" x14ac:dyDescent="0.35">
      <c r="A72" t="str">
        <f>LEFT(Car_description[[#This Row],[Model]],3) &amp; LEFT(Car_description[[#This Row],[segment]],2) &amp; LEFT(Car_description[[#This Row],[engine_type]],2)</f>
        <v>iXSePe</v>
      </c>
      <c r="B72" s="2" t="s">
        <v>39</v>
      </c>
      <c r="C72" s="6" t="s">
        <v>19</v>
      </c>
      <c r="D72" s="3" t="s">
        <v>17</v>
      </c>
    </row>
    <row r="73" spans="1:4" x14ac:dyDescent="0.35">
      <c r="A73" t="str">
        <f>LEFT(Car_description[[#This Row],[Model]],3) &amp; LEFT(Car_description[[#This Row],[segment]],2) &amp; LEFT(Car_description[[#This Row],[engine_type]],2)</f>
        <v>iXSUPe</v>
      </c>
      <c r="B73" s="2" t="s">
        <v>39</v>
      </c>
      <c r="C73" s="5" t="s">
        <v>16</v>
      </c>
      <c r="D73" s="3" t="s">
        <v>17</v>
      </c>
    </row>
    <row r="74" spans="1:4" x14ac:dyDescent="0.35">
      <c r="A74" t="str">
        <f>LEFT(Car_description[[#This Row],[Model]],3) &amp; LEFT(Car_description[[#This Row],[segment]],2) &amp; LEFT(Car_description[[#This Row],[engine_type]],2)</f>
        <v>X1ElDi</v>
      </c>
      <c r="B74" s="2" t="s">
        <v>15</v>
      </c>
      <c r="C74" s="5" t="s">
        <v>20</v>
      </c>
      <c r="D74" s="3" t="s">
        <v>27</v>
      </c>
    </row>
    <row r="75" spans="1:4" x14ac:dyDescent="0.35">
      <c r="A75" t="str">
        <f>LEFT(Car_description[[#This Row],[Model]],3) &amp; LEFT(Car_description[[#This Row],[segment]],2) &amp; LEFT(Car_description[[#This Row],[engine_type]],2)</f>
        <v>X1SeDi</v>
      </c>
      <c r="B75" s="2" t="s">
        <v>15</v>
      </c>
      <c r="C75" s="6" t="s">
        <v>19</v>
      </c>
      <c r="D75" s="3" t="s">
        <v>27</v>
      </c>
    </row>
    <row r="76" spans="1:4" x14ac:dyDescent="0.35">
      <c r="A76" t="str">
        <f>LEFT(Car_description[[#This Row],[Model]],3) &amp; LEFT(Car_description[[#This Row],[segment]],2) &amp; LEFT(Car_description[[#This Row],[engine_type]],2)</f>
        <v>X1SUDi</v>
      </c>
      <c r="B76" s="2" t="s">
        <v>15</v>
      </c>
      <c r="C76" s="5" t="s">
        <v>16</v>
      </c>
      <c r="D76" s="3" t="s">
        <v>27</v>
      </c>
    </row>
    <row r="77" spans="1:4" x14ac:dyDescent="0.35">
      <c r="A77" t="str">
        <f>LEFT(Car_description[[#This Row],[Model]],3) &amp; LEFT(Car_description[[#This Row],[segment]],2) &amp; LEFT(Car_description[[#This Row],[engine_type]],2)</f>
        <v>X1ElEl</v>
      </c>
      <c r="B77" s="2" t="s">
        <v>15</v>
      </c>
      <c r="C77" s="5" t="s">
        <v>20</v>
      </c>
      <c r="D77" s="3" t="s">
        <v>20</v>
      </c>
    </row>
    <row r="78" spans="1:4" x14ac:dyDescent="0.35">
      <c r="A78" t="str">
        <f>LEFT(Car_description[[#This Row],[Model]],3) &amp; LEFT(Car_description[[#This Row],[segment]],2) &amp; LEFT(Car_description[[#This Row],[engine_type]],2)</f>
        <v>X1SeEl</v>
      </c>
      <c r="B78" s="2" t="s">
        <v>15</v>
      </c>
      <c r="C78" s="6" t="s">
        <v>19</v>
      </c>
      <c r="D78" s="3" t="s">
        <v>20</v>
      </c>
    </row>
    <row r="79" spans="1:4" x14ac:dyDescent="0.35">
      <c r="A79" t="str">
        <f>LEFT(Car_description[[#This Row],[Model]],3) &amp; LEFT(Car_description[[#This Row],[segment]],2) &amp; LEFT(Car_description[[#This Row],[engine_type]],2)</f>
        <v>X1SUEl</v>
      </c>
      <c r="B79" s="2" t="s">
        <v>15</v>
      </c>
      <c r="C79" s="5" t="s">
        <v>16</v>
      </c>
      <c r="D79" s="3" t="s">
        <v>20</v>
      </c>
    </row>
    <row r="80" spans="1:4" x14ac:dyDescent="0.35">
      <c r="A80" t="str">
        <f>LEFT(Car_description[[#This Row],[Model]],3) &amp; LEFT(Car_description[[#This Row],[segment]],2) &amp; LEFT(Car_description[[#This Row],[engine_type]],2)</f>
        <v>X1ElHy</v>
      </c>
      <c r="B80" s="2" t="s">
        <v>15</v>
      </c>
      <c r="C80" s="5" t="s">
        <v>20</v>
      </c>
      <c r="D80" s="3" t="s">
        <v>23</v>
      </c>
    </row>
    <row r="81" spans="1:4" x14ac:dyDescent="0.35">
      <c r="A81" t="str">
        <f>LEFT(Car_description[[#This Row],[Model]],3) &amp; LEFT(Car_description[[#This Row],[segment]],2) &amp; LEFT(Car_description[[#This Row],[engine_type]],2)</f>
        <v>X1SeHy</v>
      </c>
      <c r="B81" s="2" t="s">
        <v>15</v>
      </c>
      <c r="C81" s="6" t="s">
        <v>19</v>
      </c>
      <c r="D81" s="3" t="s">
        <v>23</v>
      </c>
    </row>
    <row r="82" spans="1:4" x14ac:dyDescent="0.35">
      <c r="A82" t="str">
        <f>LEFT(Car_description[[#This Row],[Model]],3) &amp; LEFT(Car_description[[#This Row],[segment]],2) &amp; LEFT(Car_description[[#This Row],[engine_type]],2)</f>
        <v>X1SUHy</v>
      </c>
      <c r="B82" s="2" t="s">
        <v>15</v>
      </c>
      <c r="C82" s="5" t="s">
        <v>16</v>
      </c>
      <c r="D82" s="3" t="s">
        <v>23</v>
      </c>
    </row>
    <row r="83" spans="1:4" x14ac:dyDescent="0.35">
      <c r="A83" t="str">
        <f>LEFT(Car_description[[#This Row],[Model]],3) &amp; LEFT(Car_description[[#This Row],[segment]],2) &amp; LEFT(Car_description[[#This Row],[engine_type]],2)</f>
        <v>X1ElPe</v>
      </c>
      <c r="B83" s="2" t="s">
        <v>15</v>
      </c>
      <c r="C83" s="5" t="s">
        <v>20</v>
      </c>
      <c r="D83" s="3" t="s">
        <v>17</v>
      </c>
    </row>
    <row r="84" spans="1:4" x14ac:dyDescent="0.35">
      <c r="A84" t="str">
        <f>LEFT(Car_description[[#This Row],[Model]],3) &amp; LEFT(Car_description[[#This Row],[segment]],2) &amp; LEFT(Car_description[[#This Row],[engine_type]],2)</f>
        <v>X1SePe</v>
      </c>
      <c r="B84" s="2" t="s">
        <v>15</v>
      </c>
      <c r="C84" s="6" t="s">
        <v>19</v>
      </c>
      <c r="D84" s="3" t="s">
        <v>17</v>
      </c>
    </row>
    <row r="85" spans="1:4" x14ac:dyDescent="0.35">
      <c r="A85" t="str">
        <f>LEFT(Car_description[[#This Row],[Model]],3) &amp; LEFT(Car_description[[#This Row],[segment]],2) &amp; LEFT(Car_description[[#This Row],[engine_type]],2)</f>
        <v>X1SUPe</v>
      </c>
      <c r="B85" s="2" t="s">
        <v>15</v>
      </c>
      <c r="C85" s="5" t="s">
        <v>16</v>
      </c>
      <c r="D85" s="3" t="s">
        <v>17</v>
      </c>
    </row>
    <row r="86" spans="1:4" x14ac:dyDescent="0.35">
      <c r="A86" t="str">
        <f>LEFT(Car_description[[#This Row],[Model]],3) &amp; LEFT(Car_description[[#This Row],[segment]],2) &amp; LEFT(Car_description[[#This Row],[engine_type]],2)</f>
        <v>X3ElDi</v>
      </c>
      <c r="B86" s="2" t="s">
        <v>34</v>
      </c>
      <c r="C86" s="5" t="s">
        <v>20</v>
      </c>
      <c r="D86" s="3" t="s">
        <v>27</v>
      </c>
    </row>
    <row r="87" spans="1:4" x14ac:dyDescent="0.35">
      <c r="A87" t="str">
        <f>LEFT(Car_description[[#This Row],[Model]],3) &amp; LEFT(Car_description[[#This Row],[segment]],2) &amp; LEFT(Car_description[[#This Row],[engine_type]],2)</f>
        <v>X3SeDi</v>
      </c>
      <c r="B87" s="2" t="s">
        <v>34</v>
      </c>
      <c r="C87" s="6" t="s">
        <v>19</v>
      </c>
      <c r="D87" s="3" t="s">
        <v>27</v>
      </c>
    </row>
    <row r="88" spans="1:4" x14ac:dyDescent="0.35">
      <c r="A88" t="str">
        <f>LEFT(Car_description[[#This Row],[Model]],3) &amp; LEFT(Car_description[[#This Row],[segment]],2) &amp; LEFT(Car_description[[#This Row],[engine_type]],2)</f>
        <v>X3SUDi</v>
      </c>
      <c r="B88" s="2" t="s">
        <v>34</v>
      </c>
      <c r="C88" s="5" t="s">
        <v>16</v>
      </c>
      <c r="D88" s="3" t="s">
        <v>27</v>
      </c>
    </row>
    <row r="89" spans="1:4" x14ac:dyDescent="0.35">
      <c r="A89" t="str">
        <f>LEFT(Car_description[[#This Row],[Model]],3) &amp; LEFT(Car_description[[#This Row],[segment]],2) &amp; LEFT(Car_description[[#This Row],[engine_type]],2)</f>
        <v>X3ElEl</v>
      </c>
      <c r="B89" s="2" t="s">
        <v>34</v>
      </c>
      <c r="C89" s="5" t="s">
        <v>20</v>
      </c>
      <c r="D89" s="3" t="s">
        <v>20</v>
      </c>
    </row>
    <row r="90" spans="1:4" x14ac:dyDescent="0.35">
      <c r="A90" t="str">
        <f>LEFT(Car_description[[#This Row],[Model]],3) &amp; LEFT(Car_description[[#This Row],[segment]],2) &amp; LEFT(Car_description[[#This Row],[engine_type]],2)</f>
        <v>X3SeEl</v>
      </c>
      <c r="B90" s="2" t="s">
        <v>34</v>
      </c>
      <c r="C90" s="6" t="s">
        <v>19</v>
      </c>
      <c r="D90" s="3" t="s">
        <v>20</v>
      </c>
    </row>
    <row r="91" spans="1:4" x14ac:dyDescent="0.35">
      <c r="A91" t="str">
        <f>LEFT(Car_description[[#This Row],[Model]],3) &amp; LEFT(Car_description[[#This Row],[segment]],2) &amp; LEFT(Car_description[[#This Row],[engine_type]],2)</f>
        <v>X3SUEl</v>
      </c>
      <c r="B91" s="2" t="s">
        <v>34</v>
      </c>
      <c r="C91" s="5" t="s">
        <v>16</v>
      </c>
      <c r="D91" s="3" t="s">
        <v>20</v>
      </c>
    </row>
    <row r="92" spans="1:4" x14ac:dyDescent="0.35">
      <c r="A92" t="str">
        <f>LEFT(Car_description[[#This Row],[Model]],3) &amp; LEFT(Car_description[[#This Row],[segment]],2) &amp; LEFT(Car_description[[#This Row],[engine_type]],2)</f>
        <v>X3ElHy</v>
      </c>
      <c r="B92" s="2" t="s">
        <v>34</v>
      </c>
      <c r="C92" s="5" t="s">
        <v>20</v>
      </c>
      <c r="D92" s="3" t="s">
        <v>23</v>
      </c>
    </row>
    <row r="93" spans="1:4" x14ac:dyDescent="0.35">
      <c r="A93" t="str">
        <f>LEFT(Car_description[[#This Row],[Model]],3) &amp; LEFT(Car_description[[#This Row],[segment]],2) &amp; LEFT(Car_description[[#This Row],[engine_type]],2)</f>
        <v>X3SeHy</v>
      </c>
      <c r="B93" s="2" t="s">
        <v>34</v>
      </c>
      <c r="C93" s="6" t="s">
        <v>19</v>
      </c>
      <c r="D93" s="3" t="s">
        <v>23</v>
      </c>
    </row>
    <row r="94" spans="1:4" x14ac:dyDescent="0.35">
      <c r="A94" t="str">
        <f>LEFT(Car_description[[#This Row],[Model]],3) &amp; LEFT(Car_description[[#This Row],[segment]],2) &amp; LEFT(Car_description[[#This Row],[engine_type]],2)</f>
        <v>X3SUHy</v>
      </c>
      <c r="B94" s="2" t="s">
        <v>34</v>
      </c>
      <c r="C94" s="5" t="s">
        <v>16</v>
      </c>
      <c r="D94" s="3" t="s">
        <v>23</v>
      </c>
    </row>
    <row r="95" spans="1:4" x14ac:dyDescent="0.35">
      <c r="A95" t="str">
        <f>LEFT(Car_description[[#This Row],[Model]],3) &amp; LEFT(Car_description[[#This Row],[segment]],2) &amp; LEFT(Car_description[[#This Row],[engine_type]],2)</f>
        <v>X3ElPe</v>
      </c>
      <c r="B95" s="2" t="s">
        <v>34</v>
      </c>
      <c r="C95" s="5" t="s">
        <v>20</v>
      </c>
      <c r="D95" s="3" t="s">
        <v>17</v>
      </c>
    </row>
    <row r="96" spans="1:4" x14ac:dyDescent="0.35">
      <c r="A96" t="str">
        <f>LEFT(Car_description[[#This Row],[Model]],3) &amp; LEFT(Car_description[[#This Row],[segment]],2) &amp; LEFT(Car_description[[#This Row],[engine_type]],2)</f>
        <v>X3SePe</v>
      </c>
      <c r="B96" s="2" t="s">
        <v>34</v>
      </c>
      <c r="C96" s="6" t="s">
        <v>19</v>
      </c>
      <c r="D96" s="3" t="s">
        <v>17</v>
      </c>
    </row>
    <row r="97" spans="1:4" x14ac:dyDescent="0.35">
      <c r="A97" t="str">
        <f>LEFT(Car_description[[#This Row],[Model]],3) &amp; LEFT(Car_description[[#This Row],[segment]],2) &amp; LEFT(Car_description[[#This Row],[engine_type]],2)</f>
        <v>X3SUPe</v>
      </c>
      <c r="B97" s="2" t="s">
        <v>34</v>
      </c>
      <c r="C97" s="5" t="s">
        <v>16</v>
      </c>
      <c r="D97" s="3" t="s">
        <v>17</v>
      </c>
    </row>
    <row r="98" spans="1:4" x14ac:dyDescent="0.35">
      <c r="A98" t="str">
        <f>LEFT(Car_description[[#This Row],[Model]],3) &amp; LEFT(Car_description[[#This Row],[segment]],2) &amp; LEFT(Car_description[[#This Row],[engine_type]],2)</f>
        <v>X5ElDi</v>
      </c>
      <c r="B98" s="2" t="s">
        <v>26</v>
      </c>
      <c r="C98" s="5" t="s">
        <v>20</v>
      </c>
      <c r="D98" s="3" t="s">
        <v>27</v>
      </c>
    </row>
    <row r="99" spans="1:4" x14ac:dyDescent="0.35">
      <c r="A99" t="str">
        <f>LEFT(Car_description[[#This Row],[Model]],3) &amp; LEFT(Car_description[[#This Row],[segment]],2) &amp; LEFT(Car_description[[#This Row],[engine_type]],2)</f>
        <v>X5SeDi</v>
      </c>
      <c r="B99" s="2" t="s">
        <v>26</v>
      </c>
      <c r="C99" s="6" t="s">
        <v>19</v>
      </c>
      <c r="D99" s="3" t="s">
        <v>27</v>
      </c>
    </row>
    <row r="100" spans="1:4" x14ac:dyDescent="0.35">
      <c r="A100" t="str">
        <f>LEFT(Car_description[[#This Row],[Model]],3) &amp; LEFT(Car_description[[#This Row],[segment]],2) &amp; LEFT(Car_description[[#This Row],[engine_type]],2)</f>
        <v>X5SUDi</v>
      </c>
      <c r="B100" s="2" t="s">
        <v>26</v>
      </c>
      <c r="C100" s="5" t="s">
        <v>16</v>
      </c>
      <c r="D100" s="3" t="s">
        <v>27</v>
      </c>
    </row>
    <row r="101" spans="1:4" x14ac:dyDescent="0.35">
      <c r="A101" t="str">
        <f>LEFT(Car_description[[#This Row],[Model]],3) &amp; LEFT(Car_description[[#This Row],[segment]],2) &amp; LEFT(Car_description[[#This Row],[engine_type]],2)</f>
        <v>X5ElEl</v>
      </c>
      <c r="B101" s="2" t="s">
        <v>26</v>
      </c>
      <c r="C101" s="5" t="s">
        <v>20</v>
      </c>
      <c r="D101" s="3" t="s">
        <v>20</v>
      </c>
    </row>
    <row r="102" spans="1:4" x14ac:dyDescent="0.35">
      <c r="A102" t="str">
        <f>LEFT(Car_description[[#This Row],[Model]],3) &amp; LEFT(Car_description[[#This Row],[segment]],2) &amp; LEFT(Car_description[[#This Row],[engine_type]],2)</f>
        <v>X5SeEl</v>
      </c>
      <c r="B102" s="2" t="s">
        <v>26</v>
      </c>
      <c r="C102" s="6" t="s">
        <v>19</v>
      </c>
      <c r="D102" s="3" t="s">
        <v>20</v>
      </c>
    </row>
    <row r="103" spans="1:4" x14ac:dyDescent="0.35">
      <c r="A103" t="str">
        <f>LEFT(Car_description[[#This Row],[Model]],3) &amp; LEFT(Car_description[[#This Row],[segment]],2) &amp; LEFT(Car_description[[#This Row],[engine_type]],2)</f>
        <v>X5SUEl</v>
      </c>
      <c r="B103" s="2" t="s">
        <v>26</v>
      </c>
      <c r="C103" s="5" t="s">
        <v>16</v>
      </c>
      <c r="D103" s="3" t="s">
        <v>20</v>
      </c>
    </row>
    <row r="104" spans="1:4" x14ac:dyDescent="0.35">
      <c r="A104" t="str">
        <f>LEFT(Car_description[[#This Row],[Model]],3) &amp; LEFT(Car_description[[#This Row],[segment]],2) &amp; LEFT(Car_description[[#This Row],[engine_type]],2)</f>
        <v>X5ElHy</v>
      </c>
      <c r="B104" s="2" t="s">
        <v>26</v>
      </c>
      <c r="C104" s="5" t="s">
        <v>20</v>
      </c>
      <c r="D104" s="3" t="s">
        <v>23</v>
      </c>
    </row>
    <row r="105" spans="1:4" x14ac:dyDescent="0.35">
      <c r="A105" t="str">
        <f>LEFT(Car_description[[#This Row],[Model]],3) &amp; LEFT(Car_description[[#This Row],[segment]],2) &amp; LEFT(Car_description[[#This Row],[engine_type]],2)</f>
        <v>X5SeHy</v>
      </c>
      <c r="B105" s="2" t="s">
        <v>26</v>
      </c>
      <c r="C105" s="6" t="s">
        <v>19</v>
      </c>
      <c r="D105" s="3" t="s">
        <v>23</v>
      </c>
    </row>
    <row r="106" spans="1:4" x14ac:dyDescent="0.35">
      <c r="A106" t="str">
        <f>LEFT(Car_description[[#This Row],[Model]],3) &amp; LEFT(Car_description[[#This Row],[segment]],2) &amp; LEFT(Car_description[[#This Row],[engine_type]],2)</f>
        <v>X5SUHy</v>
      </c>
      <c r="B106" s="2" t="s">
        <v>26</v>
      </c>
      <c r="C106" s="5" t="s">
        <v>16</v>
      </c>
      <c r="D106" s="3" t="s">
        <v>23</v>
      </c>
    </row>
    <row r="107" spans="1:4" x14ac:dyDescent="0.35">
      <c r="A107" t="str">
        <f>LEFT(Car_description[[#This Row],[Model]],3) &amp; LEFT(Car_description[[#This Row],[segment]],2) &amp; LEFT(Car_description[[#This Row],[engine_type]],2)</f>
        <v>X5ElPe</v>
      </c>
      <c r="B107" s="2" t="s">
        <v>26</v>
      </c>
      <c r="C107" s="5" t="s">
        <v>20</v>
      </c>
      <c r="D107" s="3" t="s">
        <v>17</v>
      </c>
    </row>
    <row r="108" spans="1:4" x14ac:dyDescent="0.35">
      <c r="A108" t="str">
        <f>LEFT(Car_description[[#This Row],[Model]],3) &amp; LEFT(Car_description[[#This Row],[segment]],2) &amp; LEFT(Car_description[[#This Row],[engine_type]],2)</f>
        <v>X5SePe</v>
      </c>
      <c r="B108" s="2" t="s">
        <v>26</v>
      </c>
      <c r="C108" s="6" t="s">
        <v>19</v>
      </c>
      <c r="D108" s="3" t="s">
        <v>17</v>
      </c>
    </row>
    <row r="109" spans="1:4" x14ac:dyDescent="0.35">
      <c r="A109" t="str">
        <f>LEFT(Car_description[[#This Row],[Model]],3) &amp; LEFT(Car_description[[#This Row],[segment]],2) &amp; LEFT(Car_description[[#This Row],[engine_type]],2)</f>
        <v>X5SUPe</v>
      </c>
      <c r="B109" s="2" t="s">
        <v>26</v>
      </c>
      <c r="C109" s="5" t="s">
        <v>16</v>
      </c>
      <c r="D109" s="3" t="s">
        <v>17</v>
      </c>
    </row>
    <row r="110" spans="1:4" x14ac:dyDescent="0.35">
      <c r="A110" t="str">
        <f>LEFT(Car_description[[#This Row],[Model]],3) &amp; LEFT(Car_description[[#This Row],[segment]],2) &amp; LEFT(Car_description[[#This Row],[engine_type]],2)</f>
        <v>X7ElDi</v>
      </c>
      <c r="B110" s="2" t="s">
        <v>29</v>
      </c>
      <c r="C110" s="5" t="s">
        <v>20</v>
      </c>
      <c r="D110" s="3" t="s">
        <v>27</v>
      </c>
    </row>
    <row r="111" spans="1:4" x14ac:dyDescent="0.35">
      <c r="A111" t="str">
        <f>LEFT(Car_description[[#This Row],[Model]],3) &amp; LEFT(Car_description[[#This Row],[segment]],2) &amp; LEFT(Car_description[[#This Row],[engine_type]],2)</f>
        <v>X7SeDi</v>
      </c>
      <c r="B111" s="2" t="s">
        <v>29</v>
      </c>
      <c r="C111" s="6" t="s">
        <v>19</v>
      </c>
      <c r="D111" s="3" t="s">
        <v>27</v>
      </c>
    </row>
    <row r="112" spans="1:4" x14ac:dyDescent="0.35">
      <c r="A112" t="str">
        <f>LEFT(Car_description[[#This Row],[Model]],3) &amp; LEFT(Car_description[[#This Row],[segment]],2) &amp; LEFT(Car_description[[#This Row],[engine_type]],2)</f>
        <v>X7SUDi</v>
      </c>
      <c r="B112" s="2" t="s">
        <v>29</v>
      </c>
      <c r="C112" s="5" t="s">
        <v>16</v>
      </c>
      <c r="D112" s="3" t="s">
        <v>27</v>
      </c>
    </row>
    <row r="113" spans="1:4" x14ac:dyDescent="0.35">
      <c r="A113" t="str">
        <f>LEFT(Car_description[[#This Row],[Model]],3) &amp; LEFT(Car_description[[#This Row],[segment]],2) &amp; LEFT(Car_description[[#This Row],[engine_type]],2)</f>
        <v>X7ElEl</v>
      </c>
      <c r="B113" s="2" t="s">
        <v>29</v>
      </c>
      <c r="C113" s="5" t="s">
        <v>20</v>
      </c>
      <c r="D113" s="3" t="s">
        <v>20</v>
      </c>
    </row>
    <row r="114" spans="1:4" x14ac:dyDescent="0.35">
      <c r="A114" t="str">
        <f>LEFT(Car_description[[#This Row],[Model]],3) &amp; LEFT(Car_description[[#This Row],[segment]],2) &amp; LEFT(Car_description[[#This Row],[engine_type]],2)</f>
        <v>X7SeEl</v>
      </c>
      <c r="B114" s="2" t="s">
        <v>29</v>
      </c>
      <c r="C114" s="6" t="s">
        <v>19</v>
      </c>
      <c r="D114" s="3" t="s">
        <v>20</v>
      </c>
    </row>
    <row r="115" spans="1:4" x14ac:dyDescent="0.35">
      <c r="A115" t="str">
        <f>LEFT(Car_description[[#This Row],[Model]],3) &amp; LEFT(Car_description[[#This Row],[segment]],2) &amp; LEFT(Car_description[[#This Row],[engine_type]],2)</f>
        <v>X7SUEl</v>
      </c>
      <c r="B115" s="2" t="s">
        <v>29</v>
      </c>
      <c r="C115" s="5" t="s">
        <v>16</v>
      </c>
      <c r="D115" s="3" t="s">
        <v>20</v>
      </c>
    </row>
    <row r="116" spans="1:4" x14ac:dyDescent="0.35">
      <c r="A116" t="str">
        <f>LEFT(Car_description[[#This Row],[Model]],3) &amp; LEFT(Car_description[[#This Row],[segment]],2) &amp; LEFT(Car_description[[#This Row],[engine_type]],2)</f>
        <v>X7ElHy</v>
      </c>
      <c r="B116" s="2" t="s">
        <v>29</v>
      </c>
      <c r="C116" s="5" t="s">
        <v>20</v>
      </c>
      <c r="D116" s="3" t="s">
        <v>23</v>
      </c>
    </row>
    <row r="117" spans="1:4" x14ac:dyDescent="0.35">
      <c r="A117" t="str">
        <f>LEFT(Car_description[[#This Row],[Model]],3) &amp; LEFT(Car_description[[#This Row],[segment]],2) &amp; LEFT(Car_description[[#This Row],[engine_type]],2)</f>
        <v>X7SeHy</v>
      </c>
      <c r="B117" s="2" t="s">
        <v>29</v>
      </c>
      <c r="C117" s="6" t="s">
        <v>19</v>
      </c>
      <c r="D117" s="3" t="s">
        <v>23</v>
      </c>
    </row>
    <row r="118" spans="1:4" x14ac:dyDescent="0.35">
      <c r="A118" t="str">
        <f>LEFT(Car_description[[#This Row],[Model]],3) &amp; LEFT(Car_description[[#This Row],[segment]],2) &amp; LEFT(Car_description[[#This Row],[engine_type]],2)</f>
        <v>X7SUHy</v>
      </c>
      <c r="B118" s="2" t="s">
        <v>29</v>
      </c>
      <c r="C118" s="5" t="s">
        <v>16</v>
      </c>
      <c r="D118" s="3" t="s">
        <v>23</v>
      </c>
    </row>
    <row r="119" spans="1:4" x14ac:dyDescent="0.35">
      <c r="A119" t="str">
        <f>LEFT(Car_description[[#This Row],[Model]],3) &amp; LEFT(Car_description[[#This Row],[segment]],2) &amp; LEFT(Car_description[[#This Row],[engine_type]],2)</f>
        <v>X7ElPe</v>
      </c>
      <c r="B119" s="2" t="s">
        <v>29</v>
      </c>
      <c r="C119" s="5" t="s">
        <v>20</v>
      </c>
      <c r="D119" s="3" t="s">
        <v>17</v>
      </c>
    </row>
    <row r="120" spans="1:4" x14ac:dyDescent="0.35">
      <c r="A120" t="str">
        <f>LEFT(Car_description[[#This Row],[Model]],3) &amp; LEFT(Car_description[[#This Row],[segment]],2) &amp; LEFT(Car_description[[#This Row],[engine_type]],2)</f>
        <v>X7SePe</v>
      </c>
      <c r="B120" s="2" t="s">
        <v>29</v>
      </c>
      <c r="C120" s="6" t="s">
        <v>19</v>
      </c>
      <c r="D120" s="3" t="s">
        <v>17</v>
      </c>
    </row>
    <row r="121" spans="1:4" x14ac:dyDescent="0.35">
      <c r="A121" t="str">
        <f>LEFT(Car_description[[#This Row],[Model]],3) &amp; LEFT(Car_description[[#This Row],[segment]],2) &amp; LEFT(Car_description[[#This Row],[engine_type]],2)</f>
        <v>X7SUPe</v>
      </c>
      <c r="B121" s="2" t="s">
        <v>29</v>
      </c>
      <c r="C121" s="5" t="s">
        <v>16</v>
      </c>
      <c r="D121" s="3" t="s">
        <v>17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8DB6-BBA5-49AA-B36A-F854E04B21ED}">
  <dimension ref="A1:O1001"/>
  <sheetViews>
    <sheetView workbookViewId="0">
      <selection activeCell="C1" sqref="C1"/>
    </sheetView>
  </sheetViews>
  <sheetFormatPr defaultRowHeight="14.5" x14ac:dyDescent="0.35"/>
  <cols>
    <col min="1" max="1" width="6.7265625" bestFit="1" customWidth="1"/>
    <col min="3" max="3" width="9.54296875" bestFit="1" customWidth="1"/>
    <col min="4" max="4" width="8.36328125" bestFit="1" customWidth="1"/>
    <col min="5" max="5" width="10.26953125" bestFit="1" customWidth="1"/>
    <col min="6" max="6" width="13.36328125" bestFit="1" customWidth="1"/>
    <col min="7" max="7" width="11.1796875" style="1" bestFit="1" customWidth="1"/>
    <col min="8" max="8" width="21.90625" style="1" bestFit="1" customWidth="1"/>
    <col min="9" max="9" width="17.7265625" bestFit="1" customWidth="1"/>
    <col min="10" max="10" width="15.453125" bestFit="1" customWidth="1"/>
    <col min="11" max="11" width="20.81640625" bestFit="1" customWidth="1"/>
    <col min="12" max="12" width="21.7265625" bestFit="1" customWidth="1"/>
    <col min="13" max="13" width="18.90625" bestFit="1" customWidth="1"/>
    <col min="14" max="15" width="11.7265625" bestFit="1" customWidth="1"/>
    <col min="16" max="16" width="11.7265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40</v>
      </c>
      <c r="O1" t="s">
        <v>13</v>
      </c>
    </row>
    <row r="2" spans="1:15" x14ac:dyDescent="0.35">
      <c r="A2">
        <v>2015</v>
      </c>
      <c r="B2">
        <v>6</v>
      </c>
      <c r="C2" t="s">
        <v>32</v>
      </c>
      <c r="D2" t="s">
        <v>15</v>
      </c>
      <c r="E2" t="s">
        <v>16</v>
      </c>
      <c r="F2" t="s">
        <v>17</v>
      </c>
      <c r="G2" s="1">
        <v>87975</v>
      </c>
      <c r="H2" s="1">
        <v>160489</v>
      </c>
      <c r="I2">
        <v>356</v>
      </c>
      <c r="J2">
        <v>0.97</v>
      </c>
      <c r="K2">
        <v>6.29</v>
      </c>
      <c r="L2">
        <v>1.2</v>
      </c>
      <c r="M2">
        <v>1</v>
      </c>
      <c r="N2" s="1">
        <f>bmw_global_sales_dataset[[#This Row],[units_sold]]*bmw_global_sales_dataset[[#This Row],[price_usd]]</f>
        <v>66069225</v>
      </c>
      <c r="O2">
        <v>751</v>
      </c>
    </row>
    <row r="3" spans="1:15" x14ac:dyDescent="0.35">
      <c r="A3">
        <v>2015</v>
      </c>
      <c r="B3">
        <v>5</v>
      </c>
      <c r="C3" t="s">
        <v>37</v>
      </c>
      <c r="D3" t="s">
        <v>18</v>
      </c>
      <c r="E3" t="s">
        <v>16</v>
      </c>
      <c r="F3" t="s">
        <v>20</v>
      </c>
      <c r="G3" s="1">
        <v>91396</v>
      </c>
      <c r="H3" s="1">
        <v>61549</v>
      </c>
      <c r="I3">
        <v>16</v>
      </c>
      <c r="J3">
        <v>0.97</v>
      </c>
      <c r="K3">
        <v>6.29</v>
      </c>
      <c r="L3">
        <v>1.2</v>
      </c>
      <c r="M3">
        <v>7</v>
      </c>
      <c r="N3" s="1">
        <f>bmw_global_sales_dataset[[#This Row],[units_sold]]*bmw_global_sales_dataset[[#This Row],[price_usd]]</f>
        <v>1370940</v>
      </c>
      <c r="O3">
        <v>15</v>
      </c>
    </row>
    <row r="4" spans="1:15" x14ac:dyDescent="0.35">
      <c r="A4">
        <v>2015</v>
      </c>
      <c r="B4">
        <v>11</v>
      </c>
      <c r="C4" t="s">
        <v>37</v>
      </c>
      <c r="D4" t="s">
        <v>18</v>
      </c>
      <c r="E4" t="s">
        <v>16</v>
      </c>
      <c r="F4" t="s">
        <v>27</v>
      </c>
      <c r="G4" s="1">
        <v>100911</v>
      </c>
      <c r="H4" s="1">
        <v>276486</v>
      </c>
      <c r="I4">
        <v>367</v>
      </c>
      <c r="J4">
        <v>0.97</v>
      </c>
      <c r="K4">
        <v>6.29</v>
      </c>
      <c r="L4">
        <v>1.2</v>
      </c>
      <c r="M4">
        <v>7</v>
      </c>
      <c r="N4" s="1">
        <f>bmw_global_sales_dataset[[#This Row],[units_sold]]*bmw_global_sales_dataset[[#This Row],[price_usd]]</f>
        <v>115543095</v>
      </c>
      <c r="O4">
        <v>1145</v>
      </c>
    </row>
    <row r="5" spans="1:15" x14ac:dyDescent="0.35">
      <c r="A5">
        <v>2015</v>
      </c>
      <c r="B5">
        <v>12</v>
      </c>
      <c r="C5" t="s">
        <v>25</v>
      </c>
      <c r="D5" t="s">
        <v>26</v>
      </c>
      <c r="E5" t="s">
        <v>19</v>
      </c>
      <c r="F5" t="s">
        <v>20</v>
      </c>
      <c r="G5" s="1">
        <v>81546</v>
      </c>
      <c r="H5" s="1">
        <v>287103</v>
      </c>
      <c r="I5">
        <v>78</v>
      </c>
      <c r="J5">
        <v>0.97</v>
      </c>
      <c r="K5">
        <v>6.29</v>
      </c>
      <c r="L5">
        <v>1.2</v>
      </c>
      <c r="M5">
        <v>3</v>
      </c>
      <c r="N5" s="1">
        <f>bmw_global_sales_dataset[[#This Row],[units_sold]]*bmw_global_sales_dataset[[#This Row],[price_usd]]</f>
        <v>43382472</v>
      </c>
      <c r="O5">
        <v>532</v>
      </c>
    </row>
    <row r="6" spans="1:15" x14ac:dyDescent="0.35">
      <c r="A6">
        <v>2015</v>
      </c>
      <c r="B6">
        <v>1</v>
      </c>
      <c r="C6" t="s">
        <v>37</v>
      </c>
      <c r="D6" t="s">
        <v>31</v>
      </c>
      <c r="E6" t="s">
        <v>16</v>
      </c>
      <c r="F6" t="s">
        <v>23</v>
      </c>
      <c r="G6" s="1">
        <v>55827</v>
      </c>
      <c r="H6" s="1">
        <v>425348</v>
      </c>
      <c r="I6">
        <v>198</v>
      </c>
      <c r="J6">
        <v>0.97</v>
      </c>
      <c r="K6">
        <v>6.29</v>
      </c>
      <c r="L6">
        <v>1.2</v>
      </c>
      <c r="M6">
        <v>2</v>
      </c>
      <c r="N6" s="1">
        <f>bmw_global_sales_dataset[[#This Row],[units_sold]]*bmw_global_sales_dataset[[#This Row],[price_usd]]</f>
        <v>39413862</v>
      </c>
      <c r="O6">
        <v>706</v>
      </c>
    </row>
    <row r="7" spans="1:15" x14ac:dyDescent="0.35">
      <c r="A7">
        <v>2015</v>
      </c>
      <c r="B7">
        <v>4</v>
      </c>
      <c r="C7" t="s">
        <v>32</v>
      </c>
      <c r="D7" t="s">
        <v>34</v>
      </c>
      <c r="E7" t="s">
        <v>16</v>
      </c>
      <c r="F7" t="s">
        <v>20</v>
      </c>
      <c r="G7" s="1">
        <v>53157</v>
      </c>
      <c r="H7" s="1">
        <v>107786</v>
      </c>
      <c r="I7">
        <v>173</v>
      </c>
      <c r="J7">
        <v>0.97</v>
      </c>
      <c r="K7">
        <v>6.29</v>
      </c>
      <c r="L7">
        <v>1.2</v>
      </c>
      <c r="M7">
        <v>8</v>
      </c>
      <c r="N7" s="1">
        <f>bmw_global_sales_dataset[[#This Row],[units_sold]]*bmw_global_sales_dataset[[#This Row],[price_usd]]</f>
        <v>35455719</v>
      </c>
      <c r="O7">
        <v>667</v>
      </c>
    </row>
    <row r="8" spans="1:15" x14ac:dyDescent="0.35">
      <c r="A8">
        <v>2015</v>
      </c>
      <c r="B8">
        <v>8</v>
      </c>
      <c r="C8" t="s">
        <v>35</v>
      </c>
      <c r="D8" t="s">
        <v>24</v>
      </c>
      <c r="E8" t="s">
        <v>20</v>
      </c>
      <c r="F8" t="s">
        <v>23</v>
      </c>
      <c r="G8" s="1">
        <v>49414</v>
      </c>
      <c r="H8" s="1">
        <v>259087</v>
      </c>
      <c r="I8">
        <v>186</v>
      </c>
      <c r="J8">
        <v>0.97</v>
      </c>
      <c r="K8">
        <v>6.29</v>
      </c>
      <c r="L8">
        <v>1.2</v>
      </c>
      <c r="M8">
        <v>1</v>
      </c>
      <c r="N8" s="1">
        <f>bmw_global_sales_dataset[[#This Row],[units_sold]]*bmw_global_sales_dataset[[#This Row],[price_usd]]</f>
        <v>27869496</v>
      </c>
      <c r="O8">
        <v>564</v>
      </c>
    </row>
    <row r="9" spans="1:15" x14ac:dyDescent="0.35">
      <c r="A9">
        <v>2015</v>
      </c>
      <c r="B9">
        <v>8</v>
      </c>
      <c r="C9" t="s">
        <v>38</v>
      </c>
      <c r="D9" t="s">
        <v>29</v>
      </c>
      <c r="E9" t="s">
        <v>19</v>
      </c>
      <c r="F9" t="s">
        <v>27</v>
      </c>
      <c r="G9" s="1">
        <v>96861</v>
      </c>
      <c r="H9" s="1">
        <v>465685</v>
      </c>
      <c r="I9">
        <v>81</v>
      </c>
      <c r="J9">
        <v>0.97</v>
      </c>
      <c r="K9">
        <v>6.29</v>
      </c>
      <c r="L9">
        <v>1.2</v>
      </c>
      <c r="M9">
        <v>3</v>
      </c>
      <c r="N9" s="1">
        <f>bmw_global_sales_dataset[[#This Row],[units_sold]]*bmw_global_sales_dataset[[#This Row],[price_usd]]</f>
        <v>43684311</v>
      </c>
      <c r="O9">
        <v>451</v>
      </c>
    </row>
    <row r="10" spans="1:15" x14ac:dyDescent="0.35">
      <c r="A10">
        <v>2015</v>
      </c>
      <c r="B10">
        <v>1</v>
      </c>
      <c r="C10" t="s">
        <v>28</v>
      </c>
      <c r="D10" t="s">
        <v>18</v>
      </c>
      <c r="E10" t="s">
        <v>16</v>
      </c>
      <c r="F10" t="s">
        <v>23</v>
      </c>
      <c r="G10" s="1">
        <v>118384</v>
      </c>
      <c r="H10" s="1">
        <v>462540</v>
      </c>
      <c r="I10">
        <v>56</v>
      </c>
      <c r="J10">
        <v>0.97</v>
      </c>
      <c r="K10">
        <v>6.29</v>
      </c>
      <c r="L10">
        <v>1.2</v>
      </c>
      <c r="M10">
        <v>10</v>
      </c>
      <c r="N10" s="1">
        <f>bmw_global_sales_dataset[[#This Row],[units_sold]]*bmw_global_sales_dataset[[#This Row],[price_usd]]</f>
        <v>43565312</v>
      </c>
      <c r="O10">
        <v>368</v>
      </c>
    </row>
    <row r="11" spans="1:15" x14ac:dyDescent="0.35">
      <c r="A11">
        <v>2015</v>
      </c>
      <c r="B11">
        <v>4</v>
      </c>
      <c r="C11" t="s">
        <v>21</v>
      </c>
      <c r="D11" t="s">
        <v>29</v>
      </c>
      <c r="E11" t="s">
        <v>16</v>
      </c>
      <c r="F11" t="s">
        <v>27</v>
      </c>
      <c r="G11" s="1">
        <v>48029</v>
      </c>
      <c r="H11" s="1">
        <v>159321</v>
      </c>
      <c r="I11">
        <v>217</v>
      </c>
      <c r="J11">
        <v>0.97</v>
      </c>
      <c r="K11">
        <v>6.29</v>
      </c>
      <c r="L11">
        <v>1.2</v>
      </c>
      <c r="M11">
        <v>7</v>
      </c>
      <c r="N11" s="1">
        <f>bmw_global_sales_dataset[[#This Row],[units_sold]]*bmw_global_sales_dataset[[#This Row],[price_usd]]</f>
        <v>29874038</v>
      </c>
      <c r="O11">
        <v>622</v>
      </c>
    </row>
    <row r="12" spans="1:15" x14ac:dyDescent="0.35">
      <c r="A12">
        <v>2015</v>
      </c>
      <c r="B12">
        <v>12</v>
      </c>
      <c r="C12" t="s">
        <v>25</v>
      </c>
      <c r="D12" t="s">
        <v>22</v>
      </c>
      <c r="E12" t="s">
        <v>20</v>
      </c>
      <c r="F12" t="s">
        <v>27</v>
      </c>
      <c r="G12" s="1">
        <v>85435</v>
      </c>
      <c r="H12" s="1">
        <v>50882</v>
      </c>
      <c r="I12">
        <v>367</v>
      </c>
      <c r="J12">
        <v>0.97</v>
      </c>
      <c r="K12">
        <v>6.29</v>
      </c>
      <c r="L12">
        <v>1.2</v>
      </c>
      <c r="M12">
        <v>7</v>
      </c>
      <c r="N12" s="1">
        <f>bmw_global_sales_dataset[[#This Row],[units_sold]]*bmw_global_sales_dataset[[#This Row],[price_usd]]</f>
        <v>88681530</v>
      </c>
      <c r="O12">
        <v>1038</v>
      </c>
    </row>
    <row r="13" spans="1:15" x14ac:dyDescent="0.35">
      <c r="A13">
        <v>2015</v>
      </c>
      <c r="B13">
        <v>3</v>
      </c>
      <c r="C13" t="s">
        <v>30</v>
      </c>
      <c r="D13" t="s">
        <v>33</v>
      </c>
      <c r="E13" t="s">
        <v>19</v>
      </c>
      <c r="F13" t="s">
        <v>27</v>
      </c>
      <c r="G13" s="1">
        <v>40037</v>
      </c>
      <c r="H13" s="1">
        <v>306306</v>
      </c>
      <c r="I13">
        <v>274</v>
      </c>
      <c r="J13">
        <v>0.97</v>
      </c>
      <c r="K13">
        <v>6.29</v>
      </c>
      <c r="L13">
        <v>1.2</v>
      </c>
      <c r="M13">
        <v>1</v>
      </c>
      <c r="N13" s="1">
        <f>bmw_global_sales_dataset[[#This Row],[units_sold]]*bmw_global_sales_dataset[[#This Row],[price_usd]]</f>
        <v>30508194</v>
      </c>
      <c r="O13">
        <v>762</v>
      </c>
    </row>
    <row r="14" spans="1:15" x14ac:dyDescent="0.35">
      <c r="A14">
        <v>2015</v>
      </c>
      <c r="B14">
        <v>1</v>
      </c>
      <c r="C14" t="s">
        <v>28</v>
      </c>
      <c r="D14" t="s">
        <v>39</v>
      </c>
      <c r="E14" t="s">
        <v>19</v>
      </c>
      <c r="F14" t="s">
        <v>17</v>
      </c>
      <c r="G14" s="1">
        <v>63633</v>
      </c>
      <c r="H14" s="1">
        <v>176218</v>
      </c>
      <c r="I14">
        <v>280</v>
      </c>
      <c r="J14">
        <v>0.97</v>
      </c>
      <c r="K14">
        <v>6.29</v>
      </c>
      <c r="L14">
        <v>1.2</v>
      </c>
      <c r="M14">
        <v>5</v>
      </c>
      <c r="N14" s="1">
        <f>bmw_global_sales_dataset[[#This Row],[units_sold]]*bmw_global_sales_dataset[[#This Row],[price_usd]]</f>
        <v>59878653</v>
      </c>
      <c r="O14">
        <v>941</v>
      </c>
    </row>
    <row r="15" spans="1:15" x14ac:dyDescent="0.35">
      <c r="A15">
        <v>2015</v>
      </c>
      <c r="B15">
        <v>6</v>
      </c>
      <c r="C15" t="s">
        <v>32</v>
      </c>
      <c r="D15" t="s">
        <v>22</v>
      </c>
      <c r="E15" t="s">
        <v>20</v>
      </c>
      <c r="F15" t="s">
        <v>27</v>
      </c>
      <c r="G15" s="1">
        <v>63926</v>
      </c>
      <c r="H15" s="1">
        <v>248153</v>
      </c>
      <c r="I15">
        <v>336</v>
      </c>
      <c r="J15">
        <v>0.97</v>
      </c>
      <c r="K15">
        <v>6.29</v>
      </c>
      <c r="L15">
        <v>1.2</v>
      </c>
      <c r="M15">
        <v>9</v>
      </c>
      <c r="N15" s="1">
        <f>bmw_global_sales_dataset[[#This Row],[units_sold]]*bmw_global_sales_dataset[[#This Row],[price_usd]]</f>
        <v>56382732</v>
      </c>
      <c r="O15">
        <v>882</v>
      </c>
    </row>
    <row r="16" spans="1:15" x14ac:dyDescent="0.35">
      <c r="A16">
        <v>2015</v>
      </c>
      <c r="B16">
        <v>7</v>
      </c>
      <c r="C16" t="s">
        <v>25</v>
      </c>
      <c r="D16" t="s">
        <v>31</v>
      </c>
      <c r="E16" t="s">
        <v>16</v>
      </c>
      <c r="F16" t="s">
        <v>27</v>
      </c>
      <c r="G16" s="1">
        <v>44927</v>
      </c>
      <c r="H16" s="1">
        <v>498013</v>
      </c>
      <c r="I16">
        <v>382</v>
      </c>
      <c r="J16">
        <v>0.97</v>
      </c>
      <c r="K16">
        <v>6.29</v>
      </c>
      <c r="L16">
        <v>1.2</v>
      </c>
      <c r="M16">
        <v>9</v>
      </c>
      <c r="N16" s="1">
        <f>bmw_global_sales_dataset[[#This Row],[units_sold]]*bmw_global_sales_dataset[[#This Row],[price_usd]]</f>
        <v>41467621</v>
      </c>
      <c r="O16">
        <v>923</v>
      </c>
    </row>
    <row r="17" spans="1:15" x14ac:dyDescent="0.35">
      <c r="A17">
        <v>2015</v>
      </c>
      <c r="B17">
        <v>5</v>
      </c>
      <c r="C17" t="s">
        <v>25</v>
      </c>
      <c r="D17" t="s">
        <v>29</v>
      </c>
      <c r="E17" t="s">
        <v>16</v>
      </c>
      <c r="F17" t="s">
        <v>17</v>
      </c>
      <c r="G17" s="1">
        <v>112463</v>
      </c>
      <c r="H17" s="1">
        <v>239167</v>
      </c>
      <c r="I17">
        <v>234</v>
      </c>
      <c r="J17">
        <v>0.97</v>
      </c>
      <c r="K17">
        <v>6.29</v>
      </c>
      <c r="L17">
        <v>1.2</v>
      </c>
      <c r="M17">
        <v>1</v>
      </c>
      <c r="N17" s="1">
        <f>bmw_global_sales_dataset[[#This Row],[units_sold]]*bmw_global_sales_dataset[[#This Row],[price_usd]]</f>
        <v>57018741</v>
      </c>
      <c r="O17">
        <v>507</v>
      </c>
    </row>
    <row r="18" spans="1:15" x14ac:dyDescent="0.35">
      <c r="A18">
        <v>2015</v>
      </c>
      <c r="B18">
        <v>2</v>
      </c>
      <c r="C18" t="s">
        <v>30</v>
      </c>
      <c r="D18" t="s">
        <v>29</v>
      </c>
      <c r="E18" t="s">
        <v>20</v>
      </c>
      <c r="F18" t="s">
        <v>27</v>
      </c>
      <c r="G18" s="1">
        <v>75696</v>
      </c>
      <c r="H18" s="1">
        <v>68667</v>
      </c>
      <c r="I18">
        <v>38</v>
      </c>
      <c r="J18">
        <v>0.97</v>
      </c>
      <c r="K18">
        <v>6.29</v>
      </c>
      <c r="L18">
        <v>1.2</v>
      </c>
      <c r="M18">
        <v>5</v>
      </c>
      <c r="N18" s="1">
        <f>bmw_global_sales_dataset[[#This Row],[units_sold]]*bmw_global_sales_dataset[[#This Row],[price_usd]]</f>
        <v>29370048</v>
      </c>
      <c r="O18">
        <v>388</v>
      </c>
    </row>
    <row r="19" spans="1:15" x14ac:dyDescent="0.35">
      <c r="A19">
        <v>2015</v>
      </c>
      <c r="B19">
        <v>5</v>
      </c>
      <c r="C19" t="s">
        <v>37</v>
      </c>
      <c r="D19" t="s">
        <v>24</v>
      </c>
      <c r="E19" t="s">
        <v>20</v>
      </c>
      <c r="F19" t="s">
        <v>23</v>
      </c>
      <c r="G19" s="1">
        <v>102616</v>
      </c>
      <c r="H19" s="1">
        <v>124205</v>
      </c>
      <c r="I19">
        <v>229</v>
      </c>
      <c r="J19">
        <v>0.97</v>
      </c>
      <c r="K19">
        <v>6.29</v>
      </c>
      <c r="L19">
        <v>1.2</v>
      </c>
      <c r="M19">
        <v>7</v>
      </c>
      <c r="N19" s="1">
        <f>bmw_global_sales_dataset[[#This Row],[units_sold]]*bmw_global_sales_dataset[[#This Row],[price_usd]]</f>
        <v>70497192</v>
      </c>
      <c r="O19">
        <v>687</v>
      </c>
    </row>
    <row r="20" spans="1:15" x14ac:dyDescent="0.35">
      <c r="A20">
        <v>2015</v>
      </c>
      <c r="B20">
        <v>11</v>
      </c>
      <c r="C20" t="s">
        <v>25</v>
      </c>
      <c r="D20" t="s">
        <v>34</v>
      </c>
      <c r="E20" t="s">
        <v>16</v>
      </c>
      <c r="F20" t="s">
        <v>20</v>
      </c>
      <c r="G20" s="1">
        <v>91548</v>
      </c>
      <c r="H20" s="1">
        <v>454499</v>
      </c>
      <c r="I20">
        <v>224</v>
      </c>
      <c r="J20">
        <v>0.97</v>
      </c>
      <c r="K20">
        <v>6.29</v>
      </c>
      <c r="L20">
        <v>1.2</v>
      </c>
      <c r="M20">
        <v>8</v>
      </c>
      <c r="N20" s="1">
        <f>bmw_global_sales_dataset[[#This Row],[units_sold]]*bmw_global_sales_dataset[[#This Row],[price_usd]]</f>
        <v>81203076</v>
      </c>
      <c r="O20">
        <v>887</v>
      </c>
    </row>
    <row r="21" spans="1:15" x14ac:dyDescent="0.35">
      <c r="A21">
        <v>2015</v>
      </c>
      <c r="B21">
        <v>10</v>
      </c>
      <c r="C21" t="s">
        <v>21</v>
      </c>
      <c r="D21" t="s">
        <v>26</v>
      </c>
      <c r="E21" t="s">
        <v>20</v>
      </c>
      <c r="F21" t="s">
        <v>23</v>
      </c>
      <c r="G21" s="1">
        <v>61123</v>
      </c>
      <c r="H21" s="1">
        <v>212007</v>
      </c>
      <c r="I21">
        <v>230</v>
      </c>
      <c r="J21">
        <v>0.97</v>
      </c>
      <c r="K21">
        <v>6.29</v>
      </c>
      <c r="L21">
        <v>1.2</v>
      </c>
      <c r="M21">
        <v>1</v>
      </c>
      <c r="N21" s="1">
        <f>bmw_global_sales_dataset[[#This Row],[units_sold]]*bmw_global_sales_dataset[[#This Row],[price_usd]]</f>
        <v>48164924</v>
      </c>
      <c r="O21">
        <v>788</v>
      </c>
    </row>
    <row r="22" spans="1:15" x14ac:dyDescent="0.35">
      <c r="A22">
        <v>2015</v>
      </c>
      <c r="B22">
        <v>4</v>
      </c>
      <c r="C22" t="s">
        <v>37</v>
      </c>
      <c r="D22" t="s">
        <v>34</v>
      </c>
      <c r="E22" t="s">
        <v>16</v>
      </c>
      <c r="F22" t="s">
        <v>20</v>
      </c>
      <c r="G22" s="1">
        <v>84556</v>
      </c>
      <c r="H22" s="1">
        <v>358645</v>
      </c>
      <c r="I22">
        <v>370</v>
      </c>
      <c r="J22">
        <v>0.97</v>
      </c>
      <c r="K22">
        <v>6.29</v>
      </c>
      <c r="L22">
        <v>1.2</v>
      </c>
      <c r="M22">
        <v>4</v>
      </c>
      <c r="N22" s="1">
        <f>bmw_global_sales_dataset[[#This Row],[units_sold]]*bmw_global_sales_dataset[[#This Row],[price_usd]]</f>
        <v>68913140</v>
      </c>
      <c r="O22">
        <v>815</v>
      </c>
    </row>
    <row r="23" spans="1:15" x14ac:dyDescent="0.35">
      <c r="A23">
        <v>2015</v>
      </c>
      <c r="B23">
        <v>5</v>
      </c>
      <c r="C23" t="s">
        <v>35</v>
      </c>
      <c r="D23" t="s">
        <v>26</v>
      </c>
      <c r="E23" t="s">
        <v>20</v>
      </c>
      <c r="F23" t="s">
        <v>23</v>
      </c>
      <c r="G23" s="1">
        <v>61140</v>
      </c>
      <c r="H23" s="1">
        <v>444485</v>
      </c>
      <c r="I23">
        <v>292</v>
      </c>
      <c r="J23">
        <v>0.97</v>
      </c>
      <c r="K23">
        <v>6.29</v>
      </c>
      <c r="L23">
        <v>1.2</v>
      </c>
      <c r="M23">
        <v>6</v>
      </c>
      <c r="N23" s="1">
        <f>bmw_global_sales_dataset[[#This Row],[units_sold]]*bmw_global_sales_dataset[[#This Row],[price_usd]]</f>
        <v>63830160</v>
      </c>
      <c r="O23">
        <v>1044</v>
      </c>
    </row>
    <row r="24" spans="1:15" x14ac:dyDescent="0.35">
      <c r="A24">
        <v>2015</v>
      </c>
      <c r="B24">
        <v>6</v>
      </c>
      <c r="C24" t="s">
        <v>21</v>
      </c>
      <c r="D24" t="s">
        <v>26</v>
      </c>
      <c r="E24" t="s">
        <v>19</v>
      </c>
      <c r="F24" t="s">
        <v>20</v>
      </c>
      <c r="G24" s="1">
        <v>93502</v>
      </c>
      <c r="H24" s="1">
        <v>395744</v>
      </c>
      <c r="I24">
        <v>162</v>
      </c>
      <c r="J24">
        <v>0.97</v>
      </c>
      <c r="K24">
        <v>6.29</v>
      </c>
      <c r="L24">
        <v>1.2</v>
      </c>
      <c r="M24">
        <v>7</v>
      </c>
      <c r="N24" s="1">
        <f>bmw_global_sales_dataset[[#This Row],[units_sold]]*bmw_global_sales_dataset[[#This Row],[price_usd]]</f>
        <v>55727192</v>
      </c>
      <c r="O24">
        <v>596</v>
      </c>
    </row>
    <row r="25" spans="1:15" x14ac:dyDescent="0.35">
      <c r="A25">
        <v>2015</v>
      </c>
      <c r="B25">
        <v>1</v>
      </c>
      <c r="C25" t="s">
        <v>32</v>
      </c>
      <c r="D25" t="s">
        <v>29</v>
      </c>
      <c r="E25" t="s">
        <v>16</v>
      </c>
      <c r="F25" t="s">
        <v>27</v>
      </c>
      <c r="G25" s="1">
        <v>76850</v>
      </c>
      <c r="H25" s="1">
        <v>197525</v>
      </c>
      <c r="I25">
        <v>62</v>
      </c>
      <c r="J25">
        <v>0.97</v>
      </c>
      <c r="K25">
        <v>6.29</v>
      </c>
      <c r="L25">
        <v>1.2</v>
      </c>
      <c r="M25">
        <v>2</v>
      </c>
      <c r="N25" s="1">
        <f>bmw_global_sales_dataset[[#This Row],[units_sold]]*bmw_global_sales_dataset[[#This Row],[price_usd]]</f>
        <v>16215350</v>
      </c>
      <c r="O25">
        <v>211</v>
      </c>
    </row>
    <row r="26" spans="1:15" x14ac:dyDescent="0.35">
      <c r="A26">
        <v>2015</v>
      </c>
      <c r="B26">
        <v>10</v>
      </c>
      <c r="C26" t="s">
        <v>37</v>
      </c>
      <c r="D26" t="s">
        <v>34</v>
      </c>
      <c r="E26" t="s">
        <v>16</v>
      </c>
      <c r="F26" t="s">
        <v>27</v>
      </c>
      <c r="G26" s="1">
        <v>63557</v>
      </c>
      <c r="H26" s="1">
        <v>420635</v>
      </c>
      <c r="I26">
        <v>218</v>
      </c>
      <c r="J26">
        <v>0.97</v>
      </c>
      <c r="K26">
        <v>6.29</v>
      </c>
      <c r="L26">
        <v>1.2</v>
      </c>
      <c r="M26">
        <v>9</v>
      </c>
      <c r="N26" s="1">
        <f>bmw_global_sales_dataset[[#This Row],[units_sold]]*bmw_global_sales_dataset[[#This Row],[price_usd]]</f>
        <v>34447894</v>
      </c>
      <c r="O26">
        <v>542</v>
      </c>
    </row>
    <row r="27" spans="1:15" x14ac:dyDescent="0.35">
      <c r="A27">
        <v>2015</v>
      </c>
      <c r="B27">
        <v>11</v>
      </c>
      <c r="C27" t="s">
        <v>28</v>
      </c>
      <c r="D27" t="s">
        <v>26</v>
      </c>
      <c r="E27" t="s">
        <v>16</v>
      </c>
      <c r="F27" t="s">
        <v>27</v>
      </c>
      <c r="G27" s="1">
        <v>47720</v>
      </c>
      <c r="H27" s="1">
        <v>172989</v>
      </c>
      <c r="I27">
        <v>246</v>
      </c>
      <c r="J27">
        <v>0.97</v>
      </c>
      <c r="K27">
        <v>6.29</v>
      </c>
      <c r="L27">
        <v>1.2</v>
      </c>
      <c r="M27">
        <v>5</v>
      </c>
      <c r="N27" s="1">
        <f>bmw_global_sales_dataset[[#This Row],[units_sold]]*bmw_global_sales_dataset[[#This Row],[price_usd]]</f>
        <v>32306440</v>
      </c>
      <c r="O27">
        <v>677</v>
      </c>
    </row>
    <row r="28" spans="1:15" x14ac:dyDescent="0.35">
      <c r="A28">
        <v>2015</v>
      </c>
      <c r="B28">
        <v>9</v>
      </c>
      <c r="C28" t="s">
        <v>21</v>
      </c>
      <c r="D28" t="s">
        <v>26</v>
      </c>
      <c r="E28" t="s">
        <v>16</v>
      </c>
      <c r="F28" t="s">
        <v>20</v>
      </c>
      <c r="G28" s="1">
        <v>81418</v>
      </c>
      <c r="H28" s="1">
        <v>416648</v>
      </c>
      <c r="I28">
        <v>33</v>
      </c>
      <c r="J28">
        <v>0.97</v>
      </c>
      <c r="K28">
        <v>6.29</v>
      </c>
      <c r="L28">
        <v>1.2</v>
      </c>
      <c r="M28">
        <v>3</v>
      </c>
      <c r="N28" s="1">
        <f>bmw_global_sales_dataset[[#This Row],[units_sold]]*bmw_global_sales_dataset[[#This Row],[price_usd]]</f>
        <v>13189716</v>
      </c>
      <c r="O28">
        <v>162</v>
      </c>
    </row>
    <row r="29" spans="1:15" x14ac:dyDescent="0.35">
      <c r="A29">
        <v>2015</v>
      </c>
      <c r="B29">
        <v>10</v>
      </c>
      <c r="C29" t="s">
        <v>28</v>
      </c>
      <c r="D29" t="s">
        <v>33</v>
      </c>
      <c r="E29" t="s">
        <v>19</v>
      </c>
      <c r="F29" t="s">
        <v>17</v>
      </c>
      <c r="G29" s="1">
        <v>115846</v>
      </c>
      <c r="H29" s="1">
        <v>164919</v>
      </c>
      <c r="I29">
        <v>25</v>
      </c>
      <c r="J29">
        <v>0.97</v>
      </c>
      <c r="K29">
        <v>6.29</v>
      </c>
      <c r="L29">
        <v>1.2</v>
      </c>
      <c r="M29">
        <v>5</v>
      </c>
      <c r="N29" s="1">
        <f>bmw_global_sales_dataset[[#This Row],[units_sold]]*bmw_global_sales_dataset[[#This Row],[price_usd]]</f>
        <v>41588714</v>
      </c>
      <c r="O29">
        <v>359</v>
      </c>
    </row>
    <row r="30" spans="1:15" x14ac:dyDescent="0.35">
      <c r="A30">
        <v>2015</v>
      </c>
      <c r="B30">
        <v>12</v>
      </c>
      <c r="C30" t="s">
        <v>28</v>
      </c>
      <c r="D30" t="s">
        <v>15</v>
      </c>
      <c r="E30" t="s">
        <v>20</v>
      </c>
      <c r="F30" t="s">
        <v>23</v>
      </c>
      <c r="G30" s="1">
        <v>117476</v>
      </c>
      <c r="H30" s="1">
        <v>73777</v>
      </c>
      <c r="I30">
        <v>334</v>
      </c>
      <c r="J30">
        <v>0.97</v>
      </c>
      <c r="K30">
        <v>6.29</v>
      </c>
      <c r="L30">
        <v>1.2</v>
      </c>
      <c r="M30">
        <v>1</v>
      </c>
      <c r="N30" s="1">
        <f>bmw_global_sales_dataset[[#This Row],[units_sold]]*bmw_global_sales_dataset[[#This Row],[price_usd]]</f>
        <v>120412900</v>
      </c>
      <c r="O30">
        <v>1025</v>
      </c>
    </row>
    <row r="31" spans="1:15" x14ac:dyDescent="0.35">
      <c r="A31">
        <v>2015</v>
      </c>
      <c r="B31">
        <v>7</v>
      </c>
      <c r="C31" t="s">
        <v>36</v>
      </c>
      <c r="D31" t="s">
        <v>31</v>
      </c>
      <c r="E31" t="s">
        <v>19</v>
      </c>
      <c r="F31" t="s">
        <v>17</v>
      </c>
      <c r="G31" s="1">
        <v>46279</v>
      </c>
      <c r="H31" s="1">
        <v>398594</v>
      </c>
      <c r="I31">
        <v>306</v>
      </c>
      <c r="J31">
        <v>0.97</v>
      </c>
      <c r="K31">
        <v>6.29</v>
      </c>
      <c r="L31">
        <v>1.2</v>
      </c>
      <c r="M31">
        <v>1</v>
      </c>
      <c r="N31" s="1">
        <f>bmw_global_sales_dataset[[#This Row],[units_sold]]*bmw_global_sales_dataset[[#This Row],[price_usd]]</f>
        <v>46232721</v>
      </c>
      <c r="O31">
        <v>999</v>
      </c>
    </row>
    <row r="32" spans="1:15" x14ac:dyDescent="0.35">
      <c r="A32">
        <v>2015</v>
      </c>
      <c r="B32">
        <v>5</v>
      </c>
      <c r="C32" t="s">
        <v>25</v>
      </c>
      <c r="D32" t="s">
        <v>33</v>
      </c>
      <c r="E32" t="s">
        <v>16</v>
      </c>
      <c r="F32" t="s">
        <v>17</v>
      </c>
      <c r="G32" s="1">
        <v>110242</v>
      </c>
      <c r="H32" s="1">
        <v>495625</v>
      </c>
      <c r="I32">
        <v>285</v>
      </c>
      <c r="J32">
        <v>0.97</v>
      </c>
      <c r="K32">
        <v>6.29</v>
      </c>
      <c r="L32">
        <v>1.2</v>
      </c>
      <c r="M32">
        <v>7</v>
      </c>
      <c r="N32" s="1">
        <f>bmw_global_sales_dataset[[#This Row],[units_sold]]*bmw_global_sales_dataset[[#This Row],[price_usd]]</f>
        <v>103958206</v>
      </c>
      <c r="O32">
        <v>943</v>
      </c>
    </row>
    <row r="33" spans="1:15" x14ac:dyDescent="0.35">
      <c r="A33">
        <v>2015</v>
      </c>
      <c r="B33">
        <v>8</v>
      </c>
      <c r="C33" t="s">
        <v>30</v>
      </c>
      <c r="D33" t="s">
        <v>31</v>
      </c>
      <c r="E33" t="s">
        <v>16</v>
      </c>
      <c r="F33" t="s">
        <v>27</v>
      </c>
      <c r="G33" s="1">
        <v>44837</v>
      </c>
      <c r="H33" s="1">
        <v>397299</v>
      </c>
      <c r="I33">
        <v>173</v>
      </c>
      <c r="J33">
        <v>0.97</v>
      </c>
      <c r="K33">
        <v>6.29</v>
      </c>
      <c r="L33">
        <v>1.2</v>
      </c>
      <c r="M33">
        <v>6</v>
      </c>
      <c r="N33" s="1">
        <f>bmw_global_sales_dataset[[#This Row],[units_sold]]*bmw_global_sales_dataset[[#This Row],[price_usd]]</f>
        <v>30040790</v>
      </c>
      <c r="O33">
        <v>670</v>
      </c>
    </row>
    <row r="34" spans="1:15" x14ac:dyDescent="0.35">
      <c r="A34">
        <v>2015</v>
      </c>
      <c r="B34">
        <v>3</v>
      </c>
      <c r="C34" t="s">
        <v>37</v>
      </c>
      <c r="D34" t="s">
        <v>18</v>
      </c>
      <c r="E34" t="s">
        <v>19</v>
      </c>
      <c r="F34" t="s">
        <v>17</v>
      </c>
      <c r="G34" s="1">
        <v>104453</v>
      </c>
      <c r="H34" s="1">
        <v>192226</v>
      </c>
      <c r="I34">
        <v>44</v>
      </c>
      <c r="J34">
        <v>0.97</v>
      </c>
      <c r="K34">
        <v>6.29</v>
      </c>
      <c r="L34">
        <v>1.2</v>
      </c>
      <c r="M34">
        <v>6</v>
      </c>
      <c r="N34" s="1">
        <f>bmw_global_sales_dataset[[#This Row],[units_sold]]*bmw_global_sales_dataset[[#This Row],[price_usd]]</f>
        <v>27680045</v>
      </c>
      <c r="O34">
        <v>265</v>
      </c>
    </row>
    <row r="35" spans="1:15" x14ac:dyDescent="0.35">
      <c r="A35">
        <v>2015</v>
      </c>
      <c r="B35">
        <v>6</v>
      </c>
      <c r="C35" t="s">
        <v>30</v>
      </c>
      <c r="D35" t="s">
        <v>33</v>
      </c>
      <c r="E35" t="s">
        <v>16</v>
      </c>
      <c r="F35" t="s">
        <v>17</v>
      </c>
      <c r="G35" s="1">
        <v>103472</v>
      </c>
      <c r="H35" s="1">
        <v>407092</v>
      </c>
      <c r="I35">
        <v>121</v>
      </c>
      <c r="J35">
        <v>0.97</v>
      </c>
      <c r="K35">
        <v>6.29</v>
      </c>
      <c r="L35">
        <v>1.2</v>
      </c>
      <c r="M35">
        <v>9</v>
      </c>
      <c r="N35" s="1">
        <f>bmw_global_sales_dataset[[#This Row],[units_sold]]*bmw_global_sales_dataset[[#This Row],[price_usd]]</f>
        <v>32386736</v>
      </c>
      <c r="O35">
        <v>313</v>
      </c>
    </row>
    <row r="36" spans="1:15" x14ac:dyDescent="0.35">
      <c r="A36">
        <v>2015</v>
      </c>
      <c r="B36">
        <v>3</v>
      </c>
      <c r="C36" t="s">
        <v>35</v>
      </c>
      <c r="D36" t="s">
        <v>33</v>
      </c>
      <c r="E36" t="s">
        <v>20</v>
      </c>
      <c r="F36" t="s">
        <v>27</v>
      </c>
      <c r="G36" s="1">
        <v>85494</v>
      </c>
      <c r="H36" s="1">
        <v>359044</v>
      </c>
      <c r="I36">
        <v>31</v>
      </c>
      <c r="J36">
        <v>0.97</v>
      </c>
      <c r="K36">
        <v>6.29</v>
      </c>
      <c r="L36">
        <v>1.2</v>
      </c>
      <c r="M36">
        <v>6</v>
      </c>
      <c r="N36" s="1">
        <f>bmw_global_sales_dataset[[#This Row],[units_sold]]*bmw_global_sales_dataset[[#This Row],[price_usd]]</f>
        <v>8549400</v>
      </c>
      <c r="O36">
        <v>100</v>
      </c>
    </row>
    <row r="37" spans="1:15" x14ac:dyDescent="0.35">
      <c r="A37">
        <v>2015</v>
      </c>
      <c r="B37">
        <v>3</v>
      </c>
      <c r="C37" t="s">
        <v>37</v>
      </c>
      <c r="D37" t="s">
        <v>34</v>
      </c>
      <c r="E37" t="s">
        <v>20</v>
      </c>
      <c r="F37" t="s">
        <v>27</v>
      </c>
      <c r="G37" s="1">
        <v>53610</v>
      </c>
      <c r="H37" s="1">
        <v>128840</v>
      </c>
      <c r="I37">
        <v>225</v>
      </c>
      <c r="J37">
        <v>0.97</v>
      </c>
      <c r="K37">
        <v>6.29</v>
      </c>
      <c r="L37">
        <v>1.2</v>
      </c>
      <c r="M37">
        <v>4</v>
      </c>
      <c r="N37" s="1">
        <f>bmw_global_sales_dataset[[#This Row],[units_sold]]*bmw_global_sales_dataset[[#This Row],[price_usd]]</f>
        <v>36186750</v>
      </c>
      <c r="O37">
        <v>675</v>
      </c>
    </row>
    <row r="38" spans="1:15" x14ac:dyDescent="0.35">
      <c r="A38">
        <v>2015</v>
      </c>
      <c r="B38">
        <v>11</v>
      </c>
      <c r="C38" t="s">
        <v>32</v>
      </c>
      <c r="D38" t="s">
        <v>31</v>
      </c>
      <c r="E38" t="s">
        <v>19</v>
      </c>
      <c r="F38" t="s">
        <v>27</v>
      </c>
      <c r="G38" s="1">
        <v>115863</v>
      </c>
      <c r="H38" s="1">
        <v>99156</v>
      </c>
      <c r="I38">
        <v>190</v>
      </c>
      <c r="J38">
        <v>0.97</v>
      </c>
      <c r="K38">
        <v>6.29</v>
      </c>
      <c r="L38">
        <v>1.2</v>
      </c>
      <c r="M38">
        <v>6</v>
      </c>
      <c r="N38" s="1">
        <f>bmw_global_sales_dataset[[#This Row],[units_sold]]*bmw_global_sales_dataset[[#This Row],[price_usd]]</f>
        <v>54803199</v>
      </c>
      <c r="O38">
        <v>473</v>
      </c>
    </row>
    <row r="39" spans="1:15" x14ac:dyDescent="0.35">
      <c r="A39">
        <v>2015</v>
      </c>
      <c r="B39">
        <v>2</v>
      </c>
      <c r="C39" t="s">
        <v>30</v>
      </c>
      <c r="D39" t="s">
        <v>34</v>
      </c>
      <c r="E39" t="s">
        <v>19</v>
      </c>
      <c r="F39" t="s">
        <v>17</v>
      </c>
      <c r="G39" s="1">
        <v>113291</v>
      </c>
      <c r="H39" s="1">
        <v>258281</v>
      </c>
      <c r="I39">
        <v>365</v>
      </c>
      <c r="J39">
        <v>0.97</v>
      </c>
      <c r="K39">
        <v>6.29</v>
      </c>
      <c r="L39">
        <v>1.2</v>
      </c>
      <c r="M39">
        <v>6</v>
      </c>
      <c r="N39" s="1">
        <f>bmw_global_sales_dataset[[#This Row],[units_sold]]*bmw_global_sales_dataset[[#This Row],[price_usd]]</f>
        <v>116349857</v>
      </c>
      <c r="O39">
        <v>1027</v>
      </c>
    </row>
    <row r="40" spans="1:15" x14ac:dyDescent="0.35">
      <c r="A40">
        <v>2015</v>
      </c>
      <c r="B40">
        <v>8</v>
      </c>
      <c r="C40" t="s">
        <v>35</v>
      </c>
      <c r="D40" t="s">
        <v>26</v>
      </c>
      <c r="E40" t="s">
        <v>20</v>
      </c>
      <c r="F40" t="s">
        <v>23</v>
      </c>
      <c r="G40" s="1">
        <v>114823</v>
      </c>
      <c r="H40" s="1">
        <v>110282</v>
      </c>
      <c r="I40">
        <v>31</v>
      </c>
      <c r="J40">
        <v>0.97</v>
      </c>
      <c r="K40">
        <v>6.29</v>
      </c>
      <c r="L40">
        <v>1.2</v>
      </c>
      <c r="M40">
        <v>2</v>
      </c>
      <c r="N40" s="1">
        <f>bmw_global_sales_dataset[[#This Row],[units_sold]]*bmw_global_sales_dataset[[#This Row],[price_usd]]</f>
        <v>45699554</v>
      </c>
      <c r="O40">
        <v>398</v>
      </c>
    </row>
    <row r="41" spans="1:15" x14ac:dyDescent="0.35">
      <c r="A41">
        <v>2015</v>
      </c>
      <c r="B41">
        <v>9</v>
      </c>
      <c r="C41" t="s">
        <v>25</v>
      </c>
      <c r="D41" t="s">
        <v>29</v>
      </c>
      <c r="E41" t="s">
        <v>20</v>
      </c>
      <c r="F41" t="s">
        <v>17</v>
      </c>
      <c r="G41" s="1">
        <v>103876</v>
      </c>
      <c r="H41" s="1">
        <v>315470</v>
      </c>
      <c r="I41">
        <v>109</v>
      </c>
      <c r="J41">
        <v>0.97</v>
      </c>
      <c r="K41">
        <v>6.29</v>
      </c>
      <c r="L41">
        <v>1.2</v>
      </c>
      <c r="M41">
        <v>1</v>
      </c>
      <c r="N41" s="1">
        <f>bmw_global_sales_dataset[[#This Row],[units_sold]]*bmw_global_sales_dataset[[#This Row],[price_usd]]</f>
        <v>56093040</v>
      </c>
      <c r="O41">
        <v>540</v>
      </c>
    </row>
    <row r="42" spans="1:15" x14ac:dyDescent="0.35">
      <c r="A42">
        <v>2015</v>
      </c>
      <c r="B42">
        <v>9</v>
      </c>
      <c r="C42" t="s">
        <v>21</v>
      </c>
      <c r="D42" t="s">
        <v>15</v>
      </c>
      <c r="E42" t="s">
        <v>16</v>
      </c>
      <c r="F42" t="s">
        <v>23</v>
      </c>
      <c r="G42" s="1">
        <v>101677</v>
      </c>
      <c r="H42" s="1">
        <v>316907</v>
      </c>
      <c r="I42">
        <v>56</v>
      </c>
      <c r="J42">
        <v>0.97</v>
      </c>
      <c r="K42">
        <v>6.29</v>
      </c>
      <c r="L42">
        <v>1.2</v>
      </c>
      <c r="M42">
        <v>7</v>
      </c>
      <c r="N42" s="1">
        <f>bmw_global_sales_dataset[[#This Row],[units_sold]]*bmw_global_sales_dataset[[#This Row],[price_usd]]</f>
        <v>25927635</v>
      </c>
      <c r="O42">
        <v>255</v>
      </c>
    </row>
    <row r="43" spans="1:15" x14ac:dyDescent="0.35">
      <c r="A43">
        <v>2015</v>
      </c>
      <c r="B43">
        <v>1</v>
      </c>
      <c r="C43" t="s">
        <v>36</v>
      </c>
      <c r="D43" t="s">
        <v>24</v>
      </c>
      <c r="E43" t="s">
        <v>16</v>
      </c>
      <c r="F43" t="s">
        <v>27</v>
      </c>
      <c r="G43" s="1">
        <v>44943</v>
      </c>
      <c r="H43" s="1">
        <v>241007</v>
      </c>
      <c r="I43">
        <v>247</v>
      </c>
      <c r="J43">
        <v>0.97</v>
      </c>
      <c r="K43">
        <v>6.29</v>
      </c>
      <c r="L43">
        <v>1.2</v>
      </c>
      <c r="M43">
        <v>4</v>
      </c>
      <c r="N43" s="1">
        <f>bmw_global_sales_dataset[[#This Row],[units_sold]]*bmw_global_sales_dataset[[#This Row],[price_usd]]</f>
        <v>29078121</v>
      </c>
      <c r="O43">
        <v>647</v>
      </c>
    </row>
    <row r="44" spans="1:15" x14ac:dyDescent="0.35">
      <c r="A44">
        <v>2015</v>
      </c>
      <c r="B44">
        <v>10</v>
      </c>
      <c r="C44" t="s">
        <v>36</v>
      </c>
      <c r="D44" t="s">
        <v>22</v>
      </c>
      <c r="E44" t="s">
        <v>16</v>
      </c>
      <c r="F44" t="s">
        <v>17</v>
      </c>
      <c r="G44" s="1">
        <v>80760</v>
      </c>
      <c r="H44" s="1">
        <v>380724</v>
      </c>
      <c r="I44">
        <v>362</v>
      </c>
      <c r="J44">
        <v>0.97</v>
      </c>
      <c r="K44">
        <v>6.29</v>
      </c>
      <c r="L44">
        <v>1.2</v>
      </c>
      <c r="M44">
        <v>1</v>
      </c>
      <c r="N44" s="1">
        <f>bmw_global_sales_dataset[[#This Row],[units_sold]]*bmw_global_sales_dataset[[#This Row],[price_usd]]</f>
        <v>77610360</v>
      </c>
      <c r="O44">
        <v>961</v>
      </c>
    </row>
    <row r="45" spans="1:15" x14ac:dyDescent="0.35">
      <c r="A45">
        <v>2015</v>
      </c>
      <c r="B45">
        <v>2</v>
      </c>
      <c r="C45" t="s">
        <v>30</v>
      </c>
      <c r="D45" t="s">
        <v>18</v>
      </c>
      <c r="E45" t="s">
        <v>19</v>
      </c>
      <c r="F45" t="s">
        <v>20</v>
      </c>
      <c r="G45" s="1">
        <v>91356</v>
      </c>
      <c r="H45" s="1">
        <v>192690</v>
      </c>
      <c r="I45">
        <v>21</v>
      </c>
      <c r="J45">
        <v>0.97</v>
      </c>
      <c r="K45">
        <v>6.29</v>
      </c>
      <c r="L45">
        <v>1.2</v>
      </c>
      <c r="M45">
        <v>3</v>
      </c>
      <c r="N45" s="1">
        <f>bmw_global_sales_dataset[[#This Row],[units_sold]]*bmw_global_sales_dataset[[#This Row],[price_usd]]</f>
        <v>27954936</v>
      </c>
      <c r="O45">
        <v>306</v>
      </c>
    </row>
    <row r="46" spans="1:15" x14ac:dyDescent="0.35">
      <c r="A46">
        <v>2015</v>
      </c>
      <c r="B46">
        <v>7</v>
      </c>
      <c r="C46" t="s">
        <v>28</v>
      </c>
      <c r="D46" t="s">
        <v>24</v>
      </c>
      <c r="E46" t="s">
        <v>19</v>
      </c>
      <c r="F46" t="s">
        <v>23</v>
      </c>
      <c r="G46" s="1">
        <v>43876</v>
      </c>
      <c r="H46" s="1">
        <v>89148</v>
      </c>
      <c r="I46">
        <v>18</v>
      </c>
      <c r="J46">
        <v>0.97</v>
      </c>
      <c r="K46">
        <v>6.29</v>
      </c>
      <c r="L46">
        <v>1.2</v>
      </c>
      <c r="M46">
        <v>7</v>
      </c>
      <c r="N46" s="1">
        <f>bmw_global_sales_dataset[[#This Row],[units_sold]]*bmw_global_sales_dataset[[#This Row],[price_usd]]</f>
        <v>20490092</v>
      </c>
      <c r="O46">
        <v>467</v>
      </c>
    </row>
    <row r="47" spans="1:15" x14ac:dyDescent="0.35">
      <c r="A47">
        <v>2015</v>
      </c>
      <c r="B47">
        <v>2</v>
      </c>
      <c r="C47" t="s">
        <v>30</v>
      </c>
      <c r="D47" t="s">
        <v>33</v>
      </c>
      <c r="E47" t="s">
        <v>19</v>
      </c>
      <c r="F47" t="s">
        <v>20</v>
      </c>
      <c r="G47" s="1">
        <v>37841</v>
      </c>
      <c r="H47" s="1">
        <v>347594</v>
      </c>
      <c r="I47">
        <v>152</v>
      </c>
      <c r="J47">
        <v>0.97</v>
      </c>
      <c r="K47">
        <v>6.29</v>
      </c>
      <c r="L47">
        <v>1.2</v>
      </c>
      <c r="M47">
        <v>4</v>
      </c>
      <c r="N47" s="1">
        <f>bmw_global_sales_dataset[[#This Row],[units_sold]]*bmw_global_sales_dataset[[#This Row],[price_usd]]</f>
        <v>19563797</v>
      </c>
      <c r="O47">
        <v>517</v>
      </c>
    </row>
    <row r="48" spans="1:15" x14ac:dyDescent="0.35">
      <c r="A48">
        <v>2015</v>
      </c>
      <c r="B48">
        <v>12</v>
      </c>
      <c r="C48" t="s">
        <v>35</v>
      </c>
      <c r="D48" t="s">
        <v>18</v>
      </c>
      <c r="E48" t="s">
        <v>20</v>
      </c>
      <c r="F48" t="s">
        <v>17</v>
      </c>
      <c r="G48" s="1">
        <v>118860</v>
      </c>
      <c r="H48" s="1">
        <v>207403</v>
      </c>
      <c r="I48">
        <v>396</v>
      </c>
      <c r="J48">
        <v>0.97</v>
      </c>
      <c r="K48">
        <v>6.29</v>
      </c>
      <c r="L48">
        <v>1.2</v>
      </c>
      <c r="M48">
        <v>4</v>
      </c>
      <c r="N48" s="1">
        <f>bmw_global_sales_dataset[[#This Row],[units_sold]]*bmw_global_sales_dataset[[#This Row],[price_usd]]</f>
        <v>128131080</v>
      </c>
      <c r="O48">
        <v>1078</v>
      </c>
    </row>
    <row r="49" spans="1:15" x14ac:dyDescent="0.35">
      <c r="A49">
        <v>2015</v>
      </c>
      <c r="B49">
        <v>1</v>
      </c>
      <c r="C49" t="s">
        <v>28</v>
      </c>
      <c r="D49" t="s">
        <v>15</v>
      </c>
      <c r="E49" t="s">
        <v>19</v>
      </c>
      <c r="F49" t="s">
        <v>23</v>
      </c>
      <c r="G49" s="1">
        <v>104876</v>
      </c>
      <c r="H49" s="1">
        <v>229425</v>
      </c>
      <c r="I49">
        <v>322</v>
      </c>
      <c r="J49">
        <v>0.97</v>
      </c>
      <c r="K49">
        <v>6.29</v>
      </c>
      <c r="L49">
        <v>1.2</v>
      </c>
      <c r="M49">
        <v>7</v>
      </c>
      <c r="N49" s="1">
        <f>bmw_global_sales_dataset[[#This Row],[units_sold]]*bmw_global_sales_dataset[[#This Row],[price_usd]]</f>
        <v>70791300</v>
      </c>
      <c r="O49">
        <v>675</v>
      </c>
    </row>
    <row r="50" spans="1:15" x14ac:dyDescent="0.35">
      <c r="A50">
        <v>2015</v>
      </c>
      <c r="B50">
        <v>9</v>
      </c>
      <c r="C50" t="s">
        <v>21</v>
      </c>
      <c r="D50" t="s">
        <v>18</v>
      </c>
      <c r="E50" t="s">
        <v>16</v>
      </c>
      <c r="F50" t="s">
        <v>23</v>
      </c>
      <c r="G50" s="1">
        <v>75734</v>
      </c>
      <c r="H50" s="1">
        <v>265657</v>
      </c>
      <c r="I50">
        <v>362</v>
      </c>
      <c r="J50">
        <v>0.97</v>
      </c>
      <c r="K50">
        <v>6.29</v>
      </c>
      <c r="L50">
        <v>1.2</v>
      </c>
      <c r="M50">
        <v>7</v>
      </c>
      <c r="N50" s="1">
        <f>bmw_global_sales_dataset[[#This Row],[units_sold]]*bmw_global_sales_dataset[[#This Row],[price_usd]]</f>
        <v>63313624</v>
      </c>
      <c r="O50">
        <v>836</v>
      </c>
    </row>
    <row r="51" spans="1:15" x14ac:dyDescent="0.35">
      <c r="A51">
        <v>2015</v>
      </c>
      <c r="B51">
        <v>7</v>
      </c>
      <c r="C51" t="s">
        <v>28</v>
      </c>
      <c r="D51" t="s">
        <v>18</v>
      </c>
      <c r="E51" t="s">
        <v>19</v>
      </c>
      <c r="F51" t="s">
        <v>20</v>
      </c>
      <c r="G51" s="1">
        <v>111976</v>
      </c>
      <c r="H51" s="1">
        <v>287989</v>
      </c>
      <c r="I51">
        <v>107</v>
      </c>
      <c r="J51">
        <v>0.97</v>
      </c>
      <c r="K51">
        <v>6.29</v>
      </c>
      <c r="L51">
        <v>1.2</v>
      </c>
      <c r="M51">
        <v>5</v>
      </c>
      <c r="N51" s="1">
        <f>bmw_global_sales_dataset[[#This Row],[units_sold]]*bmw_global_sales_dataset[[#This Row],[price_usd]]</f>
        <v>61810752</v>
      </c>
      <c r="O51">
        <v>552</v>
      </c>
    </row>
    <row r="52" spans="1:15" x14ac:dyDescent="0.35">
      <c r="A52">
        <v>2015</v>
      </c>
      <c r="B52">
        <v>5</v>
      </c>
      <c r="C52" t="s">
        <v>21</v>
      </c>
      <c r="D52" t="s">
        <v>33</v>
      </c>
      <c r="E52" t="s">
        <v>16</v>
      </c>
      <c r="F52" t="s">
        <v>27</v>
      </c>
      <c r="G52" s="1">
        <v>109024</v>
      </c>
      <c r="H52" s="1">
        <v>489978</v>
      </c>
      <c r="I52">
        <v>39</v>
      </c>
      <c r="J52">
        <v>0.97</v>
      </c>
      <c r="K52">
        <v>6.29</v>
      </c>
      <c r="L52">
        <v>1.2</v>
      </c>
      <c r="M52">
        <v>9</v>
      </c>
      <c r="N52" s="1">
        <f>bmw_global_sales_dataset[[#This Row],[units_sold]]*bmw_global_sales_dataset[[#This Row],[price_usd]]</f>
        <v>53748832</v>
      </c>
      <c r="O52">
        <v>493</v>
      </c>
    </row>
    <row r="53" spans="1:15" x14ac:dyDescent="0.35">
      <c r="A53">
        <v>2015</v>
      </c>
      <c r="B53">
        <v>7</v>
      </c>
      <c r="C53" t="s">
        <v>21</v>
      </c>
      <c r="D53" t="s">
        <v>29</v>
      </c>
      <c r="E53" t="s">
        <v>16</v>
      </c>
      <c r="F53" t="s">
        <v>27</v>
      </c>
      <c r="G53" s="1">
        <v>36378</v>
      </c>
      <c r="H53" s="1">
        <v>267394</v>
      </c>
      <c r="I53">
        <v>395</v>
      </c>
      <c r="J53">
        <v>0.97</v>
      </c>
      <c r="K53">
        <v>6.29</v>
      </c>
      <c r="L53">
        <v>1.2</v>
      </c>
      <c r="M53">
        <v>10</v>
      </c>
      <c r="N53" s="1">
        <f>bmw_global_sales_dataset[[#This Row],[units_sold]]*bmw_global_sales_dataset[[#This Row],[price_usd]]</f>
        <v>34668234</v>
      </c>
      <c r="O53">
        <v>953</v>
      </c>
    </row>
    <row r="54" spans="1:15" x14ac:dyDescent="0.35">
      <c r="A54">
        <v>2015</v>
      </c>
      <c r="B54">
        <v>9</v>
      </c>
      <c r="C54" t="s">
        <v>14</v>
      </c>
      <c r="D54" t="s">
        <v>29</v>
      </c>
      <c r="E54" t="s">
        <v>16</v>
      </c>
      <c r="F54" t="s">
        <v>27</v>
      </c>
      <c r="G54" s="1">
        <v>65607</v>
      </c>
      <c r="H54" s="1">
        <v>165260</v>
      </c>
      <c r="I54">
        <v>181</v>
      </c>
      <c r="J54">
        <v>0.97</v>
      </c>
      <c r="K54">
        <v>6.29</v>
      </c>
      <c r="L54">
        <v>1.2</v>
      </c>
      <c r="M54">
        <v>1</v>
      </c>
      <c r="N54" s="1">
        <f>bmw_global_sales_dataset[[#This Row],[units_sold]]*bmw_global_sales_dataset[[#This Row],[price_usd]]</f>
        <v>38576916</v>
      </c>
      <c r="O54">
        <v>588</v>
      </c>
    </row>
    <row r="55" spans="1:15" x14ac:dyDescent="0.35">
      <c r="A55">
        <v>2015</v>
      </c>
      <c r="B55">
        <v>10</v>
      </c>
      <c r="C55" t="s">
        <v>14</v>
      </c>
      <c r="D55" t="s">
        <v>15</v>
      </c>
      <c r="E55" t="s">
        <v>16</v>
      </c>
      <c r="F55" t="s">
        <v>20</v>
      </c>
      <c r="G55" s="1">
        <v>42349</v>
      </c>
      <c r="H55" s="1">
        <v>258886</v>
      </c>
      <c r="I55">
        <v>119</v>
      </c>
      <c r="J55">
        <v>0.97</v>
      </c>
      <c r="K55">
        <v>6.29</v>
      </c>
      <c r="L55">
        <v>1.2</v>
      </c>
      <c r="M55">
        <v>2</v>
      </c>
      <c r="N55" s="1">
        <f>bmw_global_sales_dataset[[#This Row],[units_sold]]*bmw_global_sales_dataset[[#This Row],[price_usd]]</f>
        <v>15753828</v>
      </c>
      <c r="O55">
        <v>372</v>
      </c>
    </row>
    <row r="56" spans="1:15" x14ac:dyDescent="0.35">
      <c r="A56">
        <v>2015</v>
      </c>
      <c r="B56">
        <v>6</v>
      </c>
      <c r="C56" t="s">
        <v>14</v>
      </c>
      <c r="D56" t="s">
        <v>18</v>
      </c>
      <c r="E56" t="s">
        <v>16</v>
      </c>
      <c r="F56" t="s">
        <v>27</v>
      </c>
      <c r="G56" s="1">
        <v>118791</v>
      </c>
      <c r="H56" s="1">
        <v>443052</v>
      </c>
      <c r="I56">
        <v>339</v>
      </c>
      <c r="J56">
        <v>0.97</v>
      </c>
      <c r="K56">
        <v>6.29</v>
      </c>
      <c r="L56">
        <v>1.2</v>
      </c>
      <c r="M56">
        <v>5</v>
      </c>
      <c r="N56" s="1">
        <f>bmw_global_sales_dataset[[#This Row],[units_sold]]*bmw_global_sales_dataset[[#This Row],[price_usd]]</f>
        <v>89212041</v>
      </c>
      <c r="O56">
        <v>751</v>
      </c>
    </row>
    <row r="57" spans="1:15" x14ac:dyDescent="0.35">
      <c r="A57">
        <v>2015</v>
      </c>
      <c r="B57">
        <v>7</v>
      </c>
      <c r="C57" t="s">
        <v>30</v>
      </c>
      <c r="D57" t="s">
        <v>26</v>
      </c>
      <c r="E57" t="s">
        <v>16</v>
      </c>
      <c r="F57" t="s">
        <v>20</v>
      </c>
      <c r="G57" s="1">
        <v>59299</v>
      </c>
      <c r="H57" s="1">
        <v>295160</v>
      </c>
      <c r="I57">
        <v>265</v>
      </c>
      <c r="J57">
        <v>0.97</v>
      </c>
      <c r="K57">
        <v>6.29</v>
      </c>
      <c r="L57">
        <v>1.2</v>
      </c>
      <c r="M57">
        <v>10</v>
      </c>
      <c r="N57" s="1">
        <f>bmw_global_sales_dataset[[#This Row],[units_sold]]*bmw_global_sales_dataset[[#This Row],[price_usd]]</f>
        <v>53606296</v>
      </c>
      <c r="O57">
        <v>904</v>
      </c>
    </row>
    <row r="58" spans="1:15" x14ac:dyDescent="0.35">
      <c r="A58">
        <v>2015</v>
      </c>
      <c r="B58">
        <v>2</v>
      </c>
      <c r="C58" t="s">
        <v>28</v>
      </c>
      <c r="D58" t="s">
        <v>22</v>
      </c>
      <c r="E58" t="s">
        <v>20</v>
      </c>
      <c r="F58" t="s">
        <v>23</v>
      </c>
      <c r="G58" s="1">
        <v>116788</v>
      </c>
      <c r="H58" s="1">
        <v>306681</v>
      </c>
      <c r="I58">
        <v>171</v>
      </c>
      <c r="J58">
        <v>0.97</v>
      </c>
      <c r="K58">
        <v>6.29</v>
      </c>
      <c r="L58">
        <v>1.2</v>
      </c>
      <c r="M58">
        <v>9</v>
      </c>
      <c r="N58" s="1">
        <f>bmw_global_sales_dataset[[#This Row],[units_sold]]*bmw_global_sales_dataset[[#This Row],[price_usd]]</f>
        <v>67153100</v>
      </c>
      <c r="O58">
        <v>575</v>
      </c>
    </row>
    <row r="59" spans="1:15" x14ac:dyDescent="0.35">
      <c r="A59">
        <v>2015</v>
      </c>
      <c r="B59">
        <v>9</v>
      </c>
      <c r="C59" t="s">
        <v>32</v>
      </c>
      <c r="D59" t="s">
        <v>29</v>
      </c>
      <c r="E59" t="s">
        <v>20</v>
      </c>
      <c r="F59" t="s">
        <v>27</v>
      </c>
      <c r="G59" s="1">
        <v>75581</v>
      </c>
      <c r="H59" s="1">
        <v>221635</v>
      </c>
      <c r="I59">
        <v>295</v>
      </c>
      <c r="J59">
        <v>0.97</v>
      </c>
      <c r="K59">
        <v>6.29</v>
      </c>
      <c r="L59">
        <v>1.2</v>
      </c>
      <c r="M59">
        <v>2</v>
      </c>
      <c r="N59" s="1">
        <f>bmw_global_sales_dataset[[#This Row],[units_sold]]*bmw_global_sales_dataset[[#This Row],[price_usd]]</f>
        <v>64092688</v>
      </c>
      <c r="O59">
        <v>848</v>
      </c>
    </row>
    <row r="60" spans="1:15" x14ac:dyDescent="0.35">
      <c r="A60">
        <v>2015</v>
      </c>
      <c r="B60">
        <v>5</v>
      </c>
      <c r="C60" t="s">
        <v>30</v>
      </c>
      <c r="D60" t="s">
        <v>31</v>
      </c>
      <c r="E60" t="s">
        <v>16</v>
      </c>
      <c r="F60" t="s">
        <v>17</v>
      </c>
      <c r="G60" s="1">
        <v>82645</v>
      </c>
      <c r="H60" s="1">
        <v>369248</v>
      </c>
      <c r="I60">
        <v>322</v>
      </c>
      <c r="J60">
        <v>0.97</v>
      </c>
      <c r="K60">
        <v>6.29</v>
      </c>
      <c r="L60">
        <v>1.2</v>
      </c>
      <c r="M60">
        <v>5</v>
      </c>
      <c r="N60" s="1">
        <f>bmw_global_sales_dataset[[#This Row],[units_sold]]*bmw_global_sales_dataset[[#This Row],[price_usd]]</f>
        <v>68347415</v>
      </c>
      <c r="O60">
        <v>827</v>
      </c>
    </row>
    <row r="61" spans="1:15" x14ac:dyDescent="0.35">
      <c r="A61">
        <v>2015</v>
      </c>
      <c r="B61">
        <v>3</v>
      </c>
      <c r="C61" t="s">
        <v>35</v>
      </c>
      <c r="D61" t="s">
        <v>31</v>
      </c>
      <c r="E61" t="s">
        <v>16</v>
      </c>
      <c r="F61" t="s">
        <v>17</v>
      </c>
      <c r="G61" s="1">
        <v>108324</v>
      </c>
      <c r="H61" s="1">
        <v>381495</v>
      </c>
      <c r="I61">
        <v>389</v>
      </c>
      <c r="J61">
        <v>0.97</v>
      </c>
      <c r="K61">
        <v>6.29</v>
      </c>
      <c r="L61">
        <v>1.2</v>
      </c>
      <c r="M61">
        <v>2</v>
      </c>
      <c r="N61" s="1">
        <f>bmw_global_sales_dataset[[#This Row],[units_sold]]*bmw_global_sales_dataset[[#This Row],[price_usd]]</f>
        <v>134538408</v>
      </c>
      <c r="O61">
        <v>1242</v>
      </c>
    </row>
    <row r="62" spans="1:15" x14ac:dyDescent="0.35">
      <c r="A62">
        <v>2015</v>
      </c>
      <c r="B62">
        <v>8</v>
      </c>
      <c r="C62" t="s">
        <v>36</v>
      </c>
      <c r="D62" t="s">
        <v>34</v>
      </c>
      <c r="E62" t="s">
        <v>20</v>
      </c>
      <c r="F62" t="s">
        <v>17</v>
      </c>
      <c r="G62" s="1">
        <v>42533</v>
      </c>
      <c r="H62" s="1">
        <v>110654</v>
      </c>
      <c r="I62">
        <v>322</v>
      </c>
      <c r="J62">
        <v>0.97</v>
      </c>
      <c r="K62">
        <v>6.29</v>
      </c>
      <c r="L62">
        <v>1.2</v>
      </c>
      <c r="M62">
        <v>5</v>
      </c>
      <c r="N62" s="1">
        <f>bmw_global_sales_dataset[[#This Row],[units_sold]]*bmw_global_sales_dataset[[#This Row],[price_usd]]</f>
        <v>30666293</v>
      </c>
      <c r="O62">
        <v>721</v>
      </c>
    </row>
    <row r="63" spans="1:15" x14ac:dyDescent="0.35">
      <c r="A63">
        <v>2015</v>
      </c>
      <c r="B63">
        <v>9</v>
      </c>
      <c r="C63" t="s">
        <v>21</v>
      </c>
      <c r="D63" t="s">
        <v>31</v>
      </c>
      <c r="E63" t="s">
        <v>16</v>
      </c>
      <c r="F63" t="s">
        <v>17</v>
      </c>
      <c r="G63" s="1">
        <v>46772</v>
      </c>
      <c r="H63" s="1">
        <v>403330</v>
      </c>
      <c r="I63">
        <v>290</v>
      </c>
      <c r="J63">
        <v>0.97</v>
      </c>
      <c r="K63">
        <v>6.29</v>
      </c>
      <c r="L63">
        <v>1.2</v>
      </c>
      <c r="M63">
        <v>3</v>
      </c>
      <c r="N63" s="1">
        <f>bmw_global_sales_dataset[[#This Row],[units_sold]]*bmw_global_sales_dataset[[#This Row],[price_usd]]</f>
        <v>48829968</v>
      </c>
      <c r="O63">
        <v>1044</v>
      </c>
    </row>
    <row r="64" spans="1:15" x14ac:dyDescent="0.35">
      <c r="A64">
        <v>2015</v>
      </c>
      <c r="B64">
        <v>9</v>
      </c>
      <c r="C64" t="s">
        <v>14</v>
      </c>
      <c r="D64" t="s">
        <v>34</v>
      </c>
      <c r="E64" t="s">
        <v>16</v>
      </c>
      <c r="F64" t="s">
        <v>23</v>
      </c>
      <c r="G64" s="1">
        <v>96431</v>
      </c>
      <c r="H64" s="1">
        <v>482601</v>
      </c>
      <c r="I64">
        <v>337</v>
      </c>
      <c r="J64">
        <v>0.97</v>
      </c>
      <c r="K64">
        <v>6.29</v>
      </c>
      <c r="L64">
        <v>1.2</v>
      </c>
      <c r="M64">
        <v>5</v>
      </c>
      <c r="N64" s="1">
        <f>bmw_global_sales_dataset[[#This Row],[units_sold]]*bmw_global_sales_dataset[[#This Row],[price_usd]]</f>
        <v>90355847</v>
      </c>
      <c r="O64">
        <v>937</v>
      </c>
    </row>
    <row r="65" spans="1:15" x14ac:dyDescent="0.35">
      <c r="A65">
        <v>2015</v>
      </c>
      <c r="B65">
        <v>8</v>
      </c>
      <c r="C65" t="s">
        <v>35</v>
      </c>
      <c r="D65" t="s">
        <v>34</v>
      </c>
      <c r="E65" t="s">
        <v>19</v>
      </c>
      <c r="F65" t="s">
        <v>27</v>
      </c>
      <c r="G65" s="1">
        <v>59648</v>
      </c>
      <c r="H65" s="1">
        <v>216991</v>
      </c>
      <c r="I65">
        <v>220</v>
      </c>
      <c r="J65">
        <v>0.97</v>
      </c>
      <c r="K65">
        <v>6.29</v>
      </c>
      <c r="L65">
        <v>1.2</v>
      </c>
      <c r="M65">
        <v>9</v>
      </c>
      <c r="N65" s="1">
        <f>bmw_global_sales_dataset[[#This Row],[units_sold]]*bmw_global_sales_dataset[[#This Row],[price_usd]]</f>
        <v>43185152</v>
      </c>
      <c r="O65">
        <v>724</v>
      </c>
    </row>
    <row r="66" spans="1:15" x14ac:dyDescent="0.35">
      <c r="A66">
        <v>2015</v>
      </c>
      <c r="B66">
        <v>3</v>
      </c>
      <c r="C66" t="s">
        <v>28</v>
      </c>
      <c r="D66" t="s">
        <v>15</v>
      </c>
      <c r="E66" t="s">
        <v>19</v>
      </c>
      <c r="F66" t="s">
        <v>20</v>
      </c>
      <c r="G66" s="1">
        <v>77598</v>
      </c>
      <c r="H66" s="1">
        <v>483603</v>
      </c>
      <c r="I66">
        <v>199</v>
      </c>
      <c r="J66">
        <v>0.97</v>
      </c>
      <c r="K66">
        <v>6.29</v>
      </c>
      <c r="L66">
        <v>1.2</v>
      </c>
      <c r="M66">
        <v>2</v>
      </c>
      <c r="N66" s="1">
        <f>bmw_global_sales_dataset[[#This Row],[units_sold]]*bmw_global_sales_dataset[[#This Row],[price_usd]]</f>
        <v>66967074</v>
      </c>
      <c r="O66">
        <v>863</v>
      </c>
    </row>
    <row r="67" spans="1:15" x14ac:dyDescent="0.35">
      <c r="A67">
        <v>2015</v>
      </c>
      <c r="B67">
        <v>8</v>
      </c>
      <c r="C67" t="s">
        <v>32</v>
      </c>
      <c r="D67" t="s">
        <v>29</v>
      </c>
      <c r="E67" t="s">
        <v>16</v>
      </c>
      <c r="F67" t="s">
        <v>27</v>
      </c>
      <c r="G67" s="1">
        <v>35893</v>
      </c>
      <c r="H67" s="1">
        <v>327648</v>
      </c>
      <c r="I67">
        <v>27</v>
      </c>
      <c r="J67">
        <v>0.97</v>
      </c>
      <c r="K67">
        <v>6.29</v>
      </c>
      <c r="L67">
        <v>1.2</v>
      </c>
      <c r="M67">
        <v>10</v>
      </c>
      <c r="N67" s="1">
        <f>bmw_global_sales_dataset[[#This Row],[units_sold]]*bmw_global_sales_dataset[[#This Row],[price_usd]]</f>
        <v>7609316</v>
      </c>
      <c r="O67">
        <v>212</v>
      </c>
    </row>
    <row r="68" spans="1:15" x14ac:dyDescent="0.35">
      <c r="A68">
        <v>2015</v>
      </c>
      <c r="B68">
        <v>11</v>
      </c>
      <c r="C68" t="s">
        <v>21</v>
      </c>
      <c r="D68" t="s">
        <v>31</v>
      </c>
      <c r="E68" t="s">
        <v>16</v>
      </c>
      <c r="F68" t="s">
        <v>23</v>
      </c>
      <c r="G68" s="1">
        <v>55711</v>
      </c>
      <c r="H68" s="1">
        <v>345276</v>
      </c>
      <c r="I68">
        <v>55</v>
      </c>
      <c r="J68">
        <v>0.97</v>
      </c>
      <c r="K68">
        <v>6.29</v>
      </c>
      <c r="L68">
        <v>1.2</v>
      </c>
      <c r="M68">
        <v>9</v>
      </c>
      <c r="N68" s="1">
        <f>bmw_global_sales_dataset[[#This Row],[units_sold]]*bmw_global_sales_dataset[[#This Row],[price_usd]]</f>
        <v>9470870</v>
      </c>
      <c r="O68">
        <v>170</v>
      </c>
    </row>
    <row r="69" spans="1:15" x14ac:dyDescent="0.35">
      <c r="A69">
        <v>2015</v>
      </c>
      <c r="B69">
        <v>10</v>
      </c>
      <c r="C69" t="s">
        <v>21</v>
      </c>
      <c r="D69" t="s">
        <v>33</v>
      </c>
      <c r="E69" t="s">
        <v>19</v>
      </c>
      <c r="F69" t="s">
        <v>27</v>
      </c>
      <c r="G69" s="1">
        <v>71561</v>
      </c>
      <c r="H69" s="1">
        <v>253179</v>
      </c>
      <c r="I69">
        <v>115</v>
      </c>
      <c r="J69">
        <v>0.97</v>
      </c>
      <c r="K69">
        <v>6.29</v>
      </c>
      <c r="L69">
        <v>1.2</v>
      </c>
      <c r="M69">
        <v>6</v>
      </c>
      <c r="N69" s="1">
        <f>bmw_global_sales_dataset[[#This Row],[units_sold]]*bmw_global_sales_dataset[[#This Row],[price_usd]]</f>
        <v>20323324</v>
      </c>
      <c r="O69">
        <v>284</v>
      </c>
    </row>
    <row r="70" spans="1:15" x14ac:dyDescent="0.35">
      <c r="A70">
        <v>2015</v>
      </c>
      <c r="B70">
        <v>12</v>
      </c>
      <c r="C70" t="s">
        <v>21</v>
      </c>
      <c r="D70" t="s">
        <v>26</v>
      </c>
      <c r="E70" t="s">
        <v>16</v>
      </c>
      <c r="F70" t="s">
        <v>23</v>
      </c>
      <c r="G70" s="1">
        <v>83665</v>
      </c>
      <c r="H70" s="1">
        <v>422454</v>
      </c>
      <c r="I70">
        <v>150</v>
      </c>
      <c r="J70">
        <v>0.97</v>
      </c>
      <c r="K70">
        <v>6.29</v>
      </c>
      <c r="L70">
        <v>1.2</v>
      </c>
      <c r="M70">
        <v>2</v>
      </c>
      <c r="N70" s="1">
        <f>bmw_global_sales_dataset[[#This Row],[units_sold]]*bmw_global_sales_dataset[[#This Row],[price_usd]]</f>
        <v>46266745</v>
      </c>
      <c r="O70">
        <v>553</v>
      </c>
    </row>
    <row r="71" spans="1:15" x14ac:dyDescent="0.35">
      <c r="A71">
        <v>2015</v>
      </c>
      <c r="B71">
        <v>11</v>
      </c>
      <c r="C71" t="s">
        <v>32</v>
      </c>
      <c r="D71" t="s">
        <v>15</v>
      </c>
      <c r="E71" t="s">
        <v>20</v>
      </c>
      <c r="F71" t="s">
        <v>20</v>
      </c>
      <c r="G71" s="1">
        <v>107573</v>
      </c>
      <c r="H71" s="1">
        <v>287268</v>
      </c>
      <c r="I71">
        <v>192</v>
      </c>
      <c r="J71">
        <v>0.97</v>
      </c>
      <c r="K71">
        <v>6.29</v>
      </c>
      <c r="L71">
        <v>1.2</v>
      </c>
      <c r="M71">
        <v>6</v>
      </c>
      <c r="N71" s="1">
        <f>bmw_global_sales_dataset[[#This Row],[units_sold]]*bmw_global_sales_dataset[[#This Row],[price_usd]]</f>
        <v>81647907</v>
      </c>
      <c r="O71">
        <v>759</v>
      </c>
    </row>
    <row r="72" spans="1:15" x14ac:dyDescent="0.35">
      <c r="A72">
        <v>2015</v>
      </c>
      <c r="B72">
        <v>1</v>
      </c>
      <c r="C72" t="s">
        <v>30</v>
      </c>
      <c r="D72" t="s">
        <v>15</v>
      </c>
      <c r="E72" t="s">
        <v>19</v>
      </c>
      <c r="F72" t="s">
        <v>23</v>
      </c>
      <c r="G72" s="1">
        <v>41221</v>
      </c>
      <c r="H72" s="1">
        <v>216969</v>
      </c>
      <c r="I72">
        <v>88</v>
      </c>
      <c r="J72">
        <v>0.97</v>
      </c>
      <c r="K72">
        <v>6.29</v>
      </c>
      <c r="L72">
        <v>1.2</v>
      </c>
      <c r="M72">
        <v>1</v>
      </c>
      <c r="N72" s="1">
        <f>bmw_global_sales_dataset[[#This Row],[units_sold]]*bmw_global_sales_dataset[[#This Row],[price_usd]]</f>
        <v>20280732</v>
      </c>
      <c r="O72">
        <v>492</v>
      </c>
    </row>
    <row r="73" spans="1:15" x14ac:dyDescent="0.35">
      <c r="A73">
        <v>2015</v>
      </c>
      <c r="B73">
        <v>4</v>
      </c>
      <c r="C73" t="s">
        <v>37</v>
      </c>
      <c r="D73" t="s">
        <v>26</v>
      </c>
      <c r="E73" t="s">
        <v>19</v>
      </c>
      <c r="F73" t="s">
        <v>17</v>
      </c>
      <c r="G73" s="1">
        <v>55213</v>
      </c>
      <c r="H73" s="1">
        <v>361741</v>
      </c>
      <c r="I73">
        <v>219</v>
      </c>
      <c r="J73">
        <v>0.97</v>
      </c>
      <c r="K73">
        <v>6.29</v>
      </c>
      <c r="L73">
        <v>1.2</v>
      </c>
      <c r="M73">
        <v>1</v>
      </c>
      <c r="N73" s="1">
        <f>bmw_global_sales_dataset[[#This Row],[units_sold]]*bmw_global_sales_dataset[[#This Row],[price_usd]]</f>
        <v>39587721</v>
      </c>
      <c r="O73">
        <v>717</v>
      </c>
    </row>
    <row r="74" spans="1:15" x14ac:dyDescent="0.35">
      <c r="A74">
        <v>2015</v>
      </c>
      <c r="B74">
        <v>4</v>
      </c>
      <c r="C74" t="s">
        <v>32</v>
      </c>
      <c r="D74" t="s">
        <v>29</v>
      </c>
      <c r="E74" t="s">
        <v>19</v>
      </c>
      <c r="F74" t="s">
        <v>20</v>
      </c>
      <c r="G74" s="1">
        <v>106916</v>
      </c>
      <c r="H74" s="1">
        <v>482348</v>
      </c>
      <c r="I74">
        <v>112</v>
      </c>
      <c r="J74">
        <v>0.97</v>
      </c>
      <c r="K74">
        <v>6.29</v>
      </c>
      <c r="L74">
        <v>1.2</v>
      </c>
      <c r="M74">
        <v>8</v>
      </c>
      <c r="N74" s="1">
        <f>bmw_global_sales_dataset[[#This Row],[units_sold]]*bmw_global_sales_dataset[[#This Row],[price_usd]]</f>
        <v>43621728</v>
      </c>
      <c r="O74">
        <v>408</v>
      </c>
    </row>
    <row r="75" spans="1:15" x14ac:dyDescent="0.35">
      <c r="A75">
        <v>2015</v>
      </c>
      <c r="B75">
        <v>12</v>
      </c>
      <c r="C75" t="s">
        <v>36</v>
      </c>
      <c r="D75" t="s">
        <v>18</v>
      </c>
      <c r="E75" t="s">
        <v>20</v>
      </c>
      <c r="F75" t="s">
        <v>23</v>
      </c>
      <c r="G75" s="1">
        <v>108843</v>
      </c>
      <c r="H75" s="1">
        <v>308072</v>
      </c>
      <c r="I75">
        <v>365</v>
      </c>
      <c r="J75">
        <v>0.97</v>
      </c>
      <c r="K75">
        <v>6.29</v>
      </c>
      <c r="L75">
        <v>1.2</v>
      </c>
      <c r="M75">
        <v>10</v>
      </c>
      <c r="N75" s="1">
        <f>bmw_global_sales_dataset[[#This Row],[units_sold]]*bmw_global_sales_dataset[[#This Row],[price_usd]]</f>
        <v>89468946</v>
      </c>
      <c r="O75">
        <v>822</v>
      </c>
    </row>
    <row r="76" spans="1:15" x14ac:dyDescent="0.35">
      <c r="A76">
        <v>2015</v>
      </c>
      <c r="B76">
        <v>11</v>
      </c>
      <c r="C76" t="s">
        <v>30</v>
      </c>
      <c r="D76" t="s">
        <v>24</v>
      </c>
      <c r="E76" t="s">
        <v>19</v>
      </c>
      <c r="F76" t="s">
        <v>20</v>
      </c>
      <c r="G76" s="1">
        <v>69159</v>
      </c>
      <c r="H76" s="1">
        <v>160084</v>
      </c>
      <c r="I76">
        <v>323</v>
      </c>
      <c r="J76">
        <v>0.97</v>
      </c>
      <c r="K76">
        <v>6.29</v>
      </c>
      <c r="L76">
        <v>1.2</v>
      </c>
      <c r="M76">
        <v>10</v>
      </c>
      <c r="N76" s="1">
        <f>bmw_global_sales_dataset[[#This Row],[units_sold]]*bmw_global_sales_dataset[[#This Row],[price_usd]]</f>
        <v>68744046</v>
      </c>
      <c r="O76">
        <v>994</v>
      </c>
    </row>
    <row r="77" spans="1:15" x14ac:dyDescent="0.35">
      <c r="A77">
        <v>2015</v>
      </c>
      <c r="B77">
        <v>11</v>
      </c>
      <c r="C77" t="s">
        <v>36</v>
      </c>
      <c r="D77" t="s">
        <v>31</v>
      </c>
      <c r="E77" t="s">
        <v>20</v>
      </c>
      <c r="F77" t="s">
        <v>27</v>
      </c>
      <c r="G77" s="1">
        <v>45143</v>
      </c>
      <c r="H77" s="1">
        <v>141288</v>
      </c>
      <c r="I77">
        <v>224</v>
      </c>
      <c r="J77">
        <v>0.97</v>
      </c>
      <c r="K77">
        <v>6.29</v>
      </c>
      <c r="L77">
        <v>1.2</v>
      </c>
      <c r="M77">
        <v>2</v>
      </c>
      <c r="N77" s="1">
        <f>bmw_global_sales_dataset[[#This Row],[units_sold]]*bmw_global_sales_dataset[[#This Row],[price_usd]]</f>
        <v>29388093</v>
      </c>
      <c r="O77">
        <v>651</v>
      </c>
    </row>
    <row r="78" spans="1:15" x14ac:dyDescent="0.35">
      <c r="A78">
        <v>2015</v>
      </c>
      <c r="B78">
        <v>2</v>
      </c>
      <c r="C78" t="s">
        <v>21</v>
      </c>
      <c r="D78" t="s">
        <v>29</v>
      </c>
      <c r="E78" t="s">
        <v>16</v>
      </c>
      <c r="F78" t="s">
        <v>20</v>
      </c>
      <c r="G78" s="1">
        <v>102443</v>
      </c>
      <c r="H78" s="1">
        <v>411445</v>
      </c>
      <c r="I78">
        <v>175</v>
      </c>
      <c r="J78">
        <v>0.97</v>
      </c>
      <c r="K78">
        <v>6.29</v>
      </c>
      <c r="L78">
        <v>1.2</v>
      </c>
      <c r="M78">
        <v>1</v>
      </c>
      <c r="N78" s="1">
        <f>bmw_global_sales_dataset[[#This Row],[units_sold]]*bmw_global_sales_dataset[[#This Row],[price_usd]]</f>
        <v>54602119</v>
      </c>
      <c r="O78">
        <v>533</v>
      </c>
    </row>
    <row r="79" spans="1:15" x14ac:dyDescent="0.35">
      <c r="A79">
        <v>2015</v>
      </c>
      <c r="B79">
        <v>6</v>
      </c>
      <c r="C79" t="s">
        <v>37</v>
      </c>
      <c r="D79" t="s">
        <v>24</v>
      </c>
      <c r="E79" t="s">
        <v>20</v>
      </c>
      <c r="F79" t="s">
        <v>27</v>
      </c>
      <c r="G79" s="1">
        <v>76984</v>
      </c>
      <c r="H79" s="1">
        <v>64390</v>
      </c>
      <c r="I79">
        <v>380</v>
      </c>
      <c r="J79">
        <v>0.97</v>
      </c>
      <c r="K79">
        <v>6.29</v>
      </c>
      <c r="L79">
        <v>1.2</v>
      </c>
      <c r="M79">
        <v>4</v>
      </c>
      <c r="N79" s="1">
        <f>bmw_global_sales_dataset[[#This Row],[units_sold]]*bmw_global_sales_dataset[[#This Row],[price_usd]]</f>
        <v>62664976</v>
      </c>
      <c r="O79">
        <v>814</v>
      </c>
    </row>
    <row r="80" spans="1:15" x14ac:dyDescent="0.35">
      <c r="A80">
        <v>2015</v>
      </c>
      <c r="B80">
        <v>12</v>
      </c>
      <c r="C80" t="s">
        <v>28</v>
      </c>
      <c r="D80" t="s">
        <v>34</v>
      </c>
      <c r="E80" t="s">
        <v>20</v>
      </c>
      <c r="F80" t="s">
        <v>27</v>
      </c>
      <c r="G80" s="1">
        <v>58649</v>
      </c>
      <c r="H80" s="1">
        <v>301063</v>
      </c>
      <c r="I80">
        <v>343</v>
      </c>
      <c r="J80">
        <v>0.97</v>
      </c>
      <c r="K80">
        <v>6.29</v>
      </c>
      <c r="L80">
        <v>1.2</v>
      </c>
      <c r="M80">
        <v>4</v>
      </c>
      <c r="N80" s="1">
        <f>bmw_global_sales_dataset[[#This Row],[units_sold]]*bmw_global_sales_dataset[[#This Row],[price_usd]]</f>
        <v>62813079</v>
      </c>
      <c r="O80">
        <v>1071</v>
      </c>
    </row>
    <row r="81" spans="1:15" x14ac:dyDescent="0.35">
      <c r="A81">
        <v>2015</v>
      </c>
      <c r="B81">
        <v>8</v>
      </c>
      <c r="C81" t="s">
        <v>37</v>
      </c>
      <c r="D81" t="s">
        <v>18</v>
      </c>
      <c r="E81" t="s">
        <v>19</v>
      </c>
      <c r="F81" t="s">
        <v>20</v>
      </c>
      <c r="G81" s="1">
        <v>77065</v>
      </c>
      <c r="H81" s="1">
        <v>74502</v>
      </c>
      <c r="I81">
        <v>265</v>
      </c>
      <c r="J81">
        <v>0.97</v>
      </c>
      <c r="K81">
        <v>6.29</v>
      </c>
      <c r="L81">
        <v>1.2</v>
      </c>
      <c r="M81">
        <v>9</v>
      </c>
      <c r="N81" s="1">
        <f>bmw_global_sales_dataset[[#This Row],[units_sold]]*bmw_global_sales_dataset[[#This Row],[price_usd]]</f>
        <v>71593385</v>
      </c>
      <c r="O81">
        <v>929</v>
      </c>
    </row>
    <row r="82" spans="1:15" x14ac:dyDescent="0.35">
      <c r="A82">
        <v>2015</v>
      </c>
      <c r="B82">
        <v>11</v>
      </c>
      <c r="C82" t="s">
        <v>32</v>
      </c>
      <c r="D82" t="s">
        <v>31</v>
      </c>
      <c r="E82" t="s">
        <v>16</v>
      </c>
      <c r="F82" t="s">
        <v>23</v>
      </c>
      <c r="G82" s="1">
        <v>38775</v>
      </c>
      <c r="H82" s="1">
        <v>238788</v>
      </c>
      <c r="I82">
        <v>332</v>
      </c>
      <c r="J82">
        <v>0.97</v>
      </c>
      <c r="K82">
        <v>6.29</v>
      </c>
      <c r="L82">
        <v>1.2</v>
      </c>
      <c r="M82">
        <v>10</v>
      </c>
      <c r="N82" s="1">
        <f>bmw_global_sales_dataset[[#This Row],[units_sold]]*bmw_global_sales_dataset[[#This Row],[price_usd]]</f>
        <v>32377125</v>
      </c>
      <c r="O82">
        <v>835</v>
      </c>
    </row>
    <row r="83" spans="1:15" x14ac:dyDescent="0.35">
      <c r="A83">
        <v>2015</v>
      </c>
      <c r="B83">
        <v>9</v>
      </c>
      <c r="C83" t="s">
        <v>36</v>
      </c>
      <c r="D83" t="s">
        <v>26</v>
      </c>
      <c r="E83" t="s">
        <v>20</v>
      </c>
      <c r="F83" t="s">
        <v>27</v>
      </c>
      <c r="G83" s="1">
        <v>88639</v>
      </c>
      <c r="H83" s="1">
        <v>394912</v>
      </c>
      <c r="I83">
        <v>158</v>
      </c>
      <c r="J83">
        <v>0.97</v>
      </c>
      <c r="K83">
        <v>6.29</v>
      </c>
      <c r="L83">
        <v>1.2</v>
      </c>
      <c r="M83">
        <v>3</v>
      </c>
      <c r="N83" s="1">
        <f>bmw_global_sales_dataset[[#This Row],[units_sold]]*bmw_global_sales_dataset[[#This Row],[price_usd]]</f>
        <v>42723998</v>
      </c>
      <c r="O83">
        <v>482</v>
      </c>
    </row>
    <row r="84" spans="1:15" x14ac:dyDescent="0.35">
      <c r="A84">
        <v>2015</v>
      </c>
      <c r="B84">
        <v>12</v>
      </c>
      <c r="C84" t="s">
        <v>32</v>
      </c>
      <c r="D84" t="s">
        <v>31</v>
      </c>
      <c r="E84" t="s">
        <v>19</v>
      </c>
      <c r="F84" t="s">
        <v>27</v>
      </c>
      <c r="G84" s="1">
        <v>54065</v>
      </c>
      <c r="H84" s="1">
        <v>402513</v>
      </c>
      <c r="I84">
        <v>177</v>
      </c>
      <c r="J84">
        <v>0.97</v>
      </c>
      <c r="K84">
        <v>6.29</v>
      </c>
      <c r="L84">
        <v>1.2</v>
      </c>
      <c r="M84">
        <v>8</v>
      </c>
      <c r="N84" s="1">
        <f>bmw_global_sales_dataset[[#This Row],[units_sold]]*bmw_global_sales_dataset[[#This Row],[price_usd]]</f>
        <v>38548345</v>
      </c>
      <c r="O84">
        <v>713</v>
      </c>
    </row>
    <row r="85" spans="1:15" x14ac:dyDescent="0.35">
      <c r="A85">
        <v>2015</v>
      </c>
      <c r="B85">
        <v>11</v>
      </c>
      <c r="C85" t="s">
        <v>21</v>
      </c>
      <c r="D85" t="s">
        <v>22</v>
      </c>
      <c r="E85" t="s">
        <v>19</v>
      </c>
      <c r="F85" t="s">
        <v>23</v>
      </c>
      <c r="G85" s="1">
        <v>86702</v>
      </c>
      <c r="H85" s="1">
        <v>76128</v>
      </c>
      <c r="I85">
        <v>85</v>
      </c>
      <c r="J85">
        <v>0.97</v>
      </c>
      <c r="K85">
        <v>6.29</v>
      </c>
      <c r="L85">
        <v>1.2</v>
      </c>
      <c r="M85">
        <v>4</v>
      </c>
      <c r="N85" s="1">
        <f>bmw_global_sales_dataset[[#This Row],[units_sold]]*bmw_global_sales_dataset[[#This Row],[price_usd]]</f>
        <v>26357408</v>
      </c>
      <c r="O85">
        <v>304</v>
      </c>
    </row>
    <row r="86" spans="1:15" x14ac:dyDescent="0.35">
      <c r="A86">
        <v>2015</v>
      </c>
      <c r="B86">
        <v>9</v>
      </c>
      <c r="C86" t="s">
        <v>32</v>
      </c>
      <c r="D86" t="s">
        <v>34</v>
      </c>
      <c r="E86" t="s">
        <v>16</v>
      </c>
      <c r="F86" t="s">
        <v>20</v>
      </c>
      <c r="G86" s="1">
        <v>41054</v>
      </c>
      <c r="H86" s="1">
        <v>202948</v>
      </c>
      <c r="I86">
        <v>257</v>
      </c>
      <c r="J86">
        <v>0.97</v>
      </c>
      <c r="K86">
        <v>6.29</v>
      </c>
      <c r="L86">
        <v>1.2</v>
      </c>
      <c r="M86">
        <v>10</v>
      </c>
      <c r="N86" s="1">
        <f>bmw_global_sales_dataset[[#This Row],[units_sold]]*bmw_global_sales_dataset[[#This Row],[price_usd]]</f>
        <v>37153870</v>
      </c>
      <c r="O86">
        <v>905</v>
      </c>
    </row>
    <row r="87" spans="1:15" x14ac:dyDescent="0.35">
      <c r="A87">
        <v>2015</v>
      </c>
      <c r="B87">
        <v>1</v>
      </c>
      <c r="C87" t="s">
        <v>28</v>
      </c>
      <c r="D87" t="s">
        <v>26</v>
      </c>
      <c r="E87" t="s">
        <v>16</v>
      </c>
      <c r="F87" t="s">
        <v>17</v>
      </c>
      <c r="G87" s="1">
        <v>83517</v>
      </c>
      <c r="H87" s="1">
        <v>190021</v>
      </c>
      <c r="I87">
        <v>311</v>
      </c>
      <c r="J87">
        <v>0.97</v>
      </c>
      <c r="K87">
        <v>6.29</v>
      </c>
      <c r="L87">
        <v>1.2</v>
      </c>
      <c r="M87">
        <v>8</v>
      </c>
      <c r="N87" s="1">
        <f>bmw_global_sales_dataset[[#This Row],[units_sold]]*bmw_global_sales_dataset[[#This Row],[price_usd]]</f>
        <v>55288254</v>
      </c>
      <c r="O87">
        <v>662</v>
      </c>
    </row>
    <row r="88" spans="1:15" x14ac:dyDescent="0.35">
      <c r="A88">
        <v>2015</v>
      </c>
      <c r="B88">
        <v>10</v>
      </c>
      <c r="C88" t="s">
        <v>37</v>
      </c>
      <c r="D88" t="s">
        <v>24</v>
      </c>
      <c r="E88" t="s">
        <v>16</v>
      </c>
      <c r="F88" t="s">
        <v>27</v>
      </c>
      <c r="G88" s="1">
        <v>75277</v>
      </c>
      <c r="H88" s="1">
        <v>230427</v>
      </c>
      <c r="I88">
        <v>103</v>
      </c>
      <c r="J88">
        <v>0.97</v>
      </c>
      <c r="K88">
        <v>6.29</v>
      </c>
      <c r="L88">
        <v>1.2</v>
      </c>
      <c r="M88">
        <v>9</v>
      </c>
      <c r="N88" s="1">
        <f>bmw_global_sales_dataset[[#This Row],[units_sold]]*bmw_global_sales_dataset[[#This Row],[price_usd]]</f>
        <v>20701175</v>
      </c>
      <c r="O88">
        <v>275</v>
      </c>
    </row>
    <row r="89" spans="1:15" x14ac:dyDescent="0.35">
      <c r="A89">
        <v>2015</v>
      </c>
      <c r="B89">
        <v>7</v>
      </c>
      <c r="C89" t="s">
        <v>28</v>
      </c>
      <c r="D89" t="s">
        <v>39</v>
      </c>
      <c r="E89" t="s">
        <v>19</v>
      </c>
      <c r="F89" t="s">
        <v>27</v>
      </c>
      <c r="G89" s="1">
        <v>44637</v>
      </c>
      <c r="H89" s="1">
        <v>428824</v>
      </c>
      <c r="I89">
        <v>229</v>
      </c>
      <c r="J89">
        <v>0.97</v>
      </c>
      <c r="K89">
        <v>6.29</v>
      </c>
      <c r="L89">
        <v>1.2</v>
      </c>
      <c r="M89">
        <v>10</v>
      </c>
      <c r="N89" s="1">
        <f>bmw_global_sales_dataset[[#This Row],[units_sold]]*bmw_global_sales_dataset[[#This Row],[price_usd]]</f>
        <v>38432457</v>
      </c>
      <c r="O89">
        <v>861</v>
      </c>
    </row>
    <row r="90" spans="1:15" x14ac:dyDescent="0.35">
      <c r="A90">
        <v>2015</v>
      </c>
      <c r="B90">
        <v>8</v>
      </c>
      <c r="C90" t="s">
        <v>28</v>
      </c>
      <c r="D90" t="s">
        <v>22</v>
      </c>
      <c r="E90" t="s">
        <v>16</v>
      </c>
      <c r="F90" t="s">
        <v>23</v>
      </c>
      <c r="G90" s="1">
        <v>40583</v>
      </c>
      <c r="H90" s="1">
        <v>240715</v>
      </c>
      <c r="I90">
        <v>29</v>
      </c>
      <c r="J90">
        <v>0.97</v>
      </c>
      <c r="K90">
        <v>6.29</v>
      </c>
      <c r="L90">
        <v>1.2</v>
      </c>
      <c r="M90">
        <v>6</v>
      </c>
      <c r="N90" s="1">
        <f>bmw_global_sales_dataset[[#This Row],[units_sold]]*bmw_global_sales_dataset[[#This Row],[price_usd]]</f>
        <v>16923111</v>
      </c>
      <c r="O90">
        <v>417</v>
      </c>
    </row>
    <row r="91" spans="1:15" x14ac:dyDescent="0.35">
      <c r="A91">
        <v>2015</v>
      </c>
      <c r="B91">
        <v>11</v>
      </c>
      <c r="C91" t="s">
        <v>25</v>
      </c>
      <c r="D91" t="s">
        <v>18</v>
      </c>
      <c r="E91" t="s">
        <v>19</v>
      </c>
      <c r="F91" t="s">
        <v>23</v>
      </c>
      <c r="G91" s="1">
        <v>112239</v>
      </c>
      <c r="H91" s="1">
        <v>170507</v>
      </c>
      <c r="I91">
        <v>34</v>
      </c>
      <c r="J91">
        <v>0.97</v>
      </c>
      <c r="K91">
        <v>6.29</v>
      </c>
      <c r="L91">
        <v>1.2</v>
      </c>
      <c r="M91">
        <v>1</v>
      </c>
      <c r="N91" s="1">
        <f>bmw_global_sales_dataset[[#This Row],[units_sold]]*bmw_global_sales_dataset[[#This Row],[price_usd]]</f>
        <v>50058594</v>
      </c>
      <c r="O91">
        <v>446</v>
      </c>
    </row>
    <row r="92" spans="1:15" x14ac:dyDescent="0.35">
      <c r="A92">
        <v>2015</v>
      </c>
      <c r="B92">
        <v>9</v>
      </c>
      <c r="C92" t="s">
        <v>38</v>
      </c>
      <c r="D92" t="s">
        <v>15</v>
      </c>
      <c r="E92" t="s">
        <v>16</v>
      </c>
      <c r="F92" t="s">
        <v>20</v>
      </c>
      <c r="G92" s="1">
        <v>72052</v>
      </c>
      <c r="H92" s="1">
        <v>172066</v>
      </c>
      <c r="I92">
        <v>332</v>
      </c>
      <c r="J92">
        <v>0.97</v>
      </c>
      <c r="K92">
        <v>6.29</v>
      </c>
      <c r="L92">
        <v>1.2</v>
      </c>
      <c r="M92">
        <v>9</v>
      </c>
      <c r="N92" s="1">
        <f>bmw_global_sales_dataset[[#This Row],[units_sold]]*bmw_global_sales_dataset[[#This Row],[price_usd]]</f>
        <v>65423216</v>
      </c>
      <c r="O92">
        <v>908</v>
      </c>
    </row>
    <row r="93" spans="1:15" x14ac:dyDescent="0.35">
      <c r="A93">
        <v>2015</v>
      </c>
      <c r="B93">
        <v>11</v>
      </c>
      <c r="C93" t="s">
        <v>36</v>
      </c>
      <c r="D93" t="s">
        <v>22</v>
      </c>
      <c r="E93" t="s">
        <v>20</v>
      </c>
      <c r="F93" t="s">
        <v>17</v>
      </c>
      <c r="G93" s="1">
        <v>81032</v>
      </c>
      <c r="H93" s="1">
        <v>231323</v>
      </c>
      <c r="I93">
        <v>10</v>
      </c>
      <c r="J93">
        <v>0.97</v>
      </c>
      <c r="K93">
        <v>6.29</v>
      </c>
      <c r="L93">
        <v>1.2</v>
      </c>
      <c r="M93">
        <v>4</v>
      </c>
      <c r="N93" s="1">
        <f>bmw_global_sales_dataset[[#This Row],[units_sold]]*bmw_global_sales_dataset[[#This Row],[price_usd]]</f>
        <v>20014904</v>
      </c>
      <c r="O93">
        <v>247</v>
      </c>
    </row>
    <row r="94" spans="1:15" x14ac:dyDescent="0.35">
      <c r="A94">
        <v>2015</v>
      </c>
      <c r="B94">
        <v>2</v>
      </c>
      <c r="C94" t="s">
        <v>25</v>
      </c>
      <c r="D94" t="s">
        <v>33</v>
      </c>
      <c r="E94" t="s">
        <v>20</v>
      </c>
      <c r="F94" t="s">
        <v>27</v>
      </c>
      <c r="G94" s="1">
        <v>79462</v>
      </c>
      <c r="H94" s="1">
        <v>351566</v>
      </c>
      <c r="I94">
        <v>98</v>
      </c>
      <c r="J94">
        <v>0.97</v>
      </c>
      <c r="K94">
        <v>6.29</v>
      </c>
      <c r="L94">
        <v>1.2</v>
      </c>
      <c r="M94">
        <v>10</v>
      </c>
      <c r="N94" s="1">
        <f>bmw_global_sales_dataset[[#This Row],[units_sold]]*bmw_global_sales_dataset[[#This Row],[price_usd]]</f>
        <v>23679676</v>
      </c>
      <c r="O94">
        <v>298</v>
      </c>
    </row>
    <row r="95" spans="1:15" x14ac:dyDescent="0.35">
      <c r="A95">
        <v>2015</v>
      </c>
      <c r="B95">
        <v>1</v>
      </c>
      <c r="C95" t="s">
        <v>21</v>
      </c>
      <c r="D95" t="s">
        <v>33</v>
      </c>
      <c r="E95" t="s">
        <v>20</v>
      </c>
      <c r="F95" t="s">
        <v>23</v>
      </c>
      <c r="G95" s="1">
        <v>60186</v>
      </c>
      <c r="H95" s="1">
        <v>305230</v>
      </c>
      <c r="I95">
        <v>312</v>
      </c>
      <c r="J95">
        <v>0.97</v>
      </c>
      <c r="K95">
        <v>6.29</v>
      </c>
      <c r="L95">
        <v>1.2</v>
      </c>
      <c r="M95">
        <v>5</v>
      </c>
      <c r="N95" s="1">
        <f>bmw_global_sales_dataset[[#This Row],[units_sold]]*bmw_global_sales_dataset[[#This Row],[price_usd]]</f>
        <v>55491492</v>
      </c>
      <c r="O95">
        <v>922</v>
      </c>
    </row>
    <row r="96" spans="1:15" x14ac:dyDescent="0.35">
      <c r="A96">
        <v>2015</v>
      </c>
      <c r="B96">
        <v>9</v>
      </c>
      <c r="C96" t="s">
        <v>21</v>
      </c>
      <c r="D96" t="s">
        <v>34</v>
      </c>
      <c r="E96" t="s">
        <v>19</v>
      </c>
      <c r="F96" t="s">
        <v>23</v>
      </c>
      <c r="G96" s="1">
        <v>119577</v>
      </c>
      <c r="H96" s="1">
        <v>252918</v>
      </c>
      <c r="I96">
        <v>301</v>
      </c>
      <c r="J96">
        <v>0.97</v>
      </c>
      <c r="K96">
        <v>6.29</v>
      </c>
      <c r="L96">
        <v>1.2</v>
      </c>
      <c r="M96">
        <v>1</v>
      </c>
      <c r="N96" s="1">
        <f>bmw_global_sales_dataset[[#This Row],[units_sold]]*bmw_global_sales_dataset[[#This Row],[price_usd]]</f>
        <v>81073206</v>
      </c>
      <c r="O96">
        <v>678</v>
      </c>
    </row>
    <row r="97" spans="1:15" x14ac:dyDescent="0.35">
      <c r="A97">
        <v>2015</v>
      </c>
      <c r="B97">
        <v>2</v>
      </c>
      <c r="C97" t="s">
        <v>37</v>
      </c>
      <c r="D97" t="s">
        <v>31</v>
      </c>
      <c r="E97" t="s">
        <v>16</v>
      </c>
      <c r="F97" t="s">
        <v>27</v>
      </c>
      <c r="G97" s="1">
        <v>102695</v>
      </c>
      <c r="H97" s="1">
        <v>463083</v>
      </c>
      <c r="I97">
        <v>223</v>
      </c>
      <c r="J97">
        <v>0.97</v>
      </c>
      <c r="K97">
        <v>6.29</v>
      </c>
      <c r="L97">
        <v>1.2</v>
      </c>
      <c r="M97">
        <v>8</v>
      </c>
      <c r="N97" s="1">
        <f>bmw_global_sales_dataset[[#This Row],[units_sold]]*bmw_global_sales_dataset[[#This Row],[price_usd]]</f>
        <v>55249910</v>
      </c>
      <c r="O97">
        <v>538</v>
      </c>
    </row>
    <row r="98" spans="1:15" x14ac:dyDescent="0.35">
      <c r="A98">
        <v>2015</v>
      </c>
      <c r="B98">
        <v>8</v>
      </c>
      <c r="C98" t="s">
        <v>21</v>
      </c>
      <c r="D98" t="s">
        <v>31</v>
      </c>
      <c r="E98" t="s">
        <v>20</v>
      </c>
      <c r="F98" t="s">
        <v>17</v>
      </c>
      <c r="G98" s="1">
        <v>87982</v>
      </c>
      <c r="H98" s="1">
        <v>449594</v>
      </c>
      <c r="I98">
        <v>178</v>
      </c>
      <c r="J98">
        <v>0.97</v>
      </c>
      <c r="K98">
        <v>6.29</v>
      </c>
      <c r="L98">
        <v>1.2</v>
      </c>
      <c r="M98">
        <v>2</v>
      </c>
      <c r="N98" s="1">
        <f>bmw_global_sales_dataset[[#This Row],[units_sold]]*bmw_global_sales_dataset[[#This Row],[price_usd]]</f>
        <v>43551090</v>
      </c>
      <c r="O98">
        <v>495</v>
      </c>
    </row>
    <row r="99" spans="1:15" x14ac:dyDescent="0.35">
      <c r="A99">
        <v>2015</v>
      </c>
      <c r="B99">
        <v>10</v>
      </c>
      <c r="C99" t="s">
        <v>37</v>
      </c>
      <c r="D99" t="s">
        <v>29</v>
      </c>
      <c r="E99" t="s">
        <v>19</v>
      </c>
      <c r="F99" t="s">
        <v>17</v>
      </c>
      <c r="G99" s="1">
        <v>67634</v>
      </c>
      <c r="H99" s="1">
        <v>490977</v>
      </c>
      <c r="I99">
        <v>284</v>
      </c>
      <c r="J99">
        <v>0.97</v>
      </c>
      <c r="K99">
        <v>6.29</v>
      </c>
      <c r="L99">
        <v>1.2</v>
      </c>
      <c r="M99">
        <v>10</v>
      </c>
      <c r="N99" s="1">
        <f>bmw_global_sales_dataset[[#This Row],[units_sold]]*bmw_global_sales_dataset[[#This Row],[price_usd]]</f>
        <v>57421266</v>
      </c>
      <c r="O99">
        <v>849</v>
      </c>
    </row>
    <row r="100" spans="1:15" x14ac:dyDescent="0.35">
      <c r="A100">
        <v>2015</v>
      </c>
      <c r="B100">
        <v>7</v>
      </c>
      <c r="C100" t="s">
        <v>28</v>
      </c>
      <c r="D100" t="s">
        <v>34</v>
      </c>
      <c r="E100" t="s">
        <v>16</v>
      </c>
      <c r="F100" t="s">
        <v>17</v>
      </c>
      <c r="G100" s="1">
        <v>37895</v>
      </c>
      <c r="H100" s="1">
        <v>194491</v>
      </c>
      <c r="I100">
        <v>247</v>
      </c>
      <c r="J100">
        <v>0.97</v>
      </c>
      <c r="K100">
        <v>6.29</v>
      </c>
      <c r="L100">
        <v>1.2</v>
      </c>
      <c r="M100">
        <v>5</v>
      </c>
      <c r="N100" s="1">
        <f>bmw_global_sales_dataset[[#This Row],[units_sold]]*bmw_global_sales_dataset[[#This Row],[price_usd]]</f>
        <v>28875990</v>
      </c>
      <c r="O100">
        <v>762</v>
      </c>
    </row>
    <row r="101" spans="1:15" x14ac:dyDescent="0.35">
      <c r="A101">
        <v>2015</v>
      </c>
      <c r="B101">
        <v>11</v>
      </c>
      <c r="C101" t="s">
        <v>28</v>
      </c>
      <c r="D101" t="s">
        <v>15</v>
      </c>
      <c r="E101" t="s">
        <v>19</v>
      </c>
      <c r="F101" t="s">
        <v>20</v>
      </c>
      <c r="G101" s="1">
        <v>78459</v>
      </c>
      <c r="H101" s="1">
        <v>377329</v>
      </c>
      <c r="I101">
        <v>93</v>
      </c>
      <c r="J101">
        <v>0.97</v>
      </c>
      <c r="K101">
        <v>6.29</v>
      </c>
      <c r="L101">
        <v>1.2</v>
      </c>
      <c r="M101">
        <v>2</v>
      </c>
      <c r="N101" s="1">
        <f>bmw_global_sales_dataset[[#This Row],[units_sold]]*bmw_global_sales_dataset[[#This Row],[price_usd]]</f>
        <v>45192384</v>
      </c>
      <c r="O101">
        <v>576</v>
      </c>
    </row>
    <row r="102" spans="1:15" x14ac:dyDescent="0.35">
      <c r="A102">
        <v>2015</v>
      </c>
      <c r="B102">
        <v>8</v>
      </c>
      <c r="C102" t="s">
        <v>14</v>
      </c>
      <c r="D102" t="s">
        <v>15</v>
      </c>
      <c r="E102" t="s">
        <v>20</v>
      </c>
      <c r="F102" t="s">
        <v>27</v>
      </c>
      <c r="G102" s="1">
        <v>65930</v>
      </c>
      <c r="H102" s="1">
        <v>320001</v>
      </c>
      <c r="I102">
        <v>89</v>
      </c>
      <c r="J102">
        <v>0.97</v>
      </c>
      <c r="K102">
        <v>6.29</v>
      </c>
      <c r="L102">
        <v>1.2</v>
      </c>
      <c r="M102">
        <v>1</v>
      </c>
      <c r="N102" s="1">
        <f>bmw_global_sales_dataset[[#This Row],[units_sold]]*bmw_global_sales_dataset[[#This Row],[price_usd]]</f>
        <v>19844930</v>
      </c>
      <c r="O102">
        <v>301</v>
      </c>
    </row>
    <row r="103" spans="1:15" x14ac:dyDescent="0.35">
      <c r="A103">
        <v>2015</v>
      </c>
      <c r="B103">
        <v>3</v>
      </c>
      <c r="C103" t="s">
        <v>14</v>
      </c>
      <c r="D103" t="s">
        <v>34</v>
      </c>
      <c r="E103" t="s">
        <v>19</v>
      </c>
      <c r="F103" t="s">
        <v>27</v>
      </c>
      <c r="G103" s="1">
        <v>96078</v>
      </c>
      <c r="H103" s="1">
        <v>99476</v>
      </c>
      <c r="I103">
        <v>266</v>
      </c>
      <c r="J103">
        <v>0.97</v>
      </c>
      <c r="K103">
        <v>6.29</v>
      </c>
      <c r="L103">
        <v>1.2</v>
      </c>
      <c r="M103">
        <v>5</v>
      </c>
      <c r="N103" s="1">
        <f>bmw_global_sales_dataset[[#This Row],[units_sold]]*bmw_global_sales_dataset[[#This Row],[price_usd]]</f>
        <v>61201686</v>
      </c>
      <c r="O103">
        <v>637</v>
      </c>
    </row>
    <row r="104" spans="1:15" x14ac:dyDescent="0.35">
      <c r="A104">
        <v>2015</v>
      </c>
      <c r="B104">
        <v>12</v>
      </c>
      <c r="C104" t="s">
        <v>35</v>
      </c>
      <c r="D104" t="s">
        <v>33</v>
      </c>
      <c r="E104" t="s">
        <v>20</v>
      </c>
      <c r="F104" t="s">
        <v>27</v>
      </c>
      <c r="G104" s="1">
        <v>39321</v>
      </c>
      <c r="H104" s="1">
        <v>308916</v>
      </c>
      <c r="I104">
        <v>115</v>
      </c>
      <c r="J104">
        <v>0.97</v>
      </c>
      <c r="K104">
        <v>6.29</v>
      </c>
      <c r="L104">
        <v>1.2</v>
      </c>
      <c r="M104">
        <v>4</v>
      </c>
      <c r="N104" s="1">
        <f>bmw_global_sales_dataset[[#This Row],[units_sold]]*bmw_global_sales_dataset[[#This Row],[price_usd]]</f>
        <v>14430807</v>
      </c>
      <c r="O104">
        <v>367</v>
      </c>
    </row>
    <row r="105" spans="1:15" x14ac:dyDescent="0.35">
      <c r="A105">
        <v>2015</v>
      </c>
      <c r="B105">
        <v>7</v>
      </c>
      <c r="C105" t="s">
        <v>32</v>
      </c>
      <c r="D105" t="s">
        <v>26</v>
      </c>
      <c r="E105" t="s">
        <v>19</v>
      </c>
      <c r="F105" t="s">
        <v>23</v>
      </c>
      <c r="G105" s="1">
        <v>107635</v>
      </c>
      <c r="H105" s="1">
        <v>280063</v>
      </c>
      <c r="I105">
        <v>282</v>
      </c>
      <c r="J105">
        <v>0.97</v>
      </c>
      <c r="K105">
        <v>6.29</v>
      </c>
      <c r="L105">
        <v>1.2</v>
      </c>
      <c r="M105">
        <v>10</v>
      </c>
      <c r="N105" s="1">
        <f>bmw_global_sales_dataset[[#This Row],[units_sold]]*bmw_global_sales_dataset[[#This Row],[price_usd]]</f>
        <v>71254370</v>
      </c>
      <c r="O105">
        <v>662</v>
      </c>
    </row>
    <row r="106" spans="1:15" x14ac:dyDescent="0.35">
      <c r="A106">
        <v>2015</v>
      </c>
      <c r="B106">
        <v>5</v>
      </c>
      <c r="C106" t="s">
        <v>25</v>
      </c>
      <c r="D106" t="s">
        <v>15</v>
      </c>
      <c r="E106" t="s">
        <v>16</v>
      </c>
      <c r="F106" t="s">
        <v>20</v>
      </c>
      <c r="G106" s="1">
        <v>58760</v>
      </c>
      <c r="H106" s="1">
        <v>91269</v>
      </c>
      <c r="I106">
        <v>241</v>
      </c>
      <c r="J106">
        <v>0.97</v>
      </c>
      <c r="K106">
        <v>6.29</v>
      </c>
      <c r="L106">
        <v>1.2</v>
      </c>
      <c r="M106">
        <v>6</v>
      </c>
      <c r="N106" s="1">
        <f>bmw_global_sales_dataset[[#This Row],[units_sold]]*bmw_global_sales_dataset[[#This Row],[price_usd]]</f>
        <v>53824160</v>
      </c>
      <c r="O106">
        <v>916</v>
      </c>
    </row>
    <row r="107" spans="1:15" x14ac:dyDescent="0.35">
      <c r="A107">
        <v>2015</v>
      </c>
      <c r="B107">
        <v>8</v>
      </c>
      <c r="C107" t="s">
        <v>36</v>
      </c>
      <c r="D107" t="s">
        <v>34</v>
      </c>
      <c r="E107" t="s">
        <v>16</v>
      </c>
      <c r="F107" t="s">
        <v>17</v>
      </c>
      <c r="G107" s="1">
        <v>51075</v>
      </c>
      <c r="H107" s="1">
        <v>127095</v>
      </c>
      <c r="I107">
        <v>34</v>
      </c>
      <c r="J107">
        <v>0.97</v>
      </c>
      <c r="K107">
        <v>6.29</v>
      </c>
      <c r="L107">
        <v>1.2</v>
      </c>
      <c r="M107">
        <v>2</v>
      </c>
      <c r="N107" s="1">
        <f>bmw_global_sales_dataset[[#This Row],[units_sold]]*bmw_global_sales_dataset[[#This Row],[price_usd]]</f>
        <v>19817100</v>
      </c>
      <c r="O107">
        <v>388</v>
      </c>
    </row>
    <row r="108" spans="1:15" x14ac:dyDescent="0.35">
      <c r="A108">
        <v>2015</v>
      </c>
      <c r="B108">
        <v>2</v>
      </c>
      <c r="C108" t="s">
        <v>25</v>
      </c>
      <c r="D108" t="s">
        <v>31</v>
      </c>
      <c r="E108" t="s">
        <v>19</v>
      </c>
      <c r="F108" t="s">
        <v>23</v>
      </c>
      <c r="G108" s="1">
        <v>50630</v>
      </c>
      <c r="H108" s="1">
        <v>101024</v>
      </c>
      <c r="I108">
        <v>191</v>
      </c>
      <c r="J108">
        <v>0.97</v>
      </c>
      <c r="K108">
        <v>6.29</v>
      </c>
      <c r="L108">
        <v>1.2</v>
      </c>
      <c r="M108">
        <v>8</v>
      </c>
      <c r="N108" s="1">
        <f>bmw_global_sales_dataset[[#This Row],[units_sold]]*bmw_global_sales_dataset[[#This Row],[price_usd]]</f>
        <v>39491400</v>
      </c>
      <c r="O108">
        <v>780</v>
      </c>
    </row>
    <row r="109" spans="1:15" x14ac:dyDescent="0.35">
      <c r="A109">
        <v>2015</v>
      </c>
      <c r="B109">
        <v>5</v>
      </c>
      <c r="C109" t="s">
        <v>36</v>
      </c>
      <c r="D109" t="s">
        <v>24</v>
      </c>
      <c r="E109" t="s">
        <v>19</v>
      </c>
      <c r="F109" t="s">
        <v>17</v>
      </c>
      <c r="G109" s="1">
        <v>90739</v>
      </c>
      <c r="H109" s="1">
        <v>315976</v>
      </c>
      <c r="I109">
        <v>62</v>
      </c>
      <c r="J109">
        <v>0.97</v>
      </c>
      <c r="K109">
        <v>6.29</v>
      </c>
      <c r="L109">
        <v>1.2</v>
      </c>
      <c r="M109">
        <v>3</v>
      </c>
      <c r="N109" s="1">
        <f>bmw_global_sales_dataset[[#This Row],[units_sold]]*bmw_global_sales_dataset[[#This Row],[price_usd]]</f>
        <v>47819453</v>
      </c>
      <c r="O109">
        <v>527</v>
      </c>
    </row>
    <row r="110" spans="1:15" x14ac:dyDescent="0.35">
      <c r="A110">
        <v>2015</v>
      </c>
      <c r="B110">
        <v>7</v>
      </c>
      <c r="C110" t="s">
        <v>35</v>
      </c>
      <c r="D110" t="s">
        <v>24</v>
      </c>
      <c r="E110" t="s">
        <v>19</v>
      </c>
      <c r="F110" t="s">
        <v>27</v>
      </c>
      <c r="G110" s="1">
        <v>107394</v>
      </c>
      <c r="H110" s="1">
        <v>144202</v>
      </c>
      <c r="I110">
        <v>109</v>
      </c>
      <c r="J110">
        <v>0.97</v>
      </c>
      <c r="K110">
        <v>6.29</v>
      </c>
      <c r="L110">
        <v>1.2</v>
      </c>
      <c r="M110">
        <v>9</v>
      </c>
      <c r="N110" s="1">
        <f>bmw_global_sales_dataset[[#This Row],[units_sold]]*bmw_global_sales_dataset[[#This Row],[price_usd]]</f>
        <v>24056256</v>
      </c>
      <c r="O110">
        <v>224</v>
      </c>
    </row>
    <row r="111" spans="1:15" x14ac:dyDescent="0.35">
      <c r="A111">
        <v>2015</v>
      </c>
      <c r="B111">
        <v>1</v>
      </c>
      <c r="C111" t="s">
        <v>35</v>
      </c>
      <c r="D111" t="s">
        <v>26</v>
      </c>
      <c r="E111" t="s">
        <v>19</v>
      </c>
      <c r="F111" t="s">
        <v>23</v>
      </c>
      <c r="G111" s="1">
        <v>67167</v>
      </c>
      <c r="H111" s="1">
        <v>210185</v>
      </c>
      <c r="I111">
        <v>139</v>
      </c>
      <c r="J111">
        <v>0.97</v>
      </c>
      <c r="K111">
        <v>6.29</v>
      </c>
      <c r="L111">
        <v>1.2</v>
      </c>
      <c r="M111">
        <v>8</v>
      </c>
      <c r="N111" s="1">
        <f>bmw_global_sales_dataset[[#This Row],[units_sold]]*bmw_global_sales_dataset[[#This Row],[price_usd]]</f>
        <v>25523460</v>
      </c>
      <c r="O111">
        <v>380</v>
      </c>
    </row>
    <row r="112" spans="1:15" x14ac:dyDescent="0.35">
      <c r="A112">
        <v>2015</v>
      </c>
      <c r="B112">
        <v>6</v>
      </c>
      <c r="C112" t="s">
        <v>28</v>
      </c>
      <c r="D112" t="s">
        <v>15</v>
      </c>
      <c r="E112" t="s">
        <v>19</v>
      </c>
      <c r="F112" t="s">
        <v>17</v>
      </c>
      <c r="G112" s="1">
        <v>113518</v>
      </c>
      <c r="H112" s="1">
        <v>206164</v>
      </c>
      <c r="I112">
        <v>373</v>
      </c>
      <c r="J112">
        <v>0.97</v>
      </c>
      <c r="K112">
        <v>6.29</v>
      </c>
      <c r="L112">
        <v>1.2</v>
      </c>
      <c r="M112">
        <v>10</v>
      </c>
      <c r="N112" s="1">
        <f>bmw_global_sales_dataset[[#This Row],[units_sold]]*bmw_global_sales_dataset[[#This Row],[price_usd]]</f>
        <v>131226808</v>
      </c>
      <c r="O112">
        <v>1156</v>
      </c>
    </row>
    <row r="113" spans="1:15" x14ac:dyDescent="0.35">
      <c r="A113">
        <v>2015</v>
      </c>
      <c r="B113">
        <v>11</v>
      </c>
      <c r="C113" t="s">
        <v>25</v>
      </c>
      <c r="D113" t="s">
        <v>22</v>
      </c>
      <c r="E113" t="s">
        <v>19</v>
      </c>
      <c r="F113" t="s">
        <v>23</v>
      </c>
      <c r="G113" s="1">
        <v>67919</v>
      </c>
      <c r="H113" s="1">
        <v>435546</v>
      </c>
      <c r="I113">
        <v>190</v>
      </c>
      <c r="J113">
        <v>0.97</v>
      </c>
      <c r="K113">
        <v>6.29</v>
      </c>
      <c r="L113">
        <v>1.2</v>
      </c>
      <c r="M113">
        <v>1</v>
      </c>
      <c r="N113" s="1">
        <f>bmw_global_sales_dataset[[#This Row],[units_sold]]*bmw_global_sales_dataset[[#This Row],[price_usd]]</f>
        <v>40751400</v>
      </c>
      <c r="O113">
        <v>600</v>
      </c>
    </row>
    <row r="114" spans="1:15" x14ac:dyDescent="0.35">
      <c r="A114">
        <v>2015</v>
      </c>
      <c r="B114">
        <v>2</v>
      </c>
      <c r="C114" t="s">
        <v>32</v>
      </c>
      <c r="D114" t="s">
        <v>33</v>
      </c>
      <c r="E114" t="s">
        <v>19</v>
      </c>
      <c r="F114" t="s">
        <v>20</v>
      </c>
      <c r="G114" s="1">
        <v>114401</v>
      </c>
      <c r="H114" s="1">
        <v>413334</v>
      </c>
      <c r="I114">
        <v>84</v>
      </c>
      <c r="J114">
        <v>0.97</v>
      </c>
      <c r="K114">
        <v>6.29</v>
      </c>
      <c r="L114">
        <v>1.2</v>
      </c>
      <c r="M114">
        <v>1</v>
      </c>
      <c r="N114" s="1">
        <f>bmw_global_sales_dataset[[#This Row],[units_sold]]*bmw_global_sales_dataset[[#This Row],[price_usd]]</f>
        <v>30659468</v>
      </c>
      <c r="O114">
        <v>268</v>
      </c>
    </row>
    <row r="115" spans="1:15" x14ac:dyDescent="0.35">
      <c r="A115">
        <v>2015</v>
      </c>
      <c r="B115">
        <v>2</v>
      </c>
      <c r="C115" t="s">
        <v>30</v>
      </c>
      <c r="D115" t="s">
        <v>15</v>
      </c>
      <c r="E115" t="s">
        <v>19</v>
      </c>
      <c r="F115" t="s">
        <v>23</v>
      </c>
      <c r="G115" s="1">
        <v>35495</v>
      </c>
      <c r="H115" s="1">
        <v>412612</v>
      </c>
      <c r="I115">
        <v>304</v>
      </c>
      <c r="J115">
        <v>0.97</v>
      </c>
      <c r="K115">
        <v>6.29</v>
      </c>
      <c r="L115">
        <v>1.2</v>
      </c>
      <c r="M115">
        <v>1</v>
      </c>
      <c r="N115" s="1">
        <f>bmw_global_sales_dataset[[#This Row],[units_sold]]*bmw_global_sales_dataset[[#This Row],[price_usd]]</f>
        <v>34536635</v>
      </c>
      <c r="O115">
        <v>973</v>
      </c>
    </row>
    <row r="116" spans="1:15" x14ac:dyDescent="0.35">
      <c r="A116">
        <v>2015</v>
      </c>
      <c r="B116">
        <v>10</v>
      </c>
      <c r="C116" t="s">
        <v>37</v>
      </c>
      <c r="D116" t="s">
        <v>31</v>
      </c>
      <c r="E116" t="s">
        <v>19</v>
      </c>
      <c r="F116" t="s">
        <v>23</v>
      </c>
      <c r="G116" s="1">
        <v>112004</v>
      </c>
      <c r="H116" s="1">
        <v>498927</v>
      </c>
      <c r="I116">
        <v>18</v>
      </c>
      <c r="J116">
        <v>0.97</v>
      </c>
      <c r="K116">
        <v>6.29</v>
      </c>
      <c r="L116">
        <v>1.2</v>
      </c>
      <c r="M116">
        <v>7</v>
      </c>
      <c r="N116" s="1">
        <f>bmw_global_sales_dataset[[#This Row],[units_sold]]*bmw_global_sales_dataset[[#This Row],[price_usd]]</f>
        <v>14560520</v>
      </c>
      <c r="O116">
        <v>130</v>
      </c>
    </row>
    <row r="117" spans="1:15" x14ac:dyDescent="0.35">
      <c r="A117">
        <v>2015</v>
      </c>
      <c r="B117">
        <v>11</v>
      </c>
      <c r="C117" t="s">
        <v>28</v>
      </c>
      <c r="D117" t="s">
        <v>39</v>
      </c>
      <c r="E117" t="s">
        <v>20</v>
      </c>
      <c r="F117" t="s">
        <v>23</v>
      </c>
      <c r="G117" s="1">
        <v>87057</v>
      </c>
      <c r="H117" s="1">
        <v>493942</v>
      </c>
      <c r="I117">
        <v>362</v>
      </c>
      <c r="J117">
        <v>0.97</v>
      </c>
      <c r="K117">
        <v>6.29</v>
      </c>
      <c r="L117">
        <v>1.2</v>
      </c>
      <c r="M117">
        <v>6</v>
      </c>
      <c r="N117" s="1">
        <f>bmw_global_sales_dataset[[#This Row],[units_sold]]*bmw_global_sales_dataset[[#This Row],[price_usd]]</f>
        <v>104120172</v>
      </c>
      <c r="O117">
        <v>1196</v>
      </c>
    </row>
    <row r="118" spans="1:15" x14ac:dyDescent="0.35">
      <c r="A118">
        <v>2015</v>
      </c>
      <c r="B118">
        <v>2</v>
      </c>
      <c r="C118" t="s">
        <v>14</v>
      </c>
      <c r="D118" t="s">
        <v>15</v>
      </c>
      <c r="E118" t="s">
        <v>20</v>
      </c>
      <c r="F118" t="s">
        <v>23</v>
      </c>
      <c r="G118" s="1">
        <v>48016</v>
      </c>
      <c r="H118" s="1">
        <v>486549</v>
      </c>
      <c r="I118">
        <v>346</v>
      </c>
      <c r="J118">
        <v>0.97</v>
      </c>
      <c r="K118">
        <v>6.29</v>
      </c>
      <c r="L118">
        <v>1.2</v>
      </c>
      <c r="M118">
        <v>6</v>
      </c>
      <c r="N118" s="1">
        <f>bmw_global_sales_dataset[[#This Row],[units_sold]]*bmw_global_sales_dataset[[#This Row],[price_usd]]</f>
        <v>55506496</v>
      </c>
      <c r="O118">
        <v>1156</v>
      </c>
    </row>
    <row r="119" spans="1:15" x14ac:dyDescent="0.35">
      <c r="A119">
        <v>2015</v>
      </c>
      <c r="B119">
        <v>12</v>
      </c>
      <c r="C119" t="s">
        <v>30</v>
      </c>
      <c r="D119" t="s">
        <v>34</v>
      </c>
      <c r="E119" t="s">
        <v>16</v>
      </c>
      <c r="F119" t="s">
        <v>23</v>
      </c>
      <c r="G119" s="1">
        <v>53100</v>
      </c>
      <c r="H119" s="1">
        <v>414543</v>
      </c>
      <c r="I119">
        <v>76</v>
      </c>
      <c r="J119">
        <v>0.97</v>
      </c>
      <c r="K119">
        <v>6.29</v>
      </c>
      <c r="L119">
        <v>1.2</v>
      </c>
      <c r="M119">
        <v>1</v>
      </c>
      <c r="N119" s="1">
        <f>bmw_global_sales_dataset[[#This Row],[units_sold]]*bmw_global_sales_dataset[[#This Row],[price_usd]]</f>
        <v>16992000</v>
      </c>
      <c r="O119">
        <v>320</v>
      </c>
    </row>
    <row r="120" spans="1:15" x14ac:dyDescent="0.35">
      <c r="A120">
        <v>2016</v>
      </c>
      <c r="B120">
        <v>9</v>
      </c>
      <c r="C120" t="s">
        <v>25</v>
      </c>
      <c r="D120" t="s">
        <v>33</v>
      </c>
      <c r="E120" t="s">
        <v>16</v>
      </c>
      <c r="F120" t="s">
        <v>23</v>
      </c>
      <c r="G120" s="1">
        <v>96269</v>
      </c>
      <c r="H120" s="1">
        <v>102344</v>
      </c>
      <c r="I120">
        <v>240</v>
      </c>
      <c r="J120">
        <v>0.97</v>
      </c>
      <c r="K120">
        <v>6.29</v>
      </c>
      <c r="L120">
        <v>1.2</v>
      </c>
      <c r="M120">
        <v>5</v>
      </c>
      <c r="N120" s="1">
        <f>bmw_global_sales_dataset[[#This Row],[units_sold]]*bmw_global_sales_dataset[[#This Row],[price_usd]]</f>
        <v>56606172</v>
      </c>
      <c r="O120">
        <v>588</v>
      </c>
    </row>
    <row r="121" spans="1:15" x14ac:dyDescent="0.35">
      <c r="A121">
        <v>2016</v>
      </c>
      <c r="B121">
        <v>8</v>
      </c>
      <c r="C121" t="s">
        <v>25</v>
      </c>
      <c r="D121" t="s">
        <v>24</v>
      </c>
      <c r="E121" t="s">
        <v>16</v>
      </c>
      <c r="F121" t="s">
        <v>20</v>
      </c>
      <c r="G121" s="1">
        <v>75745</v>
      </c>
      <c r="H121" s="1">
        <v>249618</v>
      </c>
      <c r="I121">
        <v>289</v>
      </c>
      <c r="J121">
        <v>0.97</v>
      </c>
      <c r="K121">
        <v>6.29</v>
      </c>
      <c r="L121">
        <v>1.2</v>
      </c>
      <c r="M121">
        <v>4</v>
      </c>
      <c r="N121" s="1">
        <f>bmw_global_sales_dataset[[#This Row],[units_sold]]*bmw_global_sales_dataset[[#This Row],[price_usd]]</f>
        <v>76047980</v>
      </c>
      <c r="O121">
        <v>1004</v>
      </c>
    </row>
    <row r="122" spans="1:15" x14ac:dyDescent="0.35">
      <c r="A122">
        <v>2016</v>
      </c>
      <c r="B122">
        <v>9</v>
      </c>
      <c r="C122" t="s">
        <v>38</v>
      </c>
      <c r="D122" t="s">
        <v>33</v>
      </c>
      <c r="E122" t="s">
        <v>19</v>
      </c>
      <c r="F122" t="s">
        <v>23</v>
      </c>
      <c r="G122" s="1">
        <v>116418</v>
      </c>
      <c r="H122" s="1">
        <v>355063</v>
      </c>
      <c r="I122">
        <v>358</v>
      </c>
      <c r="J122">
        <v>0.97</v>
      </c>
      <c r="K122">
        <v>6.29</v>
      </c>
      <c r="L122">
        <v>1.2</v>
      </c>
      <c r="M122">
        <v>10</v>
      </c>
      <c r="N122" s="1">
        <f>bmw_global_sales_dataset[[#This Row],[units_sold]]*bmw_global_sales_dataset[[#This Row],[price_usd]]</f>
        <v>86498574</v>
      </c>
      <c r="O122">
        <v>743</v>
      </c>
    </row>
    <row r="123" spans="1:15" x14ac:dyDescent="0.35">
      <c r="A123">
        <v>2016</v>
      </c>
      <c r="B123">
        <v>10</v>
      </c>
      <c r="C123" t="s">
        <v>21</v>
      </c>
      <c r="D123" t="s">
        <v>24</v>
      </c>
      <c r="E123" t="s">
        <v>19</v>
      </c>
      <c r="F123" t="s">
        <v>20</v>
      </c>
      <c r="G123" s="1">
        <v>77431</v>
      </c>
      <c r="H123" s="1">
        <v>239518</v>
      </c>
      <c r="I123">
        <v>188</v>
      </c>
      <c r="J123">
        <v>0.97</v>
      </c>
      <c r="K123">
        <v>6.29</v>
      </c>
      <c r="L123">
        <v>1.2</v>
      </c>
      <c r="M123">
        <v>7</v>
      </c>
      <c r="N123" s="1">
        <f>bmw_global_sales_dataset[[#This Row],[units_sold]]*bmw_global_sales_dataset[[#This Row],[price_usd]]</f>
        <v>42045033</v>
      </c>
      <c r="O123">
        <v>543</v>
      </c>
    </row>
    <row r="124" spans="1:15" x14ac:dyDescent="0.35">
      <c r="A124">
        <v>2016</v>
      </c>
      <c r="B124">
        <v>9</v>
      </c>
      <c r="C124" t="s">
        <v>25</v>
      </c>
      <c r="D124" t="s">
        <v>15</v>
      </c>
      <c r="E124" t="s">
        <v>16</v>
      </c>
      <c r="F124" t="s">
        <v>23</v>
      </c>
      <c r="G124" s="1">
        <v>114079</v>
      </c>
      <c r="H124" s="1">
        <v>89041</v>
      </c>
      <c r="I124">
        <v>73</v>
      </c>
      <c r="J124">
        <v>0.97</v>
      </c>
      <c r="K124">
        <v>6.29</v>
      </c>
      <c r="L124">
        <v>1.2</v>
      </c>
      <c r="M124">
        <v>10</v>
      </c>
      <c r="N124" s="1">
        <f>bmw_global_sales_dataset[[#This Row],[units_sold]]*bmw_global_sales_dataset[[#This Row],[price_usd]]</f>
        <v>45175284</v>
      </c>
      <c r="O124">
        <v>396</v>
      </c>
    </row>
    <row r="125" spans="1:15" x14ac:dyDescent="0.35">
      <c r="A125">
        <v>2016</v>
      </c>
      <c r="B125">
        <v>2</v>
      </c>
      <c r="C125" t="s">
        <v>30</v>
      </c>
      <c r="D125" t="s">
        <v>29</v>
      </c>
      <c r="E125" t="s">
        <v>16</v>
      </c>
      <c r="F125" t="s">
        <v>17</v>
      </c>
      <c r="G125" s="1">
        <v>95739</v>
      </c>
      <c r="H125" s="1">
        <v>307831</v>
      </c>
      <c r="I125">
        <v>30</v>
      </c>
      <c r="J125">
        <v>0.97</v>
      </c>
      <c r="K125">
        <v>6.29</v>
      </c>
      <c r="L125">
        <v>1.2</v>
      </c>
      <c r="M125">
        <v>7</v>
      </c>
      <c r="N125" s="1">
        <f>bmw_global_sales_dataset[[#This Row],[units_sold]]*bmw_global_sales_dataset[[#This Row],[price_usd]]</f>
        <v>17615976</v>
      </c>
      <c r="O125">
        <v>184</v>
      </c>
    </row>
    <row r="126" spans="1:15" x14ac:dyDescent="0.35">
      <c r="A126">
        <v>2016</v>
      </c>
      <c r="B126">
        <v>11</v>
      </c>
      <c r="C126" t="s">
        <v>36</v>
      </c>
      <c r="D126" t="s">
        <v>18</v>
      </c>
      <c r="E126" t="s">
        <v>20</v>
      </c>
      <c r="F126" t="s">
        <v>23</v>
      </c>
      <c r="G126" s="1">
        <v>65573</v>
      </c>
      <c r="H126" s="1">
        <v>344499</v>
      </c>
      <c r="I126">
        <v>111</v>
      </c>
      <c r="J126">
        <v>0.97</v>
      </c>
      <c r="K126">
        <v>6.29</v>
      </c>
      <c r="L126">
        <v>1.2</v>
      </c>
      <c r="M126">
        <v>10</v>
      </c>
      <c r="N126" s="1">
        <f>bmw_global_sales_dataset[[#This Row],[units_sold]]*bmw_global_sales_dataset[[#This Row],[price_usd]]</f>
        <v>37901194</v>
      </c>
      <c r="O126">
        <v>578</v>
      </c>
    </row>
    <row r="127" spans="1:15" x14ac:dyDescent="0.35">
      <c r="A127">
        <v>2016</v>
      </c>
      <c r="B127">
        <v>12</v>
      </c>
      <c r="C127" t="s">
        <v>36</v>
      </c>
      <c r="D127" t="s">
        <v>22</v>
      </c>
      <c r="E127" t="s">
        <v>19</v>
      </c>
      <c r="F127" t="s">
        <v>23</v>
      </c>
      <c r="G127" s="1">
        <v>92724</v>
      </c>
      <c r="H127" s="1">
        <v>166220</v>
      </c>
      <c r="I127">
        <v>347</v>
      </c>
      <c r="J127">
        <v>0.97</v>
      </c>
      <c r="K127">
        <v>6.29</v>
      </c>
      <c r="L127">
        <v>1.2</v>
      </c>
      <c r="M127">
        <v>9</v>
      </c>
      <c r="N127" s="1">
        <f>bmw_global_sales_dataset[[#This Row],[units_sold]]*bmw_global_sales_dataset[[#This Row],[price_usd]]</f>
        <v>99214680</v>
      </c>
      <c r="O127">
        <v>1070</v>
      </c>
    </row>
    <row r="128" spans="1:15" x14ac:dyDescent="0.35">
      <c r="A128">
        <v>2016</v>
      </c>
      <c r="B128">
        <v>3</v>
      </c>
      <c r="C128" t="s">
        <v>32</v>
      </c>
      <c r="D128" t="s">
        <v>26</v>
      </c>
      <c r="E128" t="s">
        <v>20</v>
      </c>
      <c r="F128" t="s">
        <v>20</v>
      </c>
      <c r="G128" s="1">
        <v>50989</v>
      </c>
      <c r="H128" s="1">
        <v>399317</v>
      </c>
      <c r="I128">
        <v>202</v>
      </c>
      <c r="J128">
        <v>0.97</v>
      </c>
      <c r="K128">
        <v>6.29</v>
      </c>
      <c r="L128">
        <v>1.2</v>
      </c>
      <c r="M128">
        <v>9</v>
      </c>
      <c r="N128" s="1">
        <f>bmw_global_sales_dataset[[#This Row],[units_sold]]*bmw_global_sales_dataset[[#This Row],[price_usd]]</f>
        <v>33193839</v>
      </c>
      <c r="O128">
        <v>651</v>
      </c>
    </row>
    <row r="129" spans="1:15" x14ac:dyDescent="0.35">
      <c r="A129">
        <v>2016</v>
      </c>
      <c r="B129">
        <v>8</v>
      </c>
      <c r="C129" t="s">
        <v>37</v>
      </c>
      <c r="D129" t="s">
        <v>33</v>
      </c>
      <c r="E129" t="s">
        <v>20</v>
      </c>
      <c r="F129" t="s">
        <v>20</v>
      </c>
      <c r="G129" s="1">
        <v>62052</v>
      </c>
      <c r="H129" s="1">
        <v>145965</v>
      </c>
      <c r="I129">
        <v>93</v>
      </c>
      <c r="J129">
        <v>0.97</v>
      </c>
      <c r="K129">
        <v>6.29</v>
      </c>
      <c r="L129">
        <v>1.2</v>
      </c>
      <c r="M129">
        <v>4</v>
      </c>
      <c r="N129" s="1">
        <f>bmw_global_sales_dataset[[#This Row],[units_sold]]*bmw_global_sales_dataset[[#This Row],[price_usd]]</f>
        <v>32142936</v>
      </c>
      <c r="O129">
        <v>518</v>
      </c>
    </row>
    <row r="130" spans="1:15" x14ac:dyDescent="0.35">
      <c r="A130">
        <v>2016</v>
      </c>
      <c r="B130">
        <v>1</v>
      </c>
      <c r="C130" t="s">
        <v>35</v>
      </c>
      <c r="D130" t="s">
        <v>33</v>
      </c>
      <c r="E130" t="s">
        <v>19</v>
      </c>
      <c r="F130" t="s">
        <v>27</v>
      </c>
      <c r="G130" s="1">
        <v>60081</v>
      </c>
      <c r="H130" s="1">
        <v>375724</v>
      </c>
      <c r="I130">
        <v>35</v>
      </c>
      <c r="J130">
        <v>0.97</v>
      </c>
      <c r="K130">
        <v>6.29</v>
      </c>
      <c r="L130">
        <v>1.2</v>
      </c>
      <c r="M130">
        <v>8</v>
      </c>
      <c r="N130" s="1">
        <f>bmw_global_sales_dataset[[#This Row],[units_sold]]*bmw_global_sales_dataset[[#This Row],[price_usd]]</f>
        <v>6008100</v>
      </c>
      <c r="O130">
        <v>100</v>
      </c>
    </row>
    <row r="131" spans="1:15" x14ac:dyDescent="0.35">
      <c r="A131">
        <v>2016</v>
      </c>
      <c r="B131">
        <v>7</v>
      </c>
      <c r="C131" t="s">
        <v>32</v>
      </c>
      <c r="D131" t="s">
        <v>31</v>
      </c>
      <c r="E131" t="s">
        <v>16</v>
      </c>
      <c r="F131" t="s">
        <v>23</v>
      </c>
      <c r="G131" s="1">
        <v>35507</v>
      </c>
      <c r="H131" s="1">
        <v>241313</v>
      </c>
      <c r="I131">
        <v>380</v>
      </c>
      <c r="J131">
        <v>0.97</v>
      </c>
      <c r="K131">
        <v>6.29</v>
      </c>
      <c r="L131">
        <v>1.2</v>
      </c>
      <c r="M131">
        <v>6</v>
      </c>
      <c r="N131" s="1">
        <f>bmw_global_sales_dataset[[#This Row],[units_sold]]*bmw_global_sales_dataset[[#This Row],[price_usd]]</f>
        <v>41507683</v>
      </c>
      <c r="O131">
        <v>1169</v>
      </c>
    </row>
    <row r="132" spans="1:15" x14ac:dyDescent="0.35">
      <c r="A132">
        <v>2016</v>
      </c>
      <c r="B132">
        <v>12</v>
      </c>
      <c r="C132" t="s">
        <v>32</v>
      </c>
      <c r="D132" t="s">
        <v>31</v>
      </c>
      <c r="E132" t="s">
        <v>16</v>
      </c>
      <c r="F132" t="s">
        <v>27</v>
      </c>
      <c r="G132" s="1">
        <v>111382</v>
      </c>
      <c r="H132" s="1">
        <v>321189</v>
      </c>
      <c r="I132">
        <v>225</v>
      </c>
      <c r="J132">
        <v>0.97</v>
      </c>
      <c r="K132">
        <v>6.29</v>
      </c>
      <c r="L132">
        <v>1.2</v>
      </c>
      <c r="M132">
        <v>4</v>
      </c>
      <c r="N132" s="1">
        <f>bmw_global_sales_dataset[[#This Row],[units_sold]]*bmw_global_sales_dataset[[#This Row],[price_usd]]</f>
        <v>98350306</v>
      </c>
      <c r="O132">
        <v>883</v>
      </c>
    </row>
    <row r="133" spans="1:15" x14ac:dyDescent="0.35">
      <c r="A133">
        <v>2016</v>
      </c>
      <c r="B133">
        <v>2</v>
      </c>
      <c r="C133" t="s">
        <v>38</v>
      </c>
      <c r="D133" t="s">
        <v>22</v>
      </c>
      <c r="E133" t="s">
        <v>16</v>
      </c>
      <c r="F133" t="s">
        <v>23</v>
      </c>
      <c r="G133" s="1">
        <v>42797</v>
      </c>
      <c r="H133" s="1">
        <v>122534</v>
      </c>
      <c r="I133">
        <v>398</v>
      </c>
      <c r="J133">
        <v>0.97</v>
      </c>
      <c r="K133">
        <v>6.29</v>
      </c>
      <c r="L133">
        <v>1.2</v>
      </c>
      <c r="M133">
        <v>8</v>
      </c>
      <c r="N133" s="1">
        <f>bmw_global_sales_dataset[[#This Row],[units_sold]]*bmw_global_sales_dataset[[#This Row],[price_usd]]</f>
        <v>43909722</v>
      </c>
      <c r="O133">
        <v>1026</v>
      </c>
    </row>
    <row r="134" spans="1:15" x14ac:dyDescent="0.35">
      <c r="A134">
        <v>2016</v>
      </c>
      <c r="B134">
        <v>3</v>
      </c>
      <c r="C134" t="s">
        <v>14</v>
      </c>
      <c r="D134" t="s">
        <v>15</v>
      </c>
      <c r="E134" t="s">
        <v>16</v>
      </c>
      <c r="F134" t="s">
        <v>20</v>
      </c>
      <c r="G134" s="1">
        <v>85013</v>
      </c>
      <c r="H134" s="1">
        <v>275414</v>
      </c>
      <c r="I134">
        <v>51</v>
      </c>
      <c r="J134">
        <v>0.97</v>
      </c>
      <c r="K134">
        <v>6.29</v>
      </c>
      <c r="L134">
        <v>1.2</v>
      </c>
      <c r="M134">
        <v>6</v>
      </c>
      <c r="N134" s="1">
        <f>bmw_global_sales_dataset[[#This Row],[units_sold]]*bmw_global_sales_dataset[[#This Row],[price_usd]]</f>
        <v>29499511</v>
      </c>
      <c r="O134">
        <v>347</v>
      </c>
    </row>
    <row r="135" spans="1:15" x14ac:dyDescent="0.35">
      <c r="A135">
        <v>2016</v>
      </c>
      <c r="B135">
        <v>6</v>
      </c>
      <c r="C135" t="s">
        <v>28</v>
      </c>
      <c r="D135" t="s">
        <v>22</v>
      </c>
      <c r="E135" t="s">
        <v>16</v>
      </c>
      <c r="F135" t="s">
        <v>20</v>
      </c>
      <c r="G135" s="1">
        <v>69493</v>
      </c>
      <c r="H135" s="1">
        <v>211323</v>
      </c>
      <c r="I135">
        <v>311</v>
      </c>
      <c r="J135">
        <v>0.97</v>
      </c>
      <c r="K135">
        <v>6.29</v>
      </c>
      <c r="L135">
        <v>1.2</v>
      </c>
      <c r="M135">
        <v>4</v>
      </c>
      <c r="N135" s="1">
        <f>bmw_global_sales_dataset[[#This Row],[units_sold]]*bmw_global_sales_dataset[[#This Row],[price_usd]]</f>
        <v>67199731</v>
      </c>
      <c r="O135">
        <v>967</v>
      </c>
    </row>
    <row r="136" spans="1:15" x14ac:dyDescent="0.35">
      <c r="A136">
        <v>2016</v>
      </c>
      <c r="B136">
        <v>8</v>
      </c>
      <c r="C136" t="s">
        <v>21</v>
      </c>
      <c r="D136" t="s">
        <v>22</v>
      </c>
      <c r="E136" t="s">
        <v>16</v>
      </c>
      <c r="F136" t="s">
        <v>17</v>
      </c>
      <c r="G136" s="1">
        <v>116502</v>
      </c>
      <c r="H136" s="1">
        <v>163783</v>
      </c>
      <c r="I136">
        <v>134</v>
      </c>
      <c r="J136">
        <v>0.97</v>
      </c>
      <c r="K136">
        <v>6.29</v>
      </c>
      <c r="L136">
        <v>1.2</v>
      </c>
      <c r="M136">
        <v>8</v>
      </c>
      <c r="N136" s="1">
        <f>bmw_global_sales_dataset[[#This Row],[units_sold]]*bmw_global_sales_dataset[[#This Row],[price_usd]]</f>
        <v>45785286</v>
      </c>
      <c r="O136">
        <v>393</v>
      </c>
    </row>
    <row r="137" spans="1:15" x14ac:dyDescent="0.35">
      <c r="A137">
        <v>2016</v>
      </c>
      <c r="B137">
        <v>7</v>
      </c>
      <c r="C137" t="s">
        <v>36</v>
      </c>
      <c r="D137" t="s">
        <v>15</v>
      </c>
      <c r="E137" t="s">
        <v>19</v>
      </c>
      <c r="F137" t="s">
        <v>20</v>
      </c>
      <c r="G137" s="1">
        <v>113002</v>
      </c>
      <c r="H137" s="1">
        <v>101482</v>
      </c>
      <c r="I137">
        <v>126</v>
      </c>
      <c r="J137">
        <v>0.97</v>
      </c>
      <c r="K137">
        <v>6.29</v>
      </c>
      <c r="L137">
        <v>1.2</v>
      </c>
      <c r="M137">
        <v>9</v>
      </c>
      <c r="N137" s="1">
        <f>bmw_global_sales_dataset[[#This Row],[units_sold]]*bmw_global_sales_dataset[[#This Row],[price_usd]]</f>
        <v>35934636</v>
      </c>
      <c r="O137">
        <v>318</v>
      </c>
    </row>
    <row r="138" spans="1:15" x14ac:dyDescent="0.35">
      <c r="A138">
        <v>2016</v>
      </c>
      <c r="B138">
        <v>5</v>
      </c>
      <c r="C138" t="s">
        <v>35</v>
      </c>
      <c r="D138" t="s">
        <v>31</v>
      </c>
      <c r="E138" t="s">
        <v>20</v>
      </c>
      <c r="F138" t="s">
        <v>20</v>
      </c>
      <c r="G138" s="1">
        <v>119694</v>
      </c>
      <c r="H138" s="1">
        <v>326393</v>
      </c>
      <c r="I138">
        <v>55</v>
      </c>
      <c r="J138">
        <v>0.97</v>
      </c>
      <c r="K138">
        <v>6.29</v>
      </c>
      <c r="L138">
        <v>1.2</v>
      </c>
      <c r="M138">
        <v>6</v>
      </c>
      <c r="N138" s="1">
        <f>bmw_global_sales_dataset[[#This Row],[units_sold]]*bmw_global_sales_dataset[[#This Row],[price_usd]]</f>
        <v>64155984</v>
      </c>
      <c r="O138">
        <v>536</v>
      </c>
    </row>
    <row r="139" spans="1:15" x14ac:dyDescent="0.35">
      <c r="A139">
        <v>2016</v>
      </c>
      <c r="B139">
        <v>6</v>
      </c>
      <c r="C139" t="s">
        <v>14</v>
      </c>
      <c r="D139" t="s">
        <v>39</v>
      </c>
      <c r="E139" t="s">
        <v>19</v>
      </c>
      <c r="F139" t="s">
        <v>17</v>
      </c>
      <c r="G139" s="1">
        <v>97217</v>
      </c>
      <c r="H139" s="1">
        <v>91139</v>
      </c>
      <c r="I139">
        <v>37</v>
      </c>
      <c r="J139">
        <v>0.97</v>
      </c>
      <c r="K139">
        <v>6.29</v>
      </c>
      <c r="L139">
        <v>1.2</v>
      </c>
      <c r="M139">
        <v>7</v>
      </c>
      <c r="N139" s="1">
        <f>bmw_global_sales_dataset[[#This Row],[units_sold]]*bmw_global_sales_dataset[[#This Row],[price_usd]]</f>
        <v>39956187</v>
      </c>
      <c r="O139">
        <v>411</v>
      </c>
    </row>
    <row r="140" spans="1:15" x14ac:dyDescent="0.35">
      <c r="A140">
        <v>2016</v>
      </c>
      <c r="B140">
        <v>11</v>
      </c>
      <c r="C140" t="s">
        <v>38</v>
      </c>
      <c r="D140" t="s">
        <v>26</v>
      </c>
      <c r="E140" t="s">
        <v>19</v>
      </c>
      <c r="F140" t="s">
        <v>17</v>
      </c>
      <c r="G140" s="1">
        <v>102598</v>
      </c>
      <c r="H140" s="1">
        <v>475643</v>
      </c>
      <c r="I140">
        <v>170</v>
      </c>
      <c r="J140">
        <v>0.97</v>
      </c>
      <c r="K140">
        <v>6.29</v>
      </c>
      <c r="L140">
        <v>1.2</v>
      </c>
      <c r="M140">
        <v>10</v>
      </c>
      <c r="N140" s="1">
        <f>bmw_global_sales_dataset[[#This Row],[units_sold]]*bmw_global_sales_dataset[[#This Row],[price_usd]]</f>
        <v>64123750</v>
      </c>
      <c r="O140">
        <v>625</v>
      </c>
    </row>
    <row r="141" spans="1:15" x14ac:dyDescent="0.35">
      <c r="A141">
        <v>2016</v>
      </c>
      <c r="B141">
        <v>1</v>
      </c>
      <c r="C141" t="s">
        <v>36</v>
      </c>
      <c r="D141" t="s">
        <v>34</v>
      </c>
      <c r="E141" t="s">
        <v>19</v>
      </c>
      <c r="F141" t="s">
        <v>23</v>
      </c>
      <c r="G141" s="1">
        <v>76798</v>
      </c>
      <c r="H141" s="1">
        <v>197764</v>
      </c>
      <c r="I141">
        <v>366</v>
      </c>
      <c r="J141">
        <v>0.97</v>
      </c>
      <c r="K141">
        <v>6.29</v>
      </c>
      <c r="L141">
        <v>1.2</v>
      </c>
      <c r="M141">
        <v>7</v>
      </c>
      <c r="N141" s="1">
        <f>bmw_global_sales_dataset[[#This Row],[units_sold]]*bmw_global_sales_dataset[[#This Row],[price_usd]]</f>
        <v>84784992</v>
      </c>
      <c r="O141">
        <v>1104</v>
      </c>
    </row>
    <row r="142" spans="1:15" x14ac:dyDescent="0.35">
      <c r="A142">
        <v>2016</v>
      </c>
      <c r="B142">
        <v>3</v>
      </c>
      <c r="C142" t="s">
        <v>36</v>
      </c>
      <c r="D142" t="s">
        <v>29</v>
      </c>
      <c r="E142" t="s">
        <v>20</v>
      </c>
      <c r="F142" t="s">
        <v>27</v>
      </c>
      <c r="G142" s="1">
        <v>88473</v>
      </c>
      <c r="H142" s="1">
        <v>81625</v>
      </c>
      <c r="I142">
        <v>185</v>
      </c>
      <c r="J142">
        <v>0.97</v>
      </c>
      <c r="K142">
        <v>6.29</v>
      </c>
      <c r="L142">
        <v>1.2</v>
      </c>
      <c r="M142">
        <v>1</v>
      </c>
      <c r="N142" s="1">
        <f>bmw_global_sales_dataset[[#This Row],[units_sold]]*bmw_global_sales_dataset[[#This Row],[price_usd]]</f>
        <v>47775420</v>
      </c>
      <c r="O142">
        <v>540</v>
      </c>
    </row>
    <row r="143" spans="1:15" x14ac:dyDescent="0.35">
      <c r="A143">
        <v>2016</v>
      </c>
      <c r="B143">
        <v>4</v>
      </c>
      <c r="C143" t="s">
        <v>30</v>
      </c>
      <c r="D143" t="s">
        <v>18</v>
      </c>
      <c r="E143" t="s">
        <v>20</v>
      </c>
      <c r="F143" t="s">
        <v>27</v>
      </c>
      <c r="G143" s="1">
        <v>62281</v>
      </c>
      <c r="H143" s="1">
        <v>398951</v>
      </c>
      <c r="I143">
        <v>137</v>
      </c>
      <c r="J143">
        <v>0.97</v>
      </c>
      <c r="K143">
        <v>6.29</v>
      </c>
      <c r="L143">
        <v>1.2</v>
      </c>
      <c r="M143">
        <v>9</v>
      </c>
      <c r="N143" s="1">
        <f>bmw_global_sales_dataset[[#This Row],[units_sold]]*bmw_global_sales_dataset[[#This Row],[price_usd]]</f>
        <v>39859840</v>
      </c>
      <c r="O143">
        <v>640</v>
      </c>
    </row>
    <row r="144" spans="1:15" x14ac:dyDescent="0.35">
      <c r="A144">
        <v>2016</v>
      </c>
      <c r="B144">
        <v>3</v>
      </c>
      <c r="C144" t="s">
        <v>28</v>
      </c>
      <c r="D144" t="s">
        <v>39</v>
      </c>
      <c r="E144" t="s">
        <v>16</v>
      </c>
      <c r="F144" t="s">
        <v>27</v>
      </c>
      <c r="G144" s="1">
        <v>119817</v>
      </c>
      <c r="H144" s="1">
        <v>359732</v>
      </c>
      <c r="I144">
        <v>294</v>
      </c>
      <c r="J144">
        <v>0.97</v>
      </c>
      <c r="K144">
        <v>6.29</v>
      </c>
      <c r="L144">
        <v>1.2</v>
      </c>
      <c r="M144">
        <v>1</v>
      </c>
      <c r="N144" s="1">
        <f>bmw_global_sales_dataset[[#This Row],[units_sold]]*bmw_global_sales_dataset[[#This Row],[price_usd]]</f>
        <v>87466410</v>
      </c>
      <c r="O144">
        <v>730</v>
      </c>
    </row>
    <row r="145" spans="1:15" x14ac:dyDescent="0.35">
      <c r="A145">
        <v>2016</v>
      </c>
      <c r="B145">
        <v>2</v>
      </c>
      <c r="C145" t="s">
        <v>14</v>
      </c>
      <c r="D145" t="s">
        <v>29</v>
      </c>
      <c r="E145" t="s">
        <v>16</v>
      </c>
      <c r="F145" t="s">
        <v>23</v>
      </c>
      <c r="G145" s="1">
        <v>44190</v>
      </c>
      <c r="H145" s="1">
        <v>495527</v>
      </c>
      <c r="I145">
        <v>252</v>
      </c>
      <c r="J145">
        <v>0.97</v>
      </c>
      <c r="K145">
        <v>6.29</v>
      </c>
      <c r="L145">
        <v>1.2</v>
      </c>
      <c r="M145">
        <v>6</v>
      </c>
      <c r="N145" s="1">
        <f>bmw_global_sales_dataset[[#This Row],[units_sold]]*bmw_global_sales_dataset[[#This Row],[price_usd]]</f>
        <v>27928080</v>
      </c>
      <c r="O145">
        <v>632</v>
      </c>
    </row>
    <row r="146" spans="1:15" x14ac:dyDescent="0.35">
      <c r="A146">
        <v>2016</v>
      </c>
      <c r="B146">
        <v>5</v>
      </c>
      <c r="C146" t="s">
        <v>28</v>
      </c>
      <c r="D146" t="s">
        <v>26</v>
      </c>
      <c r="E146" t="s">
        <v>16</v>
      </c>
      <c r="F146" t="s">
        <v>27</v>
      </c>
      <c r="G146" s="1">
        <v>74661</v>
      </c>
      <c r="H146" s="1">
        <v>303078</v>
      </c>
      <c r="I146">
        <v>110</v>
      </c>
      <c r="J146">
        <v>0.97</v>
      </c>
      <c r="K146">
        <v>6.29</v>
      </c>
      <c r="L146">
        <v>1.2</v>
      </c>
      <c r="M146">
        <v>1</v>
      </c>
      <c r="N146" s="1">
        <f>bmw_global_sales_dataset[[#This Row],[units_sold]]*bmw_global_sales_dataset[[#This Row],[price_usd]]</f>
        <v>39495669</v>
      </c>
      <c r="O146">
        <v>529</v>
      </c>
    </row>
    <row r="147" spans="1:15" x14ac:dyDescent="0.35">
      <c r="A147">
        <v>2016</v>
      </c>
      <c r="B147">
        <v>11</v>
      </c>
      <c r="C147" t="s">
        <v>28</v>
      </c>
      <c r="D147" t="s">
        <v>18</v>
      </c>
      <c r="E147" t="s">
        <v>20</v>
      </c>
      <c r="F147" t="s">
        <v>17</v>
      </c>
      <c r="G147" s="1">
        <v>115428</v>
      </c>
      <c r="H147" s="1">
        <v>418893</v>
      </c>
      <c r="I147">
        <v>253</v>
      </c>
      <c r="J147">
        <v>0.97</v>
      </c>
      <c r="K147">
        <v>6.29</v>
      </c>
      <c r="L147">
        <v>1.2</v>
      </c>
      <c r="M147">
        <v>10</v>
      </c>
      <c r="N147" s="1">
        <f>bmw_global_sales_dataset[[#This Row],[units_sold]]*bmw_global_sales_dataset[[#This Row],[price_usd]]</f>
        <v>61523124</v>
      </c>
      <c r="O147">
        <v>533</v>
      </c>
    </row>
    <row r="148" spans="1:15" x14ac:dyDescent="0.35">
      <c r="A148">
        <v>2016</v>
      </c>
      <c r="B148">
        <v>5</v>
      </c>
      <c r="C148" t="s">
        <v>25</v>
      </c>
      <c r="D148" t="s">
        <v>33</v>
      </c>
      <c r="E148" t="s">
        <v>20</v>
      </c>
      <c r="F148" t="s">
        <v>23</v>
      </c>
      <c r="G148" s="1">
        <v>55918</v>
      </c>
      <c r="H148" s="1">
        <v>50654</v>
      </c>
      <c r="I148">
        <v>238</v>
      </c>
      <c r="J148">
        <v>0.97</v>
      </c>
      <c r="K148">
        <v>6.29</v>
      </c>
      <c r="L148">
        <v>1.2</v>
      </c>
      <c r="M148">
        <v>4</v>
      </c>
      <c r="N148" s="1">
        <f>bmw_global_sales_dataset[[#This Row],[units_sold]]*bmw_global_sales_dataset[[#This Row],[price_usd]]</f>
        <v>38024240</v>
      </c>
      <c r="O148">
        <v>680</v>
      </c>
    </row>
    <row r="149" spans="1:15" x14ac:dyDescent="0.35">
      <c r="A149">
        <v>2016</v>
      </c>
      <c r="B149">
        <v>10</v>
      </c>
      <c r="C149" t="s">
        <v>38</v>
      </c>
      <c r="D149" t="s">
        <v>34</v>
      </c>
      <c r="E149" t="s">
        <v>20</v>
      </c>
      <c r="F149" t="s">
        <v>20</v>
      </c>
      <c r="G149" s="1">
        <v>106138</v>
      </c>
      <c r="H149" s="1">
        <v>494244</v>
      </c>
      <c r="I149">
        <v>115</v>
      </c>
      <c r="J149">
        <v>0.97</v>
      </c>
      <c r="K149">
        <v>6.29</v>
      </c>
      <c r="L149">
        <v>1.2</v>
      </c>
      <c r="M149">
        <v>3</v>
      </c>
      <c r="N149" s="1">
        <f>bmw_global_sales_dataset[[#This Row],[units_sold]]*bmw_global_sales_dataset[[#This Row],[price_usd]]</f>
        <v>68671286</v>
      </c>
      <c r="O149">
        <v>647</v>
      </c>
    </row>
    <row r="150" spans="1:15" x14ac:dyDescent="0.35">
      <c r="A150">
        <v>2016</v>
      </c>
      <c r="B150">
        <v>9</v>
      </c>
      <c r="C150" t="s">
        <v>21</v>
      </c>
      <c r="D150" t="s">
        <v>29</v>
      </c>
      <c r="E150" t="s">
        <v>16</v>
      </c>
      <c r="F150" t="s">
        <v>20</v>
      </c>
      <c r="G150" s="1">
        <v>118111</v>
      </c>
      <c r="H150" s="1">
        <v>372245</v>
      </c>
      <c r="I150">
        <v>41</v>
      </c>
      <c r="J150">
        <v>0.97</v>
      </c>
      <c r="K150">
        <v>6.29</v>
      </c>
      <c r="L150">
        <v>1.2</v>
      </c>
      <c r="M150">
        <v>3</v>
      </c>
      <c r="N150" s="1">
        <f>bmw_global_sales_dataset[[#This Row],[units_sold]]*bmw_global_sales_dataset[[#This Row],[price_usd]]</f>
        <v>34252190</v>
      </c>
      <c r="O150">
        <v>290</v>
      </c>
    </row>
    <row r="151" spans="1:15" x14ac:dyDescent="0.35">
      <c r="A151">
        <v>2016</v>
      </c>
      <c r="B151">
        <v>8</v>
      </c>
      <c r="C151" t="s">
        <v>32</v>
      </c>
      <c r="D151" t="s">
        <v>34</v>
      </c>
      <c r="E151" t="s">
        <v>20</v>
      </c>
      <c r="F151" t="s">
        <v>20</v>
      </c>
      <c r="G151" s="1">
        <v>35490</v>
      </c>
      <c r="H151" s="1">
        <v>70836</v>
      </c>
      <c r="I151">
        <v>217</v>
      </c>
      <c r="J151">
        <v>0.97</v>
      </c>
      <c r="K151">
        <v>6.29</v>
      </c>
      <c r="L151">
        <v>1.2</v>
      </c>
      <c r="M151">
        <v>9</v>
      </c>
      <c r="N151" s="1">
        <f>bmw_global_sales_dataset[[#This Row],[units_sold]]*bmw_global_sales_dataset[[#This Row],[price_usd]]</f>
        <v>15970500</v>
      </c>
      <c r="O151">
        <v>450</v>
      </c>
    </row>
    <row r="152" spans="1:15" x14ac:dyDescent="0.35">
      <c r="A152">
        <v>2016</v>
      </c>
      <c r="B152">
        <v>2</v>
      </c>
      <c r="C152" t="s">
        <v>32</v>
      </c>
      <c r="D152" t="s">
        <v>33</v>
      </c>
      <c r="E152" t="s">
        <v>19</v>
      </c>
      <c r="F152" t="s">
        <v>17</v>
      </c>
      <c r="G152" s="1">
        <v>103116</v>
      </c>
      <c r="H152" s="1">
        <v>395452</v>
      </c>
      <c r="I152">
        <v>101</v>
      </c>
      <c r="J152">
        <v>0.97</v>
      </c>
      <c r="K152">
        <v>6.29</v>
      </c>
      <c r="L152">
        <v>1.2</v>
      </c>
      <c r="M152">
        <v>4</v>
      </c>
      <c r="N152" s="1">
        <f>bmw_global_sales_dataset[[#This Row],[units_sold]]*bmw_global_sales_dataset[[#This Row],[price_usd]]</f>
        <v>23819796</v>
      </c>
      <c r="O152">
        <v>231</v>
      </c>
    </row>
    <row r="153" spans="1:15" x14ac:dyDescent="0.35">
      <c r="A153">
        <v>2016</v>
      </c>
      <c r="B153">
        <v>4</v>
      </c>
      <c r="C153" t="s">
        <v>14</v>
      </c>
      <c r="D153" t="s">
        <v>33</v>
      </c>
      <c r="E153" t="s">
        <v>19</v>
      </c>
      <c r="F153" t="s">
        <v>17</v>
      </c>
      <c r="G153" s="1">
        <v>85210</v>
      </c>
      <c r="H153" s="1">
        <v>286824</v>
      </c>
      <c r="I153">
        <v>309</v>
      </c>
      <c r="J153">
        <v>0.97</v>
      </c>
      <c r="K153">
        <v>6.29</v>
      </c>
      <c r="L153">
        <v>1.2</v>
      </c>
      <c r="M153">
        <v>1</v>
      </c>
      <c r="N153" s="1">
        <f>bmw_global_sales_dataset[[#This Row],[units_sold]]*bmw_global_sales_dataset[[#This Row],[price_usd]]</f>
        <v>73706650</v>
      </c>
      <c r="O153">
        <v>865</v>
      </c>
    </row>
    <row r="154" spans="1:15" x14ac:dyDescent="0.35">
      <c r="A154">
        <v>2016</v>
      </c>
      <c r="B154">
        <v>11</v>
      </c>
      <c r="C154" t="s">
        <v>14</v>
      </c>
      <c r="D154" t="s">
        <v>15</v>
      </c>
      <c r="E154" t="s">
        <v>20</v>
      </c>
      <c r="F154" t="s">
        <v>27</v>
      </c>
      <c r="G154" s="1">
        <v>88775</v>
      </c>
      <c r="H154" s="1">
        <v>145864</v>
      </c>
      <c r="I154">
        <v>342</v>
      </c>
      <c r="J154">
        <v>0.97</v>
      </c>
      <c r="K154">
        <v>6.29</v>
      </c>
      <c r="L154">
        <v>1.2</v>
      </c>
      <c r="M154">
        <v>3</v>
      </c>
      <c r="N154" s="1">
        <f>bmw_global_sales_dataset[[#This Row],[units_sold]]*bmw_global_sales_dataset[[#This Row],[price_usd]]</f>
        <v>80785250</v>
      </c>
      <c r="O154">
        <v>910</v>
      </c>
    </row>
    <row r="155" spans="1:15" x14ac:dyDescent="0.35">
      <c r="A155">
        <v>2016</v>
      </c>
      <c r="B155">
        <v>11</v>
      </c>
      <c r="C155" t="s">
        <v>21</v>
      </c>
      <c r="D155" t="s">
        <v>15</v>
      </c>
      <c r="E155" t="s">
        <v>20</v>
      </c>
      <c r="F155" t="s">
        <v>27</v>
      </c>
      <c r="G155" s="1">
        <v>77624</v>
      </c>
      <c r="H155" s="1">
        <v>215837</v>
      </c>
      <c r="I155">
        <v>115</v>
      </c>
      <c r="J155">
        <v>0.97</v>
      </c>
      <c r="K155">
        <v>6.29</v>
      </c>
      <c r="L155">
        <v>1.2</v>
      </c>
      <c r="M155">
        <v>7</v>
      </c>
      <c r="N155" s="1">
        <f>bmw_global_sales_dataset[[#This Row],[units_sold]]*bmw_global_sales_dataset[[#This Row],[price_usd]]</f>
        <v>33611192</v>
      </c>
      <c r="O155">
        <v>433</v>
      </c>
    </row>
    <row r="156" spans="1:15" x14ac:dyDescent="0.35">
      <c r="A156">
        <v>2016</v>
      </c>
      <c r="B156">
        <v>4</v>
      </c>
      <c r="C156" t="s">
        <v>28</v>
      </c>
      <c r="D156" t="s">
        <v>18</v>
      </c>
      <c r="E156" t="s">
        <v>20</v>
      </c>
      <c r="F156" t="s">
        <v>17</v>
      </c>
      <c r="G156" s="1">
        <v>41191</v>
      </c>
      <c r="H156" s="1">
        <v>331321</v>
      </c>
      <c r="I156">
        <v>383</v>
      </c>
      <c r="J156">
        <v>0.97</v>
      </c>
      <c r="K156">
        <v>6.29</v>
      </c>
      <c r="L156">
        <v>1.2</v>
      </c>
      <c r="M156">
        <v>5</v>
      </c>
      <c r="N156" s="1">
        <f>bmw_global_sales_dataset[[#This Row],[units_sold]]*bmw_global_sales_dataset[[#This Row],[price_usd]]</f>
        <v>49305627</v>
      </c>
      <c r="O156">
        <v>1197</v>
      </c>
    </row>
    <row r="157" spans="1:15" x14ac:dyDescent="0.35">
      <c r="A157">
        <v>2016</v>
      </c>
      <c r="B157">
        <v>8</v>
      </c>
      <c r="C157" t="s">
        <v>30</v>
      </c>
      <c r="D157" t="s">
        <v>24</v>
      </c>
      <c r="E157" t="s">
        <v>16</v>
      </c>
      <c r="F157" t="s">
        <v>20</v>
      </c>
      <c r="G157" s="1">
        <v>119518</v>
      </c>
      <c r="H157" s="1">
        <v>270326</v>
      </c>
      <c r="I157">
        <v>332</v>
      </c>
      <c r="J157">
        <v>0.97</v>
      </c>
      <c r="K157">
        <v>6.29</v>
      </c>
      <c r="L157">
        <v>1.2</v>
      </c>
      <c r="M157">
        <v>4</v>
      </c>
      <c r="N157" s="1">
        <f>bmw_global_sales_dataset[[#This Row],[units_sold]]*bmw_global_sales_dataset[[#This Row],[price_usd]]</f>
        <v>101231746</v>
      </c>
      <c r="O157">
        <v>847</v>
      </c>
    </row>
    <row r="158" spans="1:15" x14ac:dyDescent="0.35">
      <c r="A158">
        <v>2016</v>
      </c>
      <c r="B158">
        <v>10</v>
      </c>
      <c r="C158" t="s">
        <v>35</v>
      </c>
      <c r="D158" t="s">
        <v>31</v>
      </c>
      <c r="E158" t="s">
        <v>20</v>
      </c>
      <c r="F158" t="s">
        <v>20</v>
      </c>
      <c r="G158" s="1">
        <v>35515</v>
      </c>
      <c r="H158" s="1">
        <v>340477</v>
      </c>
      <c r="I158">
        <v>195</v>
      </c>
      <c r="J158">
        <v>0.97</v>
      </c>
      <c r="K158">
        <v>6.29</v>
      </c>
      <c r="L158">
        <v>1.2</v>
      </c>
      <c r="M158">
        <v>7</v>
      </c>
      <c r="N158" s="1">
        <f>bmw_global_sales_dataset[[#This Row],[units_sold]]*bmw_global_sales_dataset[[#This Row],[price_usd]]</f>
        <v>19923915</v>
      </c>
      <c r="O158">
        <v>561</v>
      </c>
    </row>
    <row r="159" spans="1:15" x14ac:dyDescent="0.35">
      <c r="A159">
        <v>2016</v>
      </c>
      <c r="B159">
        <v>5</v>
      </c>
      <c r="C159" t="s">
        <v>36</v>
      </c>
      <c r="D159" t="s">
        <v>34</v>
      </c>
      <c r="E159" t="s">
        <v>16</v>
      </c>
      <c r="F159" t="s">
        <v>20</v>
      </c>
      <c r="G159" s="1">
        <v>59162</v>
      </c>
      <c r="H159" s="1">
        <v>334965</v>
      </c>
      <c r="I159">
        <v>155</v>
      </c>
      <c r="J159">
        <v>0.97</v>
      </c>
      <c r="K159">
        <v>6.29</v>
      </c>
      <c r="L159">
        <v>1.2</v>
      </c>
      <c r="M159">
        <v>5</v>
      </c>
      <c r="N159" s="1">
        <f>bmw_global_sales_dataset[[#This Row],[units_sold]]*bmw_global_sales_dataset[[#This Row],[price_usd]]</f>
        <v>32065804</v>
      </c>
      <c r="O159">
        <v>542</v>
      </c>
    </row>
    <row r="160" spans="1:15" x14ac:dyDescent="0.35">
      <c r="A160">
        <v>2016</v>
      </c>
      <c r="B160">
        <v>1</v>
      </c>
      <c r="C160" t="s">
        <v>14</v>
      </c>
      <c r="D160" t="s">
        <v>33</v>
      </c>
      <c r="E160" t="s">
        <v>19</v>
      </c>
      <c r="F160" t="s">
        <v>23</v>
      </c>
      <c r="G160" s="1">
        <v>80246</v>
      </c>
      <c r="H160" s="1">
        <v>354094</v>
      </c>
      <c r="I160">
        <v>107</v>
      </c>
      <c r="J160">
        <v>0.97</v>
      </c>
      <c r="K160">
        <v>6.29</v>
      </c>
      <c r="L160">
        <v>1.2</v>
      </c>
      <c r="M160">
        <v>1</v>
      </c>
      <c r="N160" s="1">
        <f>bmw_global_sales_dataset[[#This Row],[units_sold]]*bmw_global_sales_dataset[[#This Row],[price_usd]]</f>
        <v>38437834</v>
      </c>
      <c r="O160">
        <v>479</v>
      </c>
    </row>
    <row r="161" spans="1:15" x14ac:dyDescent="0.35">
      <c r="A161">
        <v>2016</v>
      </c>
      <c r="B161">
        <v>3</v>
      </c>
      <c r="C161" t="s">
        <v>30</v>
      </c>
      <c r="D161" t="s">
        <v>18</v>
      </c>
      <c r="E161" t="s">
        <v>19</v>
      </c>
      <c r="F161" t="s">
        <v>23</v>
      </c>
      <c r="G161" s="1">
        <v>50187</v>
      </c>
      <c r="H161" s="1">
        <v>237035</v>
      </c>
      <c r="I161">
        <v>116</v>
      </c>
      <c r="J161">
        <v>0.97</v>
      </c>
      <c r="K161">
        <v>6.29</v>
      </c>
      <c r="L161">
        <v>1.2</v>
      </c>
      <c r="M161">
        <v>1</v>
      </c>
      <c r="N161" s="1">
        <f>bmw_global_sales_dataset[[#This Row],[units_sold]]*bmw_global_sales_dataset[[#This Row],[price_usd]]</f>
        <v>35532396</v>
      </c>
      <c r="O161">
        <v>708</v>
      </c>
    </row>
    <row r="162" spans="1:15" x14ac:dyDescent="0.35">
      <c r="A162">
        <v>2016</v>
      </c>
      <c r="B162">
        <v>8</v>
      </c>
      <c r="C162" t="s">
        <v>38</v>
      </c>
      <c r="D162" t="s">
        <v>15</v>
      </c>
      <c r="E162" t="s">
        <v>16</v>
      </c>
      <c r="F162" t="s">
        <v>27</v>
      </c>
      <c r="G162" s="1">
        <v>95430</v>
      </c>
      <c r="H162" s="1">
        <v>369532</v>
      </c>
      <c r="I162">
        <v>214</v>
      </c>
      <c r="J162">
        <v>0.97</v>
      </c>
      <c r="K162">
        <v>6.29</v>
      </c>
      <c r="L162">
        <v>1.2</v>
      </c>
      <c r="M162">
        <v>1</v>
      </c>
      <c r="N162" s="1">
        <f>bmw_global_sales_dataset[[#This Row],[units_sold]]*bmw_global_sales_dataset[[#This Row],[price_usd]]</f>
        <v>48669300</v>
      </c>
      <c r="O162">
        <v>510</v>
      </c>
    </row>
    <row r="163" spans="1:15" x14ac:dyDescent="0.35">
      <c r="A163">
        <v>2016</v>
      </c>
      <c r="B163">
        <v>8</v>
      </c>
      <c r="C163" t="s">
        <v>25</v>
      </c>
      <c r="D163" t="s">
        <v>33</v>
      </c>
      <c r="E163" t="s">
        <v>19</v>
      </c>
      <c r="F163" t="s">
        <v>23</v>
      </c>
      <c r="G163" s="1">
        <v>49605</v>
      </c>
      <c r="H163" s="1">
        <v>105501</v>
      </c>
      <c r="I163">
        <v>163</v>
      </c>
      <c r="J163">
        <v>0.97</v>
      </c>
      <c r="K163">
        <v>6.29</v>
      </c>
      <c r="L163">
        <v>1.2</v>
      </c>
      <c r="M163">
        <v>9</v>
      </c>
      <c r="N163" s="1">
        <f>bmw_global_sales_dataset[[#This Row],[units_sold]]*bmw_global_sales_dataset[[#This Row],[price_usd]]</f>
        <v>37650195</v>
      </c>
      <c r="O163">
        <v>759</v>
      </c>
    </row>
    <row r="164" spans="1:15" x14ac:dyDescent="0.35">
      <c r="A164">
        <v>2016</v>
      </c>
      <c r="B164">
        <v>11</v>
      </c>
      <c r="C164" t="s">
        <v>28</v>
      </c>
      <c r="D164" t="s">
        <v>31</v>
      </c>
      <c r="E164" t="s">
        <v>16</v>
      </c>
      <c r="F164" t="s">
        <v>23</v>
      </c>
      <c r="G164" s="1">
        <v>54581</v>
      </c>
      <c r="H164" s="1">
        <v>346379</v>
      </c>
      <c r="I164">
        <v>108</v>
      </c>
      <c r="J164">
        <v>0.97</v>
      </c>
      <c r="K164">
        <v>6.29</v>
      </c>
      <c r="L164">
        <v>1.2</v>
      </c>
      <c r="M164">
        <v>4</v>
      </c>
      <c r="N164" s="1">
        <f>bmw_global_sales_dataset[[#This Row],[units_sold]]*bmw_global_sales_dataset[[#This Row],[price_usd]]</f>
        <v>18885026</v>
      </c>
      <c r="O164">
        <v>346</v>
      </c>
    </row>
    <row r="165" spans="1:15" x14ac:dyDescent="0.35">
      <c r="A165">
        <v>2016</v>
      </c>
      <c r="B165">
        <v>5</v>
      </c>
      <c r="C165" t="s">
        <v>35</v>
      </c>
      <c r="D165" t="s">
        <v>22</v>
      </c>
      <c r="E165" t="s">
        <v>20</v>
      </c>
      <c r="F165" t="s">
        <v>20</v>
      </c>
      <c r="G165" s="1">
        <v>79066</v>
      </c>
      <c r="H165" s="1">
        <v>260765</v>
      </c>
      <c r="I165">
        <v>201</v>
      </c>
      <c r="J165">
        <v>0.97</v>
      </c>
      <c r="K165">
        <v>6.29</v>
      </c>
      <c r="L165">
        <v>1.2</v>
      </c>
      <c r="M165">
        <v>2</v>
      </c>
      <c r="N165" s="1">
        <f>bmw_global_sales_dataset[[#This Row],[units_sold]]*bmw_global_sales_dataset[[#This Row],[price_usd]]</f>
        <v>46411742</v>
      </c>
      <c r="O165">
        <v>587</v>
      </c>
    </row>
    <row r="166" spans="1:15" x14ac:dyDescent="0.35">
      <c r="A166">
        <v>2016</v>
      </c>
      <c r="B166">
        <v>12</v>
      </c>
      <c r="C166" t="s">
        <v>38</v>
      </c>
      <c r="D166" t="s">
        <v>24</v>
      </c>
      <c r="E166" t="s">
        <v>20</v>
      </c>
      <c r="F166" t="s">
        <v>20</v>
      </c>
      <c r="G166" s="1">
        <v>52796</v>
      </c>
      <c r="H166" s="1">
        <v>255782</v>
      </c>
      <c r="I166">
        <v>302</v>
      </c>
      <c r="J166">
        <v>0.97</v>
      </c>
      <c r="K166">
        <v>6.29</v>
      </c>
      <c r="L166">
        <v>1.2</v>
      </c>
      <c r="M166">
        <v>6</v>
      </c>
      <c r="N166" s="1">
        <f>bmw_global_sales_dataset[[#This Row],[units_sold]]*bmw_global_sales_dataset[[#This Row],[price_usd]]</f>
        <v>50314588</v>
      </c>
      <c r="O166">
        <v>953</v>
      </c>
    </row>
    <row r="167" spans="1:15" x14ac:dyDescent="0.35">
      <c r="A167">
        <v>2016</v>
      </c>
      <c r="B167">
        <v>10</v>
      </c>
      <c r="C167" t="s">
        <v>14</v>
      </c>
      <c r="D167" t="s">
        <v>15</v>
      </c>
      <c r="E167" t="s">
        <v>19</v>
      </c>
      <c r="F167" t="s">
        <v>17</v>
      </c>
      <c r="G167" s="1">
        <v>87091</v>
      </c>
      <c r="H167" s="1">
        <v>313551</v>
      </c>
      <c r="I167">
        <v>360</v>
      </c>
      <c r="J167">
        <v>0.97</v>
      </c>
      <c r="K167">
        <v>6.29</v>
      </c>
      <c r="L167">
        <v>1.2</v>
      </c>
      <c r="M167">
        <v>8</v>
      </c>
      <c r="N167" s="1">
        <f>bmw_global_sales_dataset[[#This Row],[units_sold]]*bmw_global_sales_dataset[[#This Row],[price_usd]]</f>
        <v>72198439</v>
      </c>
      <c r="O167">
        <v>829</v>
      </c>
    </row>
    <row r="168" spans="1:15" x14ac:dyDescent="0.35">
      <c r="A168">
        <v>2016</v>
      </c>
      <c r="B168">
        <v>2</v>
      </c>
      <c r="C168" t="s">
        <v>28</v>
      </c>
      <c r="D168" t="s">
        <v>29</v>
      </c>
      <c r="E168" t="s">
        <v>20</v>
      </c>
      <c r="F168" t="s">
        <v>17</v>
      </c>
      <c r="G168" s="1">
        <v>105990</v>
      </c>
      <c r="H168" s="1">
        <v>198866</v>
      </c>
      <c r="I168">
        <v>339</v>
      </c>
      <c r="J168">
        <v>0.97</v>
      </c>
      <c r="K168">
        <v>6.29</v>
      </c>
      <c r="L168">
        <v>1.2</v>
      </c>
      <c r="M168">
        <v>1</v>
      </c>
      <c r="N168" s="1">
        <f>bmw_global_sales_dataset[[#This Row],[units_sold]]*bmw_global_sales_dataset[[#This Row],[price_usd]]</f>
        <v>108533760</v>
      </c>
      <c r="O168">
        <v>1024</v>
      </c>
    </row>
    <row r="169" spans="1:15" x14ac:dyDescent="0.35">
      <c r="A169">
        <v>2016</v>
      </c>
      <c r="B169">
        <v>3</v>
      </c>
      <c r="C169" t="s">
        <v>38</v>
      </c>
      <c r="D169" t="s">
        <v>15</v>
      </c>
      <c r="E169" t="s">
        <v>19</v>
      </c>
      <c r="F169" t="s">
        <v>20</v>
      </c>
      <c r="G169" s="1">
        <v>78254</v>
      </c>
      <c r="H169" s="1">
        <v>286770</v>
      </c>
      <c r="I169">
        <v>73</v>
      </c>
      <c r="J169">
        <v>0.97</v>
      </c>
      <c r="K169">
        <v>6.29</v>
      </c>
      <c r="L169">
        <v>1.2</v>
      </c>
      <c r="M169">
        <v>7</v>
      </c>
      <c r="N169" s="1">
        <f>bmw_global_sales_dataset[[#This Row],[units_sold]]*bmw_global_sales_dataset[[#This Row],[price_usd]]</f>
        <v>29501758</v>
      </c>
      <c r="O169">
        <v>377</v>
      </c>
    </row>
    <row r="170" spans="1:15" x14ac:dyDescent="0.35">
      <c r="A170">
        <v>2016</v>
      </c>
      <c r="B170">
        <v>4</v>
      </c>
      <c r="C170" t="s">
        <v>25</v>
      </c>
      <c r="D170" t="s">
        <v>39</v>
      </c>
      <c r="E170" t="s">
        <v>16</v>
      </c>
      <c r="F170" t="s">
        <v>27</v>
      </c>
      <c r="G170" s="1">
        <v>64424</v>
      </c>
      <c r="H170" s="1">
        <v>299836</v>
      </c>
      <c r="I170">
        <v>40</v>
      </c>
      <c r="J170">
        <v>0.97</v>
      </c>
      <c r="K170">
        <v>6.29</v>
      </c>
      <c r="L170">
        <v>1.2</v>
      </c>
      <c r="M170">
        <v>9</v>
      </c>
      <c r="N170" s="1">
        <f>bmw_global_sales_dataset[[#This Row],[units_sold]]*bmw_global_sales_dataset[[#This Row],[price_usd]]</f>
        <v>29377344</v>
      </c>
      <c r="O170">
        <v>456</v>
      </c>
    </row>
    <row r="171" spans="1:15" x14ac:dyDescent="0.35">
      <c r="A171">
        <v>2016</v>
      </c>
      <c r="B171">
        <v>12</v>
      </c>
      <c r="C171" t="s">
        <v>38</v>
      </c>
      <c r="D171" t="s">
        <v>18</v>
      </c>
      <c r="E171" t="s">
        <v>16</v>
      </c>
      <c r="F171" t="s">
        <v>27</v>
      </c>
      <c r="G171" s="1">
        <v>69758</v>
      </c>
      <c r="H171" s="1">
        <v>72486</v>
      </c>
      <c r="I171">
        <v>290</v>
      </c>
      <c r="J171">
        <v>0.97</v>
      </c>
      <c r="K171">
        <v>6.29</v>
      </c>
      <c r="L171">
        <v>1.2</v>
      </c>
      <c r="M171">
        <v>9</v>
      </c>
      <c r="N171" s="1">
        <f>bmw_global_sales_dataset[[#This Row],[units_sold]]*bmw_global_sales_dataset[[#This Row],[price_usd]]</f>
        <v>68153566</v>
      </c>
      <c r="O171">
        <v>977</v>
      </c>
    </row>
    <row r="172" spans="1:15" x14ac:dyDescent="0.35">
      <c r="A172">
        <v>2016</v>
      </c>
      <c r="B172">
        <v>8</v>
      </c>
      <c r="C172" t="s">
        <v>35</v>
      </c>
      <c r="D172" t="s">
        <v>26</v>
      </c>
      <c r="E172" t="s">
        <v>19</v>
      </c>
      <c r="F172" t="s">
        <v>20</v>
      </c>
      <c r="G172" s="1">
        <v>64670</v>
      </c>
      <c r="H172" s="1">
        <v>140054</v>
      </c>
      <c r="I172">
        <v>224</v>
      </c>
      <c r="J172">
        <v>0.97</v>
      </c>
      <c r="K172">
        <v>6.29</v>
      </c>
      <c r="L172">
        <v>1.2</v>
      </c>
      <c r="M172">
        <v>4</v>
      </c>
      <c r="N172" s="1">
        <f>bmw_global_sales_dataset[[#This Row],[units_sold]]*bmw_global_sales_dataset[[#This Row],[price_usd]]</f>
        <v>51736000</v>
      </c>
      <c r="O172">
        <v>800</v>
      </c>
    </row>
    <row r="173" spans="1:15" x14ac:dyDescent="0.35">
      <c r="A173">
        <v>2016</v>
      </c>
      <c r="B173">
        <v>3</v>
      </c>
      <c r="C173" t="s">
        <v>30</v>
      </c>
      <c r="D173" t="s">
        <v>18</v>
      </c>
      <c r="E173" t="s">
        <v>16</v>
      </c>
      <c r="F173" t="s">
        <v>23</v>
      </c>
      <c r="G173" s="1">
        <v>98080</v>
      </c>
      <c r="H173" s="1">
        <v>233683</v>
      </c>
      <c r="I173">
        <v>78</v>
      </c>
      <c r="J173">
        <v>0.97</v>
      </c>
      <c r="K173">
        <v>6.29</v>
      </c>
      <c r="L173">
        <v>1.2</v>
      </c>
      <c r="M173">
        <v>8</v>
      </c>
      <c r="N173" s="1">
        <f>bmw_global_sales_dataset[[#This Row],[units_sold]]*bmw_global_sales_dataset[[#This Row],[price_usd]]</f>
        <v>31091360</v>
      </c>
      <c r="O173">
        <v>317</v>
      </c>
    </row>
    <row r="174" spans="1:15" x14ac:dyDescent="0.35">
      <c r="A174">
        <v>2016</v>
      </c>
      <c r="B174">
        <v>12</v>
      </c>
      <c r="C174" t="s">
        <v>28</v>
      </c>
      <c r="D174" t="s">
        <v>26</v>
      </c>
      <c r="E174" t="s">
        <v>19</v>
      </c>
      <c r="F174" t="s">
        <v>27</v>
      </c>
      <c r="G174" s="1">
        <v>92608</v>
      </c>
      <c r="H174" s="1">
        <v>57837</v>
      </c>
      <c r="I174">
        <v>170</v>
      </c>
      <c r="J174">
        <v>0.97</v>
      </c>
      <c r="K174">
        <v>6.29</v>
      </c>
      <c r="L174">
        <v>1.2</v>
      </c>
      <c r="M174">
        <v>3</v>
      </c>
      <c r="N174" s="1">
        <f>bmw_global_sales_dataset[[#This Row],[units_sold]]*bmw_global_sales_dataset[[#This Row],[price_usd]]</f>
        <v>57602176</v>
      </c>
      <c r="O174">
        <v>622</v>
      </c>
    </row>
    <row r="175" spans="1:15" x14ac:dyDescent="0.35">
      <c r="A175">
        <v>2016</v>
      </c>
      <c r="B175">
        <v>4</v>
      </c>
      <c r="C175" t="s">
        <v>32</v>
      </c>
      <c r="D175" t="s">
        <v>22</v>
      </c>
      <c r="E175" t="s">
        <v>20</v>
      </c>
      <c r="F175" t="s">
        <v>27</v>
      </c>
      <c r="G175" s="1">
        <v>61950</v>
      </c>
      <c r="H175" s="1">
        <v>101012</v>
      </c>
      <c r="I175">
        <v>386</v>
      </c>
      <c r="J175">
        <v>0.97</v>
      </c>
      <c r="K175">
        <v>6.29</v>
      </c>
      <c r="L175">
        <v>1.2</v>
      </c>
      <c r="M175">
        <v>9</v>
      </c>
      <c r="N175" s="1">
        <f>bmw_global_sales_dataset[[#This Row],[units_sold]]*bmw_global_sales_dataset[[#This Row],[price_usd]]</f>
        <v>57675450</v>
      </c>
      <c r="O175">
        <v>931</v>
      </c>
    </row>
    <row r="176" spans="1:15" x14ac:dyDescent="0.35">
      <c r="A176">
        <v>2016</v>
      </c>
      <c r="B176">
        <v>12</v>
      </c>
      <c r="C176" t="s">
        <v>38</v>
      </c>
      <c r="D176" t="s">
        <v>26</v>
      </c>
      <c r="E176" t="s">
        <v>20</v>
      </c>
      <c r="F176" t="s">
        <v>23</v>
      </c>
      <c r="G176" s="1">
        <v>110900</v>
      </c>
      <c r="H176" s="1">
        <v>108123</v>
      </c>
      <c r="I176">
        <v>236</v>
      </c>
      <c r="J176">
        <v>0.97</v>
      </c>
      <c r="K176">
        <v>6.29</v>
      </c>
      <c r="L176">
        <v>1.2</v>
      </c>
      <c r="M176">
        <v>9</v>
      </c>
      <c r="N176" s="1">
        <f>bmw_global_sales_dataset[[#This Row],[units_sold]]*bmw_global_sales_dataset[[#This Row],[price_usd]]</f>
        <v>96261200</v>
      </c>
      <c r="O176">
        <v>868</v>
      </c>
    </row>
    <row r="177" spans="1:15" x14ac:dyDescent="0.35">
      <c r="A177">
        <v>2016</v>
      </c>
      <c r="B177">
        <v>6</v>
      </c>
      <c r="C177" t="s">
        <v>38</v>
      </c>
      <c r="D177" t="s">
        <v>22</v>
      </c>
      <c r="E177" t="s">
        <v>16</v>
      </c>
      <c r="F177" t="s">
        <v>27</v>
      </c>
      <c r="G177" s="1">
        <v>58834</v>
      </c>
      <c r="H177" s="1">
        <v>58720</v>
      </c>
      <c r="I177">
        <v>368</v>
      </c>
      <c r="J177">
        <v>0.97</v>
      </c>
      <c r="K177">
        <v>6.29</v>
      </c>
      <c r="L177">
        <v>1.2</v>
      </c>
      <c r="M177">
        <v>6</v>
      </c>
      <c r="N177" s="1">
        <f>bmw_global_sales_dataset[[#This Row],[units_sold]]*bmw_global_sales_dataset[[#This Row],[price_usd]]</f>
        <v>59187004</v>
      </c>
      <c r="O177">
        <v>1006</v>
      </c>
    </row>
    <row r="178" spans="1:15" x14ac:dyDescent="0.35">
      <c r="A178">
        <v>2016</v>
      </c>
      <c r="B178">
        <v>5</v>
      </c>
      <c r="C178" t="s">
        <v>14</v>
      </c>
      <c r="D178" t="s">
        <v>39</v>
      </c>
      <c r="E178" t="s">
        <v>19</v>
      </c>
      <c r="F178" t="s">
        <v>23</v>
      </c>
      <c r="G178" s="1">
        <v>69474</v>
      </c>
      <c r="H178" s="1">
        <v>218733</v>
      </c>
      <c r="I178">
        <v>110</v>
      </c>
      <c r="J178">
        <v>0.97</v>
      </c>
      <c r="K178">
        <v>6.29</v>
      </c>
      <c r="L178">
        <v>1.2</v>
      </c>
      <c r="M178">
        <v>9</v>
      </c>
      <c r="N178" s="1">
        <f>bmw_global_sales_dataset[[#This Row],[units_sold]]*bmw_global_sales_dataset[[#This Row],[price_usd]]</f>
        <v>38071752</v>
      </c>
      <c r="O178">
        <v>548</v>
      </c>
    </row>
    <row r="179" spans="1:15" x14ac:dyDescent="0.35">
      <c r="A179">
        <v>2016</v>
      </c>
      <c r="B179">
        <v>5</v>
      </c>
      <c r="C179" t="s">
        <v>35</v>
      </c>
      <c r="D179" t="s">
        <v>26</v>
      </c>
      <c r="E179" t="s">
        <v>19</v>
      </c>
      <c r="F179" t="s">
        <v>20</v>
      </c>
      <c r="G179" s="1">
        <v>78066</v>
      </c>
      <c r="H179" s="1">
        <v>296103</v>
      </c>
      <c r="I179">
        <v>30</v>
      </c>
      <c r="J179">
        <v>0.97</v>
      </c>
      <c r="K179">
        <v>6.29</v>
      </c>
      <c r="L179">
        <v>1.2</v>
      </c>
      <c r="M179">
        <v>7</v>
      </c>
      <c r="N179" s="1">
        <f>bmw_global_sales_dataset[[#This Row],[units_sold]]*bmw_global_sales_dataset[[#This Row],[price_usd]]</f>
        <v>14598342</v>
      </c>
      <c r="O179">
        <v>187</v>
      </c>
    </row>
    <row r="180" spans="1:15" x14ac:dyDescent="0.35">
      <c r="A180">
        <v>2016</v>
      </c>
      <c r="B180">
        <v>8</v>
      </c>
      <c r="C180" t="s">
        <v>35</v>
      </c>
      <c r="D180" t="s">
        <v>33</v>
      </c>
      <c r="E180" t="s">
        <v>19</v>
      </c>
      <c r="F180" t="s">
        <v>17</v>
      </c>
      <c r="G180" s="1">
        <v>45345</v>
      </c>
      <c r="H180" s="1">
        <v>274866</v>
      </c>
      <c r="I180">
        <v>398</v>
      </c>
      <c r="J180">
        <v>0.97</v>
      </c>
      <c r="K180">
        <v>6.29</v>
      </c>
      <c r="L180">
        <v>1.2</v>
      </c>
      <c r="M180">
        <v>8</v>
      </c>
      <c r="N180" s="1">
        <f>bmw_global_sales_dataset[[#This Row],[units_sold]]*bmw_global_sales_dataset[[#This Row],[price_usd]]</f>
        <v>41536020</v>
      </c>
      <c r="O180">
        <v>916</v>
      </c>
    </row>
    <row r="181" spans="1:15" x14ac:dyDescent="0.35">
      <c r="A181">
        <v>2016</v>
      </c>
      <c r="B181">
        <v>9</v>
      </c>
      <c r="C181" t="s">
        <v>38</v>
      </c>
      <c r="D181" t="s">
        <v>34</v>
      </c>
      <c r="E181" t="s">
        <v>20</v>
      </c>
      <c r="F181" t="s">
        <v>27</v>
      </c>
      <c r="G181" s="1">
        <v>37809</v>
      </c>
      <c r="H181" s="1">
        <v>126208</v>
      </c>
      <c r="I181">
        <v>57</v>
      </c>
      <c r="J181">
        <v>0.97</v>
      </c>
      <c r="K181">
        <v>6.29</v>
      </c>
      <c r="L181">
        <v>1.2</v>
      </c>
      <c r="M181">
        <v>10</v>
      </c>
      <c r="N181" s="1">
        <f>bmw_global_sales_dataset[[#This Row],[units_sold]]*bmw_global_sales_dataset[[#This Row],[price_usd]]</f>
        <v>20000961</v>
      </c>
      <c r="O181">
        <v>529</v>
      </c>
    </row>
    <row r="182" spans="1:15" x14ac:dyDescent="0.35">
      <c r="A182">
        <v>2016</v>
      </c>
      <c r="B182">
        <v>9</v>
      </c>
      <c r="C182" t="s">
        <v>35</v>
      </c>
      <c r="D182" t="s">
        <v>34</v>
      </c>
      <c r="E182" t="s">
        <v>20</v>
      </c>
      <c r="F182" t="s">
        <v>23</v>
      </c>
      <c r="G182" s="1">
        <v>77818</v>
      </c>
      <c r="H182" s="1">
        <v>497421</v>
      </c>
      <c r="I182">
        <v>300</v>
      </c>
      <c r="J182">
        <v>0.97</v>
      </c>
      <c r="K182">
        <v>6.29</v>
      </c>
      <c r="L182">
        <v>1.2</v>
      </c>
      <c r="M182">
        <v>4</v>
      </c>
      <c r="N182" s="1">
        <f>bmw_global_sales_dataset[[#This Row],[units_sold]]*bmw_global_sales_dataset[[#This Row],[price_usd]]</f>
        <v>53227512</v>
      </c>
      <c r="O182">
        <v>684</v>
      </c>
    </row>
    <row r="183" spans="1:15" x14ac:dyDescent="0.35">
      <c r="A183">
        <v>2016</v>
      </c>
      <c r="B183">
        <v>9</v>
      </c>
      <c r="C183" t="s">
        <v>30</v>
      </c>
      <c r="D183" t="s">
        <v>15</v>
      </c>
      <c r="E183" t="s">
        <v>19</v>
      </c>
      <c r="F183" t="s">
        <v>17</v>
      </c>
      <c r="G183" s="1">
        <v>42465</v>
      </c>
      <c r="H183" s="1">
        <v>306427</v>
      </c>
      <c r="I183">
        <v>255</v>
      </c>
      <c r="J183">
        <v>0.97</v>
      </c>
      <c r="K183">
        <v>6.29</v>
      </c>
      <c r="L183">
        <v>1.2</v>
      </c>
      <c r="M183">
        <v>5</v>
      </c>
      <c r="N183" s="1">
        <f>bmw_global_sales_dataset[[#This Row],[units_sold]]*bmw_global_sales_dataset[[#This Row],[price_usd]]</f>
        <v>32910375</v>
      </c>
      <c r="O183">
        <v>775</v>
      </c>
    </row>
    <row r="184" spans="1:15" x14ac:dyDescent="0.35">
      <c r="A184">
        <v>2016</v>
      </c>
      <c r="B184">
        <v>2</v>
      </c>
      <c r="C184" t="s">
        <v>21</v>
      </c>
      <c r="D184" t="s">
        <v>33</v>
      </c>
      <c r="E184" t="s">
        <v>19</v>
      </c>
      <c r="F184" t="s">
        <v>23</v>
      </c>
      <c r="G184" s="1">
        <v>115960</v>
      </c>
      <c r="H184" s="1">
        <v>464627</v>
      </c>
      <c r="I184">
        <v>381</v>
      </c>
      <c r="J184">
        <v>0.97</v>
      </c>
      <c r="K184">
        <v>6.29</v>
      </c>
      <c r="L184">
        <v>1.2</v>
      </c>
      <c r="M184">
        <v>9</v>
      </c>
      <c r="N184" s="1">
        <f>bmw_global_sales_dataset[[#This Row],[units_sold]]*bmw_global_sales_dataset[[#This Row],[price_usd]]</f>
        <v>93347800</v>
      </c>
      <c r="O184">
        <v>805</v>
      </c>
    </row>
    <row r="185" spans="1:15" x14ac:dyDescent="0.35">
      <c r="A185">
        <v>2016</v>
      </c>
      <c r="B185">
        <v>12</v>
      </c>
      <c r="C185" t="s">
        <v>21</v>
      </c>
      <c r="D185" t="s">
        <v>33</v>
      </c>
      <c r="E185" t="s">
        <v>16</v>
      </c>
      <c r="F185" t="s">
        <v>20</v>
      </c>
      <c r="G185" s="1">
        <v>108531</v>
      </c>
      <c r="H185" s="1">
        <v>188439</v>
      </c>
      <c r="I185">
        <v>377</v>
      </c>
      <c r="J185">
        <v>0.97</v>
      </c>
      <c r="K185">
        <v>6.29</v>
      </c>
      <c r="L185">
        <v>1.2</v>
      </c>
      <c r="M185">
        <v>1</v>
      </c>
      <c r="N185" s="1">
        <f>bmw_global_sales_dataset[[#This Row],[units_sold]]*bmw_global_sales_dataset[[#This Row],[price_usd]]</f>
        <v>85196835</v>
      </c>
      <c r="O185">
        <v>785</v>
      </c>
    </row>
    <row r="186" spans="1:15" x14ac:dyDescent="0.35">
      <c r="A186">
        <v>2016</v>
      </c>
      <c r="B186">
        <v>4</v>
      </c>
      <c r="C186" t="s">
        <v>35</v>
      </c>
      <c r="D186" t="s">
        <v>24</v>
      </c>
      <c r="E186" t="s">
        <v>19</v>
      </c>
      <c r="F186" t="s">
        <v>27</v>
      </c>
      <c r="G186" s="1">
        <v>36301</v>
      </c>
      <c r="H186" s="1">
        <v>142837</v>
      </c>
      <c r="I186">
        <v>69</v>
      </c>
      <c r="J186">
        <v>0.97</v>
      </c>
      <c r="K186">
        <v>6.29</v>
      </c>
      <c r="L186">
        <v>1.2</v>
      </c>
      <c r="M186">
        <v>1</v>
      </c>
      <c r="N186" s="1">
        <f>bmw_global_sales_dataset[[#This Row],[units_sold]]*bmw_global_sales_dataset[[#This Row],[price_usd]]</f>
        <v>21599095</v>
      </c>
      <c r="O186">
        <v>595</v>
      </c>
    </row>
    <row r="187" spans="1:15" x14ac:dyDescent="0.35">
      <c r="A187">
        <v>2016</v>
      </c>
      <c r="B187">
        <v>9</v>
      </c>
      <c r="C187" t="s">
        <v>37</v>
      </c>
      <c r="D187" t="s">
        <v>18</v>
      </c>
      <c r="E187" t="s">
        <v>16</v>
      </c>
      <c r="F187" t="s">
        <v>27</v>
      </c>
      <c r="G187" s="1">
        <v>61081</v>
      </c>
      <c r="H187" s="1">
        <v>399880</v>
      </c>
      <c r="I187">
        <v>279</v>
      </c>
      <c r="J187">
        <v>0.97</v>
      </c>
      <c r="K187">
        <v>6.29</v>
      </c>
      <c r="L187">
        <v>1.2</v>
      </c>
      <c r="M187">
        <v>9</v>
      </c>
      <c r="N187" s="1">
        <f>bmw_global_sales_dataset[[#This Row],[units_sold]]*bmw_global_sales_dataset[[#This Row],[price_usd]]</f>
        <v>51796688</v>
      </c>
      <c r="O187">
        <v>848</v>
      </c>
    </row>
    <row r="188" spans="1:15" x14ac:dyDescent="0.35">
      <c r="A188">
        <v>2016</v>
      </c>
      <c r="B188">
        <v>2</v>
      </c>
      <c r="C188" t="s">
        <v>25</v>
      </c>
      <c r="D188" t="s">
        <v>15</v>
      </c>
      <c r="E188" t="s">
        <v>16</v>
      </c>
      <c r="F188" t="s">
        <v>27</v>
      </c>
      <c r="G188" s="1">
        <v>68302</v>
      </c>
      <c r="H188" s="1">
        <v>231726</v>
      </c>
      <c r="I188">
        <v>28</v>
      </c>
      <c r="J188">
        <v>0.97</v>
      </c>
      <c r="K188">
        <v>6.29</v>
      </c>
      <c r="L188">
        <v>1.2</v>
      </c>
      <c r="M188">
        <v>5</v>
      </c>
      <c r="N188" s="1">
        <f>bmw_global_sales_dataset[[#This Row],[units_sold]]*bmw_global_sales_dataset[[#This Row],[price_usd]]</f>
        <v>29916276</v>
      </c>
      <c r="O188">
        <v>438</v>
      </c>
    </row>
    <row r="189" spans="1:15" x14ac:dyDescent="0.35">
      <c r="A189">
        <v>2016</v>
      </c>
      <c r="B189">
        <v>5</v>
      </c>
      <c r="C189" t="s">
        <v>14</v>
      </c>
      <c r="D189" t="s">
        <v>33</v>
      </c>
      <c r="E189" t="s">
        <v>16</v>
      </c>
      <c r="F189" t="s">
        <v>17</v>
      </c>
      <c r="G189" s="1">
        <v>102691</v>
      </c>
      <c r="H189" s="1">
        <v>183114</v>
      </c>
      <c r="I189">
        <v>129</v>
      </c>
      <c r="J189">
        <v>0.97</v>
      </c>
      <c r="K189">
        <v>6.29</v>
      </c>
      <c r="L189">
        <v>1.2</v>
      </c>
      <c r="M189">
        <v>5</v>
      </c>
      <c r="N189" s="1">
        <f>bmw_global_sales_dataset[[#This Row],[units_sold]]*bmw_global_sales_dataset[[#This Row],[price_usd]]</f>
        <v>40049490</v>
      </c>
      <c r="O189">
        <v>390</v>
      </c>
    </row>
    <row r="190" spans="1:15" x14ac:dyDescent="0.35">
      <c r="A190">
        <v>2016</v>
      </c>
      <c r="B190">
        <v>7</v>
      </c>
      <c r="C190" t="s">
        <v>30</v>
      </c>
      <c r="D190" t="s">
        <v>15</v>
      </c>
      <c r="E190" t="s">
        <v>16</v>
      </c>
      <c r="F190" t="s">
        <v>27</v>
      </c>
      <c r="G190" s="1">
        <v>43320</v>
      </c>
      <c r="H190" s="1">
        <v>189681</v>
      </c>
      <c r="I190">
        <v>227</v>
      </c>
      <c r="J190">
        <v>0.97</v>
      </c>
      <c r="K190">
        <v>6.29</v>
      </c>
      <c r="L190">
        <v>1.2</v>
      </c>
      <c r="M190">
        <v>4</v>
      </c>
      <c r="N190" s="1">
        <f>bmw_global_sales_dataset[[#This Row],[units_sold]]*bmw_global_sales_dataset[[#This Row],[price_usd]]</f>
        <v>27768120</v>
      </c>
      <c r="O190">
        <v>641</v>
      </c>
    </row>
    <row r="191" spans="1:15" x14ac:dyDescent="0.35">
      <c r="A191">
        <v>2016</v>
      </c>
      <c r="B191">
        <v>2</v>
      </c>
      <c r="C191" t="s">
        <v>14</v>
      </c>
      <c r="D191" t="s">
        <v>39</v>
      </c>
      <c r="E191" t="s">
        <v>20</v>
      </c>
      <c r="F191" t="s">
        <v>17</v>
      </c>
      <c r="G191" s="1">
        <v>75860</v>
      </c>
      <c r="H191" s="1">
        <v>187815</v>
      </c>
      <c r="I191">
        <v>101</v>
      </c>
      <c r="J191">
        <v>0.97</v>
      </c>
      <c r="K191">
        <v>6.29</v>
      </c>
      <c r="L191">
        <v>1.2</v>
      </c>
      <c r="M191">
        <v>2</v>
      </c>
      <c r="N191" s="1">
        <f>bmw_global_sales_dataset[[#This Row],[units_sold]]*bmw_global_sales_dataset[[#This Row],[price_usd]]</f>
        <v>25033800</v>
      </c>
      <c r="O191">
        <v>330</v>
      </c>
    </row>
    <row r="192" spans="1:15" x14ac:dyDescent="0.35">
      <c r="A192">
        <v>2016</v>
      </c>
      <c r="B192">
        <v>3</v>
      </c>
      <c r="C192" t="s">
        <v>37</v>
      </c>
      <c r="D192" t="s">
        <v>15</v>
      </c>
      <c r="E192" t="s">
        <v>19</v>
      </c>
      <c r="F192" t="s">
        <v>27</v>
      </c>
      <c r="G192" s="1">
        <v>38114</v>
      </c>
      <c r="H192" s="1">
        <v>486946</v>
      </c>
      <c r="I192">
        <v>246</v>
      </c>
      <c r="J192">
        <v>0.97</v>
      </c>
      <c r="K192">
        <v>6.29</v>
      </c>
      <c r="L192">
        <v>1.2</v>
      </c>
      <c r="M192">
        <v>2</v>
      </c>
      <c r="N192" s="1">
        <f>bmw_global_sales_dataset[[#This Row],[units_sold]]*bmw_global_sales_dataset[[#This Row],[price_usd]]</f>
        <v>36894352</v>
      </c>
      <c r="O192">
        <v>968</v>
      </c>
    </row>
    <row r="193" spans="1:15" x14ac:dyDescent="0.35">
      <c r="A193">
        <v>2016</v>
      </c>
      <c r="B193">
        <v>9</v>
      </c>
      <c r="C193" t="s">
        <v>32</v>
      </c>
      <c r="D193" t="s">
        <v>31</v>
      </c>
      <c r="E193" t="s">
        <v>16</v>
      </c>
      <c r="F193" t="s">
        <v>20</v>
      </c>
      <c r="G193" s="1">
        <v>95942</v>
      </c>
      <c r="H193" s="1">
        <v>250003</v>
      </c>
      <c r="I193">
        <v>297</v>
      </c>
      <c r="J193">
        <v>0.97</v>
      </c>
      <c r="K193">
        <v>6.29</v>
      </c>
      <c r="L193">
        <v>1.2</v>
      </c>
      <c r="M193">
        <v>2</v>
      </c>
      <c r="N193" s="1">
        <f>bmw_global_sales_dataset[[#This Row],[units_sold]]*bmw_global_sales_dataset[[#This Row],[price_usd]]</f>
        <v>85580264</v>
      </c>
      <c r="O193">
        <v>892</v>
      </c>
    </row>
    <row r="194" spans="1:15" x14ac:dyDescent="0.35">
      <c r="A194">
        <v>2016</v>
      </c>
      <c r="B194">
        <v>11</v>
      </c>
      <c r="C194" t="s">
        <v>37</v>
      </c>
      <c r="D194" t="s">
        <v>31</v>
      </c>
      <c r="E194" t="s">
        <v>20</v>
      </c>
      <c r="F194" t="s">
        <v>20</v>
      </c>
      <c r="G194" s="1">
        <v>55977</v>
      </c>
      <c r="H194" s="1">
        <v>481888</v>
      </c>
      <c r="I194">
        <v>146</v>
      </c>
      <c r="J194">
        <v>0.97</v>
      </c>
      <c r="K194">
        <v>6.29</v>
      </c>
      <c r="L194">
        <v>1.2</v>
      </c>
      <c r="M194">
        <v>10</v>
      </c>
      <c r="N194" s="1">
        <f>bmw_global_sales_dataset[[#This Row],[units_sold]]*bmw_global_sales_dataset[[#This Row],[price_usd]]</f>
        <v>33586200</v>
      </c>
      <c r="O194">
        <v>600</v>
      </c>
    </row>
    <row r="195" spans="1:15" x14ac:dyDescent="0.35">
      <c r="A195">
        <v>2016</v>
      </c>
      <c r="B195">
        <v>9</v>
      </c>
      <c r="C195" t="s">
        <v>25</v>
      </c>
      <c r="D195" t="s">
        <v>26</v>
      </c>
      <c r="E195" t="s">
        <v>20</v>
      </c>
      <c r="F195" t="s">
        <v>23</v>
      </c>
      <c r="G195" s="1">
        <v>92473</v>
      </c>
      <c r="H195" s="1">
        <v>436791</v>
      </c>
      <c r="I195">
        <v>329</v>
      </c>
      <c r="J195">
        <v>0.97</v>
      </c>
      <c r="K195">
        <v>6.29</v>
      </c>
      <c r="L195">
        <v>1.2</v>
      </c>
      <c r="M195">
        <v>9</v>
      </c>
      <c r="N195" s="1">
        <f>bmw_global_sales_dataset[[#This Row],[units_sold]]*bmw_global_sales_dataset[[#This Row],[price_usd]]</f>
        <v>86462255</v>
      </c>
      <c r="O195">
        <v>935</v>
      </c>
    </row>
    <row r="196" spans="1:15" x14ac:dyDescent="0.35">
      <c r="A196">
        <v>2016</v>
      </c>
      <c r="B196">
        <v>10</v>
      </c>
      <c r="C196" t="s">
        <v>32</v>
      </c>
      <c r="D196" t="s">
        <v>15</v>
      </c>
      <c r="E196" t="s">
        <v>16</v>
      </c>
      <c r="F196" t="s">
        <v>20</v>
      </c>
      <c r="G196" s="1">
        <v>62160</v>
      </c>
      <c r="H196" s="1">
        <v>445797</v>
      </c>
      <c r="I196">
        <v>24</v>
      </c>
      <c r="J196">
        <v>0.97</v>
      </c>
      <c r="K196">
        <v>6.29</v>
      </c>
      <c r="L196">
        <v>1.2</v>
      </c>
      <c r="M196">
        <v>5</v>
      </c>
      <c r="N196" s="1">
        <f>bmw_global_sales_dataset[[#This Row],[units_sold]]*bmw_global_sales_dataset[[#This Row],[price_usd]]</f>
        <v>25236960</v>
      </c>
      <c r="O196">
        <v>406</v>
      </c>
    </row>
    <row r="197" spans="1:15" x14ac:dyDescent="0.35">
      <c r="A197">
        <v>2016</v>
      </c>
      <c r="B197">
        <v>10</v>
      </c>
      <c r="C197" t="s">
        <v>25</v>
      </c>
      <c r="D197" t="s">
        <v>22</v>
      </c>
      <c r="E197" t="s">
        <v>20</v>
      </c>
      <c r="F197" t="s">
        <v>23</v>
      </c>
      <c r="G197" s="1">
        <v>39136</v>
      </c>
      <c r="H197" s="1">
        <v>173714</v>
      </c>
      <c r="I197">
        <v>123</v>
      </c>
      <c r="J197">
        <v>0.97</v>
      </c>
      <c r="K197">
        <v>6.29</v>
      </c>
      <c r="L197">
        <v>1.2</v>
      </c>
      <c r="M197">
        <v>4</v>
      </c>
      <c r="N197" s="1">
        <f>bmw_global_sales_dataset[[#This Row],[units_sold]]*bmw_global_sales_dataset[[#This Row],[price_usd]]</f>
        <v>15145632</v>
      </c>
      <c r="O197">
        <v>387</v>
      </c>
    </row>
    <row r="198" spans="1:15" x14ac:dyDescent="0.35">
      <c r="A198">
        <v>2016</v>
      </c>
      <c r="B198">
        <v>5</v>
      </c>
      <c r="C198" t="s">
        <v>25</v>
      </c>
      <c r="D198" t="s">
        <v>31</v>
      </c>
      <c r="E198" t="s">
        <v>19</v>
      </c>
      <c r="F198" t="s">
        <v>20</v>
      </c>
      <c r="G198" s="1">
        <v>86567</v>
      </c>
      <c r="H198" s="1">
        <v>299717</v>
      </c>
      <c r="I198">
        <v>148</v>
      </c>
      <c r="J198">
        <v>0.97</v>
      </c>
      <c r="K198">
        <v>6.29</v>
      </c>
      <c r="L198">
        <v>1.2</v>
      </c>
      <c r="M198">
        <v>3</v>
      </c>
      <c r="N198" s="1">
        <f>bmw_global_sales_dataset[[#This Row],[units_sold]]*bmw_global_sales_dataset[[#This Row],[price_usd]]</f>
        <v>40080521</v>
      </c>
      <c r="O198">
        <v>463</v>
      </c>
    </row>
    <row r="199" spans="1:15" x14ac:dyDescent="0.35">
      <c r="A199">
        <v>2016</v>
      </c>
      <c r="B199">
        <v>5</v>
      </c>
      <c r="C199" t="s">
        <v>32</v>
      </c>
      <c r="D199" t="s">
        <v>18</v>
      </c>
      <c r="E199" t="s">
        <v>16</v>
      </c>
      <c r="F199" t="s">
        <v>27</v>
      </c>
      <c r="G199" s="1">
        <v>102684</v>
      </c>
      <c r="H199" s="1">
        <v>76505</v>
      </c>
      <c r="I199">
        <v>30</v>
      </c>
      <c r="J199">
        <v>0.97</v>
      </c>
      <c r="K199">
        <v>6.29</v>
      </c>
      <c r="L199">
        <v>1.2</v>
      </c>
      <c r="M199">
        <v>2</v>
      </c>
      <c r="N199" s="1">
        <f>bmw_global_sales_dataset[[#This Row],[units_sold]]*bmw_global_sales_dataset[[#This Row],[price_usd]]</f>
        <v>34501824</v>
      </c>
      <c r="O199">
        <v>336</v>
      </c>
    </row>
    <row r="200" spans="1:15" x14ac:dyDescent="0.35">
      <c r="A200">
        <v>2016</v>
      </c>
      <c r="B200">
        <v>8</v>
      </c>
      <c r="C200" t="s">
        <v>37</v>
      </c>
      <c r="D200" t="s">
        <v>18</v>
      </c>
      <c r="E200" t="s">
        <v>16</v>
      </c>
      <c r="F200" t="s">
        <v>20</v>
      </c>
      <c r="G200" s="1">
        <v>42853</v>
      </c>
      <c r="H200" s="1">
        <v>104362</v>
      </c>
      <c r="I200">
        <v>235</v>
      </c>
      <c r="J200">
        <v>0.97</v>
      </c>
      <c r="K200">
        <v>6.29</v>
      </c>
      <c r="L200">
        <v>1.2</v>
      </c>
      <c r="M200">
        <v>3</v>
      </c>
      <c r="N200" s="1">
        <f>bmw_global_sales_dataset[[#This Row],[units_sold]]*bmw_global_sales_dataset[[#This Row],[price_usd]]</f>
        <v>28540098</v>
      </c>
      <c r="O200">
        <v>666</v>
      </c>
    </row>
    <row r="201" spans="1:15" x14ac:dyDescent="0.35">
      <c r="A201">
        <v>2016</v>
      </c>
      <c r="B201">
        <v>2</v>
      </c>
      <c r="C201" t="s">
        <v>25</v>
      </c>
      <c r="D201" t="s">
        <v>22</v>
      </c>
      <c r="E201" t="s">
        <v>16</v>
      </c>
      <c r="F201" t="s">
        <v>20</v>
      </c>
      <c r="G201" s="1">
        <v>58600</v>
      </c>
      <c r="H201" s="1">
        <v>284784</v>
      </c>
      <c r="I201">
        <v>151</v>
      </c>
      <c r="J201">
        <v>0.97</v>
      </c>
      <c r="K201">
        <v>6.29</v>
      </c>
      <c r="L201">
        <v>1.2</v>
      </c>
      <c r="M201">
        <v>8</v>
      </c>
      <c r="N201" s="1">
        <f>bmw_global_sales_dataset[[#This Row],[units_sold]]*bmw_global_sales_dataset[[#This Row],[price_usd]]</f>
        <v>38324400</v>
      </c>
      <c r="O201">
        <v>654</v>
      </c>
    </row>
    <row r="202" spans="1:15" x14ac:dyDescent="0.35">
      <c r="A202">
        <v>2016</v>
      </c>
      <c r="B202">
        <v>1</v>
      </c>
      <c r="C202" t="s">
        <v>25</v>
      </c>
      <c r="D202" t="s">
        <v>24</v>
      </c>
      <c r="E202" t="s">
        <v>19</v>
      </c>
      <c r="F202" t="s">
        <v>23</v>
      </c>
      <c r="G202" s="1">
        <v>45681</v>
      </c>
      <c r="H202" s="1">
        <v>161915</v>
      </c>
      <c r="I202">
        <v>223</v>
      </c>
      <c r="J202">
        <v>0.97</v>
      </c>
      <c r="K202">
        <v>6.29</v>
      </c>
      <c r="L202">
        <v>1.2</v>
      </c>
      <c r="M202">
        <v>9</v>
      </c>
      <c r="N202" s="1">
        <f>bmw_global_sales_dataset[[#This Row],[units_sold]]*bmw_global_sales_dataset[[#This Row],[price_usd]]</f>
        <v>23342991</v>
      </c>
      <c r="O202">
        <v>511</v>
      </c>
    </row>
    <row r="203" spans="1:15" x14ac:dyDescent="0.35">
      <c r="A203">
        <v>2017</v>
      </c>
      <c r="B203">
        <v>4</v>
      </c>
      <c r="C203" t="s">
        <v>21</v>
      </c>
      <c r="D203" t="s">
        <v>18</v>
      </c>
      <c r="E203" t="s">
        <v>20</v>
      </c>
      <c r="F203" t="s">
        <v>27</v>
      </c>
      <c r="G203" s="1">
        <v>114526</v>
      </c>
      <c r="H203" s="1">
        <v>129183</v>
      </c>
      <c r="I203">
        <v>107</v>
      </c>
      <c r="J203">
        <v>0.97</v>
      </c>
      <c r="K203">
        <v>6.29</v>
      </c>
      <c r="L203">
        <v>1.2</v>
      </c>
      <c r="M203">
        <v>10</v>
      </c>
      <c r="N203" s="1">
        <f>bmw_global_sales_dataset[[#This Row],[units_sold]]*bmw_global_sales_dataset[[#This Row],[price_usd]]</f>
        <v>50276914</v>
      </c>
      <c r="O203">
        <v>439</v>
      </c>
    </row>
    <row r="204" spans="1:15" x14ac:dyDescent="0.35">
      <c r="A204">
        <v>2017</v>
      </c>
      <c r="B204">
        <v>1</v>
      </c>
      <c r="C204" t="s">
        <v>36</v>
      </c>
      <c r="D204" t="s">
        <v>34</v>
      </c>
      <c r="E204" t="s">
        <v>16</v>
      </c>
      <c r="F204" t="s">
        <v>20</v>
      </c>
      <c r="G204" s="1">
        <v>78059</v>
      </c>
      <c r="H204" s="1">
        <v>226326</v>
      </c>
      <c r="I204">
        <v>384</v>
      </c>
      <c r="J204">
        <v>0.97</v>
      </c>
      <c r="K204">
        <v>6.29</v>
      </c>
      <c r="L204">
        <v>1.2</v>
      </c>
      <c r="M204">
        <v>8</v>
      </c>
      <c r="N204" s="1">
        <f>bmw_global_sales_dataset[[#This Row],[units_sold]]*bmw_global_sales_dataset[[#This Row],[price_usd]]</f>
        <v>92187679</v>
      </c>
      <c r="O204">
        <v>1181</v>
      </c>
    </row>
    <row r="205" spans="1:15" x14ac:dyDescent="0.35">
      <c r="A205">
        <v>2017</v>
      </c>
      <c r="B205">
        <v>10</v>
      </c>
      <c r="C205" t="s">
        <v>37</v>
      </c>
      <c r="D205" t="s">
        <v>18</v>
      </c>
      <c r="E205" t="s">
        <v>16</v>
      </c>
      <c r="F205" t="s">
        <v>23</v>
      </c>
      <c r="G205" s="1">
        <v>98927</v>
      </c>
      <c r="H205" s="1">
        <v>333353</v>
      </c>
      <c r="I205">
        <v>62</v>
      </c>
      <c r="J205">
        <v>0.97</v>
      </c>
      <c r="K205">
        <v>6.29</v>
      </c>
      <c r="L205">
        <v>1.2</v>
      </c>
      <c r="M205">
        <v>9</v>
      </c>
      <c r="N205" s="1">
        <f>bmw_global_sales_dataset[[#This Row],[units_sold]]*bmw_global_sales_dataset[[#This Row],[price_usd]]</f>
        <v>51738821</v>
      </c>
      <c r="O205">
        <v>523</v>
      </c>
    </row>
    <row r="206" spans="1:15" x14ac:dyDescent="0.35">
      <c r="A206">
        <v>2017</v>
      </c>
      <c r="B206">
        <v>9</v>
      </c>
      <c r="C206" t="s">
        <v>36</v>
      </c>
      <c r="D206" t="s">
        <v>24</v>
      </c>
      <c r="E206" t="s">
        <v>16</v>
      </c>
      <c r="F206" t="s">
        <v>27</v>
      </c>
      <c r="G206" s="1">
        <v>105411</v>
      </c>
      <c r="H206" s="1">
        <v>469543</v>
      </c>
      <c r="I206">
        <v>62</v>
      </c>
      <c r="J206">
        <v>0.97</v>
      </c>
      <c r="K206">
        <v>6.29</v>
      </c>
      <c r="L206">
        <v>1.2</v>
      </c>
      <c r="M206">
        <v>8</v>
      </c>
      <c r="N206" s="1">
        <f>bmw_global_sales_dataset[[#This Row],[units_sold]]*bmw_global_sales_dataset[[#This Row],[price_usd]]</f>
        <v>18868569</v>
      </c>
      <c r="O206">
        <v>179</v>
      </c>
    </row>
    <row r="207" spans="1:15" x14ac:dyDescent="0.35">
      <c r="A207">
        <v>2017</v>
      </c>
      <c r="B207">
        <v>6</v>
      </c>
      <c r="C207" t="s">
        <v>38</v>
      </c>
      <c r="D207" t="s">
        <v>39</v>
      </c>
      <c r="E207" t="s">
        <v>16</v>
      </c>
      <c r="F207" t="s">
        <v>20</v>
      </c>
      <c r="G207" s="1">
        <v>47254</v>
      </c>
      <c r="H207" s="1">
        <v>355761</v>
      </c>
      <c r="I207">
        <v>163</v>
      </c>
      <c r="J207">
        <v>0.97</v>
      </c>
      <c r="K207">
        <v>6.29</v>
      </c>
      <c r="L207">
        <v>1.2</v>
      </c>
      <c r="M207">
        <v>7</v>
      </c>
      <c r="N207" s="1">
        <f>bmw_global_sales_dataset[[#This Row],[units_sold]]*bmw_global_sales_dataset[[#This Row],[price_usd]]</f>
        <v>18381806</v>
      </c>
      <c r="O207">
        <v>389</v>
      </c>
    </row>
    <row r="208" spans="1:15" x14ac:dyDescent="0.35">
      <c r="A208">
        <v>2017</v>
      </c>
      <c r="B208">
        <v>10</v>
      </c>
      <c r="C208" t="s">
        <v>30</v>
      </c>
      <c r="D208" t="s">
        <v>22</v>
      </c>
      <c r="E208" t="s">
        <v>16</v>
      </c>
      <c r="F208" t="s">
        <v>20</v>
      </c>
      <c r="G208" s="1">
        <v>118886</v>
      </c>
      <c r="H208" s="1">
        <v>186066</v>
      </c>
      <c r="I208">
        <v>106</v>
      </c>
      <c r="J208">
        <v>0.97</v>
      </c>
      <c r="K208">
        <v>6.29</v>
      </c>
      <c r="L208">
        <v>1.2</v>
      </c>
      <c r="M208">
        <v>3</v>
      </c>
      <c r="N208" s="1">
        <f>bmw_global_sales_dataset[[#This Row],[units_sold]]*bmw_global_sales_dataset[[#This Row],[price_usd]]</f>
        <v>42442302</v>
      </c>
      <c r="O208">
        <v>357</v>
      </c>
    </row>
    <row r="209" spans="1:15" x14ac:dyDescent="0.35">
      <c r="A209">
        <v>2017</v>
      </c>
      <c r="B209">
        <v>1</v>
      </c>
      <c r="C209" t="s">
        <v>28</v>
      </c>
      <c r="D209" t="s">
        <v>34</v>
      </c>
      <c r="E209" t="s">
        <v>20</v>
      </c>
      <c r="F209" t="s">
        <v>20</v>
      </c>
      <c r="G209" s="1">
        <v>113543</v>
      </c>
      <c r="H209" s="1">
        <v>110038</v>
      </c>
      <c r="I209">
        <v>85</v>
      </c>
      <c r="J209">
        <v>0.97</v>
      </c>
      <c r="K209">
        <v>6.29</v>
      </c>
      <c r="L209">
        <v>1.2</v>
      </c>
      <c r="M209">
        <v>6</v>
      </c>
      <c r="N209" s="1">
        <f>bmw_global_sales_dataset[[#This Row],[units_sold]]*bmw_global_sales_dataset[[#This Row],[price_usd]]</f>
        <v>66536198</v>
      </c>
      <c r="O209">
        <v>586</v>
      </c>
    </row>
    <row r="210" spans="1:15" x14ac:dyDescent="0.35">
      <c r="A210">
        <v>2017</v>
      </c>
      <c r="B210">
        <v>6</v>
      </c>
      <c r="C210" t="s">
        <v>30</v>
      </c>
      <c r="D210" t="s">
        <v>39</v>
      </c>
      <c r="E210" t="s">
        <v>16</v>
      </c>
      <c r="F210" t="s">
        <v>23</v>
      </c>
      <c r="G210" s="1">
        <v>70932</v>
      </c>
      <c r="H210" s="1">
        <v>286042</v>
      </c>
      <c r="I210">
        <v>58</v>
      </c>
      <c r="J210">
        <v>0.97</v>
      </c>
      <c r="K210">
        <v>6.29</v>
      </c>
      <c r="L210">
        <v>1.2</v>
      </c>
      <c r="M210">
        <v>9</v>
      </c>
      <c r="N210" s="1">
        <f>bmw_global_sales_dataset[[#This Row],[units_sold]]*bmw_global_sales_dataset[[#This Row],[price_usd]]</f>
        <v>35607864</v>
      </c>
      <c r="O210">
        <v>502</v>
      </c>
    </row>
    <row r="211" spans="1:15" x14ac:dyDescent="0.35">
      <c r="A211">
        <v>2017</v>
      </c>
      <c r="B211">
        <v>12</v>
      </c>
      <c r="C211" t="s">
        <v>14</v>
      </c>
      <c r="D211" t="s">
        <v>26</v>
      </c>
      <c r="E211" t="s">
        <v>19</v>
      </c>
      <c r="F211" t="s">
        <v>20</v>
      </c>
      <c r="G211" s="1">
        <v>56164</v>
      </c>
      <c r="H211" s="1">
        <v>361438</v>
      </c>
      <c r="I211">
        <v>335</v>
      </c>
      <c r="J211">
        <v>0.97</v>
      </c>
      <c r="K211">
        <v>6.29</v>
      </c>
      <c r="L211">
        <v>1.2</v>
      </c>
      <c r="M211">
        <v>2</v>
      </c>
      <c r="N211" s="1">
        <f>bmw_global_sales_dataset[[#This Row],[units_sold]]*bmw_global_sales_dataset[[#This Row],[price_usd]]</f>
        <v>46166808</v>
      </c>
      <c r="O211">
        <v>822</v>
      </c>
    </row>
    <row r="212" spans="1:15" x14ac:dyDescent="0.35">
      <c r="A212">
        <v>2017</v>
      </c>
      <c r="B212">
        <v>2</v>
      </c>
      <c r="C212" t="s">
        <v>35</v>
      </c>
      <c r="D212" t="s">
        <v>31</v>
      </c>
      <c r="E212" t="s">
        <v>19</v>
      </c>
      <c r="F212" t="s">
        <v>20</v>
      </c>
      <c r="G212" s="1">
        <v>63369</v>
      </c>
      <c r="H212" s="1">
        <v>274522</v>
      </c>
      <c r="I212">
        <v>153</v>
      </c>
      <c r="J212">
        <v>0.97</v>
      </c>
      <c r="K212">
        <v>6.29</v>
      </c>
      <c r="L212">
        <v>1.2</v>
      </c>
      <c r="M212">
        <v>5</v>
      </c>
      <c r="N212" s="1">
        <f>bmw_global_sales_dataset[[#This Row],[units_sold]]*bmw_global_sales_dataset[[#This Row],[price_usd]]</f>
        <v>33712308</v>
      </c>
      <c r="O212">
        <v>532</v>
      </c>
    </row>
    <row r="213" spans="1:15" x14ac:dyDescent="0.35">
      <c r="A213">
        <v>2017</v>
      </c>
      <c r="B213">
        <v>12</v>
      </c>
      <c r="C213" t="s">
        <v>28</v>
      </c>
      <c r="D213" t="s">
        <v>18</v>
      </c>
      <c r="E213" t="s">
        <v>19</v>
      </c>
      <c r="F213" t="s">
        <v>23</v>
      </c>
      <c r="G213" s="1">
        <v>64001</v>
      </c>
      <c r="H213" s="1">
        <v>296231</v>
      </c>
      <c r="I213">
        <v>268</v>
      </c>
      <c r="J213">
        <v>0.97</v>
      </c>
      <c r="K213">
        <v>6.29</v>
      </c>
      <c r="L213">
        <v>1.2</v>
      </c>
      <c r="M213">
        <v>9</v>
      </c>
      <c r="N213" s="1">
        <f>bmw_global_sales_dataset[[#This Row],[units_sold]]*bmw_global_sales_dataset[[#This Row],[price_usd]]</f>
        <v>45376709</v>
      </c>
      <c r="O213">
        <v>709</v>
      </c>
    </row>
    <row r="214" spans="1:15" x14ac:dyDescent="0.35">
      <c r="A214">
        <v>2017</v>
      </c>
      <c r="B214">
        <v>2</v>
      </c>
      <c r="C214" t="s">
        <v>37</v>
      </c>
      <c r="D214" t="s">
        <v>34</v>
      </c>
      <c r="E214" t="s">
        <v>19</v>
      </c>
      <c r="F214" t="s">
        <v>20</v>
      </c>
      <c r="G214" s="1">
        <v>35390</v>
      </c>
      <c r="H214" s="1">
        <v>451954</v>
      </c>
      <c r="I214">
        <v>360</v>
      </c>
      <c r="J214">
        <v>0.97</v>
      </c>
      <c r="K214">
        <v>6.29</v>
      </c>
      <c r="L214">
        <v>1.2</v>
      </c>
      <c r="M214">
        <v>2</v>
      </c>
      <c r="N214" s="1">
        <f>bmw_global_sales_dataset[[#This Row],[units_sold]]*bmw_global_sales_dataset[[#This Row],[price_usd]]</f>
        <v>35637730</v>
      </c>
      <c r="O214">
        <v>1007</v>
      </c>
    </row>
    <row r="215" spans="1:15" x14ac:dyDescent="0.35">
      <c r="A215">
        <v>2017</v>
      </c>
      <c r="B215">
        <v>3</v>
      </c>
      <c r="C215" t="s">
        <v>37</v>
      </c>
      <c r="D215" t="s">
        <v>39</v>
      </c>
      <c r="E215" t="s">
        <v>16</v>
      </c>
      <c r="F215" t="s">
        <v>23</v>
      </c>
      <c r="G215" s="1">
        <v>46569</v>
      </c>
      <c r="H215" s="1">
        <v>79709</v>
      </c>
      <c r="I215">
        <v>385</v>
      </c>
      <c r="J215">
        <v>0.97</v>
      </c>
      <c r="K215">
        <v>6.29</v>
      </c>
      <c r="L215">
        <v>1.2</v>
      </c>
      <c r="M215">
        <v>8</v>
      </c>
      <c r="N215" s="1">
        <f>bmw_global_sales_dataset[[#This Row],[units_sold]]*bmw_global_sales_dataset[[#This Row],[price_usd]]</f>
        <v>40701306</v>
      </c>
      <c r="O215">
        <v>874</v>
      </c>
    </row>
    <row r="216" spans="1:15" x14ac:dyDescent="0.35">
      <c r="A216">
        <v>2017</v>
      </c>
      <c r="B216">
        <v>3</v>
      </c>
      <c r="C216" t="s">
        <v>25</v>
      </c>
      <c r="D216" t="s">
        <v>15</v>
      </c>
      <c r="E216" t="s">
        <v>16</v>
      </c>
      <c r="F216" t="s">
        <v>17</v>
      </c>
      <c r="G216" s="1">
        <v>109229</v>
      </c>
      <c r="H216" s="1">
        <v>225037</v>
      </c>
      <c r="I216">
        <v>195</v>
      </c>
      <c r="J216">
        <v>0.97</v>
      </c>
      <c r="K216">
        <v>6.29</v>
      </c>
      <c r="L216">
        <v>1.2</v>
      </c>
      <c r="M216">
        <v>9</v>
      </c>
      <c r="N216" s="1">
        <f>bmw_global_sales_dataset[[#This Row],[units_sold]]*bmw_global_sales_dataset[[#This Row],[price_usd]]</f>
        <v>78207964</v>
      </c>
      <c r="O216">
        <v>716</v>
      </c>
    </row>
    <row r="217" spans="1:15" x14ac:dyDescent="0.35">
      <c r="A217">
        <v>2017</v>
      </c>
      <c r="B217">
        <v>1</v>
      </c>
      <c r="C217" t="s">
        <v>21</v>
      </c>
      <c r="D217" t="s">
        <v>18</v>
      </c>
      <c r="E217" t="s">
        <v>19</v>
      </c>
      <c r="F217" t="s">
        <v>23</v>
      </c>
      <c r="G217" s="1">
        <v>96816</v>
      </c>
      <c r="H217" s="1">
        <v>221128</v>
      </c>
      <c r="I217">
        <v>30</v>
      </c>
      <c r="J217">
        <v>0.97</v>
      </c>
      <c r="K217">
        <v>6.29</v>
      </c>
      <c r="L217">
        <v>1.2</v>
      </c>
      <c r="M217">
        <v>6</v>
      </c>
      <c r="N217" s="1">
        <f>bmw_global_sales_dataset[[#This Row],[units_sold]]*bmw_global_sales_dataset[[#This Row],[price_usd]]</f>
        <v>36112368</v>
      </c>
      <c r="O217">
        <v>373</v>
      </c>
    </row>
    <row r="218" spans="1:15" x14ac:dyDescent="0.35">
      <c r="A218">
        <v>2017</v>
      </c>
      <c r="B218">
        <v>8</v>
      </c>
      <c r="C218" t="s">
        <v>32</v>
      </c>
      <c r="D218" t="s">
        <v>24</v>
      </c>
      <c r="E218" t="s">
        <v>19</v>
      </c>
      <c r="F218" t="s">
        <v>27</v>
      </c>
      <c r="G218" s="1">
        <v>108373</v>
      </c>
      <c r="H218" s="1">
        <v>276305</v>
      </c>
      <c r="I218">
        <v>301</v>
      </c>
      <c r="J218">
        <v>0.97</v>
      </c>
      <c r="K218">
        <v>6.29</v>
      </c>
      <c r="L218">
        <v>1.2</v>
      </c>
      <c r="M218">
        <v>6</v>
      </c>
      <c r="N218" s="1">
        <f>bmw_global_sales_dataset[[#This Row],[units_sold]]*bmw_global_sales_dataset[[#This Row],[price_usd]]</f>
        <v>108047881</v>
      </c>
      <c r="O218">
        <v>997</v>
      </c>
    </row>
    <row r="219" spans="1:15" x14ac:dyDescent="0.35">
      <c r="A219">
        <v>2017</v>
      </c>
      <c r="B219">
        <v>5</v>
      </c>
      <c r="C219" t="s">
        <v>21</v>
      </c>
      <c r="D219" t="s">
        <v>26</v>
      </c>
      <c r="E219" t="s">
        <v>19</v>
      </c>
      <c r="F219" t="s">
        <v>17</v>
      </c>
      <c r="G219" s="1">
        <v>108984</v>
      </c>
      <c r="H219" s="1">
        <v>210212</v>
      </c>
      <c r="I219">
        <v>241</v>
      </c>
      <c r="J219">
        <v>0.97</v>
      </c>
      <c r="K219">
        <v>6.29</v>
      </c>
      <c r="L219">
        <v>1.2</v>
      </c>
      <c r="M219">
        <v>8</v>
      </c>
      <c r="N219" s="1">
        <f>bmw_global_sales_dataset[[#This Row],[units_sold]]*bmw_global_sales_dataset[[#This Row],[price_usd]]</f>
        <v>51440448</v>
      </c>
      <c r="O219">
        <v>472</v>
      </c>
    </row>
    <row r="220" spans="1:15" x14ac:dyDescent="0.35">
      <c r="A220">
        <v>2017</v>
      </c>
      <c r="B220">
        <v>2</v>
      </c>
      <c r="C220" t="s">
        <v>36</v>
      </c>
      <c r="D220" t="s">
        <v>24</v>
      </c>
      <c r="E220" t="s">
        <v>20</v>
      </c>
      <c r="F220" t="s">
        <v>17</v>
      </c>
      <c r="G220" s="1">
        <v>42933</v>
      </c>
      <c r="H220" s="1">
        <v>332260</v>
      </c>
      <c r="I220">
        <v>99</v>
      </c>
      <c r="J220">
        <v>0.97</v>
      </c>
      <c r="K220">
        <v>6.29</v>
      </c>
      <c r="L220">
        <v>1.2</v>
      </c>
      <c r="M220">
        <v>7</v>
      </c>
      <c r="N220" s="1">
        <f>bmw_global_sales_dataset[[#This Row],[units_sold]]*bmw_global_sales_dataset[[#This Row],[price_usd]]</f>
        <v>15498813</v>
      </c>
      <c r="O220">
        <v>361</v>
      </c>
    </row>
    <row r="221" spans="1:15" x14ac:dyDescent="0.35">
      <c r="A221">
        <v>2017</v>
      </c>
      <c r="B221">
        <v>5</v>
      </c>
      <c r="C221" t="s">
        <v>38</v>
      </c>
      <c r="D221" t="s">
        <v>39</v>
      </c>
      <c r="E221" t="s">
        <v>16</v>
      </c>
      <c r="F221" t="s">
        <v>27</v>
      </c>
      <c r="G221" s="1">
        <v>36184</v>
      </c>
      <c r="H221" s="1">
        <v>320012</v>
      </c>
      <c r="I221">
        <v>67</v>
      </c>
      <c r="J221">
        <v>0.97</v>
      </c>
      <c r="K221">
        <v>6.29</v>
      </c>
      <c r="L221">
        <v>1.2</v>
      </c>
      <c r="M221">
        <v>7</v>
      </c>
      <c r="N221" s="1">
        <f>bmw_global_sales_dataset[[#This Row],[units_sold]]*bmw_global_sales_dataset[[#This Row],[price_usd]]</f>
        <v>19394624</v>
      </c>
      <c r="O221">
        <v>536</v>
      </c>
    </row>
    <row r="222" spans="1:15" x14ac:dyDescent="0.35">
      <c r="A222">
        <v>2017</v>
      </c>
      <c r="B222">
        <v>1</v>
      </c>
      <c r="C222" t="s">
        <v>14</v>
      </c>
      <c r="D222" t="s">
        <v>18</v>
      </c>
      <c r="E222" t="s">
        <v>20</v>
      </c>
      <c r="F222" t="s">
        <v>23</v>
      </c>
      <c r="G222" s="1">
        <v>97320</v>
      </c>
      <c r="H222" s="1">
        <v>211149</v>
      </c>
      <c r="I222">
        <v>91</v>
      </c>
      <c r="J222">
        <v>0.97</v>
      </c>
      <c r="K222">
        <v>6.29</v>
      </c>
      <c r="L222">
        <v>1.2</v>
      </c>
      <c r="M222">
        <v>4</v>
      </c>
      <c r="N222" s="1">
        <f>bmw_global_sales_dataset[[#This Row],[units_sold]]*bmw_global_sales_dataset[[#This Row],[price_usd]]</f>
        <v>38538720</v>
      </c>
      <c r="O222">
        <v>396</v>
      </c>
    </row>
    <row r="223" spans="1:15" x14ac:dyDescent="0.35">
      <c r="A223">
        <v>2017</v>
      </c>
      <c r="B223">
        <v>2</v>
      </c>
      <c r="C223" t="s">
        <v>37</v>
      </c>
      <c r="D223" t="s">
        <v>15</v>
      </c>
      <c r="E223" t="s">
        <v>16</v>
      </c>
      <c r="F223" t="s">
        <v>23</v>
      </c>
      <c r="G223" s="1">
        <v>52857</v>
      </c>
      <c r="H223" s="1">
        <v>239216</v>
      </c>
      <c r="I223">
        <v>213</v>
      </c>
      <c r="J223">
        <v>0.97</v>
      </c>
      <c r="K223">
        <v>6.29</v>
      </c>
      <c r="L223">
        <v>1.2</v>
      </c>
      <c r="M223">
        <v>1</v>
      </c>
      <c r="N223" s="1">
        <f>bmw_global_sales_dataset[[#This Row],[units_sold]]*bmw_global_sales_dataset[[#This Row],[price_usd]]</f>
        <v>27644211</v>
      </c>
      <c r="O223">
        <v>523</v>
      </c>
    </row>
    <row r="224" spans="1:15" x14ac:dyDescent="0.35">
      <c r="A224">
        <v>2017</v>
      </c>
      <c r="B224">
        <v>7</v>
      </c>
      <c r="C224" t="s">
        <v>30</v>
      </c>
      <c r="D224" t="s">
        <v>39</v>
      </c>
      <c r="E224" t="s">
        <v>20</v>
      </c>
      <c r="F224" t="s">
        <v>27</v>
      </c>
      <c r="G224" s="1">
        <v>96822</v>
      </c>
      <c r="H224" s="1">
        <v>227169</v>
      </c>
      <c r="I224">
        <v>302</v>
      </c>
      <c r="J224">
        <v>0.97</v>
      </c>
      <c r="K224">
        <v>6.29</v>
      </c>
      <c r="L224">
        <v>1.2</v>
      </c>
      <c r="M224">
        <v>2</v>
      </c>
      <c r="N224" s="1">
        <f>bmw_global_sales_dataset[[#This Row],[units_sold]]*bmw_global_sales_dataset[[#This Row],[price_usd]]</f>
        <v>91109502</v>
      </c>
      <c r="O224">
        <v>941</v>
      </c>
    </row>
    <row r="225" spans="1:15" x14ac:dyDescent="0.35">
      <c r="A225">
        <v>2017</v>
      </c>
      <c r="B225">
        <v>9</v>
      </c>
      <c r="C225" t="s">
        <v>37</v>
      </c>
      <c r="D225" t="s">
        <v>22</v>
      </c>
      <c r="E225" t="s">
        <v>19</v>
      </c>
      <c r="F225" t="s">
        <v>17</v>
      </c>
      <c r="G225" s="1">
        <v>119101</v>
      </c>
      <c r="H225" s="1">
        <v>336647</v>
      </c>
      <c r="I225">
        <v>112</v>
      </c>
      <c r="J225">
        <v>0.97</v>
      </c>
      <c r="K225">
        <v>6.29</v>
      </c>
      <c r="L225">
        <v>1.2</v>
      </c>
      <c r="M225">
        <v>8</v>
      </c>
      <c r="N225" s="1">
        <f>bmw_global_sales_dataset[[#This Row],[units_sold]]*bmw_global_sales_dataset[[#This Row],[price_usd]]</f>
        <v>53119046</v>
      </c>
      <c r="O225">
        <v>446</v>
      </c>
    </row>
    <row r="226" spans="1:15" x14ac:dyDescent="0.35">
      <c r="A226">
        <v>2017</v>
      </c>
      <c r="B226">
        <v>9</v>
      </c>
      <c r="C226" t="s">
        <v>25</v>
      </c>
      <c r="D226" t="s">
        <v>18</v>
      </c>
      <c r="E226" t="s">
        <v>19</v>
      </c>
      <c r="F226" t="s">
        <v>27</v>
      </c>
      <c r="G226" s="1">
        <v>112606</v>
      </c>
      <c r="H226" s="1">
        <v>160361</v>
      </c>
      <c r="I226">
        <v>225</v>
      </c>
      <c r="J226">
        <v>0.97</v>
      </c>
      <c r="K226">
        <v>6.29</v>
      </c>
      <c r="L226">
        <v>1.2</v>
      </c>
      <c r="M226">
        <v>3</v>
      </c>
      <c r="N226" s="1">
        <f>bmw_global_sales_dataset[[#This Row],[units_sold]]*bmw_global_sales_dataset[[#This Row],[price_usd]]</f>
        <v>74882990</v>
      </c>
      <c r="O226">
        <v>665</v>
      </c>
    </row>
    <row r="227" spans="1:15" x14ac:dyDescent="0.35">
      <c r="A227">
        <v>2017</v>
      </c>
      <c r="B227">
        <v>5</v>
      </c>
      <c r="C227" t="s">
        <v>32</v>
      </c>
      <c r="D227" t="s">
        <v>39</v>
      </c>
      <c r="E227" t="s">
        <v>19</v>
      </c>
      <c r="F227" t="s">
        <v>23</v>
      </c>
      <c r="G227" s="1">
        <v>111946</v>
      </c>
      <c r="H227" s="1">
        <v>194615</v>
      </c>
      <c r="I227">
        <v>276</v>
      </c>
      <c r="J227">
        <v>0.97</v>
      </c>
      <c r="K227">
        <v>6.29</v>
      </c>
      <c r="L227">
        <v>1.2</v>
      </c>
      <c r="M227">
        <v>4</v>
      </c>
      <c r="N227" s="1">
        <f>bmw_global_sales_dataset[[#This Row],[units_sold]]*bmw_global_sales_dataset[[#This Row],[price_usd]]</f>
        <v>101087238</v>
      </c>
      <c r="O227">
        <v>903</v>
      </c>
    </row>
    <row r="228" spans="1:15" x14ac:dyDescent="0.35">
      <c r="A228">
        <v>2017</v>
      </c>
      <c r="B228">
        <v>11</v>
      </c>
      <c r="C228" t="s">
        <v>28</v>
      </c>
      <c r="D228" t="s">
        <v>34</v>
      </c>
      <c r="E228" t="s">
        <v>16</v>
      </c>
      <c r="F228" t="s">
        <v>23</v>
      </c>
      <c r="G228" s="1">
        <v>44095</v>
      </c>
      <c r="H228" s="1">
        <v>275568</v>
      </c>
      <c r="I228">
        <v>202</v>
      </c>
      <c r="J228">
        <v>0.97</v>
      </c>
      <c r="K228">
        <v>6.29</v>
      </c>
      <c r="L228">
        <v>1.2</v>
      </c>
      <c r="M228">
        <v>1</v>
      </c>
      <c r="N228" s="1">
        <f>bmw_global_sales_dataset[[#This Row],[units_sold]]*bmw_global_sales_dataset[[#This Row],[price_usd]]</f>
        <v>37921700</v>
      </c>
      <c r="O228">
        <v>860</v>
      </c>
    </row>
    <row r="229" spans="1:15" x14ac:dyDescent="0.35">
      <c r="A229">
        <v>2017</v>
      </c>
      <c r="B229">
        <v>9</v>
      </c>
      <c r="C229" t="s">
        <v>14</v>
      </c>
      <c r="D229" t="s">
        <v>39</v>
      </c>
      <c r="E229" t="s">
        <v>19</v>
      </c>
      <c r="F229" t="s">
        <v>27</v>
      </c>
      <c r="G229" s="1">
        <v>55470</v>
      </c>
      <c r="H229" s="1">
        <v>203857</v>
      </c>
      <c r="I229">
        <v>344</v>
      </c>
      <c r="J229">
        <v>0.97</v>
      </c>
      <c r="K229">
        <v>6.29</v>
      </c>
      <c r="L229">
        <v>1.2</v>
      </c>
      <c r="M229">
        <v>1</v>
      </c>
      <c r="N229" s="1">
        <f>bmw_global_sales_dataset[[#This Row],[units_sold]]*bmw_global_sales_dataset[[#This Row],[price_usd]]</f>
        <v>56135640</v>
      </c>
      <c r="O229">
        <v>1012</v>
      </c>
    </row>
    <row r="230" spans="1:15" x14ac:dyDescent="0.35">
      <c r="A230">
        <v>2017</v>
      </c>
      <c r="B230">
        <v>10</v>
      </c>
      <c r="C230" t="s">
        <v>28</v>
      </c>
      <c r="D230" t="s">
        <v>34</v>
      </c>
      <c r="E230" t="s">
        <v>19</v>
      </c>
      <c r="F230" t="s">
        <v>17</v>
      </c>
      <c r="G230" s="1">
        <v>91652</v>
      </c>
      <c r="H230" s="1">
        <v>494503</v>
      </c>
      <c r="I230">
        <v>213</v>
      </c>
      <c r="J230">
        <v>0.97</v>
      </c>
      <c r="K230">
        <v>6.29</v>
      </c>
      <c r="L230">
        <v>1.2</v>
      </c>
      <c r="M230">
        <v>6</v>
      </c>
      <c r="N230" s="1">
        <f>bmw_global_sales_dataset[[#This Row],[units_sold]]*bmw_global_sales_dataset[[#This Row],[price_usd]]</f>
        <v>66447700</v>
      </c>
      <c r="O230">
        <v>725</v>
      </c>
    </row>
    <row r="231" spans="1:15" x14ac:dyDescent="0.35">
      <c r="A231">
        <v>2017</v>
      </c>
      <c r="B231">
        <v>12</v>
      </c>
      <c r="C231" t="s">
        <v>28</v>
      </c>
      <c r="D231" t="s">
        <v>31</v>
      </c>
      <c r="E231" t="s">
        <v>20</v>
      </c>
      <c r="F231" t="s">
        <v>17</v>
      </c>
      <c r="G231" s="1">
        <v>117936</v>
      </c>
      <c r="H231" s="1">
        <v>291532</v>
      </c>
      <c r="I231">
        <v>58</v>
      </c>
      <c r="J231">
        <v>0.97</v>
      </c>
      <c r="K231">
        <v>6.29</v>
      </c>
      <c r="L231">
        <v>1.2</v>
      </c>
      <c r="M231">
        <v>9</v>
      </c>
      <c r="N231" s="1">
        <f>bmw_global_sales_dataset[[#This Row],[units_sold]]*bmw_global_sales_dataset[[#This Row],[price_usd]]</f>
        <v>52009776</v>
      </c>
      <c r="O231">
        <v>441</v>
      </c>
    </row>
    <row r="232" spans="1:15" x14ac:dyDescent="0.35">
      <c r="A232">
        <v>2017</v>
      </c>
      <c r="B232">
        <v>4</v>
      </c>
      <c r="C232" t="s">
        <v>32</v>
      </c>
      <c r="D232" t="s">
        <v>33</v>
      </c>
      <c r="E232" t="s">
        <v>20</v>
      </c>
      <c r="F232" t="s">
        <v>27</v>
      </c>
      <c r="G232" s="1">
        <v>79439</v>
      </c>
      <c r="H232" s="1">
        <v>484352</v>
      </c>
      <c r="I232">
        <v>11</v>
      </c>
      <c r="J232">
        <v>0.97</v>
      </c>
      <c r="K232">
        <v>6.29</v>
      </c>
      <c r="L232">
        <v>1.2</v>
      </c>
      <c r="M232">
        <v>7</v>
      </c>
      <c r="N232" s="1">
        <f>bmw_global_sales_dataset[[#This Row],[units_sold]]*bmw_global_sales_dataset[[#This Row],[price_usd]]</f>
        <v>33364380</v>
      </c>
      <c r="O232">
        <v>420</v>
      </c>
    </row>
    <row r="233" spans="1:15" x14ac:dyDescent="0.35">
      <c r="A233">
        <v>2017</v>
      </c>
      <c r="B233">
        <v>8</v>
      </c>
      <c r="C233" t="s">
        <v>38</v>
      </c>
      <c r="D233" t="s">
        <v>31</v>
      </c>
      <c r="E233" t="s">
        <v>19</v>
      </c>
      <c r="F233" t="s">
        <v>23</v>
      </c>
      <c r="G233" s="1">
        <v>65063</v>
      </c>
      <c r="H233" s="1">
        <v>208761</v>
      </c>
      <c r="I233">
        <v>65</v>
      </c>
      <c r="J233">
        <v>0.97</v>
      </c>
      <c r="K233">
        <v>6.29</v>
      </c>
      <c r="L233">
        <v>1.2</v>
      </c>
      <c r="M233">
        <v>8</v>
      </c>
      <c r="N233" s="1">
        <f>bmw_global_sales_dataset[[#This Row],[units_sold]]*bmw_global_sales_dataset[[#This Row],[price_usd]]</f>
        <v>15940435</v>
      </c>
      <c r="O233">
        <v>245</v>
      </c>
    </row>
    <row r="234" spans="1:15" x14ac:dyDescent="0.35">
      <c r="A234">
        <v>2017</v>
      </c>
      <c r="B234">
        <v>2</v>
      </c>
      <c r="C234" t="s">
        <v>37</v>
      </c>
      <c r="D234" t="s">
        <v>22</v>
      </c>
      <c r="E234" t="s">
        <v>20</v>
      </c>
      <c r="F234" t="s">
        <v>27</v>
      </c>
      <c r="G234" s="1">
        <v>49506</v>
      </c>
      <c r="H234" s="1">
        <v>71341</v>
      </c>
      <c r="I234">
        <v>295</v>
      </c>
      <c r="J234">
        <v>0.97</v>
      </c>
      <c r="K234">
        <v>6.29</v>
      </c>
      <c r="L234">
        <v>1.2</v>
      </c>
      <c r="M234">
        <v>5</v>
      </c>
      <c r="N234" s="1">
        <f>bmw_global_sales_dataset[[#This Row],[units_sold]]*bmw_global_sales_dataset[[#This Row],[price_usd]]</f>
        <v>33367044</v>
      </c>
      <c r="O234">
        <v>674</v>
      </c>
    </row>
    <row r="235" spans="1:15" x14ac:dyDescent="0.35">
      <c r="A235">
        <v>2017</v>
      </c>
      <c r="B235">
        <v>8</v>
      </c>
      <c r="C235" t="s">
        <v>35</v>
      </c>
      <c r="D235" t="s">
        <v>18</v>
      </c>
      <c r="E235" t="s">
        <v>16</v>
      </c>
      <c r="F235" t="s">
        <v>20</v>
      </c>
      <c r="G235" s="1">
        <v>100066</v>
      </c>
      <c r="H235" s="1">
        <v>399903</v>
      </c>
      <c r="I235">
        <v>92</v>
      </c>
      <c r="J235">
        <v>0.97</v>
      </c>
      <c r="K235">
        <v>6.29</v>
      </c>
      <c r="L235">
        <v>1.2</v>
      </c>
      <c r="M235">
        <v>6</v>
      </c>
      <c r="N235" s="1">
        <f>bmw_global_sales_dataset[[#This Row],[units_sold]]*bmw_global_sales_dataset[[#This Row],[price_usd]]</f>
        <v>43628776</v>
      </c>
      <c r="O235">
        <v>436</v>
      </c>
    </row>
    <row r="236" spans="1:15" x14ac:dyDescent="0.35">
      <c r="A236">
        <v>2017</v>
      </c>
      <c r="B236">
        <v>11</v>
      </c>
      <c r="C236" t="s">
        <v>38</v>
      </c>
      <c r="D236" t="s">
        <v>34</v>
      </c>
      <c r="E236" t="s">
        <v>19</v>
      </c>
      <c r="F236" t="s">
        <v>20</v>
      </c>
      <c r="G236" s="1">
        <v>81751</v>
      </c>
      <c r="H236" s="1">
        <v>211297</v>
      </c>
      <c r="I236">
        <v>118</v>
      </c>
      <c r="J236">
        <v>0.97</v>
      </c>
      <c r="K236">
        <v>6.29</v>
      </c>
      <c r="L236">
        <v>1.2</v>
      </c>
      <c r="M236">
        <v>7</v>
      </c>
      <c r="N236" s="1">
        <f>bmw_global_sales_dataset[[#This Row],[units_sold]]*bmw_global_sales_dataset[[#This Row],[price_usd]]</f>
        <v>29021605</v>
      </c>
      <c r="O236">
        <v>355</v>
      </c>
    </row>
    <row r="237" spans="1:15" x14ac:dyDescent="0.35">
      <c r="A237">
        <v>2017</v>
      </c>
      <c r="B237">
        <v>11</v>
      </c>
      <c r="C237" t="s">
        <v>25</v>
      </c>
      <c r="D237" t="s">
        <v>34</v>
      </c>
      <c r="E237" t="s">
        <v>16</v>
      </c>
      <c r="F237" t="s">
        <v>23</v>
      </c>
      <c r="G237" s="1">
        <v>65951</v>
      </c>
      <c r="H237" s="1">
        <v>408511</v>
      </c>
      <c r="I237">
        <v>366</v>
      </c>
      <c r="J237">
        <v>0.97</v>
      </c>
      <c r="K237">
        <v>6.29</v>
      </c>
      <c r="L237">
        <v>1.2</v>
      </c>
      <c r="M237">
        <v>10</v>
      </c>
      <c r="N237" s="1">
        <f>bmw_global_sales_dataset[[#This Row],[units_sold]]*bmw_global_sales_dataset[[#This Row],[price_usd]]</f>
        <v>53486261</v>
      </c>
      <c r="O237">
        <v>811</v>
      </c>
    </row>
    <row r="238" spans="1:15" x14ac:dyDescent="0.35">
      <c r="A238">
        <v>2017</v>
      </c>
      <c r="B238">
        <v>2</v>
      </c>
      <c r="C238" t="s">
        <v>30</v>
      </c>
      <c r="D238" t="s">
        <v>33</v>
      </c>
      <c r="E238" t="s">
        <v>20</v>
      </c>
      <c r="F238" t="s">
        <v>17</v>
      </c>
      <c r="G238" s="1">
        <v>117733</v>
      </c>
      <c r="H238" s="1">
        <v>75938</v>
      </c>
      <c r="I238">
        <v>301</v>
      </c>
      <c r="J238">
        <v>0.97</v>
      </c>
      <c r="K238">
        <v>6.29</v>
      </c>
      <c r="L238">
        <v>1.2</v>
      </c>
      <c r="M238">
        <v>3</v>
      </c>
      <c r="N238" s="1">
        <f>bmw_global_sales_dataset[[#This Row],[units_sold]]*bmw_global_sales_dataset[[#This Row],[price_usd]]</f>
        <v>92067206</v>
      </c>
      <c r="O238">
        <v>782</v>
      </c>
    </row>
    <row r="239" spans="1:15" x14ac:dyDescent="0.35">
      <c r="A239">
        <v>2017</v>
      </c>
      <c r="B239">
        <v>1</v>
      </c>
      <c r="C239" t="s">
        <v>36</v>
      </c>
      <c r="D239" t="s">
        <v>26</v>
      </c>
      <c r="E239" t="s">
        <v>19</v>
      </c>
      <c r="F239" t="s">
        <v>27</v>
      </c>
      <c r="G239" s="1">
        <v>119573</v>
      </c>
      <c r="H239" s="1">
        <v>452681</v>
      </c>
      <c r="I239">
        <v>30</v>
      </c>
      <c r="J239">
        <v>0.97</v>
      </c>
      <c r="K239">
        <v>6.29</v>
      </c>
      <c r="L239">
        <v>1.2</v>
      </c>
      <c r="M239">
        <v>8</v>
      </c>
      <c r="N239" s="1">
        <f>bmw_global_sales_dataset[[#This Row],[units_sold]]*bmw_global_sales_dataset[[#This Row],[price_usd]]</f>
        <v>8011391</v>
      </c>
      <c r="O239">
        <v>67</v>
      </c>
    </row>
    <row r="240" spans="1:15" x14ac:dyDescent="0.35">
      <c r="A240">
        <v>2017</v>
      </c>
      <c r="B240">
        <v>7</v>
      </c>
      <c r="C240" t="s">
        <v>37</v>
      </c>
      <c r="D240" t="s">
        <v>24</v>
      </c>
      <c r="E240" t="s">
        <v>16</v>
      </c>
      <c r="F240" t="s">
        <v>17</v>
      </c>
      <c r="G240" s="1">
        <v>60425</v>
      </c>
      <c r="H240" s="1">
        <v>191900</v>
      </c>
      <c r="I240">
        <v>48</v>
      </c>
      <c r="J240">
        <v>0.97</v>
      </c>
      <c r="K240">
        <v>6.29</v>
      </c>
      <c r="L240">
        <v>1.2</v>
      </c>
      <c r="M240">
        <v>10</v>
      </c>
      <c r="N240" s="1">
        <f>bmw_global_sales_dataset[[#This Row],[units_sold]]*bmw_global_sales_dataset[[#This Row],[price_usd]]</f>
        <v>18248350</v>
      </c>
      <c r="O240">
        <v>302</v>
      </c>
    </row>
    <row r="241" spans="1:15" x14ac:dyDescent="0.35">
      <c r="A241">
        <v>2017</v>
      </c>
      <c r="B241">
        <v>12</v>
      </c>
      <c r="C241" t="s">
        <v>25</v>
      </c>
      <c r="D241" t="s">
        <v>39</v>
      </c>
      <c r="E241" t="s">
        <v>19</v>
      </c>
      <c r="F241" t="s">
        <v>20</v>
      </c>
      <c r="G241" s="1">
        <v>74884</v>
      </c>
      <c r="H241" s="1">
        <v>87860</v>
      </c>
      <c r="I241">
        <v>345</v>
      </c>
      <c r="J241">
        <v>0.97</v>
      </c>
      <c r="K241">
        <v>6.29</v>
      </c>
      <c r="L241">
        <v>1.2</v>
      </c>
      <c r="M241">
        <v>6</v>
      </c>
      <c r="N241" s="1">
        <f>bmw_global_sales_dataset[[#This Row],[units_sold]]*bmw_global_sales_dataset[[#This Row],[price_usd]]</f>
        <v>62603024</v>
      </c>
      <c r="O241">
        <v>836</v>
      </c>
    </row>
    <row r="242" spans="1:15" x14ac:dyDescent="0.35">
      <c r="A242">
        <v>2017</v>
      </c>
      <c r="B242">
        <v>8</v>
      </c>
      <c r="C242" t="s">
        <v>35</v>
      </c>
      <c r="D242" t="s">
        <v>29</v>
      </c>
      <c r="E242" t="s">
        <v>20</v>
      </c>
      <c r="F242" t="s">
        <v>23</v>
      </c>
      <c r="G242" s="1">
        <v>90371</v>
      </c>
      <c r="H242" s="1">
        <v>277693</v>
      </c>
      <c r="I242">
        <v>132</v>
      </c>
      <c r="J242">
        <v>0.97</v>
      </c>
      <c r="K242">
        <v>6.29</v>
      </c>
      <c r="L242">
        <v>1.2</v>
      </c>
      <c r="M242">
        <v>2</v>
      </c>
      <c r="N242" s="1">
        <f>bmw_global_sales_dataset[[#This Row],[units_sold]]*bmw_global_sales_dataset[[#This Row],[price_usd]]</f>
        <v>64886378</v>
      </c>
      <c r="O242">
        <v>718</v>
      </c>
    </row>
    <row r="243" spans="1:15" x14ac:dyDescent="0.35">
      <c r="A243">
        <v>2017</v>
      </c>
      <c r="B243">
        <v>12</v>
      </c>
      <c r="C243" t="s">
        <v>25</v>
      </c>
      <c r="D243" t="s">
        <v>26</v>
      </c>
      <c r="E243" t="s">
        <v>19</v>
      </c>
      <c r="F243" t="s">
        <v>20</v>
      </c>
      <c r="G243" s="1">
        <v>40730</v>
      </c>
      <c r="H243" s="1">
        <v>414271</v>
      </c>
      <c r="I243">
        <v>398</v>
      </c>
      <c r="J243">
        <v>0.97</v>
      </c>
      <c r="K243">
        <v>6.29</v>
      </c>
      <c r="L243">
        <v>1.2</v>
      </c>
      <c r="M243">
        <v>2</v>
      </c>
      <c r="N243" s="1">
        <f>bmw_global_sales_dataset[[#This Row],[units_sold]]*bmw_global_sales_dataset[[#This Row],[price_usd]]</f>
        <v>44640080</v>
      </c>
      <c r="O243">
        <v>1096</v>
      </c>
    </row>
    <row r="244" spans="1:15" x14ac:dyDescent="0.35">
      <c r="A244">
        <v>2017</v>
      </c>
      <c r="B244">
        <v>7</v>
      </c>
      <c r="C244" t="s">
        <v>38</v>
      </c>
      <c r="D244" t="s">
        <v>26</v>
      </c>
      <c r="E244" t="s">
        <v>19</v>
      </c>
      <c r="F244" t="s">
        <v>17</v>
      </c>
      <c r="G244" s="1">
        <v>116533</v>
      </c>
      <c r="H244" s="1">
        <v>400218</v>
      </c>
      <c r="I244">
        <v>346</v>
      </c>
      <c r="J244">
        <v>0.97</v>
      </c>
      <c r="K244">
        <v>6.29</v>
      </c>
      <c r="L244">
        <v>1.2</v>
      </c>
      <c r="M244">
        <v>2</v>
      </c>
      <c r="N244" s="1">
        <f>bmw_global_sales_dataset[[#This Row],[units_sold]]*bmw_global_sales_dataset[[#This Row],[price_usd]]</f>
        <v>118747127</v>
      </c>
      <c r="O244">
        <v>1019</v>
      </c>
    </row>
    <row r="245" spans="1:15" x14ac:dyDescent="0.35">
      <c r="A245">
        <v>2017</v>
      </c>
      <c r="B245">
        <v>11</v>
      </c>
      <c r="C245" t="s">
        <v>36</v>
      </c>
      <c r="D245" t="s">
        <v>33</v>
      </c>
      <c r="E245" t="s">
        <v>19</v>
      </c>
      <c r="F245" t="s">
        <v>20</v>
      </c>
      <c r="G245" s="1">
        <v>66658</v>
      </c>
      <c r="H245" s="1">
        <v>194233</v>
      </c>
      <c r="I245">
        <v>91</v>
      </c>
      <c r="J245">
        <v>0.97</v>
      </c>
      <c r="K245">
        <v>6.29</v>
      </c>
      <c r="L245">
        <v>1.2</v>
      </c>
      <c r="M245">
        <v>1</v>
      </c>
      <c r="N245" s="1">
        <f>bmw_global_sales_dataset[[#This Row],[units_sold]]*bmw_global_sales_dataset[[#This Row],[price_usd]]</f>
        <v>33262342</v>
      </c>
      <c r="O245">
        <v>499</v>
      </c>
    </row>
    <row r="246" spans="1:15" x14ac:dyDescent="0.35">
      <c r="A246">
        <v>2017</v>
      </c>
      <c r="B246">
        <v>12</v>
      </c>
      <c r="C246" t="s">
        <v>38</v>
      </c>
      <c r="D246" t="s">
        <v>34</v>
      </c>
      <c r="E246" t="s">
        <v>19</v>
      </c>
      <c r="F246" t="s">
        <v>20</v>
      </c>
      <c r="G246" s="1">
        <v>40974</v>
      </c>
      <c r="H246" s="1">
        <v>236720</v>
      </c>
      <c r="I246">
        <v>279</v>
      </c>
      <c r="J246">
        <v>0.97</v>
      </c>
      <c r="K246">
        <v>6.29</v>
      </c>
      <c r="L246">
        <v>1.2</v>
      </c>
      <c r="M246">
        <v>4</v>
      </c>
      <c r="N246" s="1">
        <f>bmw_global_sales_dataset[[#This Row],[units_sold]]*bmw_global_sales_dataset[[#This Row],[price_usd]]</f>
        <v>28640826</v>
      </c>
      <c r="O246">
        <v>699</v>
      </c>
    </row>
    <row r="247" spans="1:15" x14ac:dyDescent="0.35">
      <c r="A247">
        <v>2017</v>
      </c>
      <c r="B247">
        <v>3</v>
      </c>
      <c r="C247" t="s">
        <v>38</v>
      </c>
      <c r="D247" t="s">
        <v>34</v>
      </c>
      <c r="E247" t="s">
        <v>19</v>
      </c>
      <c r="F247" t="s">
        <v>20</v>
      </c>
      <c r="G247" s="1">
        <v>69650</v>
      </c>
      <c r="H247" s="1">
        <v>381588</v>
      </c>
      <c r="I247">
        <v>71</v>
      </c>
      <c r="J247">
        <v>0.97</v>
      </c>
      <c r="K247">
        <v>6.29</v>
      </c>
      <c r="L247">
        <v>1.2</v>
      </c>
      <c r="M247">
        <v>7</v>
      </c>
      <c r="N247" s="1">
        <f>bmw_global_sales_dataset[[#This Row],[units_sold]]*bmw_global_sales_dataset[[#This Row],[price_usd]]</f>
        <v>13721050</v>
      </c>
      <c r="O247">
        <v>197</v>
      </c>
    </row>
    <row r="248" spans="1:15" x14ac:dyDescent="0.35">
      <c r="A248">
        <v>2017</v>
      </c>
      <c r="B248">
        <v>7</v>
      </c>
      <c r="C248" t="s">
        <v>30</v>
      </c>
      <c r="D248" t="s">
        <v>26</v>
      </c>
      <c r="E248" t="s">
        <v>16</v>
      </c>
      <c r="F248" t="s">
        <v>17</v>
      </c>
      <c r="G248" s="1">
        <v>41772</v>
      </c>
      <c r="H248" s="1">
        <v>61831</v>
      </c>
      <c r="I248">
        <v>54</v>
      </c>
      <c r="J248">
        <v>0.97</v>
      </c>
      <c r="K248">
        <v>6.29</v>
      </c>
      <c r="L248">
        <v>1.2</v>
      </c>
      <c r="M248">
        <v>5</v>
      </c>
      <c r="N248" s="1">
        <f>bmw_global_sales_dataset[[#This Row],[units_sold]]*bmw_global_sales_dataset[[#This Row],[price_usd]]</f>
        <v>14661972</v>
      </c>
      <c r="O248">
        <v>351</v>
      </c>
    </row>
    <row r="249" spans="1:15" x14ac:dyDescent="0.35">
      <c r="A249">
        <v>2017</v>
      </c>
      <c r="B249">
        <v>3</v>
      </c>
      <c r="C249" t="s">
        <v>28</v>
      </c>
      <c r="D249" t="s">
        <v>22</v>
      </c>
      <c r="E249" t="s">
        <v>20</v>
      </c>
      <c r="F249" t="s">
        <v>23</v>
      </c>
      <c r="G249" s="1">
        <v>108755</v>
      </c>
      <c r="H249" s="1">
        <v>296983</v>
      </c>
      <c r="I249">
        <v>243</v>
      </c>
      <c r="J249">
        <v>0.97</v>
      </c>
      <c r="K249">
        <v>6.29</v>
      </c>
      <c r="L249">
        <v>1.2</v>
      </c>
      <c r="M249">
        <v>9</v>
      </c>
      <c r="N249" s="1">
        <f>bmw_global_sales_dataset[[#This Row],[units_sold]]*bmw_global_sales_dataset[[#This Row],[price_usd]]</f>
        <v>62860390</v>
      </c>
      <c r="O249">
        <v>578</v>
      </c>
    </row>
    <row r="250" spans="1:15" x14ac:dyDescent="0.35">
      <c r="A250">
        <v>2017</v>
      </c>
      <c r="B250">
        <v>1</v>
      </c>
      <c r="C250" t="s">
        <v>21</v>
      </c>
      <c r="D250" t="s">
        <v>31</v>
      </c>
      <c r="E250" t="s">
        <v>19</v>
      </c>
      <c r="F250" t="s">
        <v>17</v>
      </c>
      <c r="G250" s="1">
        <v>39603</v>
      </c>
      <c r="H250" s="1">
        <v>431028</v>
      </c>
      <c r="I250">
        <v>255</v>
      </c>
      <c r="J250">
        <v>0.97</v>
      </c>
      <c r="K250">
        <v>6.29</v>
      </c>
      <c r="L250">
        <v>1.2</v>
      </c>
      <c r="M250">
        <v>2</v>
      </c>
      <c r="N250" s="1">
        <f>bmw_global_sales_dataset[[#This Row],[units_sold]]*bmw_global_sales_dataset[[#This Row],[price_usd]]</f>
        <v>30811134</v>
      </c>
      <c r="O250">
        <v>778</v>
      </c>
    </row>
    <row r="251" spans="1:15" x14ac:dyDescent="0.35">
      <c r="A251">
        <v>2017</v>
      </c>
      <c r="B251">
        <v>12</v>
      </c>
      <c r="C251" t="s">
        <v>30</v>
      </c>
      <c r="D251" t="s">
        <v>34</v>
      </c>
      <c r="E251" t="s">
        <v>20</v>
      </c>
      <c r="F251" t="s">
        <v>20</v>
      </c>
      <c r="G251" s="1">
        <v>72344</v>
      </c>
      <c r="H251" s="1">
        <v>386643</v>
      </c>
      <c r="I251">
        <v>309</v>
      </c>
      <c r="J251">
        <v>0.97</v>
      </c>
      <c r="K251">
        <v>6.29</v>
      </c>
      <c r="L251">
        <v>1.2</v>
      </c>
      <c r="M251">
        <v>4</v>
      </c>
      <c r="N251" s="1">
        <f>bmw_global_sales_dataset[[#This Row],[units_sold]]*bmw_global_sales_dataset[[#This Row],[price_usd]]</f>
        <v>67352264</v>
      </c>
      <c r="O251">
        <v>931</v>
      </c>
    </row>
    <row r="252" spans="1:15" x14ac:dyDescent="0.35">
      <c r="A252">
        <v>2017</v>
      </c>
      <c r="B252">
        <v>8</v>
      </c>
      <c r="C252" t="s">
        <v>14</v>
      </c>
      <c r="D252" t="s">
        <v>15</v>
      </c>
      <c r="E252" t="s">
        <v>20</v>
      </c>
      <c r="F252" t="s">
        <v>20</v>
      </c>
      <c r="G252" s="1">
        <v>82975</v>
      </c>
      <c r="H252" s="1">
        <v>237646</v>
      </c>
      <c r="I252">
        <v>321</v>
      </c>
      <c r="J252">
        <v>0.97</v>
      </c>
      <c r="K252">
        <v>6.29</v>
      </c>
      <c r="L252">
        <v>1.2</v>
      </c>
      <c r="M252">
        <v>5</v>
      </c>
      <c r="N252" s="1">
        <f>bmw_global_sales_dataset[[#This Row],[units_sold]]*bmw_global_sales_dataset[[#This Row],[price_usd]]</f>
        <v>54099700</v>
      </c>
      <c r="O252">
        <v>652</v>
      </c>
    </row>
    <row r="253" spans="1:15" x14ac:dyDescent="0.35">
      <c r="A253">
        <v>2017</v>
      </c>
      <c r="B253">
        <v>11</v>
      </c>
      <c r="C253" t="s">
        <v>32</v>
      </c>
      <c r="D253" t="s">
        <v>18</v>
      </c>
      <c r="E253" t="s">
        <v>16</v>
      </c>
      <c r="F253" t="s">
        <v>23</v>
      </c>
      <c r="G253" s="1">
        <v>116441</v>
      </c>
      <c r="H253" s="1">
        <v>339819</v>
      </c>
      <c r="I253">
        <v>392</v>
      </c>
      <c r="J253">
        <v>0.97</v>
      </c>
      <c r="K253">
        <v>6.29</v>
      </c>
      <c r="L253">
        <v>1.2</v>
      </c>
      <c r="M253">
        <v>6</v>
      </c>
      <c r="N253" s="1">
        <f>bmw_global_sales_dataset[[#This Row],[units_sold]]*bmw_global_sales_dataset[[#This Row],[price_usd]]</f>
        <v>119584907</v>
      </c>
      <c r="O253">
        <v>1027</v>
      </c>
    </row>
    <row r="254" spans="1:15" x14ac:dyDescent="0.35">
      <c r="A254">
        <v>2017</v>
      </c>
      <c r="B254">
        <v>11</v>
      </c>
      <c r="C254" t="s">
        <v>28</v>
      </c>
      <c r="D254" t="s">
        <v>22</v>
      </c>
      <c r="E254" t="s">
        <v>20</v>
      </c>
      <c r="F254" t="s">
        <v>20</v>
      </c>
      <c r="G254" s="1">
        <v>118434</v>
      </c>
      <c r="H254" s="1">
        <v>442704</v>
      </c>
      <c r="I254">
        <v>64</v>
      </c>
      <c r="J254">
        <v>0.97</v>
      </c>
      <c r="K254">
        <v>6.29</v>
      </c>
      <c r="L254">
        <v>1.2</v>
      </c>
      <c r="M254">
        <v>4</v>
      </c>
      <c r="N254" s="1">
        <f>bmw_global_sales_dataset[[#This Row],[units_sold]]*bmw_global_sales_dataset[[#This Row],[price_usd]]</f>
        <v>25581744</v>
      </c>
      <c r="O254">
        <v>216</v>
      </c>
    </row>
    <row r="255" spans="1:15" x14ac:dyDescent="0.35">
      <c r="A255">
        <v>2017</v>
      </c>
      <c r="B255">
        <v>4</v>
      </c>
      <c r="C255" t="s">
        <v>38</v>
      </c>
      <c r="D255" t="s">
        <v>31</v>
      </c>
      <c r="E255" t="s">
        <v>20</v>
      </c>
      <c r="F255" t="s">
        <v>23</v>
      </c>
      <c r="G255" s="1">
        <v>115158</v>
      </c>
      <c r="H255" s="1">
        <v>249519</v>
      </c>
      <c r="I255">
        <v>12</v>
      </c>
      <c r="J255">
        <v>0.97</v>
      </c>
      <c r="K255">
        <v>6.29</v>
      </c>
      <c r="L255">
        <v>1.2</v>
      </c>
      <c r="M255">
        <v>6</v>
      </c>
      <c r="N255" s="1">
        <f>bmw_global_sales_dataset[[#This Row],[units_sold]]*bmw_global_sales_dataset[[#This Row],[price_usd]]</f>
        <v>8291376</v>
      </c>
      <c r="O255">
        <v>72</v>
      </c>
    </row>
    <row r="256" spans="1:15" x14ac:dyDescent="0.35">
      <c r="A256">
        <v>2017</v>
      </c>
      <c r="B256">
        <v>9</v>
      </c>
      <c r="C256" t="s">
        <v>37</v>
      </c>
      <c r="D256" t="s">
        <v>29</v>
      </c>
      <c r="E256" t="s">
        <v>19</v>
      </c>
      <c r="F256" t="s">
        <v>27</v>
      </c>
      <c r="G256" s="1">
        <v>101727</v>
      </c>
      <c r="H256" s="1">
        <v>333817</v>
      </c>
      <c r="I256">
        <v>314</v>
      </c>
      <c r="J256">
        <v>0.97</v>
      </c>
      <c r="K256">
        <v>6.29</v>
      </c>
      <c r="L256">
        <v>1.2</v>
      </c>
      <c r="M256">
        <v>7</v>
      </c>
      <c r="N256" s="1">
        <f>bmw_global_sales_dataset[[#This Row],[units_sold]]*bmw_global_sales_dataset[[#This Row],[price_usd]]</f>
        <v>90435303</v>
      </c>
      <c r="O256">
        <v>889</v>
      </c>
    </row>
    <row r="257" spans="1:15" x14ac:dyDescent="0.35">
      <c r="A257">
        <v>2017</v>
      </c>
      <c r="B257">
        <v>10</v>
      </c>
      <c r="C257" t="s">
        <v>36</v>
      </c>
      <c r="D257" t="s">
        <v>33</v>
      </c>
      <c r="E257" t="s">
        <v>20</v>
      </c>
      <c r="F257" t="s">
        <v>27</v>
      </c>
      <c r="G257" s="1">
        <v>40033</v>
      </c>
      <c r="H257" s="1">
        <v>349479</v>
      </c>
      <c r="I257">
        <v>390</v>
      </c>
      <c r="J257">
        <v>0.97</v>
      </c>
      <c r="K257">
        <v>6.29</v>
      </c>
      <c r="L257">
        <v>1.2</v>
      </c>
      <c r="M257">
        <v>10</v>
      </c>
      <c r="N257" s="1">
        <f>bmw_global_sales_dataset[[#This Row],[units_sold]]*bmw_global_sales_dataset[[#This Row],[price_usd]]</f>
        <v>44756894</v>
      </c>
      <c r="O257">
        <v>1118</v>
      </c>
    </row>
    <row r="258" spans="1:15" x14ac:dyDescent="0.35">
      <c r="A258">
        <v>2017</v>
      </c>
      <c r="B258">
        <v>2</v>
      </c>
      <c r="C258" t="s">
        <v>32</v>
      </c>
      <c r="D258" t="s">
        <v>26</v>
      </c>
      <c r="E258" t="s">
        <v>19</v>
      </c>
      <c r="F258" t="s">
        <v>27</v>
      </c>
      <c r="G258" s="1">
        <v>50689</v>
      </c>
      <c r="H258" s="1">
        <v>427078</v>
      </c>
      <c r="I258">
        <v>39</v>
      </c>
      <c r="J258">
        <v>0.97</v>
      </c>
      <c r="K258">
        <v>6.29</v>
      </c>
      <c r="L258">
        <v>1.2</v>
      </c>
      <c r="M258">
        <v>6</v>
      </c>
      <c r="N258" s="1">
        <f>bmw_global_sales_dataset[[#This Row],[units_sold]]*bmw_global_sales_dataset[[#This Row],[price_usd]]</f>
        <v>20579734</v>
      </c>
      <c r="O258">
        <v>406</v>
      </c>
    </row>
    <row r="259" spans="1:15" x14ac:dyDescent="0.35">
      <c r="A259">
        <v>2017</v>
      </c>
      <c r="B259">
        <v>2</v>
      </c>
      <c r="C259" t="s">
        <v>25</v>
      </c>
      <c r="D259" t="s">
        <v>39</v>
      </c>
      <c r="E259" t="s">
        <v>16</v>
      </c>
      <c r="F259" t="s">
        <v>20</v>
      </c>
      <c r="G259" s="1">
        <v>51932</v>
      </c>
      <c r="H259" s="1">
        <v>398848</v>
      </c>
      <c r="I259">
        <v>216</v>
      </c>
      <c r="J259">
        <v>0.97</v>
      </c>
      <c r="K259">
        <v>6.29</v>
      </c>
      <c r="L259">
        <v>1.2</v>
      </c>
      <c r="M259">
        <v>8</v>
      </c>
      <c r="N259" s="1">
        <f>bmw_global_sales_dataset[[#This Row],[units_sold]]*bmw_global_sales_dataset[[#This Row],[price_usd]]</f>
        <v>36923652</v>
      </c>
      <c r="O259">
        <v>711</v>
      </c>
    </row>
    <row r="260" spans="1:15" x14ac:dyDescent="0.35">
      <c r="A260">
        <v>2017</v>
      </c>
      <c r="B260">
        <v>9</v>
      </c>
      <c r="C260" t="s">
        <v>28</v>
      </c>
      <c r="D260" t="s">
        <v>31</v>
      </c>
      <c r="E260" t="s">
        <v>20</v>
      </c>
      <c r="F260" t="s">
        <v>17</v>
      </c>
      <c r="G260" s="1">
        <v>52174</v>
      </c>
      <c r="H260" s="1">
        <v>401770</v>
      </c>
      <c r="I260">
        <v>36</v>
      </c>
      <c r="J260">
        <v>0.97</v>
      </c>
      <c r="K260">
        <v>6.29</v>
      </c>
      <c r="L260">
        <v>1.2</v>
      </c>
      <c r="M260">
        <v>9</v>
      </c>
      <c r="N260" s="1">
        <f>bmw_global_sales_dataset[[#This Row],[units_sold]]*bmw_global_sales_dataset[[#This Row],[price_usd]]</f>
        <v>7773926</v>
      </c>
      <c r="O260">
        <v>149</v>
      </c>
    </row>
    <row r="261" spans="1:15" x14ac:dyDescent="0.35">
      <c r="A261">
        <v>2017</v>
      </c>
      <c r="B261">
        <v>12</v>
      </c>
      <c r="C261" t="s">
        <v>21</v>
      </c>
      <c r="D261" t="s">
        <v>34</v>
      </c>
      <c r="E261" t="s">
        <v>16</v>
      </c>
      <c r="F261" t="s">
        <v>17</v>
      </c>
      <c r="G261" s="1">
        <v>100364</v>
      </c>
      <c r="H261" s="1">
        <v>152877</v>
      </c>
      <c r="I261">
        <v>179</v>
      </c>
      <c r="J261">
        <v>0.97</v>
      </c>
      <c r="K261">
        <v>6.29</v>
      </c>
      <c r="L261">
        <v>1.2</v>
      </c>
      <c r="M261">
        <v>6</v>
      </c>
      <c r="N261" s="1">
        <f>bmw_global_sales_dataset[[#This Row],[units_sold]]*bmw_global_sales_dataset[[#This Row],[price_usd]]</f>
        <v>64132596</v>
      </c>
      <c r="O261">
        <v>639</v>
      </c>
    </row>
    <row r="262" spans="1:15" x14ac:dyDescent="0.35">
      <c r="A262">
        <v>2017</v>
      </c>
      <c r="B262">
        <v>9</v>
      </c>
      <c r="C262" t="s">
        <v>35</v>
      </c>
      <c r="D262" t="s">
        <v>34</v>
      </c>
      <c r="E262" t="s">
        <v>20</v>
      </c>
      <c r="F262" t="s">
        <v>17</v>
      </c>
      <c r="G262" s="1">
        <v>100497</v>
      </c>
      <c r="H262" s="1">
        <v>147493</v>
      </c>
      <c r="I262">
        <v>298</v>
      </c>
      <c r="J262">
        <v>0.97</v>
      </c>
      <c r="K262">
        <v>6.29</v>
      </c>
      <c r="L262">
        <v>1.2</v>
      </c>
      <c r="M262">
        <v>7</v>
      </c>
      <c r="N262" s="1">
        <f>bmw_global_sales_dataset[[#This Row],[units_sold]]*bmw_global_sales_dataset[[#This Row],[price_usd]]</f>
        <v>62509134</v>
      </c>
      <c r="O262">
        <v>622</v>
      </c>
    </row>
    <row r="263" spans="1:15" x14ac:dyDescent="0.35">
      <c r="A263">
        <v>2017</v>
      </c>
      <c r="B263">
        <v>2</v>
      </c>
      <c r="C263" t="s">
        <v>25</v>
      </c>
      <c r="D263" t="s">
        <v>26</v>
      </c>
      <c r="E263" t="s">
        <v>16</v>
      </c>
      <c r="F263" t="s">
        <v>23</v>
      </c>
      <c r="G263" s="1">
        <v>35798</v>
      </c>
      <c r="H263" s="1">
        <v>441670</v>
      </c>
      <c r="I263">
        <v>25</v>
      </c>
      <c r="J263">
        <v>0.97</v>
      </c>
      <c r="K263">
        <v>6.29</v>
      </c>
      <c r="L263">
        <v>1.2</v>
      </c>
      <c r="M263">
        <v>6</v>
      </c>
      <c r="N263" s="1">
        <f>bmw_global_sales_dataset[[#This Row],[units_sold]]*bmw_global_sales_dataset[[#This Row],[price_usd]]</f>
        <v>5405498</v>
      </c>
      <c r="O263">
        <v>151</v>
      </c>
    </row>
    <row r="264" spans="1:15" x14ac:dyDescent="0.35">
      <c r="A264">
        <v>2017</v>
      </c>
      <c r="B264">
        <v>2</v>
      </c>
      <c r="C264" t="s">
        <v>28</v>
      </c>
      <c r="D264" t="s">
        <v>26</v>
      </c>
      <c r="E264" t="s">
        <v>16</v>
      </c>
      <c r="F264" t="s">
        <v>27</v>
      </c>
      <c r="G264" s="1">
        <v>67330</v>
      </c>
      <c r="H264" s="1">
        <v>242718</v>
      </c>
      <c r="I264">
        <v>278</v>
      </c>
      <c r="J264">
        <v>0.97</v>
      </c>
      <c r="K264">
        <v>6.29</v>
      </c>
      <c r="L264">
        <v>1.2</v>
      </c>
      <c r="M264">
        <v>3</v>
      </c>
      <c r="N264" s="1">
        <f>bmw_global_sales_dataset[[#This Row],[units_sold]]*bmw_global_sales_dataset[[#This Row],[price_usd]]</f>
        <v>60327680</v>
      </c>
      <c r="O264">
        <v>896</v>
      </c>
    </row>
    <row r="265" spans="1:15" x14ac:dyDescent="0.35">
      <c r="A265">
        <v>2017</v>
      </c>
      <c r="B265">
        <v>11</v>
      </c>
      <c r="C265" t="s">
        <v>35</v>
      </c>
      <c r="D265" t="s">
        <v>26</v>
      </c>
      <c r="E265" t="s">
        <v>20</v>
      </c>
      <c r="F265" t="s">
        <v>23</v>
      </c>
      <c r="G265" s="1">
        <v>61928</v>
      </c>
      <c r="H265" s="1">
        <v>260387</v>
      </c>
      <c r="I265">
        <v>378</v>
      </c>
      <c r="J265">
        <v>0.97</v>
      </c>
      <c r="K265">
        <v>6.29</v>
      </c>
      <c r="L265">
        <v>1.2</v>
      </c>
      <c r="M265">
        <v>9</v>
      </c>
      <c r="N265" s="1">
        <f>bmw_global_sales_dataset[[#This Row],[units_sold]]*bmw_global_sales_dataset[[#This Row],[price_usd]]</f>
        <v>49418544</v>
      </c>
      <c r="O265">
        <v>798</v>
      </c>
    </row>
    <row r="266" spans="1:15" x14ac:dyDescent="0.35">
      <c r="A266">
        <v>2017</v>
      </c>
      <c r="B266">
        <v>5</v>
      </c>
      <c r="C266" t="s">
        <v>25</v>
      </c>
      <c r="D266" t="s">
        <v>34</v>
      </c>
      <c r="E266" t="s">
        <v>19</v>
      </c>
      <c r="F266" t="s">
        <v>23</v>
      </c>
      <c r="G266" s="1">
        <v>116417</v>
      </c>
      <c r="H266" s="1">
        <v>54137</v>
      </c>
      <c r="I266">
        <v>256</v>
      </c>
      <c r="J266">
        <v>0.97</v>
      </c>
      <c r="K266">
        <v>6.29</v>
      </c>
      <c r="L266">
        <v>1.2</v>
      </c>
      <c r="M266">
        <v>10</v>
      </c>
      <c r="N266" s="1">
        <f>bmw_global_sales_dataset[[#This Row],[units_sold]]*bmw_global_sales_dataset[[#This Row],[price_usd]]</f>
        <v>82073985</v>
      </c>
      <c r="O266">
        <v>705</v>
      </c>
    </row>
    <row r="267" spans="1:15" x14ac:dyDescent="0.35">
      <c r="A267">
        <v>2017</v>
      </c>
      <c r="B267">
        <v>7</v>
      </c>
      <c r="C267" t="s">
        <v>25</v>
      </c>
      <c r="D267" t="s">
        <v>18</v>
      </c>
      <c r="E267" t="s">
        <v>16</v>
      </c>
      <c r="F267" t="s">
        <v>20</v>
      </c>
      <c r="G267" s="1">
        <v>52297</v>
      </c>
      <c r="H267" s="1">
        <v>171225</v>
      </c>
      <c r="I267">
        <v>271</v>
      </c>
      <c r="J267">
        <v>0.97</v>
      </c>
      <c r="K267">
        <v>6.29</v>
      </c>
      <c r="L267">
        <v>1.2</v>
      </c>
      <c r="M267">
        <v>7</v>
      </c>
      <c r="N267" s="1">
        <f>bmw_global_sales_dataset[[#This Row],[units_sold]]*bmw_global_sales_dataset[[#This Row],[price_usd]]</f>
        <v>38595186</v>
      </c>
      <c r="O267">
        <v>738</v>
      </c>
    </row>
    <row r="268" spans="1:15" x14ac:dyDescent="0.35">
      <c r="A268">
        <v>2017</v>
      </c>
      <c r="B268">
        <v>10</v>
      </c>
      <c r="C268" t="s">
        <v>28</v>
      </c>
      <c r="D268" t="s">
        <v>26</v>
      </c>
      <c r="E268" t="s">
        <v>19</v>
      </c>
      <c r="F268" t="s">
        <v>20</v>
      </c>
      <c r="G268" s="1">
        <v>98772</v>
      </c>
      <c r="H268" s="1">
        <v>385834</v>
      </c>
      <c r="I268">
        <v>149</v>
      </c>
      <c r="J268">
        <v>0.97</v>
      </c>
      <c r="K268">
        <v>6.29</v>
      </c>
      <c r="L268">
        <v>1.2</v>
      </c>
      <c r="M268">
        <v>2</v>
      </c>
      <c r="N268" s="1">
        <f>bmw_global_sales_dataset[[#This Row],[units_sold]]*bmw_global_sales_dataset[[#This Row],[price_usd]]</f>
        <v>40101432</v>
      </c>
      <c r="O268">
        <v>406</v>
      </c>
    </row>
    <row r="269" spans="1:15" x14ac:dyDescent="0.35">
      <c r="A269">
        <v>2017</v>
      </c>
      <c r="B269">
        <v>7</v>
      </c>
      <c r="C269" t="s">
        <v>25</v>
      </c>
      <c r="D269" t="s">
        <v>31</v>
      </c>
      <c r="E269" t="s">
        <v>16</v>
      </c>
      <c r="F269" t="s">
        <v>23</v>
      </c>
      <c r="G269" s="1">
        <v>79414</v>
      </c>
      <c r="H269" s="1">
        <v>249757</v>
      </c>
      <c r="I269">
        <v>222</v>
      </c>
      <c r="J269">
        <v>0.97</v>
      </c>
      <c r="K269">
        <v>6.29</v>
      </c>
      <c r="L269">
        <v>1.2</v>
      </c>
      <c r="M269">
        <v>10</v>
      </c>
      <c r="N269" s="1">
        <f>bmw_global_sales_dataset[[#This Row],[units_sold]]*bmw_global_sales_dataset[[#This Row],[price_usd]]</f>
        <v>50189648</v>
      </c>
      <c r="O269">
        <v>632</v>
      </c>
    </row>
    <row r="270" spans="1:15" x14ac:dyDescent="0.35">
      <c r="A270">
        <v>2017</v>
      </c>
      <c r="B270">
        <v>9</v>
      </c>
      <c r="C270" t="s">
        <v>35</v>
      </c>
      <c r="D270" t="s">
        <v>26</v>
      </c>
      <c r="E270" t="s">
        <v>19</v>
      </c>
      <c r="F270" t="s">
        <v>17</v>
      </c>
      <c r="G270" s="1">
        <v>37716</v>
      </c>
      <c r="H270" s="1">
        <v>453602</v>
      </c>
      <c r="I270">
        <v>140</v>
      </c>
      <c r="J270">
        <v>0.97</v>
      </c>
      <c r="K270">
        <v>6.29</v>
      </c>
      <c r="L270">
        <v>1.2</v>
      </c>
      <c r="M270">
        <v>8</v>
      </c>
      <c r="N270" s="1">
        <f>bmw_global_sales_dataset[[#This Row],[units_sold]]*bmw_global_sales_dataset[[#This Row],[price_usd]]</f>
        <v>12333132</v>
      </c>
      <c r="O270">
        <v>327</v>
      </c>
    </row>
    <row r="271" spans="1:15" x14ac:dyDescent="0.35">
      <c r="A271">
        <v>2017</v>
      </c>
      <c r="B271">
        <v>2</v>
      </c>
      <c r="C271" t="s">
        <v>14</v>
      </c>
      <c r="D271" t="s">
        <v>34</v>
      </c>
      <c r="E271" t="s">
        <v>20</v>
      </c>
      <c r="F271" t="s">
        <v>23</v>
      </c>
      <c r="G271" s="1">
        <v>51574</v>
      </c>
      <c r="H271" s="1">
        <v>282931</v>
      </c>
      <c r="I271">
        <v>129</v>
      </c>
      <c r="J271">
        <v>0.97</v>
      </c>
      <c r="K271">
        <v>6.29</v>
      </c>
      <c r="L271">
        <v>1.2</v>
      </c>
      <c r="M271">
        <v>4</v>
      </c>
      <c r="N271" s="1">
        <f>bmw_global_sales_dataset[[#This Row],[units_sold]]*bmw_global_sales_dataset[[#This Row],[price_usd]]</f>
        <v>30480234</v>
      </c>
      <c r="O271">
        <v>591</v>
      </c>
    </row>
    <row r="272" spans="1:15" x14ac:dyDescent="0.35">
      <c r="A272">
        <v>2017</v>
      </c>
      <c r="B272">
        <v>11</v>
      </c>
      <c r="C272" t="s">
        <v>32</v>
      </c>
      <c r="D272" t="s">
        <v>29</v>
      </c>
      <c r="E272" t="s">
        <v>19</v>
      </c>
      <c r="F272" t="s">
        <v>20</v>
      </c>
      <c r="G272" s="1">
        <v>66973</v>
      </c>
      <c r="H272" s="1">
        <v>131515</v>
      </c>
      <c r="I272">
        <v>332</v>
      </c>
      <c r="J272">
        <v>0.97</v>
      </c>
      <c r="K272">
        <v>6.29</v>
      </c>
      <c r="L272">
        <v>1.2</v>
      </c>
      <c r="M272">
        <v>7</v>
      </c>
      <c r="N272" s="1">
        <f>bmw_global_sales_dataset[[#This Row],[units_sold]]*bmw_global_sales_dataset[[#This Row],[price_usd]]</f>
        <v>49359101</v>
      </c>
      <c r="O272">
        <v>737</v>
      </c>
    </row>
    <row r="273" spans="1:15" x14ac:dyDescent="0.35">
      <c r="A273">
        <v>2017</v>
      </c>
      <c r="B273">
        <v>3</v>
      </c>
      <c r="C273" t="s">
        <v>30</v>
      </c>
      <c r="D273" t="s">
        <v>29</v>
      </c>
      <c r="E273" t="s">
        <v>20</v>
      </c>
      <c r="F273" t="s">
        <v>20</v>
      </c>
      <c r="G273" s="1">
        <v>64086</v>
      </c>
      <c r="H273" s="1">
        <v>383404</v>
      </c>
      <c r="I273">
        <v>152</v>
      </c>
      <c r="J273">
        <v>0.97</v>
      </c>
      <c r="K273">
        <v>6.29</v>
      </c>
      <c r="L273">
        <v>1.2</v>
      </c>
      <c r="M273">
        <v>3</v>
      </c>
      <c r="N273" s="1">
        <f>bmw_global_sales_dataset[[#This Row],[units_sold]]*bmw_global_sales_dataset[[#This Row],[price_usd]]</f>
        <v>24416766</v>
      </c>
      <c r="O273">
        <v>381</v>
      </c>
    </row>
    <row r="274" spans="1:15" x14ac:dyDescent="0.35">
      <c r="A274">
        <v>2017</v>
      </c>
      <c r="B274">
        <v>7</v>
      </c>
      <c r="C274" t="s">
        <v>35</v>
      </c>
      <c r="D274" t="s">
        <v>39</v>
      </c>
      <c r="E274" t="s">
        <v>19</v>
      </c>
      <c r="F274" t="s">
        <v>27</v>
      </c>
      <c r="G274" s="1">
        <v>82766</v>
      </c>
      <c r="H274" s="1">
        <v>123568</v>
      </c>
      <c r="I274">
        <v>51</v>
      </c>
      <c r="J274">
        <v>0.97</v>
      </c>
      <c r="K274">
        <v>6.29</v>
      </c>
      <c r="L274">
        <v>1.2</v>
      </c>
      <c r="M274">
        <v>10</v>
      </c>
      <c r="N274" s="1">
        <f>bmw_global_sales_dataset[[#This Row],[units_sold]]*bmw_global_sales_dataset[[#This Row],[price_usd]]</f>
        <v>8773196</v>
      </c>
      <c r="O274">
        <v>106</v>
      </c>
    </row>
    <row r="275" spans="1:15" x14ac:dyDescent="0.35">
      <c r="A275">
        <v>2017</v>
      </c>
      <c r="B275">
        <v>5</v>
      </c>
      <c r="C275" t="s">
        <v>35</v>
      </c>
      <c r="D275" t="s">
        <v>31</v>
      </c>
      <c r="E275" t="s">
        <v>19</v>
      </c>
      <c r="F275" t="s">
        <v>23</v>
      </c>
      <c r="G275" s="1">
        <v>51374</v>
      </c>
      <c r="H275" s="1">
        <v>219330</v>
      </c>
      <c r="I275">
        <v>330</v>
      </c>
      <c r="J275">
        <v>0.97</v>
      </c>
      <c r="K275">
        <v>6.29</v>
      </c>
      <c r="L275">
        <v>1.2</v>
      </c>
      <c r="M275">
        <v>2</v>
      </c>
      <c r="N275" s="1">
        <f>bmw_global_sales_dataset[[#This Row],[units_sold]]*bmw_global_sales_dataset[[#This Row],[price_usd]]</f>
        <v>56305904</v>
      </c>
      <c r="O275">
        <v>1096</v>
      </c>
    </row>
    <row r="276" spans="1:15" x14ac:dyDescent="0.35">
      <c r="A276">
        <v>2017</v>
      </c>
      <c r="B276">
        <v>1</v>
      </c>
      <c r="C276" t="s">
        <v>37</v>
      </c>
      <c r="D276" t="s">
        <v>39</v>
      </c>
      <c r="E276" t="s">
        <v>20</v>
      </c>
      <c r="F276" t="s">
        <v>27</v>
      </c>
      <c r="G276" s="1">
        <v>50960</v>
      </c>
      <c r="H276" s="1">
        <v>72738</v>
      </c>
      <c r="I276">
        <v>371</v>
      </c>
      <c r="J276">
        <v>0.97</v>
      </c>
      <c r="K276">
        <v>6.29</v>
      </c>
      <c r="L276">
        <v>1.2</v>
      </c>
      <c r="M276">
        <v>3</v>
      </c>
      <c r="N276" s="1">
        <f>bmw_global_sales_dataset[[#This Row],[units_sold]]*bmw_global_sales_dataset[[#This Row],[price_usd]]</f>
        <v>38678640</v>
      </c>
      <c r="O276">
        <v>759</v>
      </c>
    </row>
    <row r="277" spans="1:15" x14ac:dyDescent="0.35">
      <c r="A277">
        <v>2017</v>
      </c>
      <c r="B277">
        <v>8</v>
      </c>
      <c r="C277" t="s">
        <v>30</v>
      </c>
      <c r="D277" t="s">
        <v>26</v>
      </c>
      <c r="E277" t="s">
        <v>20</v>
      </c>
      <c r="F277" t="s">
        <v>23</v>
      </c>
      <c r="G277" s="1">
        <v>41449</v>
      </c>
      <c r="H277" s="1">
        <v>323326</v>
      </c>
      <c r="I277">
        <v>388</v>
      </c>
      <c r="J277">
        <v>0.97</v>
      </c>
      <c r="K277">
        <v>6.29</v>
      </c>
      <c r="L277">
        <v>1.2</v>
      </c>
      <c r="M277">
        <v>6</v>
      </c>
      <c r="N277" s="1">
        <f>bmw_global_sales_dataset[[#This Row],[units_sold]]*bmw_global_sales_dataset[[#This Row],[price_usd]]</f>
        <v>46381431</v>
      </c>
      <c r="O277">
        <v>1119</v>
      </c>
    </row>
    <row r="278" spans="1:15" x14ac:dyDescent="0.35">
      <c r="A278">
        <v>2017</v>
      </c>
      <c r="B278">
        <v>8</v>
      </c>
      <c r="C278" t="s">
        <v>32</v>
      </c>
      <c r="D278" t="s">
        <v>39</v>
      </c>
      <c r="E278" t="s">
        <v>19</v>
      </c>
      <c r="F278" t="s">
        <v>23</v>
      </c>
      <c r="G278" s="1">
        <v>71993</v>
      </c>
      <c r="H278" s="1">
        <v>81556</v>
      </c>
      <c r="I278">
        <v>240</v>
      </c>
      <c r="J278">
        <v>0.97</v>
      </c>
      <c r="K278">
        <v>6.29</v>
      </c>
      <c r="L278">
        <v>1.2</v>
      </c>
      <c r="M278">
        <v>2</v>
      </c>
      <c r="N278" s="1">
        <f>bmw_global_sales_dataset[[#This Row],[units_sold]]*bmw_global_sales_dataset[[#This Row],[price_usd]]</f>
        <v>55146638</v>
      </c>
      <c r="O278">
        <v>766</v>
      </c>
    </row>
    <row r="279" spans="1:15" x14ac:dyDescent="0.35">
      <c r="A279">
        <v>2017</v>
      </c>
      <c r="B279">
        <v>8</v>
      </c>
      <c r="C279" t="s">
        <v>25</v>
      </c>
      <c r="D279" t="s">
        <v>22</v>
      </c>
      <c r="E279" t="s">
        <v>19</v>
      </c>
      <c r="F279" t="s">
        <v>17</v>
      </c>
      <c r="G279" s="1">
        <v>101985</v>
      </c>
      <c r="H279" s="1">
        <v>246292</v>
      </c>
      <c r="I279">
        <v>225</v>
      </c>
      <c r="J279">
        <v>0.97</v>
      </c>
      <c r="K279">
        <v>6.29</v>
      </c>
      <c r="L279">
        <v>1.2</v>
      </c>
      <c r="M279">
        <v>10</v>
      </c>
      <c r="N279" s="1">
        <f>bmw_global_sales_dataset[[#This Row],[units_sold]]*bmw_global_sales_dataset[[#This Row],[price_usd]]</f>
        <v>46199205</v>
      </c>
      <c r="O279">
        <v>453</v>
      </c>
    </row>
    <row r="280" spans="1:15" x14ac:dyDescent="0.35">
      <c r="A280">
        <v>2017</v>
      </c>
      <c r="B280">
        <v>9</v>
      </c>
      <c r="C280" t="s">
        <v>14</v>
      </c>
      <c r="D280" t="s">
        <v>33</v>
      </c>
      <c r="E280" t="s">
        <v>16</v>
      </c>
      <c r="F280" t="s">
        <v>23</v>
      </c>
      <c r="G280" s="1">
        <v>58488</v>
      </c>
      <c r="H280" s="1">
        <v>180193</v>
      </c>
      <c r="I280">
        <v>139</v>
      </c>
      <c r="J280">
        <v>0.97</v>
      </c>
      <c r="K280">
        <v>6.29</v>
      </c>
      <c r="L280">
        <v>1.2</v>
      </c>
      <c r="M280">
        <v>3</v>
      </c>
      <c r="N280" s="1">
        <f>bmw_global_sales_dataset[[#This Row],[units_sold]]*bmw_global_sales_dataset[[#This Row],[price_usd]]</f>
        <v>24915888</v>
      </c>
      <c r="O280">
        <v>426</v>
      </c>
    </row>
    <row r="281" spans="1:15" x14ac:dyDescent="0.35">
      <c r="A281">
        <v>2017</v>
      </c>
      <c r="B281">
        <v>2</v>
      </c>
      <c r="C281" t="s">
        <v>37</v>
      </c>
      <c r="D281" t="s">
        <v>15</v>
      </c>
      <c r="E281" t="s">
        <v>16</v>
      </c>
      <c r="F281" t="s">
        <v>23</v>
      </c>
      <c r="G281" s="1">
        <v>45400</v>
      </c>
      <c r="H281" s="1">
        <v>274970</v>
      </c>
      <c r="I281">
        <v>67</v>
      </c>
      <c r="J281">
        <v>0.97</v>
      </c>
      <c r="K281">
        <v>6.29</v>
      </c>
      <c r="L281">
        <v>1.2</v>
      </c>
      <c r="M281">
        <v>7</v>
      </c>
      <c r="N281" s="1">
        <f>bmw_global_sales_dataset[[#This Row],[units_sold]]*bmw_global_sales_dataset[[#This Row],[price_usd]]</f>
        <v>12984400</v>
      </c>
      <c r="O281">
        <v>286</v>
      </c>
    </row>
    <row r="282" spans="1:15" x14ac:dyDescent="0.35">
      <c r="A282">
        <v>2017</v>
      </c>
      <c r="B282">
        <v>6</v>
      </c>
      <c r="C282" t="s">
        <v>35</v>
      </c>
      <c r="D282" t="s">
        <v>39</v>
      </c>
      <c r="E282" t="s">
        <v>16</v>
      </c>
      <c r="F282" t="s">
        <v>27</v>
      </c>
      <c r="G282" s="1">
        <v>109807</v>
      </c>
      <c r="H282" s="1">
        <v>231143</v>
      </c>
      <c r="I282">
        <v>157</v>
      </c>
      <c r="J282">
        <v>0.97</v>
      </c>
      <c r="K282">
        <v>6.29</v>
      </c>
      <c r="L282">
        <v>1.2</v>
      </c>
      <c r="M282">
        <v>1</v>
      </c>
      <c r="N282" s="1">
        <f>bmw_global_sales_dataset[[#This Row],[units_sold]]*bmw_global_sales_dataset[[#This Row],[price_usd]]</f>
        <v>41726660</v>
      </c>
      <c r="O282">
        <v>380</v>
      </c>
    </row>
    <row r="283" spans="1:15" x14ac:dyDescent="0.35">
      <c r="A283">
        <v>2017</v>
      </c>
      <c r="B283">
        <v>6</v>
      </c>
      <c r="C283" t="s">
        <v>14</v>
      </c>
      <c r="D283" t="s">
        <v>39</v>
      </c>
      <c r="E283" t="s">
        <v>20</v>
      </c>
      <c r="F283" t="s">
        <v>23</v>
      </c>
      <c r="G283" s="1">
        <v>106927</v>
      </c>
      <c r="H283" s="1">
        <v>291766</v>
      </c>
      <c r="I283">
        <v>341</v>
      </c>
      <c r="J283">
        <v>0.97</v>
      </c>
      <c r="K283">
        <v>6.29</v>
      </c>
      <c r="L283">
        <v>1.2</v>
      </c>
      <c r="M283">
        <v>6</v>
      </c>
      <c r="N283" s="1">
        <f>bmw_global_sales_dataset[[#This Row],[units_sold]]*bmw_global_sales_dataset[[#This Row],[price_usd]]</f>
        <v>99762891</v>
      </c>
      <c r="O283">
        <v>933</v>
      </c>
    </row>
    <row r="284" spans="1:15" x14ac:dyDescent="0.35">
      <c r="A284">
        <v>2017</v>
      </c>
      <c r="B284">
        <v>1</v>
      </c>
      <c r="C284" t="s">
        <v>14</v>
      </c>
      <c r="D284" t="s">
        <v>33</v>
      </c>
      <c r="E284" t="s">
        <v>20</v>
      </c>
      <c r="F284" t="s">
        <v>20</v>
      </c>
      <c r="G284" s="1">
        <v>97894</v>
      </c>
      <c r="H284" s="1">
        <v>408320</v>
      </c>
      <c r="I284">
        <v>78</v>
      </c>
      <c r="J284">
        <v>0.97</v>
      </c>
      <c r="K284">
        <v>6.29</v>
      </c>
      <c r="L284">
        <v>1.2</v>
      </c>
      <c r="M284">
        <v>1</v>
      </c>
      <c r="N284" s="1">
        <f>bmw_global_sales_dataset[[#This Row],[units_sold]]*bmw_global_sales_dataset[[#This Row],[price_usd]]</f>
        <v>44737558</v>
      </c>
      <c r="O284">
        <v>457</v>
      </c>
    </row>
    <row r="285" spans="1:15" x14ac:dyDescent="0.35">
      <c r="A285">
        <v>2017</v>
      </c>
      <c r="B285">
        <v>1</v>
      </c>
      <c r="C285" t="s">
        <v>21</v>
      </c>
      <c r="D285" t="s">
        <v>39</v>
      </c>
      <c r="E285" t="s">
        <v>20</v>
      </c>
      <c r="F285" t="s">
        <v>23</v>
      </c>
      <c r="G285" s="1">
        <v>69635</v>
      </c>
      <c r="H285" s="1">
        <v>79777</v>
      </c>
      <c r="I285">
        <v>113</v>
      </c>
      <c r="J285">
        <v>0.97</v>
      </c>
      <c r="K285">
        <v>6.29</v>
      </c>
      <c r="L285">
        <v>1.2</v>
      </c>
      <c r="M285">
        <v>7</v>
      </c>
      <c r="N285" s="1">
        <f>bmw_global_sales_dataset[[#This Row],[units_sold]]*bmw_global_sales_dataset[[#This Row],[price_usd]]</f>
        <v>37115455</v>
      </c>
      <c r="O285">
        <v>533</v>
      </c>
    </row>
    <row r="286" spans="1:15" x14ac:dyDescent="0.35">
      <c r="A286">
        <v>2017</v>
      </c>
      <c r="B286">
        <v>4</v>
      </c>
      <c r="C286" t="s">
        <v>25</v>
      </c>
      <c r="D286" t="s">
        <v>26</v>
      </c>
      <c r="E286" t="s">
        <v>16</v>
      </c>
      <c r="F286" t="s">
        <v>23</v>
      </c>
      <c r="G286" s="1">
        <v>73871</v>
      </c>
      <c r="H286" s="1">
        <v>470661</v>
      </c>
      <c r="I286">
        <v>209</v>
      </c>
      <c r="J286">
        <v>0.97</v>
      </c>
      <c r="K286">
        <v>6.29</v>
      </c>
      <c r="L286">
        <v>1.2</v>
      </c>
      <c r="M286">
        <v>4</v>
      </c>
      <c r="N286" s="1">
        <f>bmw_global_sales_dataset[[#This Row],[units_sold]]*bmw_global_sales_dataset[[#This Row],[price_usd]]</f>
        <v>38782275</v>
      </c>
      <c r="O286">
        <v>525</v>
      </c>
    </row>
    <row r="287" spans="1:15" x14ac:dyDescent="0.35">
      <c r="A287">
        <v>2017</v>
      </c>
      <c r="B287">
        <v>10</v>
      </c>
      <c r="C287" t="s">
        <v>32</v>
      </c>
      <c r="D287" t="s">
        <v>18</v>
      </c>
      <c r="E287" t="s">
        <v>20</v>
      </c>
      <c r="F287" t="s">
        <v>20</v>
      </c>
      <c r="G287" s="1">
        <v>97874</v>
      </c>
      <c r="H287" s="1">
        <v>248110</v>
      </c>
      <c r="I287">
        <v>225</v>
      </c>
      <c r="J287">
        <v>0.97</v>
      </c>
      <c r="K287">
        <v>6.29</v>
      </c>
      <c r="L287">
        <v>1.2</v>
      </c>
      <c r="M287">
        <v>4</v>
      </c>
      <c r="N287" s="1">
        <f>bmw_global_sales_dataset[[#This Row],[units_sold]]*bmw_global_sales_dataset[[#This Row],[price_usd]]</f>
        <v>47175268</v>
      </c>
      <c r="O287">
        <v>482</v>
      </c>
    </row>
    <row r="288" spans="1:15" x14ac:dyDescent="0.35">
      <c r="A288">
        <v>2017</v>
      </c>
      <c r="B288">
        <v>8</v>
      </c>
      <c r="C288" t="s">
        <v>35</v>
      </c>
      <c r="D288" t="s">
        <v>39</v>
      </c>
      <c r="E288" t="s">
        <v>20</v>
      </c>
      <c r="F288" t="s">
        <v>27</v>
      </c>
      <c r="G288" s="1">
        <v>76081</v>
      </c>
      <c r="H288" s="1">
        <v>265757</v>
      </c>
      <c r="I288">
        <v>339</v>
      </c>
      <c r="J288">
        <v>0.97</v>
      </c>
      <c r="K288">
        <v>6.29</v>
      </c>
      <c r="L288">
        <v>1.2</v>
      </c>
      <c r="M288">
        <v>5</v>
      </c>
      <c r="N288" s="1">
        <f>bmw_global_sales_dataset[[#This Row],[units_sold]]*bmw_global_sales_dataset[[#This Row],[price_usd]]</f>
        <v>66875199</v>
      </c>
      <c r="O288">
        <v>879</v>
      </c>
    </row>
    <row r="289" spans="1:15" x14ac:dyDescent="0.35">
      <c r="A289">
        <v>2017</v>
      </c>
      <c r="B289">
        <v>10</v>
      </c>
      <c r="C289" t="s">
        <v>38</v>
      </c>
      <c r="D289" t="s">
        <v>31</v>
      </c>
      <c r="E289" t="s">
        <v>16</v>
      </c>
      <c r="F289" t="s">
        <v>20</v>
      </c>
      <c r="G289" s="1">
        <v>69678</v>
      </c>
      <c r="H289" s="1">
        <v>467230</v>
      </c>
      <c r="I289">
        <v>236</v>
      </c>
      <c r="J289">
        <v>0.97</v>
      </c>
      <c r="K289">
        <v>6.29</v>
      </c>
      <c r="L289">
        <v>1.2</v>
      </c>
      <c r="M289">
        <v>6</v>
      </c>
      <c r="N289" s="1">
        <f>bmw_global_sales_dataset[[#This Row],[units_sold]]*bmw_global_sales_dataset[[#This Row],[price_usd]]</f>
        <v>61943742</v>
      </c>
      <c r="O289">
        <v>889</v>
      </c>
    </row>
    <row r="290" spans="1:15" x14ac:dyDescent="0.35">
      <c r="A290">
        <v>2017</v>
      </c>
      <c r="B290">
        <v>10</v>
      </c>
      <c r="C290" t="s">
        <v>14</v>
      </c>
      <c r="D290" t="s">
        <v>26</v>
      </c>
      <c r="E290" t="s">
        <v>20</v>
      </c>
      <c r="F290" t="s">
        <v>20</v>
      </c>
      <c r="G290" s="1">
        <v>115440</v>
      </c>
      <c r="H290" s="1">
        <v>277544</v>
      </c>
      <c r="I290">
        <v>160</v>
      </c>
      <c r="J290">
        <v>0.97</v>
      </c>
      <c r="K290">
        <v>6.29</v>
      </c>
      <c r="L290">
        <v>1.2</v>
      </c>
      <c r="M290">
        <v>9</v>
      </c>
      <c r="N290" s="1">
        <f>bmw_global_sales_dataset[[#This Row],[units_sold]]*bmw_global_sales_dataset[[#This Row],[price_usd]]</f>
        <v>60836880</v>
      </c>
      <c r="O290">
        <v>527</v>
      </c>
    </row>
    <row r="291" spans="1:15" x14ac:dyDescent="0.35">
      <c r="A291">
        <v>2017</v>
      </c>
      <c r="B291">
        <v>11</v>
      </c>
      <c r="C291" t="s">
        <v>30</v>
      </c>
      <c r="D291" t="s">
        <v>34</v>
      </c>
      <c r="E291" t="s">
        <v>20</v>
      </c>
      <c r="F291" t="s">
        <v>20</v>
      </c>
      <c r="G291" s="1">
        <v>99384</v>
      </c>
      <c r="H291" s="1">
        <v>196025</v>
      </c>
      <c r="I291">
        <v>162</v>
      </c>
      <c r="J291">
        <v>0.97</v>
      </c>
      <c r="K291">
        <v>6.29</v>
      </c>
      <c r="L291">
        <v>1.2</v>
      </c>
      <c r="M291">
        <v>10</v>
      </c>
      <c r="N291" s="1">
        <f>bmw_global_sales_dataset[[#This Row],[units_sold]]*bmw_global_sales_dataset[[#This Row],[price_usd]]</f>
        <v>51182760</v>
      </c>
      <c r="O291">
        <v>515</v>
      </c>
    </row>
    <row r="292" spans="1:15" x14ac:dyDescent="0.35">
      <c r="A292">
        <v>2017</v>
      </c>
      <c r="B292">
        <v>2</v>
      </c>
      <c r="C292" t="s">
        <v>21</v>
      </c>
      <c r="D292" t="s">
        <v>18</v>
      </c>
      <c r="E292" t="s">
        <v>16</v>
      </c>
      <c r="F292" t="s">
        <v>17</v>
      </c>
      <c r="G292" s="1">
        <v>95892</v>
      </c>
      <c r="H292" s="1">
        <v>285652</v>
      </c>
      <c r="I292">
        <v>286</v>
      </c>
      <c r="J292">
        <v>0.97</v>
      </c>
      <c r="K292">
        <v>6.29</v>
      </c>
      <c r="L292">
        <v>1.2</v>
      </c>
      <c r="M292">
        <v>2</v>
      </c>
      <c r="N292" s="1">
        <f>bmw_global_sales_dataset[[#This Row],[units_sold]]*bmw_global_sales_dataset[[#This Row],[price_usd]]</f>
        <v>77097168</v>
      </c>
      <c r="O292">
        <v>804</v>
      </c>
    </row>
    <row r="293" spans="1:15" x14ac:dyDescent="0.35">
      <c r="A293">
        <v>2017</v>
      </c>
      <c r="B293">
        <v>2</v>
      </c>
      <c r="C293" t="s">
        <v>21</v>
      </c>
      <c r="D293" t="s">
        <v>15</v>
      </c>
      <c r="E293" t="s">
        <v>20</v>
      </c>
      <c r="F293" t="s">
        <v>17</v>
      </c>
      <c r="G293" s="1">
        <v>96304</v>
      </c>
      <c r="H293" s="1">
        <v>83085</v>
      </c>
      <c r="I293">
        <v>198</v>
      </c>
      <c r="J293">
        <v>0.97</v>
      </c>
      <c r="K293">
        <v>6.29</v>
      </c>
      <c r="L293">
        <v>1.2</v>
      </c>
      <c r="M293">
        <v>3</v>
      </c>
      <c r="N293" s="1">
        <f>bmw_global_sales_dataset[[#This Row],[units_sold]]*bmw_global_sales_dataset[[#This Row],[price_usd]]</f>
        <v>64331072</v>
      </c>
      <c r="O293">
        <v>668</v>
      </c>
    </row>
    <row r="294" spans="1:15" x14ac:dyDescent="0.35">
      <c r="A294">
        <v>2017</v>
      </c>
      <c r="B294">
        <v>3</v>
      </c>
      <c r="C294" t="s">
        <v>30</v>
      </c>
      <c r="D294" t="s">
        <v>39</v>
      </c>
      <c r="E294" t="s">
        <v>16</v>
      </c>
      <c r="F294" t="s">
        <v>17</v>
      </c>
      <c r="G294" s="1">
        <v>113863</v>
      </c>
      <c r="H294" s="1">
        <v>83477</v>
      </c>
      <c r="I294">
        <v>205</v>
      </c>
      <c r="J294">
        <v>0.97</v>
      </c>
      <c r="K294">
        <v>6.29</v>
      </c>
      <c r="L294">
        <v>1.2</v>
      </c>
      <c r="M294">
        <v>10</v>
      </c>
      <c r="N294" s="1">
        <f>bmw_global_sales_dataset[[#This Row],[units_sold]]*bmw_global_sales_dataset[[#This Row],[price_usd]]</f>
        <v>78907059</v>
      </c>
      <c r="O294">
        <v>693</v>
      </c>
    </row>
    <row r="295" spans="1:15" x14ac:dyDescent="0.35">
      <c r="A295">
        <v>2017</v>
      </c>
      <c r="B295">
        <v>9</v>
      </c>
      <c r="C295" t="s">
        <v>28</v>
      </c>
      <c r="D295" t="s">
        <v>24</v>
      </c>
      <c r="E295" t="s">
        <v>20</v>
      </c>
      <c r="F295" t="s">
        <v>27</v>
      </c>
      <c r="G295" s="1">
        <v>84699</v>
      </c>
      <c r="H295" s="1">
        <v>239103</v>
      </c>
      <c r="I295">
        <v>297</v>
      </c>
      <c r="J295">
        <v>0.97</v>
      </c>
      <c r="K295">
        <v>6.29</v>
      </c>
      <c r="L295">
        <v>1.2</v>
      </c>
      <c r="M295">
        <v>3</v>
      </c>
      <c r="N295" s="1">
        <f>bmw_global_sales_dataset[[#This Row],[units_sold]]*bmw_global_sales_dataset[[#This Row],[price_usd]]</f>
        <v>67420404</v>
      </c>
      <c r="O295">
        <v>796</v>
      </c>
    </row>
    <row r="296" spans="1:15" x14ac:dyDescent="0.35">
      <c r="A296">
        <v>2017</v>
      </c>
      <c r="B296">
        <v>4</v>
      </c>
      <c r="C296" t="s">
        <v>37</v>
      </c>
      <c r="D296" t="s">
        <v>24</v>
      </c>
      <c r="E296" t="s">
        <v>20</v>
      </c>
      <c r="F296" t="s">
        <v>17</v>
      </c>
      <c r="G296" s="1">
        <v>111396</v>
      </c>
      <c r="H296" s="1">
        <v>387164</v>
      </c>
      <c r="I296">
        <v>306</v>
      </c>
      <c r="J296">
        <v>0.97</v>
      </c>
      <c r="K296">
        <v>6.29</v>
      </c>
      <c r="L296">
        <v>1.2</v>
      </c>
      <c r="M296">
        <v>10</v>
      </c>
      <c r="N296" s="1">
        <f>bmw_global_sales_dataset[[#This Row],[units_sold]]*bmw_global_sales_dataset[[#This Row],[price_usd]]</f>
        <v>107385744</v>
      </c>
      <c r="O296">
        <v>964</v>
      </c>
    </row>
    <row r="297" spans="1:15" x14ac:dyDescent="0.35">
      <c r="A297">
        <v>2017</v>
      </c>
      <c r="B297">
        <v>6</v>
      </c>
      <c r="C297" t="s">
        <v>28</v>
      </c>
      <c r="D297" t="s">
        <v>33</v>
      </c>
      <c r="E297" t="s">
        <v>16</v>
      </c>
      <c r="F297" t="s">
        <v>27</v>
      </c>
      <c r="G297" s="1">
        <v>61655</v>
      </c>
      <c r="H297" s="1">
        <v>246314</v>
      </c>
      <c r="I297">
        <v>310</v>
      </c>
      <c r="J297">
        <v>0.97</v>
      </c>
      <c r="K297">
        <v>6.29</v>
      </c>
      <c r="L297">
        <v>1.2</v>
      </c>
      <c r="M297">
        <v>8</v>
      </c>
      <c r="N297" s="1">
        <f>bmw_global_sales_dataset[[#This Row],[units_sold]]*bmw_global_sales_dataset[[#This Row],[price_usd]]</f>
        <v>65724230</v>
      </c>
      <c r="O297">
        <v>1066</v>
      </c>
    </row>
    <row r="298" spans="1:15" x14ac:dyDescent="0.35">
      <c r="A298">
        <v>2017</v>
      </c>
      <c r="B298">
        <v>5</v>
      </c>
      <c r="C298" t="s">
        <v>38</v>
      </c>
      <c r="D298" t="s">
        <v>15</v>
      </c>
      <c r="E298" t="s">
        <v>16</v>
      </c>
      <c r="F298" t="s">
        <v>27</v>
      </c>
      <c r="G298" s="1">
        <v>83128</v>
      </c>
      <c r="H298" s="1">
        <v>119093</v>
      </c>
      <c r="I298">
        <v>191</v>
      </c>
      <c r="J298">
        <v>0.97</v>
      </c>
      <c r="K298">
        <v>6.29</v>
      </c>
      <c r="L298">
        <v>1.2</v>
      </c>
      <c r="M298">
        <v>8</v>
      </c>
      <c r="N298" s="1">
        <f>bmw_global_sales_dataset[[#This Row],[units_sold]]*bmw_global_sales_dataset[[#This Row],[price_usd]]</f>
        <v>42561536</v>
      </c>
      <c r="O298">
        <v>512</v>
      </c>
    </row>
    <row r="299" spans="1:15" x14ac:dyDescent="0.35">
      <c r="A299">
        <v>2017</v>
      </c>
      <c r="B299">
        <v>7</v>
      </c>
      <c r="C299" t="s">
        <v>28</v>
      </c>
      <c r="D299" t="s">
        <v>34</v>
      </c>
      <c r="E299" t="s">
        <v>20</v>
      </c>
      <c r="F299" t="s">
        <v>17</v>
      </c>
      <c r="G299" s="1">
        <v>70398</v>
      </c>
      <c r="H299" s="1">
        <v>306323</v>
      </c>
      <c r="I299">
        <v>324</v>
      </c>
      <c r="J299">
        <v>0.97</v>
      </c>
      <c r="K299">
        <v>6.29</v>
      </c>
      <c r="L299">
        <v>1.2</v>
      </c>
      <c r="M299">
        <v>10</v>
      </c>
      <c r="N299" s="1">
        <f>bmw_global_sales_dataset[[#This Row],[units_sold]]*bmw_global_sales_dataset[[#This Row],[price_usd]]</f>
        <v>66948498</v>
      </c>
      <c r="O299">
        <v>951</v>
      </c>
    </row>
    <row r="300" spans="1:15" x14ac:dyDescent="0.35">
      <c r="A300">
        <v>2017</v>
      </c>
      <c r="B300">
        <v>12</v>
      </c>
      <c r="C300" t="s">
        <v>28</v>
      </c>
      <c r="D300" t="s">
        <v>26</v>
      </c>
      <c r="E300" t="s">
        <v>16</v>
      </c>
      <c r="F300" t="s">
        <v>20</v>
      </c>
      <c r="G300" s="1">
        <v>49271</v>
      </c>
      <c r="H300" s="1">
        <v>488744</v>
      </c>
      <c r="I300">
        <v>356</v>
      </c>
      <c r="J300">
        <v>0.97</v>
      </c>
      <c r="K300">
        <v>6.29</v>
      </c>
      <c r="L300">
        <v>1.2</v>
      </c>
      <c r="M300">
        <v>3</v>
      </c>
      <c r="N300" s="1">
        <f>bmw_global_sales_dataset[[#This Row],[units_sold]]*bmw_global_sales_dataset[[#This Row],[price_usd]]</f>
        <v>47645057</v>
      </c>
      <c r="O300">
        <v>967</v>
      </c>
    </row>
    <row r="301" spans="1:15" x14ac:dyDescent="0.35">
      <c r="A301">
        <v>2017</v>
      </c>
      <c r="B301">
        <v>4</v>
      </c>
      <c r="C301" t="s">
        <v>14</v>
      </c>
      <c r="D301" t="s">
        <v>31</v>
      </c>
      <c r="E301" t="s">
        <v>20</v>
      </c>
      <c r="F301" t="s">
        <v>23</v>
      </c>
      <c r="G301" s="1">
        <v>35992</v>
      </c>
      <c r="H301" s="1">
        <v>127994</v>
      </c>
      <c r="I301">
        <v>296</v>
      </c>
      <c r="J301">
        <v>0.97</v>
      </c>
      <c r="K301">
        <v>6.29</v>
      </c>
      <c r="L301">
        <v>1.2</v>
      </c>
      <c r="M301">
        <v>3</v>
      </c>
      <c r="N301" s="1">
        <f>bmw_global_sales_dataset[[#This Row],[units_sold]]*bmw_global_sales_dataset[[#This Row],[price_usd]]</f>
        <v>32644744</v>
      </c>
      <c r="O301">
        <v>907</v>
      </c>
    </row>
    <row r="302" spans="1:15" x14ac:dyDescent="0.35">
      <c r="A302">
        <v>2017</v>
      </c>
      <c r="B302">
        <v>12</v>
      </c>
      <c r="C302" t="s">
        <v>30</v>
      </c>
      <c r="D302" t="s">
        <v>18</v>
      </c>
      <c r="E302" t="s">
        <v>16</v>
      </c>
      <c r="F302" t="s">
        <v>27</v>
      </c>
      <c r="G302" s="1">
        <v>96868</v>
      </c>
      <c r="H302" s="1">
        <v>451634</v>
      </c>
      <c r="I302">
        <v>116</v>
      </c>
      <c r="J302">
        <v>0.97</v>
      </c>
      <c r="K302">
        <v>6.29</v>
      </c>
      <c r="L302">
        <v>1.2</v>
      </c>
      <c r="M302">
        <v>8</v>
      </c>
      <c r="N302" s="1">
        <f>bmw_global_sales_dataset[[#This Row],[units_sold]]*bmw_global_sales_dataset[[#This Row],[price_usd]]</f>
        <v>44074940</v>
      </c>
      <c r="O302">
        <v>455</v>
      </c>
    </row>
    <row r="303" spans="1:15" x14ac:dyDescent="0.35">
      <c r="A303">
        <v>2017</v>
      </c>
      <c r="B303">
        <v>9</v>
      </c>
      <c r="C303" t="s">
        <v>36</v>
      </c>
      <c r="D303" t="s">
        <v>29</v>
      </c>
      <c r="E303" t="s">
        <v>19</v>
      </c>
      <c r="F303" t="s">
        <v>17</v>
      </c>
      <c r="G303" s="1">
        <v>117263</v>
      </c>
      <c r="H303" s="1">
        <v>274699</v>
      </c>
      <c r="I303">
        <v>373</v>
      </c>
      <c r="J303">
        <v>0.97</v>
      </c>
      <c r="K303">
        <v>6.29</v>
      </c>
      <c r="L303">
        <v>1.2</v>
      </c>
      <c r="M303">
        <v>4</v>
      </c>
      <c r="N303" s="1">
        <f>bmw_global_sales_dataset[[#This Row],[units_sold]]*bmw_global_sales_dataset[[#This Row],[price_usd]]</f>
        <v>103191440</v>
      </c>
      <c r="O303">
        <v>880</v>
      </c>
    </row>
    <row r="304" spans="1:15" x14ac:dyDescent="0.35">
      <c r="A304">
        <v>2017</v>
      </c>
      <c r="B304">
        <v>1</v>
      </c>
      <c r="C304" t="s">
        <v>30</v>
      </c>
      <c r="D304" t="s">
        <v>31</v>
      </c>
      <c r="E304" t="s">
        <v>19</v>
      </c>
      <c r="F304" t="s">
        <v>17</v>
      </c>
      <c r="G304" s="1">
        <v>52272</v>
      </c>
      <c r="H304" s="1">
        <v>411484</v>
      </c>
      <c r="I304">
        <v>315</v>
      </c>
      <c r="J304">
        <v>0.97</v>
      </c>
      <c r="K304">
        <v>6.29</v>
      </c>
      <c r="L304">
        <v>1.2</v>
      </c>
      <c r="M304">
        <v>9</v>
      </c>
      <c r="N304" s="1">
        <f>bmw_global_sales_dataset[[#This Row],[units_sold]]*bmw_global_sales_dataset[[#This Row],[price_usd]]</f>
        <v>54153792</v>
      </c>
      <c r="O304">
        <v>1036</v>
      </c>
    </row>
    <row r="305" spans="1:15" x14ac:dyDescent="0.35">
      <c r="A305">
        <v>2017</v>
      </c>
      <c r="B305">
        <v>12</v>
      </c>
      <c r="C305" t="s">
        <v>36</v>
      </c>
      <c r="D305" t="s">
        <v>26</v>
      </c>
      <c r="E305" t="s">
        <v>20</v>
      </c>
      <c r="F305" t="s">
        <v>27</v>
      </c>
      <c r="G305" s="1">
        <v>38720</v>
      </c>
      <c r="H305" s="1">
        <v>107836</v>
      </c>
      <c r="I305">
        <v>99</v>
      </c>
      <c r="J305">
        <v>0.97</v>
      </c>
      <c r="K305">
        <v>6.29</v>
      </c>
      <c r="L305">
        <v>1.2</v>
      </c>
      <c r="M305">
        <v>6</v>
      </c>
      <c r="N305" s="1">
        <f>bmw_global_sales_dataset[[#This Row],[units_sold]]*bmw_global_sales_dataset[[#This Row],[price_usd]]</f>
        <v>13513280</v>
      </c>
      <c r="O305">
        <v>349</v>
      </c>
    </row>
    <row r="306" spans="1:15" x14ac:dyDescent="0.35">
      <c r="A306">
        <v>2017</v>
      </c>
      <c r="B306">
        <v>8</v>
      </c>
      <c r="C306" t="s">
        <v>38</v>
      </c>
      <c r="D306" t="s">
        <v>33</v>
      </c>
      <c r="E306" t="s">
        <v>20</v>
      </c>
      <c r="F306" t="s">
        <v>23</v>
      </c>
      <c r="G306" s="1">
        <v>103244</v>
      </c>
      <c r="H306" s="1">
        <v>349266</v>
      </c>
      <c r="I306">
        <v>211</v>
      </c>
      <c r="J306">
        <v>0.97</v>
      </c>
      <c r="K306">
        <v>6.29</v>
      </c>
      <c r="L306">
        <v>1.2</v>
      </c>
      <c r="M306">
        <v>10</v>
      </c>
      <c r="N306" s="1">
        <f>bmw_global_sales_dataset[[#This Row],[units_sold]]*bmw_global_sales_dataset[[#This Row],[price_usd]]</f>
        <v>84763324</v>
      </c>
      <c r="O306">
        <v>821</v>
      </c>
    </row>
    <row r="307" spans="1:15" x14ac:dyDescent="0.35">
      <c r="A307">
        <v>2017</v>
      </c>
      <c r="B307">
        <v>7</v>
      </c>
      <c r="C307" t="s">
        <v>21</v>
      </c>
      <c r="D307" t="s">
        <v>29</v>
      </c>
      <c r="E307" t="s">
        <v>19</v>
      </c>
      <c r="F307" t="s">
        <v>20</v>
      </c>
      <c r="G307" s="1">
        <v>86272</v>
      </c>
      <c r="H307" s="1">
        <v>254354</v>
      </c>
      <c r="I307">
        <v>57</v>
      </c>
      <c r="J307">
        <v>0.97</v>
      </c>
      <c r="K307">
        <v>6.29</v>
      </c>
      <c r="L307">
        <v>1.2</v>
      </c>
      <c r="M307">
        <v>3</v>
      </c>
      <c r="N307" s="1">
        <f>bmw_global_sales_dataset[[#This Row],[units_sold]]*bmw_global_sales_dataset[[#This Row],[price_usd]]</f>
        <v>12940800</v>
      </c>
      <c r="O307">
        <v>150</v>
      </c>
    </row>
    <row r="308" spans="1:15" x14ac:dyDescent="0.35">
      <c r="A308">
        <v>2017</v>
      </c>
      <c r="B308">
        <v>6</v>
      </c>
      <c r="C308" t="s">
        <v>25</v>
      </c>
      <c r="D308" t="s">
        <v>18</v>
      </c>
      <c r="E308" t="s">
        <v>20</v>
      </c>
      <c r="F308" t="s">
        <v>23</v>
      </c>
      <c r="G308" s="1">
        <v>67924</v>
      </c>
      <c r="H308" s="1">
        <v>494958</v>
      </c>
      <c r="I308">
        <v>158</v>
      </c>
      <c r="J308">
        <v>0.97</v>
      </c>
      <c r="K308">
        <v>6.29</v>
      </c>
      <c r="L308">
        <v>1.2</v>
      </c>
      <c r="M308">
        <v>5</v>
      </c>
      <c r="N308" s="1">
        <f>bmw_global_sales_dataset[[#This Row],[units_sold]]*bmw_global_sales_dataset[[#This Row],[price_usd]]</f>
        <v>39124224</v>
      </c>
      <c r="O308">
        <v>576</v>
      </c>
    </row>
    <row r="309" spans="1:15" x14ac:dyDescent="0.35">
      <c r="A309">
        <v>2017</v>
      </c>
      <c r="B309">
        <v>11</v>
      </c>
      <c r="C309" t="s">
        <v>30</v>
      </c>
      <c r="D309" t="s">
        <v>24</v>
      </c>
      <c r="E309" t="s">
        <v>19</v>
      </c>
      <c r="F309" t="s">
        <v>17</v>
      </c>
      <c r="G309" s="1">
        <v>89675</v>
      </c>
      <c r="H309" s="1">
        <v>300694</v>
      </c>
      <c r="I309">
        <v>315</v>
      </c>
      <c r="J309">
        <v>0.97</v>
      </c>
      <c r="K309">
        <v>6.29</v>
      </c>
      <c r="L309">
        <v>1.2</v>
      </c>
      <c r="M309">
        <v>3</v>
      </c>
      <c r="N309" s="1">
        <f>bmw_global_sales_dataset[[#This Row],[units_sold]]*bmw_global_sales_dataset[[#This Row],[price_usd]]</f>
        <v>92275575</v>
      </c>
      <c r="O309">
        <v>1029</v>
      </c>
    </row>
    <row r="310" spans="1:15" x14ac:dyDescent="0.35">
      <c r="A310">
        <v>2017</v>
      </c>
      <c r="B310">
        <v>1</v>
      </c>
      <c r="C310" t="s">
        <v>37</v>
      </c>
      <c r="D310" t="s">
        <v>31</v>
      </c>
      <c r="E310" t="s">
        <v>16</v>
      </c>
      <c r="F310" t="s">
        <v>17</v>
      </c>
      <c r="G310" s="1">
        <v>105190</v>
      </c>
      <c r="H310" s="1">
        <v>284561</v>
      </c>
      <c r="I310">
        <v>150</v>
      </c>
      <c r="J310">
        <v>0.97</v>
      </c>
      <c r="K310">
        <v>6.29</v>
      </c>
      <c r="L310">
        <v>1.2</v>
      </c>
      <c r="M310">
        <v>1</v>
      </c>
      <c r="N310" s="1">
        <f>bmw_global_sales_dataset[[#This Row],[units_sold]]*bmw_global_sales_dataset[[#This Row],[price_usd]]</f>
        <v>54172850</v>
      </c>
      <c r="O310">
        <v>515</v>
      </c>
    </row>
    <row r="311" spans="1:15" x14ac:dyDescent="0.35">
      <c r="A311">
        <v>2017</v>
      </c>
      <c r="B311">
        <v>5</v>
      </c>
      <c r="C311" t="s">
        <v>30</v>
      </c>
      <c r="D311" t="s">
        <v>15</v>
      </c>
      <c r="E311" t="s">
        <v>19</v>
      </c>
      <c r="F311" t="s">
        <v>27</v>
      </c>
      <c r="G311" s="1">
        <v>54810</v>
      </c>
      <c r="H311" s="1">
        <v>96705</v>
      </c>
      <c r="I311">
        <v>167</v>
      </c>
      <c r="J311">
        <v>0.97</v>
      </c>
      <c r="K311">
        <v>6.29</v>
      </c>
      <c r="L311">
        <v>1.2</v>
      </c>
      <c r="M311">
        <v>6</v>
      </c>
      <c r="N311" s="1">
        <f>bmw_global_sales_dataset[[#This Row],[units_sold]]*bmw_global_sales_dataset[[#This Row],[price_usd]]</f>
        <v>36339030</v>
      </c>
      <c r="O311">
        <v>663</v>
      </c>
    </row>
    <row r="312" spans="1:15" x14ac:dyDescent="0.35">
      <c r="A312">
        <v>2017</v>
      </c>
      <c r="B312">
        <v>1</v>
      </c>
      <c r="C312" t="s">
        <v>28</v>
      </c>
      <c r="D312" t="s">
        <v>18</v>
      </c>
      <c r="E312" t="s">
        <v>19</v>
      </c>
      <c r="F312" t="s">
        <v>23</v>
      </c>
      <c r="G312" s="1">
        <v>92204</v>
      </c>
      <c r="H312" s="1">
        <v>139326</v>
      </c>
      <c r="I312">
        <v>335</v>
      </c>
      <c r="J312">
        <v>0.97</v>
      </c>
      <c r="K312">
        <v>6.29</v>
      </c>
      <c r="L312">
        <v>1.2</v>
      </c>
      <c r="M312">
        <v>4</v>
      </c>
      <c r="N312" s="1">
        <f>bmw_global_sales_dataset[[#This Row],[units_sold]]*bmw_global_sales_dataset[[#This Row],[price_usd]]</f>
        <v>64358392</v>
      </c>
      <c r="O312">
        <v>698</v>
      </c>
    </row>
    <row r="313" spans="1:15" x14ac:dyDescent="0.35">
      <c r="A313">
        <v>2018</v>
      </c>
      <c r="B313">
        <v>8</v>
      </c>
      <c r="C313" t="s">
        <v>14</v>
      </c>
      <c r="D313" t="s">
        <v>18</v>
      </c>
      <c r="E313" t="s">
        <v>19</v>
      </c>
      <c r="F313" t="s">
        <v>20</v>
      </c>
      <c r="G313" s="1">
        <v>82291</v>
      </c>
      <c r="H313" s="1">
        <v>447798</v>
      </c>
      <c r="I313">
        <v>234</v>
      </c>
      <c r="J313">
        <v>0.97</v>
      </c>
      <c r="K313">
        <v>6.29</v>
      </c>
      <c r="L313">
        <v>1.2</v>
      </c>
      <c r="M313">
        <v>7</v>
      </c>
      <c r="N313" s="1">
        <f>bmw_global_sales_dataset[[#This Row],[units_sold]]*bmw_global_sales_dataset[[#This Row],[price_usd]]</f>
        <v>45753796</v>
      </c>
      <c r="O313">
        <v>556</v>
      </c>
    </row>
    <row r="314" spans="1:15" x14ac:dyDescent="0.35">
      <c r="A314">
        <v>2018</v>
      </c>
      <c r="B314">
        <v>5</v>
      </c>
      <c r="C314" t="s">
        <v>32</v>
      </c>
      <c r="D314" t="s">
        <v>22</v>
      </c>
      <c r="E314" t="s">
        <v>20</v>
      </c>
      <c r="F314" t="s">
        <v>20</v>
      </c>
      <c r="G314" s="1">
        <v>92514</v>
      </c>
      <c r="H314" s="1">
        <v>228986</v>
      </c>
      <c r="I314">
        <v>178</v>
      </c>
      <c r="J314">
        <v>0.97</v>
      </c>
      <c r="K314">
        <v>6.29</v>
      </c>
      <c r="L314">
        <v>1.2</v>
      </c>
      <c r="M314">
        <v>2</v>
      </c>
      <c r="N314" s="1">
        <f>bmw_global_sales_dataset[[#This Row],[units_sold]]*bmw_global_sales_dataset[[#This Row],[price_usd]]</f>
        <v>41353758</v>
      </c>
      <c r="O314">
        <v>447</v>
      </c>
    </row>
    <row r="315" spans="1:15" x14ac:dyDescent="0.35">
      <c r="A315">
        <v>2018</v>
      </c>
      <c r="B315">
        <v>6</v>
      </c>
      <c r="C315" t="s">
        <v>37</v>
      </c>
      <c r="D315" t="s">
        <v>18</v>
      </c>
      <c r="E315" t="s">
        <v>16</v>
      </c>
      <c r="F315" t="s">
        <v>23</v>
      </c>
      <c r="G315" s="1">
        <v>98014</v>
      </c>
      <c r="H315" s="1">
        <v>65116</v>
      </c>
      <c r="I315">
        <v>47</v>
      </c>
      <c r="J315">
        <v>0.97</v>
      </c>
      <c r="K315">
        <v>6.29</v>
      </c>
      <c r="L315">
        <v>1.2</v>
      </c>
      <c r="M315">
        <v>2</v>
      </c>
      <c r="N315" s="1">
        <f>bmw_global_sales_dataset[[#This Row],[units_sold]]*bmw_global_sales_dataset[[#This Row],[price_usd]]</f>
        <v>38911558</v>
      </c>
      <c r="O315">
        <v>397</v>
      </c>
    </row>
    <row r="316" spans="1:15" x14ac:dyDescent="0.35">
      <c r="A316">
        <v>2018</v>
      </c>
      <c r="B316">
        <v>5</v>
      </c>
      <c r="C316" t="s">
        <v>25</v>
      </c>
      <c r="D316" t="s">
        <v>26</v>
      </c>
      <c r="E316" t="s">
        <v>19</v>
      </c>
      <c r="F316" t="s">
        <v>17</v>
      </c>
      <c r="G316" s="1">
        <v>95197</v>
      </c>
      <c r="H316" s="1">
        <v>395665</v>
      </c>
      <c r="I316">
        <v>191</v>
      </c>
      <c r="J316">
        <v>0.97</v>
      </c>
      <c r="K316">
        <v>6.29</v>
      </c>
      <c r="L316">
        <v>1.2</v>
      </c>
      <c r="M316">
        <v>2</v>
      </c>
      <c r="N316" s="1">
        <f>bmw_global_sales_dataset[[#This Row],[units_sold]]*bmw_global_sales_dataset[[#This Row],[price_usd]]</f>
        <v>76633585</v>
      </c>
      <c r="O316">
        <v>805</v>
      </c>
    </row>
    <row r="317" spans="1:15" x14ac:dyDescent="0.35">
      <c r="A317">
        <v>2018</v>
      </c>
      <c r="B317">
        <v>3</v>
      </c>
      <c r="C317" t="s">
        <v>21</v>
      </c>
      <c r="D317" t="s">
        <v>26</v>
      </c>
      <c r="E317" t="s">
        <v>19</v>
      </c>
      <c r="F317" t="s">
        <v>20</v>
      </c>
      <c r="G317" s="1">
        <v>47615</v>
      </c>
      <c r="H317" s="1">
        <v>343459</v>
      </c>
      <c r="I317">
        <v>38</v>
      </c>
      <c r="J317">
        <v>0.97</v>
      </c>
      <c r="K317">
        <v>6.29</v>
      </c>
      <c r="L317">
        <v>1.2</v>
      </c>
      <c r="M317">
        <v>4</v>
      </c>
      <c r="N317" s="1">
        <f>bmw_global_sales_dataset[[#This Row],[units_sold]]*bmw_global_sales_dataset[[#This Row],[price_usd]]</f>
        <v>10713375</v>
      </c>
      <c r="O317">
        <v>225</v>
      </c>
    </row>
    <row r="318" spans="1:15" x14ac:dyDescent="0.35">
      <c r="A318">
        <v>2018</v>
      </c>
      <c r="B318">
        <v>6</v>
      </c>
      <c r="C318" t="s">
        <v>35</v>
      </c>
      <c r="D318" t="s">
        <v>22</v>
      </c>
      <c r="E318" t="s">
        <v>16</v>
      </c>
      <c r="F318" t="s">
        <v>20</v>
      </c>
      <c r="G318" s="1">
        <v>55746</v>
      </c>
      <c r="H318" s="1">
        <v>262235</v>
      </c>
      <c r="I318">
        <v>212</v>
      </c>
      <c r="J318">
        <v>0.97</v>
      </c>
      <c r="K318">
        <v>6.29</v>
      </c>
      <c r="L318">
        <v>1.2</v>
      </c>
      <c r="M318">
        <v>7</v>
      </c>
      <c r="N318" s="1">
        <f>bmw_global_sales_dataset[[#This Row],[units_sold]]*bmw_global_sales_dataset[[#This Row],[price_usd]]</f>
        <v>37851534</v>
      </c>
      <c r="O318">
        <v>679</v>
      </c>
    </row>
    <row r="319" spans="1:15" x14ac:dyDescent="0.35">
      <c r="A319">
        <v>2018</v>
      </c>
      <c r="B319">
        <v>2</v>
      </c>
      <c r="C319" t="s">
        <v>35</v>
      </c>
      <c r="D319" t="s">
        <v>31</v>
      </c>
      <c r="E319" t="s">
        <v>20</v>
      </c>
      <c r="F319" t="s">
        <v>20</v>
      </c>
      <c r="G319" s="1">
        <v>36893</v>
      </c>
      <c r="H319" s="1">
        <v>403791</v>
      </c>
      <c r="I319">
        <v>232</v>
      </c>
      <c r="J319">
        <v>0.97</v>
      </c>
      <c r="K319">
        <v>6.29</v>
      </c>
      <c r="L319">
        <v>1.2</v>
      </c>
      <c r="M319">
        <v>2</v>
      </c>
      <c r="N319" s="1">
        <f>bmw_global_sales_dataset[[#This Row],[units_sold]]*bmw_global_sales_dataset[[#This Row],[price_usd]]</f>
        <v>19700862</v>
      </c>
      <c r="O319">
        <v>534</v>
      </c>
    </row>
    <row r="320" spans="1:15" x14ac:dyDescent="0.35">
      <c r="A320">
        <v>2018</v>
      </c>
      <c r="B320">
        <v>11</v>
      </c>
      <c r="C320" t="s">
        <v>35</v>
      </c>
      <c r="D320" t="s">
        <v>26</v>
      </c>
      <c r="E320" t="s">
        <v>16</v>
      </c>
      <c r="F320" t="s">
        <v>27</v>
      </c>
      <c r="G320" s="1">
        <v>56199</v>
      </c>
      <c r="H320" s="1">
        <v>429553</v>
      </c>
      <c r="I320">
        <v>173</v>
      </c>
      <c r="J320">
        <v>0.97</v>
      </c>
      <c r="K320">
        <v>6.29</v>
      </c>
      <c r="L320">
        <v>1.2</v>
      </c>
      <c r="M320">
        <v>3</v>
      </c>
      <c r="N320" s="1">
        <f>bmw_global_sales_dataset[[#This Row],[units_sold]]*bmw_global_sales_dataset[[#This Row],[price_usd]]</f>
        <v>30010266</v>
      </c>
      <c r="O320">
        <v>534</v>
      </c>
    </row>
    <row r="321" spans="1:15" x14ac:dyDescent="0.35">
      <c r="A321">
        <v>2018</v>
      </c>
      <c r="B321">
        <v>8</v>
      </c>
      <c r="C321" t="s">
        <v>25</v>
      </c>
      <c r="D321" t="s">
        <v>18</v>
      </c>
      <c r="E321" t="s">
        <v>20</v>
      </c>
      <c r="F321" t="s">
        <v>23</v>
      </c>
      <c r="G321" s="1">
        <v>44290</v>
      </c>
      <c r="H321" s="1">
        <v>301071</v>
      </c>
      <c r="I321">
        <v>300</v>
      </c>
      <c r="J321">
        <v>0.97</v>
      </c>
      <c r="K321">
        <v>6.29</v>
      </c>
      <c r="L321">
        <v>1.2</v>
      </c>
      <c r="M321">
        <v>9</v>
      </c>
      <c r="N321" s="1">
        <f>bmw_global_sales_dataset[[#This Row],[units_sold]]*bmw_global_sales_dataset[[#This Row],[price_usd]]</f>
        <v>42119790</v>
      </c>
      <c r="O321">
        <v>951</v>
      </c>
    </row>
    <row r="322" spans="1:15" x14ac:dyDescent="0.35">
      <c r="A322">
        <v>2018</v>
      </c>
      <c r="B322">
        <v>1</v>
      </c>
      <c r="C322" t="s">
        <v>35</v>
      </c>
      <c r="D322" t="s">
        <v>22</v>
      </c>
      <c r="E322" t="s">
        <v>19</v>
      </c>
      <c r="F322" t="s">
        <v>23</v>
      </c>
      <c r="G322" s="1">
        <v>45310</v>
      </c>
      <c r="H322" s="1">
        <v>463440</v>
      </c>
      <c r="I322">
        <v>183</v>
      </c>
      <c r="J322">
        <v>0.97</v>
      </c>
      <c r="K322">
        <v>6.29</v>
      </c>
      <c r="L322">
        <v>1.2</v>
      </c>
      <c r="M322">
        <v>8</v>
      </c>
      <c r="N322" s="1">
        <f>bmw_global_sales_dataset[[#This Row],[units_sold]]*bmw_global_sales_dataset[[#This Row],[price_usd]]</f>
        <v>19075510</v>
      </c>
      <c r="O322">
        <v>421</v>
      </c>
    </row>
    <row r="323" spans="1:15" x14ac:dyDescent="0.35">
      <c r="A323">
        <v>2018</v>
      </c>
      <c r="B323">
        <v>7</v>
      </c>
      <c r="C323" t="s">
        <v>14</v>
      </c>
      <c r="D323" t="s">
        <v>15</v>
      </c>
      <c r="E323" t="s">
        <v>20</v>
      </c>
      <c r="F323" t="s">
        <v>27</v>
      </c>
      <c r="G323" s="1">
        <v>98965</v>
      </c>
      <c r="H323" s="1">
        <v>417371</v>
      </c>
      <c r="I323">
        <v>226</v>
      </c>
      <c r="J323">
        <v>0.97</v>
      </c>
      <c r="K323">
        <v>6.29</v>
      </c>
      <c r="L323">
        <v>1.2</v>
      </c>
      <c r="M323">
        <v>2</v>
      </c>
      <c r="N323" s="1">
        <f>bmw_global_sales_dataset[[#This Row],[units_sold]]*bmw_global_sales_dataset[[#This Row],[price_usd]]</f>
        <v>54529715</v>
      </c>
      <c r="O323">
        <v>551</v>
      </c>
    </row>
    <row r="324" spans="1:15" x14ac:dyDescent="0.35">
      <c r="A324">
        <v>2018</v>
      </c>
      <c r="B324">
        <v>7</v>
      </c>
      <c r="C324" t="s">
        <v>14</v>
      </c>
      <c r="D324" t="s">
        <v>34</v>
      </c>
      <c r="E324" t="s">
        <v>19</v>
      </c>
      <c r="F324" t="s">
        <v>20</v>
      </c>
      <c r="G324" s="1">
        <v>43947</v>
      </c>
      <c r="H324" s="1">
        <v>474041</v>
      </c>
      <c r="I324">
        <v>208</v>
      </c>
      <c r="J324">
        <v>0.97</v>
      </c>
      <c r="K324">
        <v>6.29</v>
      </c>
      <c r="L324">
        <v>1.2</v>
      </c>
      <c r="M324">
        <v>3</v>
      </c>
      <c r="N324" s="1">
        <f>bmw_global_sales_dataset[[#This Row],[units_sold]]*bmw_global_sales_dataset[[#This Row],[price_usd]]</f>
        <v>36783639</v>
      </c>
      <c r="O324">
        <v>837</v>
      </c>
    </row>
    <row r="325" spans="1:15" x14ac:dyDescent="0.35">
      <c r="A325">
        <v>2018</v>
      </c>
      <c r="B325">
        <v>8</v>
      </c>
      <c r="C325" t="s">
        <v>28</v>
      </c>
      <c r="D325" t="s">
        <v>29</v>
      </c>
      <c r="E325" t="s">
        <v>19</v>
      </c>
      <c r="F325" t="s">
        <v>27</v>
      </c>
      <c r="G325" s="1">
        <v>51122</v>
      </c>
      <c r="H325" s="1">
        <v>320665</v>
      </c>
      <c r="I325">
        <v>67</v>
      </c>
      <c r="J325">
        <v>0.97</v>
      </c>
      <c r="K325">
        <v>6.29</v>
      </c>
      <c r="L325">
        <v>1.2</v>
      </c>
      <c r="M325">
        <v>1</v>
      </c>
      <c r="N325" s="1">
        <f>bmw_global_sales_dataset[[#This Row],[units_sold]]*bmw_global_sales_dataset[[#This Row],[price_usd]]</f>
        <v>27094660</v>
      </c>
      <c r="O325">
        <v>530</v>
      </c>
    </row>
    <row r="326" spans="1:15" x14ac:dyDescent="0.35">
      <c r="A326">
        <v>2018</v>
      </c>
      <c r="B326">
        <v>2</v>
      </c>
      <c r="C326" t="s">
        <v>38</v>
      </c>
      <c r="D326" t="s">
        <v>26</v>
      </c>
      <c r="E326" t="s">
        <v>20</v>
      </c>
      <c r="F326" t="s">
        <v>17</v>
      </c>
      <c r="G326" s="1">
        <v>116384</v>
      </c>
      <c r="H326" s="1">
        <v>220635</v>
      </c>
      <c r="I326">
        <v>294</v>
      </c>
      <c r="J326">
        <v>0.97</v>
      </c>
      <c r="K326">
        <v>6.29</v>
      </c>
      <c r="L326">
        <v>1.2</v>
      </c>
      <c r="M326">
        <v>5</v>
      </c>
      <c r="N326" s="1">
        <f>bmw_global_sales_dataset[[#This Row],[units_sold]]*bmw_global_sales_dataset[[#This Row],[price_usd]]</f>
        <v>89499296</v>
      </c>
      <c r="O326">
        <v>769</v>
      </c>
    </row>
    <row r="327" spans="1:15" x14ac:dyDescent="0.35">
      <c r="A327">
        <v>2018</v>
      </c>
      <c r="B327">
        <v>1</v>
      </c>
      <c r="C327" t="s">
        <v>25</v>
      </c>
      <c r="D327" t="s">
        <v>33</v>
      </c>
      <c r="E327" t="s">
        <v>20</v>
      </c>
      <c r="F327" t="s">
        <v>23</v>
      </c>
      <c r="G327" s="1">
        <v>42211</v>
      </c>
      <c r="H327" s="1">
        <v>453708</v>
      </c>
      <c r="I327">
        <v>23</v>
      </c>
      <c r="J327">
        <v>0.97</v>
      </c>
      <c r="K327">
        <v>6.29</v>
      </c>
      <c r="L327">
        <v>1.2</v>
      </c>
      <c r="M327">
        <v>10</v>
      </c>
      <c r="N327" s="1">
        <f>bmw_global_sales_dataset[[#This Row],[units_sold]]*bmw_global_sales_dataset[[#This Row],[price_usd]]</f>
        <v>5107531</v>
      </c>
      <c r="O327">
        <v>121</v>
      </c>
    </row>
    <row r="328" spans="1:15" x14ac:dyDescent="0.35">
      <c r="A328">
        <v>2018</v>
      </c>
      <c r="B328">
        <v>3</v>
      </c>
      <c r="C328" t="s">
        <v>30</v>
      </c>
      <c r="D328" t="s">
        <v>34</v>
      </c>
      <c r="E328" t="s">
        <v>16</v>
      </c>
      <c r="F328" t="s">
        <v>20</v>
      </c>
      <c r="G328" s="1">
        <v>109852</v>
      </c>
      <c r="H328" s="1">
        <v>375361</v>
      </c>
      <c r="I328">
        <v>258</v>
      </c>
      <c r="J328">
        <v>0.97</v>
      </c>
      <c r="K328">
        <v>6.29</v>
      </c>
      <c r="L328">
        <v>1.2</v>
      </c>
      <c r="M328">
        <v>9</v>
      </c>
      <c r="N328" s="1">
        <f>bmw_global_sales_dataset[[#This Row],[units_sold]]*bmw_global_sales_dataset[[#This Row],[price_usd]]</f>
        <v>57013188</v>
      </c>
      <c r="O328">
        <v>519</v>
      </c>
    </row>
    <row r="329" spans="1:15" x14ac:dyDescent="0.35">
      <c r="A329">
        <v>2018</v>
      </c>
      <c r="B329">
        <v>3</v>
      </c>
      <c r="C329" t="s">
        <v>30</v>
      </c>
      <c r="D329" t="s">
        <v>18</v>
      </c>
      <c r="E329" t="s">
        <v>20</v>
      </c>
      <c r="F329" t="s">
        <v>27</v>
      </c>
      <c r="G329" s="1">
        <v>38956</v>
      </c>
      <c r="H329" s="1">
        <v>223501</v>
      </c>
      <c r="I329">
        <v>138</v>
      </c>
      <c r="J329">
        <v>0.97</v>
      </c>
      <c r="K329">
        <v>6.29</v>
      </c>
      <c r="L329">
        <v>1.2</v>
      </c>
      <c r="M329">
        <v>1</v>
      </c>
      <c r="N329" s="1">
        <f>bmw_global_sales_dataset[[#This Row],[units_sold]]*bmw_global_sales_dataset[[#This Row],[price_usd]]</f>
        <v>17802892</v>
      </c>
      <c r="O329">
        <v>457</v>
      </c>
    </row>
    <row r="330" spans="1:15" x14ac:dyDescent="0.35">
      <c r="A330">
        <v>2018</v>
      </c>
      <c r="B330">
        <v>10</v>
      </c>
      <c r="C330" t="s">
        <v>28</v>
      </c>
      <c r="D330" t="s">
        <v>29</v>
      </c>
      <c r="E330" t="s">
        <v>19</v>
      </c>
      <c r="F330" t="s">
        <v>23</v>
      </c>
      <c r="G330" s="1">
        <v>98851</v>
      </c>
      <c r="H330" s="1">
        <v>375897</v>
      </c>
      <c r="I330">
        <v>15</v>
      </c>
      <c r="J330">
        <v>0.97</v>
      </c>
      <c r="K330">
        <v>6.29</v>
      </c>
      <c r="L330">
        <v>1.2</v>
      </c>
      <c r="M330">
        <v>10</v>
      </c>
      <c r="N330" s="1">
        <f>bmw_global_sales_dataset[[#This Row],[units_sold]]*bmw_global_sales_dataset[[#This Row],[price_usd]]</f>
        <v>17101223</v>
      </c>
      <c r="O330">
        <v>173</v>
      </c>
    </row>
    <row r="331" spans="1:15" x14ac:dyDescent="0.35">
      <c r="A331">
        <v>2018</v>
      </c>
      <c r="B331">
        <v>9</v>
      </c>
      <c r="C331" t="s">
        <v>36</v>
      </c>
      <c r="D331" t="s">
        <v>31</v>
      </c>
      <c r="E331" t="s">
        <v>20</v>
      </c>
      <c r="F331" t="s">
        <v>17</v>
      </c>
      <c r="G331" s="1">
        <v>64793</v>
      </c>
      <c r="H331" s="1">
        <v>289654</v>
      </c>
      <c r="I331">
        <v>96</v>
      </c>
      <c r="J331">
        <v>0.97</v>
      </c>
      <c r="K331">
        <v>6.29</v>
      </c>
      <c r="L331">
        <v>1.2</v>
      </c>
      <c r="M331">
        <v>9</v>
      </c>
      <c r="N331" s="1">
        <f>bmw_global_sales_dataset[[#This Row],[units_sold]]*bmw_global_sales_dataset[[#This Row],[price_usd]]</f>
        <v>32396500</v>
      </c>
      <c r="O331">
        <v>500</v>
      </c>
    </row>
    <row r="332" spans="1:15" x14ac:dyDescent="0.35">
      <c r="A332">
        <v>2018</v>
      </c>
      <c r="B332">
        <v>8</v>
      </c>
      <c r="C332" t="s">
        <v>30</v>
      </c>
      <c r="D332" t="s">
        <v>31</v>
      </c>
      <c r="E332" t="s">
        <v>16</v>
      </c>
      <c r="F332" t="s">
        <v>20</v>
      </c>
      <c r="G332" s="1">
        <v>74516</v>
      </c>
      <c r="H332" s="1">
        <v>477991</v>
      </c>
      <c r="I332">
        <v>11</v>
      </c>
      <c r="J332">
        <v>0.97</v>
      </c>
      <c r="K332">
        <v>6.29</v>
      </c>
      <c r="L332">
        <v>1.2</v>
      </c>
      <c r="M332">
        <v>8</v>
      </c>
      <c r="N332" s="1">
        <f>bmw_global_sales_dataset[[#This Row],[units_sold]]*bmw_global_sales_dataset[[#This Row],[price_usd]]</f>
        <v>10581272</v>
      </c>
      <c r="O332">
        <v>142</v>
      </c>
    </row>
    <row r="333" spans="1:15" x14ac:dyDescent="0.35">
      <c r="A333">
        <v>2018</v>
      </c>
      <c r="B333">
        <v>6</v>
      </c>
      <c r="C333" t="s">
        <v>37</v>
      </c>
      <c r="D333" t="s">
        <v>33</v>
      </c>
      <c r="E333" t="s">
        <v>20</v>
      </c>
      <c r="F333" t="s">
        <v>17</v>
      </c>
      <c r="G333" s="1">
        <v>87248</v>
      </c>
      <c r="H333" s="1">
        <v>183851</v>
      </c>
      <c r="I333">
        <v>33</v>
      </c>
      <c r="J333">
        <v>0.97</v>
      </c>
      <c r="K333">
        <v>6.29</v>
      </c>
      <c r="L333">
        <v>1.2</v>
      </c>
      <c r="M333">
        <v>1</v>
      </c>
      <c r="N333" s="1">
        <f>bmw_global_sales_dataset[[#This Row],[units_sold]]*bmw_global_sales_dataset[[#This Row],[price_usd]]</f>
        <v>41617296</v>
      </c>
      <c r="O333">
        <v>477</v>
      </c>
    </row>
    <row r="334" spans="1:15" x14ac:dyDescent="0.35">
      <c r="A334">
        <v>2018</v>
      </c>
      <c r="B334">
        <v>11</v>
      </c>
      <c r="C334" t="s">
        <v>38</v>
      </c>
      <c r="D334" t="s">
        <v>31</v>
      </c>
      <c r="E334" t="s">
        <v>16</v>
      </c>
      <c r="F334" t="s">
        <v>23</v>
      </c>
      <c r="G334" s="1">
        <v>79116</v>
      </c>
      <c r="H334" s="1">
        <v>181827</v>
      </c>
      <c r="I334">
        <v>221</v>
      </c>
      <c r="J334">
        <v>0.97</v>
      </c>
      <c r="K334">
        <v>6.29</v>
      </c>
      <c r="L334">
        <v>1.2</v>
      </c>
      <c r="M334">
        <v>10</v>
      </c>
      <c r="N334" s="1">
        <f>bmw_global_sales_dataset[[#This Row],[units_sold]]*bmw_global_sales_dataset[[#This Row],[price_usd]]</f>
        <v>61789596</v>
      </c>
      <c r="O334">
        <v>781</v>
      </c>
    </row>
    <row r="335" spans="1:15" x14ac:dyDescent="0.35">
      <c r="A335">
        <v>2018</v>
      </c>
      <c r="B335">
        <v>5</v>
      </c>
      <c r="C335" t="s">
        <v>38</v>
      </c>
      <c r="D335" t="s">
        <v>39</v>
      </c>
      <c r="E335" t="s">
        <v>16</v>
      </c>
      <c r="F335" t="s">
        <v>23</v>
      </c>
      <c r="G335" s="1">
        <v>106042</v>
      </c>
      <c r="H335" s="1">
        <v>411185</v>
      </c>
      <c r="I335">
        <v>44</v>
      </c>
      <c r="J335">
        <v>0.97</v>
      </c>
      <c r="K335">
        <v>6.29</v>
      </c>
      <c r="L335">
        <v>1.2</v>
      </c>
      <c r="M335">
        <v>6</v>
      </c>
      <c r="N335" s="1">
        <f>bmw_global_sales_dataset[[#This Row],[units_sold]]*bmw_global_sales_dataset[[#This Row],[price_usd]]</f>
        <v>16118384</v>
      </c>
      <c r="O335">
        <v>152</v>
      </c>
    </row>
    <row r="336" spans="1:15" x14ac:dyDescent="0.35">
      <c r="A336">
        <v>2018</v>
      </c>
      <c r="B336">
        <v>6</v>
      </c>
      <c r="C336" t="s">
        <v>14</v>
      </c>
      <c r="D336" t="s">
        <v>34</v>
      </c>
      <c r="E336" t="s">
        <v>16</v>
      </c>
      <c r="F336" t="s">
        <v>17</v>
      </c>
      <c r="G336" s="1">
        <v>78129</v>
      </c>
      <c r="H336" s="1">
        <v>390497</v>
      </c>
      <c r="I336">
        <v>227</v>
      </c>
      <c r="J336">
        <v>0.97</v>
      </c>
      <c r="K336">
        <v>6.29</v>
      </c>
      <c r="L336">
        <v>1.2</v>
      </c>
      <c r="M336">
        <v>10</v>
      </c>
      <c r="N336" s="1">
        <f>bmw_global_sales_dataset[[#This Row],[units_sold]]*bmw_global_sales_dataset[[#This Row],[price_usd]]</f>
        <v>42033402</v>
      </c>
      <c r="O336">
        <v>538</v>
      </c>
    </row>
    <row r="337" spans="1:15" x14ac:dyDescent="0.35">
      <c r="A337">
        <v>2018</v>
      </c>
      <c r="B337">
        <v>5</v>
      </c>
      <c r="C337" t="s">
        <v>37</v>
      </c>
      <c r="D337" t="s">
        <v>24</v>
      </c>
      <c r="E337" t="s">
        <v>20</v>
      </c>
      <c r="F337" t="s">
        <v>20</v>
      </c>
      <c r="G337" s="1">
        <v>92174</v>
      </c>
      <c r="H337" s="1">
        <v>496242</v>
      </c>
      <c r="I337">
        <v>112</v>
      </c>
      <c r="J337">
        <v>0.97</v>
      </c>
      <c r="K337">
        <v>6.29</v>
      </c>
      <c r="L337">
        <v>1.2</v>
      </c>
      <c r="M337">
        <v>4</v>
      </c>
      <c r="N337" s="1">
        <f>bmw_global_sales_dataset[[#This Row],[units_sold]]*bmw_global_sales_dataset[[#This Row],[price_usd]]</f>
        <v>50050482</v>
      </c>
      <c r="O337">
        <v>543</v>
      </c>
    </row>
    <row r="338" spans="1:15" x14ac:dyDescent="0.35">
      <c r="A338">
        <v>2018</v>
      </c>
      <c r="B338">
        <v>1</v>
      </c>
      <c r="C338" t="s">
        <v>38</v>
      </c>
      <c r="D338" t="s">
        <v>31</v>
      </c>
      <c r="E338" t="s">
        <v>20</v>
      </c>
      <c r="F338" t="s">
        <v>17</v>
      </c>
      <c r="G338" s="1">
        <v>95610</v>
      </c>
      <c r="H338" s="1">
        <v>73548</v>
      </c>
      <c r="I338">
        <v>224</v>
      </c>
      <c r="J338">
        <v>0.97</v>
      </c>
      <c r="K338">
        <v>6.29</v>
      </c>
      <c r="L338">
        <v>1.2</v>
      </c>
      <c r="M338">
        <v>8</v>
      </c>
      <c r="N338" s="1">
        <f>bmw_global_sales_dataset[[#This Row],[units_sold]]*bmw_global_sales_dataset[[#This Row],[price_usd]]</f>
        <v>65492850</v>
      </c>
      <c r="O338">
        <v>685</v>
      </c>
    </row>
    <row r="339" spans="1:15" x14ac:dyDescent="0.35">
      <c r="A339">
        <v>2018</v>
      </c>
      <c r="B339">
        <v>12</v>
      </c>
      <c r="C339" t="s">
        <v>37</v>
      </c>
      <c r="D339" t="s">
        <v>34</v>
      </c>
      <c r="E339" t="s">
        <v>19</v>
      </c>
      <c r="F339" t="s">
        <v>20</v>
      </c>
      <c r="G339" s="1">
        <v>107013</v>
      </c>
      <c r="H339" s="1">
        <v>483917</v>
      </c>
      <c r="I339">
        <v>268</v>
      </c>
      <c r="J339">
        <v>0.97</v>
      </c>
      <c r="K339">
        <v>6.29</v>
      </c>
      <c r="L339">
        <v>1.2</v>
      </c>
      <c r="M339">
        <v>6</v>
      </c>
      <c r="N339" s="1">
        <f>bmw_global_sales_dataset[[#This Row],[units_sold]]*bmw_global_sales_dataset[[#This Row],[price_usd]]</f>
        <v>89890920</v>
      </c>
      <c r="O339">
        <v>840</v>
      </c>
    </row>
    <row r="340" spans="1:15" x14ac:dyDescent="0.35">
      <c r="A340">
        <v>2018</v>
      </c>
      <c r="B340">
        <v>10</v>
      </c>
      <c r="C340" t="s">
        <v>25</v>
      </c>
      <c r="D340" t="s">
        <v>22</v>
      </c>
      <c r="E340" t="s">
        <v>16</v>
      </c>
      <c r="F340" t="s">
        <v>23</v>
      </c>
      <c r="G340" s="1">
        <v>70081</v>
      </c>
      <c r="H340" s="1">
        <v>164881</v>
      </c>
      <c r="I340">
        <v>141</v>
      </c>
      <c r="J340">
        <v>0.97</v>
      </c>
      <c r="K340">
        <v>6.29</v>
      </c>
      <c r="L340">
        <v>1.2</v>
      </c>
      <c r="M340">
        <v>9</v>
      </c>
      <c r="N340" s="1">
        <f>bmw_global_sales_dataset[[#This Row],[units_sold]]*bmw_global_sales_dataset[[#This Row],[price_usd]]</f>
        <v>37072849</v>
      </c>
      <c r="O340">
        <v>529</v>
      </c>
    </row>
    <row r="341" spans="1:15" x14ac:dyDescent="0.35">
      <c r="A341">
        <v>2018</v>
      </c>
      <c r="B341">
        <v>11</v>
      </c>
      <c r="C341" t="s">
        <v>21</v>
      </c>
      <c r="D341" t="s">
        <v>39</v>
      </c>
      <c r="E341" t="s">
        <v>19</v>
      </c>
      <c r="F341" t="s">
        <v>27</v>
      </c>
      <c r="G341" s="1">
        <v>85383</v>
      </c>
      <c r="H341" s="1">
        <v>327721</v>
      </c>
      <c r="I341">
        <v>126</v>
      </c>
      <c r="J341">
        <v>0.97</v>
      </c>
      <c r="K341">
        <v>6.29</v>
      </c>
      <c r="L341">
        <v>1.2</v>
      </c>
      <c r="M341">
        <v>2</v>
      </c>
      <c r="N341" s="1">
        <f>bmw_global_sales_dataset[[#This Row],[units_sold]]*bmw_global_sales_dataset[[#This Row],[price_usd]]</f>
        <v>54132822</v>
      </c>
      <c r="O341">
        <v>634</v>
      </c>
    </row>
    <row r="342" spans="1:15" x14ac:dyDescent="0.35">
      <c r="A342">
        <v>2018</v>
      </c>
      <c r="B342">
        <v>4</v>
      </c>
      <c r="C342" t="s">
        <v>38</v>
      </c>
      <c r="D342" t="s">
        <v>34</v>
      </c>
      <c r="E342" t="s">
        <v>20</v>
      </c>
      <c r="F342" t="s">
        <v>17</v>
      </c>
      <c r="G342" s="1">
        <v>71824</v>
      </c>
      <c r="H342" s="1">
        <v>411390</v>
      </c>
      <c r="I342">
        <v>37</v>
      </c>
      <c r="J342">
        <v>0.97</v>
      </c>
      <c r="K342">
        <v>6.29</v>
      </c>
      <c r="L342">
        <v>1.2</v>
      </c>
      <c r="M342">
        <v>4</v>
      </c>
      <c r="N342" s="1">
        <f>bmw_global_sales_dataset[[#This Row],[units_sold]]*bmw_global_sales_dataset[[#This Row],[price_usd]]</f>
        <v>13718384</v>
      </c>
      <c r="O342">
        <v>191</v>
      </c>
    </row>
    <row r="343" spans="1:15" x14ac:dyDescent="0.35">
      <c r="A343">
        <v>2018</v>
      </c>
      <c r="B343">
        <v>1</v>
      </c>
      <c r="C343" t="s">
        <v>28</v>
      </c>
      <c r="D343" t="s">
        <v>18</v>
      </c>
      <c r="E343" t="s">
        <v>20</v>
      </c>
      <c r="F343" t="s">
        <v>17</v>
      </c>
      <c r="G343" s="1">
        <v>90432</v>
      </c>
      <c r="H343" s="1">
        <v>398216</v>
      </c>
      <c r="I343">
        <v>381</v>
      </c>
      <c r="J343">
        <v>0.97</v>
      </c>
      <c r="K343">
        <v>6.29</v>
      </c>
      <c r="L343">
        <v>1.2</v>
      </c>
      <c r="M343">
        <v>9</v>
      </c>
      <c r="N343" s="1">
        <f>bmw_global_sales_dataset[[#This Row],[units_sold]]*bmw_global_sales_dataset[[#This Row],[price_usd]]</f>
        <v>108066240</v>
      </c>
      <c r="O343">
        <v>1195</v>
      </c>
    </row>
    <row r="344" spans="1:15" x14ac:dyDescent="0.35">
      <c r="A344">
        <v>2018</v>
      </c>
      <c r="B344">
        <v>11</v>
      </c>
      <c r="C344" t="s">
        <v>37</v>
      </c>
      <c r="D344" t="s">
        <v>34</v>
      </c>
      <c r="E344" t="s">
        <v>19</v>
      </c>
      <c r="F344" t="s">
        <v>27</v>
      </c>
      <c r="G344" s="1">
        <v>75644</v>
      </c>
      <c r="H344" s="1">
        <v>446875</v>
      </c>
      <c r="I344">
        <v>393</v>
      </c>
      <c r="J344">
        <v>0.97</v>
      </c>
      <c r="K344">
        <v>6.29</v>
      </c>
      <c r="L344">
        <v>1.2</v>
      </c>
      <c r="M344">
        <v>6</v>
      </c>
      <c r="N344" s="1">
        <f>bmw_global_sales_dataset[[#This Row],[units_sold]]*bmw_global_sales_dataset[[#This Row],[price_usd]]</f>
        <v>67096228</v>
      </c>
      <c r="O344">
        <v>887</v>
      </c>
    </row>
    <row r="345" spans="1:15" x14ac:dyDescent="0.35">
      <c r="A345">
        <v>2018</v>
      </c>
      <c r="B345">
        <v>8</v>
      </c>
      <c r="C345" t="s">
        <v>30</v>
      </c>
      <c r="D345" t="s">
        <v>31</v>
      </c>
      <c r="E345" t="s">
        <v>19</v>
      </c>
      <c r="F345" t="s">
        <v>23</v>
      </c>
      <c r="G345" s="1">
        <v>87349</v>
      </c>
      <c r="H345" s="1">
        <v>175851</v>
      </c>
      <c r="I345">
        <v>279</v>
      </c>
      <c r="J345">
        <v>0.97</v>
      </c>
      <c r="K345">
        <v>6.29</v>
      </c>
      <c r="L345">
        <v>1.2</v>
      </c>
      <c r="M345">
        <v>5</v>
      </c>
      <c r="N345" s="1">
        <f>bmw_global_sales_dataset[[#This Row],[units_sold]]*bmw_global_sales_dataset[[#This Row],[price_usd]]</f>
        <v>61231649</v>
      </c>
      <c r="O345">
        <v>701</v>
      </c>
    </row>
    <row r="346" spans="1:15" x14ac:dyDescent="0.35">
      <c r="A346">
        <v>2018</v>
      </c>
      <c r="B346">
        <v>9</v>
      </c>
      <c r="C346" t="s">
        <v>25</v>
      </c>
      <c r="D346" t="s">
        <v>31</v>
      </c>
      <c r="E346" t="s">
        <v>20</v>
      </c>
      <c r="F346" t="s">
        <v>20</v>
      </c>
      <c r="G346" s="1">
        <v>105832</v>
      </c>
      <c r="H346" s="1">
        <v>79087</v>
      </c>
      <c r="I346">
        <v>256</v>
      </c>
      <c r="J346">
        <v>0.97</v>
      </c>
      <c r="K346">
        <v>6.29</v>
      </c>
      <c r="L346">
        <v>1.2</v>
      </c>
      <c r="M346">
        <v>8</v>
      </c>
      <c r="N346" s="1">
        <f>bmw_global_sales_dataset[[#This Row],[units_sold]]*bmw_global_sales_dataset[[#This Row],[price_usd]]</f>
        <v>69531624</v>
      </c>
      <c r="O346">
        <v>657</v>
      </c>
    </row>
    <row r="347" spans="1:15" x14ac:dyDescent="0.35">
      <c r="A347">
        <v>2018</v>
      </c>
      <c r="B347">
        <v>5</v>
      </c>
      <c r="C347" t="s">
        <v>37</v>
      </c>
      <c r="D347" t="s">
        <v>18</v>
      </c>
      <c r="E347" t="s">
        <v>16</v>
      </c>
      <c r="F347" t="s">
        <v>20</v>
      </c>
      <c r="G347" s="1">
        <v>95973</v>
      </c>
      <c r="H347" s="1">
        <v>395072</v>
      </c>
      <c r="I347">
        <v>71</v>
      </c>
      <c r="J347">
        <v>0.97</v>
      </c>
      <c r="K347">
        <v>6.29</v>
      </c>
      <c r="L347">
        <v>1.2</v>
      </c>
      <c r="M347">
        <v>1</v>
      </c>
      <c r="N347" s="1">
        <f>bmw_global_sales_dataset[[#This Row],[units_sold]]*bmw_global_sales_dataset[[#This Row],[price_usd]]</f>
        <v>51441528</v>
      </c>
      <c r="O347">
        <v>536</v>
      </c>
    </row>
    <row r="348" spans="1:15" x14ac:dyDescent="0.35">
      <c r="A348">
        <v>2018</v>
      </c>
      <c r="B348">
        <v>7</v>
      </c>
      <c r="C348" t="s">
        <v>37</v>
      </c>
      <c r="D348" t="s">
        <v>18</v>
      </c>
      <c r="E348" t="s">
        <v>19</v>
      </c>
      <c r="F348" t="s">
        <v>23</v>
      </c>
      <c r="G348" s="1">
        <v>39758</v>
      </c>
      <c r="H348" s="1">
        <v>439187</v>
      </c>
      <c r="I348">
        <v>344</v>
      </c>
      <c r="J348">
        <v>0.97</v>
      </c>
      <c r="K348">
        <v>6.29</v>
      </c>
      <c r="L348">
        <v>1.2</v>
      </c>
      <c r="M348">
        <v>10</v>
      </c>
      <c r="N348" s="1">
        <f>bmw_global_sales_dataset[[#This Row],[units_sold]]*bmw_global_sales_dataset[[#This Row],[price_usd]]</f>
        <v>37133972</v>
      </c>
      <c r="O348">
        <v>934</v>
      </c>
    </row>
    <row r="349" spans="1:15" x14ac:dyDescent="0.35">
      <c r="A349">
        <v>2018</v>
      </c>
      <c r="B349">
        <v>2</v>
      </c>
      <c r="C349" t="s">
        <v>38</v>
      </c>
      <c r="D349" t="s">
        <v>29</v>
      </c>
      <c r="E349" t="s">
        <v>19</v>
      </c>
      <c r="F349" t="s">
        <v>20</v>
      </c>
      <c r="G349" s="1">
        <v>95758</v>
      </c>
      <c r="H349" s="1">
        <v>106116</v>
      </c>
      <c r="I349">
        <v>269</v>
      </c>
      <c r="J349">
        <v>0.97</v>
      </c>
      <c r="K349">
        <v>6.29</v>
      </c>
      <c r="L349">
        <v>1.2</v>
      </c>
      <c r="M349">
        <v>7</v>
      </c>
      <c r="N349" s="1">
        <f>bmw_global_sales_dataset[[#This Row],[units_sold]]*bmw_global_sales_dataset[[#This Row],[price_usd]]</f>
        <v>69424550</v>
      </c>
      <c r="O349">
        <v>725</v>
      </c>
    </row>
    <row r="350" spans="1:15" x14ac:dyDescent="0.35">
      <c r="A350">
        <v>2018</v>
      </c>
      <c r="B350">
        <v>1</v>
      </c>
      <c r="C350" t="s">
        <v>37</v>
      </c>
      <c r="D350" t="s">
        <v>24</v>
      </c>
      <c r="E350" t="s">
        <v>20</v>
      </c>
      <c r="F350" t="s">
        <v>20</v>
      </c>
      <c r="G350" s="1">
        <v>57092</v>
      </c>
      <c r="H350" s="1">
        <v>276905</v>
      </c>
      <c r="I350">
        <v>240</v>
      </c>
      <c r="J350">
        <v>0.97</v>
      </c>
      <c r="K350">
        <v>6.29</v>
      </c>
      <c r="L350">
        <v>1.2</v>
      </c>
      <c r="M350">
        <v>8</v>
      </c>
      <c r="N350" s="1">
        <f>bmw_global_sales_dataset[[#This Row],[units_sold]]*bmw_global_sales_dataset[[#This Row],[price_usd]]</f>
        <v>41049148</v>
      </c>
      <c r="O350">
        <v>719</v>
      </c>
    </row>
    <row r="351" spans="1:15" x14ac:dyDescent="0.35">
      <c r="A351">
        <v>2018</v>
      </c>
      <c r="B351">
        <v>12</v>
      </c>
      <c r="C351" t="s">
        <v>25</v>
      </c>
      <c r="D351" t="s">
        <v>18</v>
      </c>
      <c r="E351" t="s">
        <v>19</v>
      </c>
      <c r="F351" t="s">
        <v>17</v>
      </c>
      <c r="G351" s="1">
        <v>86448</v>
      </c>
      <c r="H351" s="1">
        <v>154824</v>
      </c>
      <c r="I351">
        <v>123</v>
      </c>
      <c r="J351">
        <v>0.97</v>
      </c>
      <c r="K351">
        <v>6.29</v>
      </c>
      <c r="L351">
        <v>1.2</v>
      </c>
      <c r="M351">
        <v>7</v>
      </c>
      <c r="N351" s="1">
        <f>bmw_global_sales_dataset[[#This Row],[units_sold]]*bmw_global_sales_dataset[[#This Row],[price_usd]]</f>
        <v>50226288</v>
      </c>
      <c r="O351">
        <v>581</v>
      </c>
    </row>
    <row r="352" spans="1:15" x14ac:dyDescent="0.35">
      <c r="A352">
        <v>2018</v>
      </c>
      <c r="B352">
        <v>9</v>
      </c>
      <c r="C352" t="s">
        <v>36</v>
      </c>
      <c r="D352" t="s">
        <v>34</v>
      </c>
      <c r="E352" t="s">
        <v>16</v>
      </c>
      <c r="F352" t="s">
        <v>23</v>
      </c>
      <c r="G352" s="1">
        <v>40622</v>
      </c>
      <c r="H352" s="1">
        <v>349189</v>
      </c>
      <c r="I352">
        <v>295</v>
      </c>
      <c r="J352">
        <v>0.97</v>
      </c>
      <c r="K352">
        <v>6.29</v>
      </c>
      <c r="L352">
        <v>1.2</v>
      </c>
      <c r="M352">
        <v>4</v>
      </c>
      <c r="N352" s="1">
        <f>bmw_global_sales_dataset[[#This Row],[units_sold]]*bmw_global_sales_dataset[[#This Row],[price_usd]]</f>
        <v>26973008</v>
      </c>
      <c r="O352">
        <v>664</v>
      </c>
    </row>
    <row r="353" spans="1:15" x14ac:dyDescent="0.35">
      <c r="A353">
        <v>2018</v>
      </c>
      <c r="B353">
        <v>2</v>
      </c>
      <c r="C353" t="s">
        <v>36</v>
      </c>
      <c r="D353" t="s">
        <v>34</v>
      </c>
      <c r="E353" t="s">
        <v>20</v>
      </c>
      <c r="F353" t="s">
        <v>27</v>
      </c>
      <c r="G353" s="1">
        <v>98212</v>
      </c>
      <c r="H353" s="1">
        <v>341619</v>
      </c>
      <c r="I353">
        <v>240</v>
      </c>
      <c r="J353">
        <v>0.97</v>
      </c>
      <c r="K353">
        <v>6.29</v>
      </c>
      <c r="L353">
        <v>1.2</v>
      </c>
      <c r="M353">
        <v>9</v>
      </c>
      <c r="N353" s="1">
        <f>bmw_global_sales_dataset[[#This Row],[units_sold]]*bmw_global_sales_dataset[[#This Row],[price_usd]]</f>
        <v>89471132</v>
      </c>
      <c r="O353">
        <v>911</v>
      </c>
    </row>
    <row r="354" spans="1:15" x14ac:dyDescent="0.35">
      <c r="A354">
        <v>2018</v>
      </c>
      <c r="B354">
        <v>2</v>
      </c>
      <c r="C354" t="s">
        <v>37</v>
      </c>
      <c r="D354" t="s">
        <v>24</v>
      </c>
      <c r="E354" t="s">
        <v>20</v>
      </c>
      <c r="F354" t="s">
        <v>27</v>
      </c>
      <c r="G354" s="1">
        <v>57499</v>
      </c>
      <c r="H354" s="1">
        <v>69403</v>
      </c>
      <c r="I354">
        <v>172</v>
      </c>
      <c r="J354">
        <v>0.97</v>
      </c>
      <c r="K354">
        <v>6.29</v>
      </c>
      <c r="L354">
        <v>1.2</v>
      </c>
      <c r="M354">
        <v>1</v>
      </c>
      <c r="N354" s="1">
        <f>bmw_global_sales_dataset[[#This Row],[units_sold]]*bmw_global_sales_dataset[[#This Row],[price_usd]]</f>
        <v>43986735</v>
      </c>
      <c r="O354">
        <v>765</v>
      </c>
    </row>
    <row r="355" spans="1:15" x14ac:dyDescent="0.35">
      <c r="A355">
        <v>2018</v>
      </c>
      <c r="B355">
        <v>8</v>
      </c>
      <c r="C355" t="s">
        <v>21</v>
      </c>
      <c r="D355" t="s">
        <v>15</v>
      </c>
      <c r="E355" t="s">
        <v>16</v>
      </c>
      <c r="F355" t="s">
        <v>27</v>
      </c>
      <c r="G355" s="1">
        <v>98382</v>
      </c>
      <c r="H355" s="1">
        <v>283378</v>
      </c>
      <c r="I355">
        <v>56</v>
      </c>
      <c r="J355">
        <v>0.97</v>
      </c>
      <c r="K355">
        <v>6.29</v>
      </c>
      <c r="L355">
        <v>1.2</v>
      </c>
      <c r="M355">
        <v>4</v>
      </c>
      <c r="N355" s="1">
        <f>bmw_global_sales_dataset[[#This Row],[units_sold]]*bmw_global_sales_dataset[[#This Row],[price_usd]]</f>
        <v>39352800</v>
      </c>
      <c r="O355">
        <v>400</v>
      </c>
    </row>
    <row r="356" spans="1:15" x14ac:dyDescent="0.35">
      <c r="A356">
        <v>2018</v>
      </c>
      <c r="B356">
        <v>5</v>
      </c>
      <c r="C356" t="s">
        <v>25</v>
      </c>
      <c r="D356" t="s">
        <v>22</v>
      </c>
      <c r="E356" t="s">
        <v>19</v>
      </c>
      <c r="F356" t="s">
        <v>17</v>
      </c>
      <c r="G356" s="1">
        <v>106154</v>
      </c>
      <c r="H356" s="1">
        <v>320561</v>
      </c>
      <c r="I356">
        <v>78</v>
      </c>
      <c r="J356">
        <v>0.97</v>
      </c>
      <c r="K356">
        <v>6.29</v>
      </c>
      <c r="L356">
        <v>1.2</v>
      </c>
      <c r="M356">
        <v>9</v>
      </c>
      <c r="N356" s="1">
        <f>bmw_global_sales_dataset[[#This Row],[units_sold]]*bmw_global_sales_dataset[[#This Row],[price_usd]]</f>
        <v>32376970</v>
      </c>
      <c r="O356">
        <v>305</v>
      </c>
    </row>
    <row r="357" spans="1:15" x14ac:dyDescent="0.35">
      <c r="A357">
        <v>2018</v>
      </c>
      <c r="B357">
        <v>3</v>
      </c>
      <c r="C357" t="s">
        <v>14</v>
      </c>
      <c r="D357" t="s">
        <v>18</v>
      </c>
      <c r="E357" t="s">
        <v>16</v>
      </c>
      <c r="F357" t="s">
        <v>17</v>
      </c>
      <c r="G357" s="1">
        <v>93755</v>
      </c>
      <c r="H357" s="1">
        <v>303017</v>
      </c>
      <c r="I357">
        <v>20</v>
      </c>
      <c r="J357">
        <v>0.97</v>
      </c>
      <c r="K357">
        <v>6.29</v>
      </c>
      <c r="L357">
        <v>1.2</v>
      </c>
      <c r="M357">
        <v>8</v>
      </c>
      <c r="N357" s="1">
        <f>bmw_global_sales_dataset[[#This Row],[units_sold]]*bmw_global_sales_dataset[[#This Row],[price_usd]]</f>
        <v>39095835</v>
      </c>
      <c r="O357">
        <v>417</v>
      </c>
    </row>
    <row r="358" spans="1:15" x14ac:dyDescent="0.35">
      <c r="A358">
        <v>2018</v>
      </c>
      <c r="B358">
        <v>6</v>
      </c>
      <c r="C358" t="s">
        <v>30</v>
      </c>
      <c r="D358" t="s">
        <v>24</v>
      </c>
      <c r="E358" t="s">
        <v>16</v>
      </c>
      <c r="F358" t="s">
        <v>23</v>
      </c>
      <c r="G358" s="1">
        <v>42987</v>
      </c>
      <c r="H358" s="1">
        <v>149477</v>
      </c>
      <c r="I358">
        <v>109</v>
      </c>
      <c r="J358">
        <v>0.97</v>
      </c>
      <c r="K358">
        <v>6.29</v>
      </c>
      <c r="L358">
        <v>1.2</v>
      </c>
      <c r="M358">
        <v>4</v>
      </c>
      <c r="N358" s="1">
        <f>bmw_global_sales_dataset[[#This Row],[units_sold]]*bmw_global_sales_dataset[[#This Row],[price_usd]]</f>
        <v>12724152</v>
      </c>
      <c r="O358">
        <v>296</v>
      </c>
    </row>
    <row r="359" spans="1:15" x14ac:dyDescent="0.35">
      <c r="A359">
        <v>2018</v>
      </c>
      <c r="B359">
        <v>3</v>
      </c>
      <c r="C359" t="s">
        <v>25</v>
      </c>
      <c r="D359" t="s">
        <v>22</v>
      </c>
      <c r="E359" t="s">
        <v>20</v>
      </c>
      <c r="F359" t="s">
        <v>23</v>
      </c>
      <c r="G359" s="1">
        <v>73990</v>
      </c>
      <c r="H359" s="1">
        <v>423704</v>
      </c>
      <c r="I359">
        <v>287</v>
      </c>
      <c r="J359">
        <v>0.97</v>
      </c>
      <c r="K359">
        <v>6.29</v>
      </c>
      <c r="L359">
        <v>1.2</v>
      </c>
      <c r="M359">
        <v>9</v>
      </c>
      <c r="N359" s="1">
        <f>bmw_global_sales_dataset[[#This Row],[units_sold]]*bmw_global_sales_dataset[[#This Row],[price_usd]]</f>
        <v>68810700</v>
      </c>
      <c r="O359">
        <v>930</v>
      </c>
    </row>
    <row r="360" spans="1:15" x14ac:dyDescent="0.35">
      <c r="A360">
        <v>2018</v>
      </c>
      <c r="B360">
        <v>2</v>
      </c>
      <c r="C360" t="s">
        <v>28</v>
      </c>
      <c r="D360" t="s">
        <v>18</v>
      </c>
      <c r="E360" t="s">
        <v>16</v>
      </c>
      <c r="F360" t="s">
        <v>17</v>
      </c>
      <c r="G360" s="1">
        <v>35066</v>
      </c>
      <c r="H360" s="1">
        <v>183501</v>
      </c>
      <c r="I360">
        <v>273</v>
      </c>
      <c r="J360">
        <v>0.97</v>
      </c>
      <c r="K360">
        <v>6.29</v>
      </c>
      <c r="L360">
        <v>1.2</v>
      </c>
      <c r="M360">
        <v>1</v>
      </c>
      <c r="N360" s="1">
        <f>bmw_global_sales_dataset[[#This Row],[units_sold]]*bmw_global_sales_dataset[[#This Row],[price_usd]]</f>
        <v>30787948</v>
      </c>
      <c r="O360">
        <v>878</v>
      </c>
    </row>
    <row r="361" spans="1:15" x14ac:dyDescent="0.35">
      <c r="A361">
        <v>2018</v>
      </c>
      <c r="B361">
        <v>3</v>
      </c>
      <c r="C361" t="s">
        <v>25</v>
      </c>
      <c r="D361" t="s">
        <v>34</v>
      </c>
      <c r="E361" t="s">
        <v>19</v>
      </c>
      <c r="F361" t="s">
        <v>17</v>
      </c>
      <c r="G361" s="1">
        <v>67966</v>
      </c>
      <c r="H361" s="1">
        <v>146952</v>
      </c>
      <c r="I361">
        <v>224</v>
      </c>
      <c r="J361">
        <v>0.97</v>
      </c>
      <c r="K361">
        <v>6.29</v>
      </c>
      <c r="L361">
        <v>1.2</v>
      </c>
      <c r="M361">
        <v>7</v>
      </c>
      <c r="N361" s="1">
        <f>bmw_global_sales_dataset[[#This Row],[units_sold]]*bmw_global_sales_dataset[[#This Row],[price_usd]]</f>
        <v>32623680</v>
      </c>
      <c r="O361">
        <v>480</v>
      </c>
    </row>
    <row r="362" spans="1:15" x14ac:dyDescent="0.35">
      <c r="A362">
        <v>2018</v>
      </c>
      <c r="B362">
        <v>9</v>
      </c>
      <c r="C362" t="s">
        <v>32</v>
      </c>
      <c r="D362" t="s">
        <v>24</v>
      </c>
      <c r="E362" t="s">
        <v>19</v>
      </c>
      <c r="F362" t="s">
        <v>20</v>
      </c>
      <c r="G362" s="1">
        <v>94199</v>
      </c>
      <c r="H362" s="1">
        <v>196895</v>
      </c>
      <c r="I362">
        <v>92</v>
      </c>
      <c r="J362">
        <v>0.97</v>
      </c>
      <c r="K362">
        <v>6.29</v>
      </c>
      <c r="L362">
        <v>1.2</v>
      </c>
      <c r="M362">
        <v>10</v>
      </c>
      <c r="N362" s="1">
        <f>bmw_global_sales_dataset[[#This Row],[units_sold]]*bmw_global_sales_dataset[[#This Row],[price_usd]]</f>
        <v>48229888</v>
      </c>
      <c r="O362">
        <v>512</v>
      </c>
    </row>
    <row r="363" spans="1:15" x14ac:dyDescent="0.35">
      <c r="A363">
        <v>2018</v>
      </c>
      <c r="B363">
        <v>8</v>
      </c>
      <c r="C363" t="s">
        <v>30</v>
      </c>
      <c r="D363" t="s">
        <v>33</v>
      </c>
      <c r="E363" t="s">
        <v>16</v>
      </c>
      <c r="F363" t="s">
        <v>27</v>
      </c>
      <c r="G363" s="1">
        <v>79237</v>
      </c>
      <c r="H363" s="1">
        <v>443922</v>
      </c>
      <c r="I363">
        <v>178</v>
      </c>
      <c r="J363">
        <v>0.97</v>
      </c>
      <c r="K363">
        <v>6.29</v>
      </c>
      <c r="L363">
        <v>1.2</v>
      </c>
      <c r="M363">
        <v>7</v>
      </c>
      <c r="N363" s="1">
        <f>bmw_global_sales_dataset[[#This Row],[units_sold]]*bmw_global_sales_dataset[[#This Row],[price_usd]]</f>
        <v>63944259</v>
      </c>
      <c r="O363">
        <v>807</v>
      </c>
    </row>
    <row r="364" spans="1:15" x14ac:dyDescent="0.35">
      <c r="A364">
        <v>2018</v>
      </c>
      <c r="B364">
        <v>12</v>
      </c>
      <c r="C364" t="s">
        <v>32</v>
      </c>
      <c r="D364" t="s">
        <v>24</v>
      </c>
      <c r="E364" t="s">
        <v>20</v>
      </c>
      <c r="F364" t="s">
        <v>17</v>
      </c>
      <c r="G364" s="1">
        <v>60363</v>
      </c>
      <c r="H364" s="1">
        <v>171648</v>
      </c>
      <c r="I364">
        <v>144</v>
      </c>
      <c r="J364">
        <v>0.97</v>
      </c>
      <c r="K364">
        <v>6.29</v>
      </c>
      <c r="L364">
        <v>1.2</v>
      </c>
      <c r="M364">
        <v>6</v>
      </c>
      <c r="N364" s="1">
        <f>bmw_global_sales_dataset[[#This Row],[units_sold]]*bmw_global_sales_dataset[[#This Row],[price_usd]]</f>
        <v>33863643</v>
      </c>
      <c r="O364">
        <v>561</v>
      </c>
    </row>
    <row r="365" spans="1:15" x14ac:dyDescent="0.35">
      <c r="A365">
        <v>2018</v>
      </c>
      <c r="B365">
        <v>8</v>
      </c>
      <c r="C365" t="s">
        <v>14</v>
      </c>
      <c r="D365" t="s">
        <v>22</v>
      </c>
      <c r="E365" t="s">
        <v>20</v>
      </c>
      <c r="F365" t="s">
        <v>27</v>
      </c>
      <c r="G365" s="1">
        <v>80264</v>
      </c>
      <c r="H365" s="1">
        <v>198790</v>
      </c>
      <c r="I365">
        <v>361</v>
      </c>
      <c r="J365">
        <v>0.97</v>
      </c>
      <c r="K365">
        <v>6.29</v>
      </c>
      <c r="L365">
        <v>1.2</v>
      </c>
      <c r="M365">
        <v>6</v>
      </c>
      <c r="N365" s="1">
        <f>bmw_global_sales_dataset[[#This Row],[units_sold]]*bmw_global_sales_dataset[[#This Row],[price_usd]]</f>
        <v>75127104</v>
      </c>
      <c r="O365">
        <v>936</v>
      </c>
    </row>
    <row r="366" spans="1:15" x14ac:dyDescent="0.35">
      <c r="A366">
        <v>2018</v>
      </c>
      <c r="B366">
        <v>5</v>
      </c>
      <c r="C366" t="s">
        <v>30</v>
      </c>
      <c r="D366" t="s">
        <v>34</v>
      </c>
      <c r="E366" t="s">
        <v>19</v>
      </c>
      <c r="F366" t="s">
        <v>23</v>
      </c>
      <c r="G366" s="1">
        <v>55039</v>
      </c>
      <c r="H366" s="1">
        <v>143944</v>
      </c>
      <c r="I366">
        <v>175</v>
      </c>
      <c r="J366">
        <v>0.97</v>
      </c>
      <c r="K366">
        <v>6.29</v>
      </c>
      <c r="L366">
        <v>1.2</v>
      </c>
      <c r="M366">
        <v>2</v>
      </c>
      <c r="N366" s="1">
        <f>bmw_global_sales_dataset[[#This Row],[units_sold]]*bmw_global_sales_dataset[[#This Row],[price_usd]]</f>
        <v>36766052</v>
      </c>
      <c r="O366">
        <v>668</v>
      </c>
    </row>
    <row r="367" spans="1:15" x14ac:dyDescent="0.35">
      <c r="A367">
        <v>2018</v>
      </c>
      <c r="B367">
        <v>6</v>
      </c>
      <c r="C367" t="s">
        <v>30</v>
      </c>
      <c r="D367" t="s">
        <v>26</v>
      </c>
      <c r="E367" t="s">
        <v>16</v>
      </c>
      <c r="F367" t="s">
        <v>17</v>
      </c>
      <c r="G367" s="1">
        <v>36577</v>
      </c>
      <c r="H367" s="1">
        <v>316294</v>
      </c>
      <c r="I367">
        <v>81</v>
      </c>
      <c r="J367">
        <v>0.97</v>
      </c>
      <c r="K367">
        <v>6.29</v>
      </c>
      <c r="L367">
        <v>1.2</v>
      </c>
      <c r="M367">
        <v>3</v>
      </c>
      <c r="N367" s="1">
        <f>bmw_global_sales_dataset[[#This Row],[units_sold]]*bmw_global_sales_dataset[[#This Row],[price_usd]]</f>
        <v>22897202</v>
      </c>
      <c r="O367">
        <v>626</v>
      </c>
    </row>
    <row r="368" spans="1:15" x14ac:dyDescent="0.35">
      <c r="A368">
        <v>2018</v>
      </c>
      <c r="B368">
        <v>12</v>
      </c>
      <c r="C368" t="s">
        <v>35</v>
      </c>
      <c r="D368" t="s">
        <v>26</v>
      </c>
      <c r="E368" t="s">
        <v>16</v>
      </c>
      <c r="F368" t="s">
        <v>20</v>
      </c>
      <c r="G368" s="1">
        <v>63350</v>
      </c>
      <c r="H368" s="1">
        <v>423513</v>
      </c>
      <c r="I368">
        <v>339</v>
      </c>
      <c r="J368">
        <v>0.97</v>
      </c>
      <c r="K368">
        <v>6.29</v>
      </c>
      <c r="L368">
        <v>1.2</v>
      </c>
      <c r="M368">
        <v>8</v>
      </c>
      <c r="N368" s="1">
        <f>bmw_global_sales_dataset[[#This Row],[units_sold]]*bmw_global_sales_dataset[[#This Row],[price_usd]]</f>
        <v>65440550</v>
      </c>
      <c r="O368">
        <v>1033</v>
      </c>
    </row>
    <row r="369" spans="1:15" x14ac:dyDescent="0.35">
      <c r="A369">
        <v>2018</v>
      </c>
      <c r="B369">
        <v>7</v>
      </c>
      <c r="C369" t="s">
        <v>35</v>
      </c>
      <c r="D369" t="s">
        <v>39</v>
      </c>
      <c r="E369" t="s">
        <v>20</v>
      </c>
      <c r="F369" t="s">
        <v>27</v>
      </c>
      <c r="G369" s="1">
        <v>36462</v>
      </c>
      <c r="H369" s="1">
        <v>69122</v>
      </c>
      <c r="I369">
        <v>60</v>
      </c>
      <c r="J369">
        <v>0.97</v>
      </c>
      <c r="K369">
        <v>6.29</v>
      </c>
      <c r="L369">
        <v>1.2</v>
      </c>
      <c r="M369">
        <v>8</v>
      </c>
      <c r="N369" s="1">
        <f>bmw_global_sales_dataset[[#This Row],[units_sold]]*bmw_global_sales_dataset[[#This Row],[price_usd]]</f>
        <v>6636084</v>
      </c>
      <c r="O369">
        <v>182</v>
      </c>
    </row>
    <row r="370" spans="1:15" x14ac:dyDescent="0.35">
      <c r="A370">
        <v>2018</v>
      </c>
      <c r="B370">
        <v>10</v>
      </c>
      <c r="C370" t="s">
        <v>28</v>
      </c>
      <c r="D370" t="s">
        <v>39</v>
      </c>
      <c r="E370" t="s">
        <v>20</v>
      </c>
      <c r="F370" t="s">
        <v>23</v>
      </c>
      <c r="G370" s="1">
        <v>50240</v>
      </c>
      <c r="H370" s="1">
        <v>80270</v>
      </c>
      <c r="I370">
        <v>239</v>
      </c>
      <c r="J370">
        <v>0.97</v>
      </c>
      <c r="K370">
        <v>6.29</v>
      </c>
      <c r="L370">
        <v>1.2</v>
      </c>
      <c r="M370">
        <v>5</v>
      </c>
      <c r="N370" s="1">
        <f>bmw_global_sales_dataset[[#This Row],[units_sold]]*bmw_global_sales_dataset[[#This Row],[price_usd]]</f>
        <v>35318720</v>
      </c>
      <c r="O370">
        <v>703</v>
      </c>
    </row>
    <row r="371" spans="1:15" x14ac:dyDescent="0.35">
      <c r="A371">
        <v>2018</v>
      </c>
      <c r="B371">
        <v>12</v>
      </c>
      <c r="C371" t="s">
        <v>37</v>
      </c>
      <c r="D371" t="s">
        <v>39</v>
      </c>
      <c r="E371" t="s">
        <v>20</v>
      </c>
      <c r="F371" t="s">
        <v>17</v>
      </c>
      <c r="G371" s="1">
        <v>118255</v>
      </c>
      <c r="H371" s="1">
        <v>245889</v>
      </c>
      <c r="I371">
        <v>335</v>
      </c>
      <c r="J371">
        <v>0.97</v>
      </c>
      <c r="K371">
        <v>6.29</v>
      </c>
      <c r="L371">
        <v>1.2</v>
      </c>
      <c r="M371">
        <v>6</v>
      </c>
      <c r="N371" s="1">
        <f>bmw_global_sales_dataset[[#This Row],[units_sold]]*bmw_global_sales_dataset[[#This Row],[price_usd]]</f>
        <v>126414595</v>
      </c>
      <c r="O371">
        <v>1069</v>
      </c>
    </row>
    <row r="372" spans="1:15" x14ac:dyDescent="0.35">
      <c r="A372">
        <v>2018</v>
      </c>
      <c r="B372">
        <v>8</v>
      </c>
      <c r="C372" t="s">
        <v>30</v>
      </c>
      <c r="D372" t="s">
        <v>24</v>
      </c>
      <c r="E372" t="s">
        <v>20</v>
      </c>
      <c r="F372" t="s">
        <v>27</v>
      </c>
      <c r="G372" s="1">
        <v>57504</v>
      </c>
      <c r="H372" s="1">
        <v>304043</v>
      </c>
      <c r="I372">
        <v>21</v>
      </c>
      <c r="J372">
        <v>0.97</v>
      </c>
      <c r="K372">
        <v>6.29</v>
      </c>
      <c r="L372">
        <v>1.2</v>
      </c>
      <c r="M372">
        <v>3</v>
      </c>
      <c r="N372" s="1">
        <f>bmw_global_sales_dataset[[#This Row],[units_sold]]*bmw_global_sales_dataset[[#This Row],[price_usd]]</f>
        <v>22254048</v>
      </c>
      <c r="O372">
        <v>387</v>
      </c>
    </row>
    <row r="373" spans="1:15" x14ac:dyDescent="0.35">
      <c r="A373">
        <v>2018</v>
      </c>
      <c r="B373">
        <v>3</v>
      </c>
      <c r="C373" t="s">
        <v>14</v>
      </c>
      <c r="D373" t="s">
        <v>26</v>
      </c>
      <c r="E373" t="s">
        <v>16</v>
      </c>
      <c r="F373" t="s">
        <v>17</v>
      </c>
      <c r="G373" s="1">
        <v>68139</v>
      </c>
      <c r="H373" s="1">
        <v>322869</v>
      </c>
      <c r="I373">
        <v>33</v>
      </c>
      <c r="J373">
        <v>0.97</v>
      </c>
      <c r="K373">
        <v>6.29</v>
      </c>
      <c r="L373">
        <v>1.2</v>
      </c>
      <c r="M373">
        <v>3</v>
      </c>
      <c r="N373" s="1">
        <f>bmw_global_sales_dataset[[#This Row],[units_sold]]*bmw_global_sales_dataset[[#This Row],[price_usd]]</f>
        <v>31275801</v>
      </c>
      <c r="O373">
        <v>459</v>
      </c>
    </row>
    <row r="374" spans="1:15" x14ac:dyDescent="0.35">
      <c r="A374">
        <v>2018</v>
      </c>
      <c r="B374">
        <v>6</v>
      </c>
      <c r="C374" t="s">
        <v>21</v>
      </c>
      <c r="D374" t="s">
        <v>22</v>
      </c>
      <c r="E374" t="s">
        <v>16</v>
      </c>
      <c r="F374" t="s">
        <v>27</v>
      </c>
      <c r="G374" s="1">
        <v>85492</v>
      </c>
      <c r="H374" s="1">
        <v>391701</v>
      </c>
      <c r="I374">
        <v>38</v>
      </c>
      <c r="J374">
        <v>0.97</v>
      </c>
      <c r="K374">
        <v>6.29</v>
      </c>
      <c r="L374">
        <v>1.2</v>
      </c>
      <c r="M374">
        <v>10</v>
      </c>
      <c r="N374" s="1">
        <f>bmw_global_sales_dataset[[#This Row],[units_sold]]*bmw_global_sales_dataset[[#This Row],[price_usd]]</f>
        <v>30264168</v>
      </c>
      <c r="O374">
        <v>354</v>
      </c>
    </row>
    <row r="375" spans="1:15" x14ac:dyDescent="0.35">
      <c r="A375">
        <v>2018</v>
      </c>
      <c r="B375">
        <v>12</v>
      </c>
      <c r="C375" t="s">
        <v>35</v>
      </c>
      <c r="D375" t="s">
        <v>34</v>
      </c>
      <c r="E375" t="s">
        <v>16</v>
      </c>
      <c r="F375" t="s">
        <v>17</v>
      </c>
      <c r="G375" s="1">
        <v>66875</v>
      </c>
      <c r="H375" s="1">
        <v>308470</v>
      </c>
      <c r="I375">
        <v>213</v>
      </c>
      <c r="J375">
        <v>0.97</v>
      </c>
      <c r="K375">
        <v>6.29</v>
      </c>
      <c r="L375">
        <v>1.2</v>
      </c>
      <c r="M375">
        <v>9</v>
      </c>
      <c r="N375" s="1">
        <f>bmw_global_sales_dataset[[#This Row],[units_sold]]*bmw_global_sales_dataset[[#This Row],[price_usd]]</f>
        <v>29023750</v>
      </c>
      <c r="O375">
        <v>434</v>
      </c>
    </row>
    <row r="376" spans="1:15" x14ac:dyDescent="0.35">
      <c r="A376">
        <v>2018</v>
      </c>
      <c r="B376">
        <v>8</v>
      </c>
      <c r="C376" t="s">
        <v>25</v>
      </c>
      <c r="D376" t="s">
        <v>22</v>
      </c>
      <c r="E376" t="s">
        <v>19</v>
      </c>
      <c r="F376" t="s">
        <v>17</v>
      </c>
      <c r="G376" s="1">
        <v>68896</v>
      </c>
      <c r="H376" s="1">
        <v>464336</v>
      </c>
      <c r="I376">
        <v>189</v>
      </c>
      <c r="J376">
        <v>0.97</v>
      </c>
      <c r="K376">
        <v>6.29</v>
      </c>
      <c r="L376">
        <v>1.2</v>
      </c>
      <c r="M376">
        <v>7</v>
      </c>
      <c r="N376" s="1">
        <f>bmw_global_sales_dataset[[#This Row],[units_sold]]*bmw_global_sales_dataset[[#This Row],[price_usd]]</f>
        <v>48778368</v>
      </c>
      <c r="O376">
        <v>708</v>
      </c>
    </row>
    <row r="377" spans="1:15" x14ac:dyDescent="0.35">
      <c r="A377">
        <v>2018</v>
      </c>
      <c r="B377">
        <v>1</v>
      </c>
      <c r="C377" t="s">
        <v>28</v>
      </c>
      <c r="D377" t="s">
        <v>31</v>
      </c>
      <c r="E377" t="s">
        <v>16</v>
      </c>
      <c r="F377" t="s">
        <v>27</v>
      </c>
      <c r="G377" s="1">
        <v>106792</v>
      </c>
      <c r="H377" s="1">
        <v>361714</v>
      </c>
      <c r="I377">
        <v>130</v>
      </c>
      <c r="J377">
        <v>0.97</v>
      </c>
      <c r="K377">
        <v>6.29</v>
      </c>
      <c r="L377">
        <v>1.2</v>
      </c>
      <c r="M377">
        <v>6</v>
      </c>
      <c r="N377" s="1">
        <f>bmw_global_sales_dataset[[#This Row],[units_sold]]*bmw_global_sales_dataset[[#This Row],[price_usd]]</f>
        <v>52968832</v>
      </c>
      <c r="O377">
        <v>496</v>
      </c>
    </row>
    <row r="378" spans="1:15" x14ac:dyDescent="0.35">
      <c r="A378">
        <v>2018</v>
      </c>
      <c r="B378">
        <v>6</v>
      </c>
      <c r="C378" t="s">
        <v>14</v>
      </c>
      <c r="D378" t="s">
        <v>26</v>
      </c>
      <c r="E378" t="s">
        <v>20</v>
      </c>
      <c r="F378" t="s">
        <v>20</v>
      </c>
      <c r="G378" s="1">
        <v>68686</v>
      </c>
      <c r="H378" s="1">
        <v>246243</v>
      </c>
      <c r="I378">
        <v>316</v>
      </c>
      <c r="J378">
        <v>0.97</v>
      </c>
      <c r="K378">
        <v>6.29</v>
      </c>
      <c r="L378">
        <v>1.2</v>
      </c>
      <c r="M378">
        <v>4</v>
      </c>
      <c r="N378" s="1">
        <f>bmw_global_sales_dataset[[#This Row],[units_sold]]*bmw_global_sales_dataset[[#This Row],[price_usd]]</f>
        <v>57284124</v>
      </c>
      <c r="O378">
        <v>834</v>
      </c>
    </row>
    <row r="379" spans="1:15" x14ac:dyDescent="0.35">
      <c r="A379">
        <v>2018</v>
      </c>
      <c r="B379">
        <v>8</v>
      </c>
      <c r="C379" t="s">
        <v>32</v>
      </c>
      <c r="D379" t="s">
        <v>29</v>
      </c>
      <c r="E379" t="s">
        <v>19</v>
      </c>
      <c r="F379" t="s">
        <v>20</v>
      </c>
      <c r="G379" s="1">
        <v>108779</v>
      </c>
      <c r="H379" s="1">
        <v>188266</v>
      </c>
      <c r="I379">
        <v>194</v>
      </c>
      <c r="J379">
        <v>0.97</v>
      </c>
      <c r="K379">
        <v>6.29</v>
      </c>
      <c r="L379">
        <v>1.2</v>
      </c>
      <c r="M379">
        <v>2</v>
      </c>
      <c r="N379" s="1">
        <f>bmw_global_sales_dataset[[#This Row],[units_sold]]*bmw_global_sales_dataset[[#This Row],[price_usd]]</f>
        <v>89960233</v>
      </c>
      <c r="O379">
        <v>827</v>
      </c>
    </row>
    <row r="380" spans="1:15" x14ac:dyDescent="0.35">
      <c r="A380">
        <v>2018</v>
      </c>
      <c r="B380">
        <v>12</v>
      </c>
      <c r="C380" t="s">
        <v>38</v>
      </c>
      <c r="D380" t="s">
        <v>26</v>
      </c>
      <c r="E380" t="s">
        <v>20</v>
      </c>
      <c r="F380" t="s">
        <v>27</v>
      </c>
      <c r="G380" s="1">
        <v>102946</v>
      </c>
      <c r="H380" s="1">
        <v>171361</v>
      </c>
      <c r="I380">
        <v>396</v>
      </c>
      <c r="J380">
        <v>0.97</v>
      </c>
      <c r="K380">
        <v>6.29</v>
      </c>
      <c r="L380">
        <v>1.2</v>
      </c>
      <c r="M380">
        <v>10</v>
      </c>
      <c r="N380" s="1">
        <f>bmw_global_sales_dataset[[#This Row],[units_sold]]*bmw_global_sales_dataset[[#This Row],[price_usd]]</f>
        <v>89460074</v>
      </c>
      <c r="O380">
        <v>869</v>
      </c>
    </row>
    <row r="381" spans="1:15" x14ac:dyDescent="0.35">
      <c r="A381">
        <v>2018</v>
      </c>
      <c r="B381">
        <v>9</v>
      </c>
      <c r="C381" t="s">
        <v>37</v>
      </c>
      <c r="D381" t="s">
        <v>15</v>
      </c>
      <c r="E381" t="s">
        <v>19</v>
      </c>
      <c r="F381" t="s">
        <v>23</v>
      </c>
      <c r="G381" s="1">
        <v>48854</v>
      </c>
      <c r="H381" s="1">
        <v>392424</v>
      </c>
      <c r="I381">
        <v>334</v>
      </c>
      <c r="J381">
        <v>0.97</v>
      </c>
      <c r="K381">
        <v>6.29</v>
      </c>
      <c r="L381">
        <v>1.2</v>
      </c>
      <c r="M381">
        <v>10</v>
      </c>
      <c r="N381" s="1">
        <f>bmw_global_sales_dataset[[#This Row],[units_sold]]*bmw_global_sales_dataset[[#This Row],[price_usd]]</f>
        <v>47192964</v>
      </c>
      <c r="O381">
        <v>966</v>
      </c>
    </row>
    <row r="382" spans="1:15" x14ac:dyDescent="0.35">
      <c r="A382">
        <v>2018</v>
      </c>
      <c r="B382">
        <v>2</v>
      </c>
      <c r="C382" t="s">
        <v>32</v>
      </c>
      <c r="D382" t="s">
        <v>39</v>
      </c>
      <c r="E382" t="s">
        <v>16</v>
      </c>
      <c r="F382" t="s">
        <v>27</v>
      </c>
      <c r="G382" s="1">
        <v>39368</v>
      </c>
      <c r="H382" s="1">
        <v>157669</v>
      </c>
      <c r="I382">
        <v>289</v>
      </c>
      <c r="J382">
        <v>0.97</v>
      </c>
      <c r="K382">
        <v>6.29</v>
      </c>
      <c r="L382">
        <v>1.2</v>
      </c>
      <c r="M382">
        <v>6</v>
      </c>
      <c r="N382" s="1">
        <f>bmw_global_sales_dataset[[#This Row],[units_sold]]*bmw_global_sales_dataset[[#This Row],[price_usd]]</f>
        <v>38226328</v>
      </c>
      <c r="O382">
        <v>971</v>
      </c>
    </row>
    <row r="383" spans="1:15" x14ac:dyDescent="0.35">
      <c r="A383">
        <v>2018</v>
      </c>
      <c r="B383">
        <v>5</v>
      </c>
      <c r="C383" t="s">
        <v>25</v>
      </c>
      <c r="D383" t="s">
        <v>34</v>
      </c>
      <c r="E383" t="s">
        <v>20</v>
      </c>
      <c r="F383" t="s">
        <v>20</v>
      </c>
      <c r="G383" s="1">
        <v>115859</v>
      </c>
      <c r="H383" s="1">
        <v>326601</v>
      </c>
      <c r="I383">
        <v>298</v>
      </c>
      <c r="J383">
        <v>0.97</v>
      </c>
      <c r="K383">
        <v>6.29</v>
      </c>
      <c r="L383">
        <v>1.2</v>
      </c>
      <c r="M383">
        <v>8</v>
      </c>
      <c r="N383" s="1">
        <f>bmw_global_sales_dataset[[#This Row],[units_sold]]*bmw_global_sales_dataset[[#This Row],[price_usd]]</f>
        <v>74149760</v>
      </c>
      <c r="O383">
        <v>640</v>
      </c>
    </row>
    <row r="384" spans="1:15" x14ac:dyDescent="0.35">
      <c r="A384">
        <v>2018</v>
      </c>
      <c r="B384">
        <v>3</v>
      </c>
      <c r="C384" t="s">
        <v>35</v>
      </c>
      <c r="D384" t="s">
        <v>29</v>
      </c>
      <c r="E384" t="s">
        <v>19</v>
      </c>
      <c r="F384" t="s">
        <v>23</v>
      </c>
      <c r="G384" s="1">
        <v>84737</v>
      </c>
      <c r="H384" s="1">
        <v>153619</v>
      </c>
      <c r="I384">
        <v>27</v>
      </c>
      <c r="J384">
        <v>0.97</v>
      </c>
      <c r="K384">
        <v>6.29</v>
      </c>
      <c r="L384">
        <v>1.2</v>
      </c>
      <c r="M384">
        <v>5</v>
      </c>
      <c r="N384" s="1">
        <f>bmw_global_sales_dataset[[#This Row],[units_sold]]*bmw_global_sales_dataset[[#This Row],[price_usd]]</f>
        <v>18981088</v>
      </c>
      <c r="O384">
        <v>224</v>
      </c>
    </row>
    <row r="385" spans="1:15" x14ac:dyDescent="0.35">
      <c r="A385">
        <v>2018</v>
      </c>
      <c r="B385">
        <v>3</v>
      </c>
      <c r="C385" t="s">
        <v>14</v>
      </c>
      <c r="D385" t="s">
        <v>18</v>
      </c>
      <c r="E385" t="s">
        <v>19</v>
      </c>
      <c r="F385" t="s">
        <v>20</v>
      </c>
      <c r="G385" s="1">
        <v>39011</v>
      </c>
      <c r="H385" s="1">
        <v>449346</v>
      </c>
      <c r="I385">
        <v>228</v>
      </c>
      <c r="J385">
        <v>0.97</v>
      </c>
      <c r="K385">
        <v>6.29</v>
      </c>
      <c r="L385">
        <v>1.2</v>
      </c>
      <c r="M385">
        <v>4</v>
      </c>
      <c r="N385" s="1">
        <f>bmw_global_sales_dataset[[#This Row],[units_sold]]*bmw_global_sales_dataset[[#This Row],[price_usd]]</f>
        <v>37099461</v>
      </c>
      <c r="O385">
        <v>951</v>
      </c>
    </row>
    <row r="386" spans="1:15" x14ac:dyDescent="0.35">
      <c r="A386">
        <v>2018</v>
      </c>
      <c r="B386">
        <v>6</v>
      </c>
      <c r="C386" t="s">
        <v>25</v>
      </c>
      <c r="D386" t="s">
        <v>18</v>
      </c>
      <c r="E386" t="s">
        <v>19</v>
      </c>
      <c r="F386" t="s">
        <v>20</v>
      </c>
      <c r="G386" s="1">
        <v>40269</v>
      </c>
      <c r="H386" s="1">
        <v>348162</v>
      </c>
      <c r="I386">
        <v>20</v>
      </c>
      <c r="J386">
        <v>0.97</v>
      </c>
      <c r="K386">
        <v>6.29</v>
      </c>
      <c r="L386">
        <v>1.2</v>
      </c>
      <c r="M386">
        <v>10</v>
      </c>
      <c r="N386" s="1">
        <f>bmw_global_sales_dataset[[#This Row],[units_sold]]*bmw_global_sales_dataset[[#This Row],[price_usd]]</f>
        <v>19168044</v>
      </c>
      <c r="O386">
        <v>476</v>
      </c>
    </row>
    <row r="387" spans="1:15" x14ac:dyDescent="0.35">
      <c r="A387">
        <v>2018</v>
      </c>
      <c r="B387">
        <v>12</v>
      </c>
      <c r="C387" t="s">
        <v>38</v>
      </c>
      <c r="D387" t="s">
        <v>18</v>
      </c>
      <c r="E387" t="s">
        <v>16</v>
      </c>
      <c r="F387" t="s">
        <v>23</v>
      </c>
      <c r="G387" s="1">
        <v>40529</v>
      </c>
      <c r="H387" s="1">
        <v>308121</v>
      </c>
      <c r="I387">
        <v>250</v>
      </c>
      <c r="J387">
        <v>0.97</v>
      </c>
      <c r="K387">
        <v>6.29</v>
      </c>
      <c r="L387">
        <v>1.2</v>
      </c>
      <c r="M387">
        <v>7</v>
      </c>
      <c r="N387" s="1">
        <f>bmw_global_sales_dataset[[#This Row],[units_sold]]*bmw_global_sales_dataset[[#This Row],[price_usd]]</f>
        <v>26830198</v>
      </c>
      <c r="O387">
        <v>662</v>
      </c>
    </row>
    <row r="388" spans="1:15" x14ac:dyDescent="0.35">
      <c r="A388">
        <v>2018</v>
      </c>
      <c r="B388">
        <v>2</v>
      </c>
      <c r="C388" t="s">
        <v>30</v>
      </c>
      <c r="D388" t="s">
        <v>26</v>
      </c>
      <c r="E388" t="s">
        <v>16</v>
      </c>
      <c r="F388" t="s">
        <v>17</v>
      </c>
      <c r="G388" s="1">
        <v>114737</v>
      </c>
      <c r="H388" s="1">
        <v>192339</v>
      </c>
      <c r="I388">
        <v>162</v>
      </c>
      <c r="J388">
        <v>0.97</v>
      </c>
      <c r="K388">
        <v>6.29</v>
      </c>
      <c r="L388">
        <v>1.2</v>
      </c>
      <c r="M388">
        <v>4</v>
      </c>
      <c r="N388" s="1">
        <f>bmw_global_sales_dataset[[#This Row],[units_sold]]*bmw_global_sales_dataset[[#This Row],[price_usd]]</f>
        <v>85708539</v>
      </c>
      <c r="O388">
        <v>747</v>
      </c>
    </row>
    <row r="389" spans="1:15" x14ac:dyDescent="0.35">
      <c r="A389">
        <v>2018</v>
      </c>
      <c r="B389">
        <v>4</v>
      </c>
      <c r="C389" t="s">
        <v>37</v>
      </c>
      <c r="D389" t="s">
        <v>18</v>
      </c>
      <c r="E389" t="s">
        <v>19</v>
      </c>
      <c r="F389" t="s">
        <v>23</v>
      </c>
      <c r="G389" s="1">
        <v>38225</v>
      </c>
      <c r="H389" s="1">
        <v>498016</v>
      </c>
      <c r="I389">
        <v>326</v>
      </c>
      <c r="J389">
        <v>0.97</v>
      </c>
      <c r="K389">
        <v>6.29</v>
      </c>
      <c r="L389">
        <v>1.2</v>
      </c>
      <c r="M389">
        <v>2</v>
      </c>
      <c r="N389" s="1">
        <f>bmw_global_sales_dataset[[#This Row],[units_sold]]*bmw_global_sales_dataset[[#This Row],[price_usd]]</f>
        <v>42735550</v>
      </c>
      <c r="O389">
        <v>1118</v>
      </c>
    </row>
    <row r="390" spans="1:15" x14ac:dyDescent="0.35">
      <c r="A390">
        <v>2018</v>
      </c>
      <c r="B390">
        <v>6</v>
      </c>
      <c r="C390" t="s">
        <v>21</v>
      </c>
      <c r="D390" t="s">
        <v>29</v>
      </c>
      <c r="E390" t="s">
        <v>16</v>
      </c>
      <c r="F390" t="s">
        <v>20</v>
      </c>
      <c r="G390" s="1">
        <v>94470</v>
      </c>
      <c r="H390" s="1">
        <v>153475</v>
      </c>
      <c r="I390">
        <v>268</v>
      </c>
      <c r="J390">
        <v>0.97</v>
      </c>
      <c r="K390">
        <v>6.29</v>
      </c>
      <c r="L390">
        <v>1.2</v>
      </c>
      <c r="M390">
        <v>9</v>
      </c>
      <c r="N390" s="1">
        <f>bmw_global_sales_dataset[[#This Row],[units_sold]]*bmw_global_sales_dataset[[#This Row],[price_usd]]</f>
        <v>69246510</v>
      </c>
      <c r="O390">
        <v>733</v>
      </c>
    </row>
    <row r="391" spans="1:15" x14ac:dyDescent="0.35">
      <c r="A391">
        <v>2018</v>
      </c>
      <c r="B391">
        <v>4</v>
      </c>
      <c r="C391" t="s">
        <v>36</v>
      </c>
      <c r="D391" t="s">
        <v>22</v>
      </c>
      <c r="E391" t="s">
        <v>19</v>
      </c>
      <c r="F391" t="s">
        <v>20</v>
      </c>
      <c r="G391" s="1">
        <v>38174</v>
      </c>
      <c r="H391" s="1">
        <v>431186</v>
      </c>
      <c r="I391">
        <v>40</v>
      </c>
      <c r="J391">
        <v>0.97</v>
      </c>
      <c r="K391">
        <v>6.29</v>
      </c>
      <c r="L391">
        <v>1.2</v>
      </c>
      <c r="M391">
        <v>9</v>
      </c>
      <c r="N391" s="1">
        <f>bmw_global_sales_dataset[[#This Row],[units_sold]]*bmw_global_sales_dataset[[#This Row],[price_usd]]</f>
        <v>16033080</v>
      </c>
      <c r="O391">
        <v>420</v>
      </c>
    </row>
    <row r="392" spans="1:15" x14ac:dyDescent="0.35">
      <c r="A392">
        <v>2018</v>
      </c>
      <c r="B392">
        <v>10</v>
      </c>
      <c r="C392" t="s">
        <v>37</v>
      </c>
      <c r="D392" t="s">
        <v>24</v>
      </c>
      <c r="E392" t="s">
        <v>16</v>
      </c>
      <c r="F392" t="s">
        <v>20</v>
      </c>
      <c r="G392" s="1">
        <v>70929</v>
      </c>
      <c r="H392" s="1">
        <v>401224</v>
      </c>
      <c r="I392">
        <v>294</v>
      </c>
      <c r="J392">
        <v>0.97</v>
      </c>
      <c r="K392">
        <v>6.29</v>
      </c>
      <c r="L392">
        <v>1.2</v>
      </c>
      <c r="M392">
        <v>7</v>
      </c>
      <c r="N392" s="1">
        <f>bmw_global_sales_dataset[[#This Row],[units_sold]]*bmw_global_sales_dataset[[#This Row],[price_usd]]</f>
        <v>61637301</v>
      </c>
      <c r="O392">
        <v>869</v>
      </c>
    </row>
    <row r="393" spans="1:15" x14ac:dyDescent="0.35">
      <c r="A393">
        <v>2018</v>
      </c>
      <c r="B393">
        <v>2</v>
      </c>
      <c r="C393" t="s">
        <v>38</v>
      </c>
      <c r="D393" t="s">
        <v>24</v>
      </c>
      <c r="E393" t="s">
        <v>16</v>
      </c>
      <c r="F393" t="s">
        <v>27</v>
      </c>
      <c r="G393" s="1">
        <v>90421</v>
      </c>
      <c r="H393" s="1">
        <v>239607</v>
      </c>
      <c r="I393">
        <v>233</v>
      </c>
      <c r="J393">
        <v>0.97</v>
      </c>
      <c r="K393">
        <v>6.29</v>
      </c>
      <c r="L393">
        <v>1.2</v>
      </c>
      <c r="M393">
        <v>3</v>
      </c>
      <c r="N393" s="1">
        <f>bmw_global_sales_dataset[[#This Row],[units_sold]]*bmw_global_sales_dataset[[#This Row],[price_usd]]</f>
        <v>53438811</v>
      </c>
      <c r="O393">
        <v>591</v>
      </c>
    </row>
    <row r="394" spans="1:15" x14ac:dyDescent="0.35">
      <c r="A394">
        <v>2018</v>
      </c>
      <c r="B394">
        <v>6</v>
      </c>
      <c r="C394" t="s">
        <v>25</v>
      </c>
      <c r="D394" t="s">
        <v>34</v>
      </c>
      <c r="E394" t="s">
        <v>16</v>
      </c>
      <c r="F394" t="s">
        <v>17</v>
      </c>
      <c r="G394" s="1">
        <v>49130</v>
      </c>
      <c r="H394" s="1">
        <v>335291</v>
      </c>
      <c r="I394">
        <v>200</v>
      </c>
      <c r="J394">
        <v>0.97</v>
      </c>
      <c r="K394">
        <v>6.29</v>
      </c>
      <c r="L394">
        <v>1.2</v>
      </c>
      <c r="M394">
        <v>9</v>
      </c>
      <c r="N394" s="1">
        <f>bmw_global_sales_dataset[[#This Row],[units_sold]]*bmw_global_sales_dataset[[#This Row],[price_usd]]</f>
        <v>26186290</v>
      </c>
      <c r="O394">
        <v>533</v>
      </c>
    </row>
    <row r="395" spans="1:15" x14ac:dyDescent="0.35">
      <c r="A395">
        <v>2018</v>
      </c>
      <c r="B395">
        <v>12</v>
      </c>
      <c r="C395" t="s">
        <v>36</v>
      </c>
      <c r="D395" t="s">
        <v>24</v>
      </c>
      <c r="E395" t="s">
        <v>20</v>
      </c>
      <c r="F395" t="s">
        <v>20</v>
      </c>
      <c r="G395" s="1">
        <v>107902</v>
      </c>
      <c r="H395" s="1">
        <v>497728</v>
      </c>
      <c r="I395">
        <v>337</v>
      </c>
      <c r="J395">
        <v>0.97</v>
      </c>
      <c r="K395">
        <v>6.29</v>
      </c>
      <c r="L395">
        <v>1.2</v>
      </c>
      <c r="M395">
        <v>3</v>
      </c>
      <c r="N395" s="1">
        <f>bmw_global_sales_dataset[[#This Row],[units_sold]]*bmw_global_sales_dataset[[#This Row],[price_usd]]</f>
        <v>77581538</v>
      </c>
      <c r="O395">
        <v>719</v>
      </c>
    </row>
    <row r="396" spans="1:15" x14ac:dyDescent="0.35">
      <c r="A396">
        <v>2018</v>
      </c>
      <c r="B396">
        <v>11</v>
      </c>
      <c r="C396" t="s">
        <v>14</v>
      </c>
      <c r="D396" t="s">
        <v>15</v>
      </c>
      <c r="E396" t="s">
        <v>19</v>
      </c>
      <c r="F396" t="s">
        <v>17</v>
      </c>
      <c r="G396" s="1">
        <v>50696</v>
      </c>
      <c r="H396" s="1">
        <v>305095</v>
      </c>
      <c r="I396">
        <v>340</v>
      </c>
      <c r="J396">
        <v>0.97</v>
      </c>
      <c r="K396">
        <v>6.29</v>
      </c>
      <c r="L396">
        <v>1.2</v>
      </c>
      <c r="M396">
        <v>7</v>
      </c>
      <c r="N396" s="1">
        <f>bmw_global_sales_dataset[[#This Row],[units_sold]]*bmw_global_sales_dataset[[#This Row],[price_usd]]</f>
        <v>45525008</v>
      </c>
      <c r="O396">
        <v>898</v>
      </c>
    </row>
    <row r="397" spans="1:15" x14ac:dyDescent="0.35">
      <c r="A397">
        <v>2018</v>
      </c>
      <c r="B397">
        <v>12</v>
      </c>
      <c r="C397" t="s">
        <v>14</v>
      </c>
      <c r="D397" t="s">
        <v>34</v>
      </c>
      <c r="E397" t="s">
        <v>20</v>
      </c>
      <c r="F397" t="s">
        <v>17</v>
      </c>
      <c r="G397" s="1">
        <v>98752</v>
      </c>
      <c r="H397" s="1">
        <v>486670</v>
      </c>
      <c r="I397">
        <v>343</v>
      </c>
      <c r="J397">
        <v>0.97</v>
      </c>
      <c r="K397">
        <v>6.29</v>
      </c>
      <c r="L397">
        <v>1.2</v>
      </c>
      <c r="M397">
        <v>1</v>
      </c>
      <c r="N397" s="1">
        <f>bmw_global_sales_dataset[[#This Row],[units_sold]]*bmw_global_sales_dataset[[#This Row],[price_usd]]</f>
        <v>110207232</v>
      </c>
      <c r="O397">
        <v>1116</v>
      </c>
    </row>
    <row r="398" spans="1:15" x14ac:dyDescent="0.35">
      <c r="A398">
        <v>2018</v>
      </c>
      <c r="B398">
        <v>4</v>
      </c>
      <c r="C398" t="s">
        <v>28</v>
      </c>
      <c r="D398" t="s">
        <v>34</v>
      </c>
      <c r="E398" t="s">
        <v>16</v>
      </c>
      <c r="F398" t="s">
        <v>27</v>
      </c>
      <c r="G398" s="1">
        <v>91398</v>
      </c>
      <c r="H398" s="1">
        <v>93539</v>
      </c>
      <c r="I398">
        <v>130</v>
      </c>
      <c r="J398">
        <v>0.97</v>
      </c>
      <c r="K398">
        <v>6.29</v>
      </c>
      <c r="L398">
        <v>1.2</v>
      </c>
      <c r="M398">
        <v>4</v>
      </c>
      <c r="N398" s="1">
        <f>bmw_global_sales_dataset[[#This Row],[units_sold]]*bmw_global_sales_dataset[[#This Row],[price_usd]]</f>
        <v>51091482</v>
      </c>
      <c r="O398">
        <v>559</v>
      </c>
    </row>
    <row r="399" spans="1:15" x14ac:dyDescent="0.35">
      <c r="A399">
        <v>2018</v>
      </c>
      <c r="B399">
        <v>2</v>
      </c>
      <c r="C399" t="s">
        <v>14</v>
      </c>
      <c r="D399" t="s">
        <v>18</v>
      </c>
      <c r="E399" t="s">
        <v>20</v>
      </c>
      <c r="F399" t="s">
        <v>17</v>
      </c>
      <c r="G399" s="1">
        <v>117916</v>
      </c>
      <c r="H399" s="1">
        <v>269057</v>
      </c>
      <c r="I399">
        <v>110</v>
      </c>
      <c r="J399">
        <v>0.97</v>
      </c>
      <c r="K399">
        <v>6.29</v>
      </c>
      <c r="L399">
        <v>1.2</v>
      </c>
      <c r="M399">
        <v>6</v>
      </c>
      <c r="N399" s="1">
        <f>bmw_global_sales_dataset[[#This Row],[units_sold]]*bmw_global_sales_dataset[[#This Row],[price_usd]]</f>
        <v>42449760</v>
      </c>
      <c r="O399">
        <v>360</v>
      </c>
    </row>
    <row r="400" spans="1:15" x14ac:dyDescent="0.35">
      <c r="A400">
        <v>2018</v>
      </c>
      <c r="B400">
        <v>9</v>
      </c>
      <c r="C400" t="s">
        <v>14</v>
      </c>
      <c r="D400" t="s">
        <v>29</v>
      </c>
      <c r="E400" t="s">
        <v>19</v>
      </c>
      <c r="F400" t="s">
        <v>17</v>
      </c>
      <c r="G400" s="1">
        <v>77137</v>
      </c>
      <c r="H400" s="1">
        <v>484044</v>
      </c>
      <c r="I400">
        <v>52</v>
      </c>
      <c r="J400">
        <v>0.97</v>
      </c>
      <c r="K400">
        <v>6.29</v>
      </c>
      <c r="L400">
        <v>1.2</v>
      </c>
      <c r="M400">
        <v>8</v>
      </c>
      <c r="N400" s="1">
        <f>bmw_global_sales_dataset[[#This Row],[units_sold]]*bmw_global_sales_dataset[[#This Row],[price_usd]]</f>
        <v>18744291</v>
      </c>
      <c r="O400">
        <v>243</v>
      </c>
    </row>
    <row r="401" spans="1:15" x14ac:dyDescent="0.35">
      <c r="A401">
        <v>2018</v>
      </c>
      <c r="B401">
        <v>7</v>
      </c>
      <c r="C401" t="s">
        <v>35</v>
      </c>
      <c r="D401" t="s">
        <v>18</v>
      </c>
      <c r="E401" t="s">
        <v>20</v>
      </c>
      <c r="F401" t="s">
        <v>20</v>
      </c>
      <c r="G401" s="1">
        <v>35786</v>
      </c>
      <c r="H401" s="1">
        <v>266398</v>
      </c>
      <c r="I401">
        <v>246</v>
      </c>
      <c r="J401">
        <v>0.97</v>
      </c>
      <c r="K401">
        <v>6.29</v>
      </c>
      <c r="L401">
        <v>1.2</v>
      </c>
      <c r="M401">
        <v>9</v>
      </c>
      <c r="N401" s="1">
        <f>bmw_global_sales_dataset[[#This Row],[units_sold]]*bmw_global_sales_dataset[[#This Row],[price_usd]]</f>
        <v>20576950</v>
      </c>
      <c r="O401">
        <v>575</v>
      </c>
    </row>
    <row r="402" spans="1:15" x14ac:dyDescent="0.35">
      <c r="A402">
        <v>2018</v>
      </c>
      <c r="B402">
        <v>2</v>
      </c>
      <c r="C402" t="s">
        <v>25</v>
      </c>
      <c r="D402" t="s">
        <v>33</v>
      </c>
      <c r="E402" t="s">
        <v>16</v>
      </c>
      <c r="F402" t="s">
        <v>17</v>
      </c>
      <c r="G402" s="1">
        <v>65699</v>
      </c>
      <c r="H402" s="1">
        <v>463532</v>
      </c>
      <c r="I402">
        <v>267</v>
      </c>
      <c r="J402">
        <v>0.97</v>
      </c>
      <c r="K402">
        <v>6.29</v>
      </c>
      <c r="L402">
        <v>1.2</v>
      </c>
      <c r="M402">
        <v>9</v>
      </c>
      <c r="N402" s="1">
        <f>bmw_global_sales_dataset[[#This Row],[units_sold]]*bmw_global_sales_dataset[[#This Row],[price_usd]]</f>
        <v>38236818</v>
      </c>
      <c r="O402">
        <v>582</v>
      </c>
    </row>
    <row r="403" spans="1:15" x14ac:dyDescent="0.35">
      <c r="A403">
        <v>2018</v>
      </c>
      <c r="B403">
        <v>8</v>
      </c>
      <c r="C403" t="s">
        <v>38</v>
      </c>
      <c r="D403" t="s">
        <v>33</v>
      </c>
      <c r="E403" t="s">
        <v>19</v>
      </c>
      <c r="F403" t="s">
        <v>23</v>
      </c>
      <c r="G403" s="1">
        <v>73762</v>
      </c>
      <c r="H403" s="1">
        <v>243587</v>
      </c>
      <c r="I403">
        <v>165</v>
      </c>
      <c r="J403">
        <v>0.97</v>
      </c>
      <c r="K403">
        <v>6.29</v>
      </c>
      <c r="L403">
        <v>1.2</v>
      </c>
      <c r="M403">
        <v>9</v>
      </c>
      <c r="N403" s="1">
        <f>bmw_global_sales_dataset[[#This Row],[units_sold]]*bmw_global_sales_dataset[[#This Row],[price_usd]]</f>
        <v>24488984</v>
      </c>
      <c r="O403">
        <v>332</v>
      </c>
    </row>
    <row r="404" spans="1:15" x14ac:dyDescent="0.35">
      <c r="A404">
        <v>2018</v>
      </c>
      <c r="B404">
        <v>7</v>
      </c>
      <c r="C404" t="s">
        <v>14</v>
      </c>
      <c r="D404" t="s">
        <v>31</v>
      </c>
      <c r="E404" t="s">
        <v>20</v>
      </c>
      <c r="F404" t="s">
        <v>17</v>
      </c>
      <c r="G404" s="1">
        <v>55085</v>
      </c>
      <c r="H404" s="1">
        <v>469972</v>
      </c>
      <c r="I404">
        <v>380</v>
      </c>
      <c r="J404">
        <v>0.97</v>
      </c>
      <c r="K404">
        <v>6.29</v>
      </c>
      <c r="L404">
        <v>1.2</v>
      </c>
      <c r="M404">
        <v>1</v>
      </c>
      <c r="N404" s="1">
        <f>bmw_global_sales_dataset[[#This Row],[units_sold]]*bmw_global_sales_dataset[[#This Row],[price_usd]]</f>
        <v>48474800</v>
      </c>
      <c r="O404">
        <v>880</v>
      </c>
    </row>
    <row r="405" spans="1:15" x14ac:dyDescent="0.35">
      <c r="A405">
        <v>2018</v>
      </c>
      <c r="B405">
        <v>8</v>
      </c>
      <c r="C405" t="s">
        <v>37</v>
      </c>
      <c r="D405" t="s">
        <v>31</v>
      </c>
      <c r="E405" t="s">
        <v>16</v>
      </c>
      <c r="F405" t="s">
        <v>23</v>
      </c>
      <c r="G405" s="1">
        <v>81854</v>
      </c>
      <c r="H405" s="1">
        <v>372534</v>
      </c>
      <c r="I405">
        <v>353</v>
      </c>
      <c r="J405">
        <v>0.97</v>
      </c>
      <c r="K405">
        <v>6.29</v>
      </c>
      <c r="L405">
        <v>1.2</v>
      </c>
      <c r="M405">
        <v>6</v>
      </c>
      <c r="N405" s="1">
        <f>bmw_global_sales_dataset[[#This Row],[units_sold]]*bmw_global_sales_dataset[[#This Row],[price_usd]]</f>
        <v>72604498</v>
      </c>
      <c r="O405">
        <v>887</v>
      </c>
    </row>
    <row r="406" spans="1:15" x14ac:dyDescent="0.35">
      <c r="A406">
        <v>2018</v>
      </c>
      <c r="B406">
        <v>6</v>
      </c>
      <c r="C406" t="s">
        <v>14</v>
      </c>
      <c r="D406" t="s">
        <v>31</v>
      </c>
      <c r="E406" t="s">
        <v>16</v>
      </c>
      <c r="F406" t="s">
        <v>23</v>
      </c>
      <c r="G406" s="1">
        <v>74779</v>
      </c>
      <c r="H406" s="1">
        <v>321733</v>
      </c>
      <c r="I406">
        <v>347</v>
      </c>
      <c r="J406">
        <v>0.97</v>
      </c>
      <c r="K406">
        <v>6.29</v>
      </c>
      <c r="L406">
        <v>1.2</v>
      </c>
      <c r="M406">
        <v>6</v>
      </c>
      <c r="N406" s="1">
        <f>bmw_global_sales_dataset[[#This Row],[units_sold]]*bmw_global_sales_dataset[[#This Row],[price_usd]]</f>
        <v>54289554</v>
      </c>
      <c r="O406">
        <v>726</v>
      </c>
    </row>
    <row r="407" spans="1:15" x14ac:dyDescent="0.35">
      <c r="A407">
        <v>2019</v>
      </c>
      <c r="B407">
        <v>11</v>
      </c>
      <c r="C407" t="s">
        <v>14</v>
      </c>
      <c r="D407" t="s">
        <v>24</v>
      </c>
      <c r="E407" t="s">
        <v>16</v>
      </c>
      <c r="F407" t="s">
        <v>20</v>
      </c>
      <c r="G407" s="1">
        <v>42371</v>
      </c>
      <c r="H407" s="1">
        <v>323541</v>
      </c>
      <c r="I407">
        <v>319</v>
      </c>
      <c r="J407">
        <v>0.97</v>
      </c>
      <c r="K407">
        <v>6.29</v>
      </c>
      <c r="L407">
        <v>1.2</v>
      </c>
      <c r="M407">
        <v>5</v>
      </c>
      <c r="N407" s="1">
        <f>bmw_global_sales_dataset[[#This Row],[units_sold]]*bmw_global_sales_dataset[[#This Row],[price_usd]]</f>
        <v>30930830</v>
      </c>
      <c r="O407">
        <v>730</v>
      </c>
    </row>
    <row r="408" spans="1:15" x14ac:dyDescent="0.35">
      <c r="A408">
        <v>2019</v>
      </c>
      <c r="B408">
        <v>8</v>
      </c>
      <c r="C408" t="s">
        <v>32</v>
      </c>
      <c r="D408" t="s">
        <v>33</v>
      </c>
      <c r="E408" t="s">
        <v>16</v>
      </c>
      <c r="F408" t="s">
        <v>17</v>
      </c>
      <c r="G408" s="1">
        <v>41828</v>
      </c>
      <c r="H408" s="1">
        <v>92317</v>
      </c>
      <c r="I408">
        <v>359</v>
      </c>
      <c r="J408">
        <v>0.97</v>
      </c>
      <c r="K408">
        <v>6.29</v>
      </c>
      <c r="L408">
        <v>1.2</v>
      </c>
      <c r="M408">
        <v>10</v>
      </c>
      <c r="N408" s="1">
        <f>bmw_global_sales_dataset[[#This Row],[units_sold]]*bmw_global_sales_dataset[[#This Row],[price_usd]]</f>
        <v>45174240</v>
      </c>
      <c r="O408">
        <v>1080</v>
      </c>
    </row>
    <row r="409" spans="1:15" x14ac:dyDescent="0.35">
      <c r="A409">
        <v>2019</v>
      </c>
      <c r="B409">
        <v>10</v>
      </c>
      <c r="C409" t="s">
        <v>37</v>
      </c>
      <c r="D409" t="s">
        <v>34</v>
      </c>
      <c r="E409" t="s">
        <v>20</v>
      </c>
      <c r="F409" t="s">
        <v>17</v>
      </c>
      <c r="G409" s="1">
        <v>77932</v>
      </c>
      <c r="H409" s="1">
        <v>365929</v>
      </c>
      <c r="I409">
        <v>190</v>
      </c>
      <c r="J409">
        <v>0.97</v>
      </c>
      <c r="K409">
        <v>6.29</v>
      </c>
      <c r="L409">
        <v>1.2</v>
      </c>
      <c r="M409">
        <v>6</v>
      </c>
      <c r="N409" s="1">
        <f>bmw_global_sales_dataset[[#This Row],[units_sold]]*bmw_global_sales_dataset[[#This Row],[price_usd]]</f>
        <v>56500700</v>
      </c>
      <c r="O409">
        <v>725</v>
      </c>
    </row>
    <row r="410" spans="1:15" x14ac:dyDescent="0.35">
      <c r="A410">
        <v>2019</v>
      </c>
      <c r="B410">
        <v>9</v>
      </c>
      <c r="C410" t="s">
        <v>25</v>
      </c>
      <c r="D410" t="s">
        <v>24</v>
      </c>
      <c r="E410" t="s">
        <v>20</v>
      </c>
      <c r="F410" t="s">
        <v>17</v>
      </c>
      <c r="G410" s="1">
        <v>52241</v>
      </c>
      <c r="H410" s="1">
        <v>209484</v>
      </c>
      <c r="I410">
        <v>198</v>
      </c>
      <c r="J410">
        <v>0.97</v>
      </c>
      <c r="K410">
        <v>6.29</v>
      </c>
      <c r="L410">
        <v>1.2</v>
      </c>
      <c r="M410">
        <v>5</v>
      </c>
      <c r="N410" s="1">
        <f>bmw_global_sales_dataset[[#This Row],[units_sold]]*bmw_global_sales_dataset[[#This Row],[price_usd]]</f>
        <v>28419104</v>
      </c>
      <c r="O410">
        <v>544</v>
      </c>
    </row>
    <row r="411" spans="1:15" x14ac:dyDescent="0.35">
      <c r="A411">
        <v>2019</v>
      </c>
      <c r="B411">
        <v>1</v>
      </c>
      <c r="C411" t="s">
        <v>25</v>
      </c>
      <c r="D411" t="s">
        <v>33</v>
      </c>
      <c r="E411" t="s">
        <v>19</v>
      </c>
      <c r="F411" t="s">
        <v>23</v>
      </c>
      <c r="G411" s="1">
        <v>89478</v>
      </c>
      <c r="H411" s="1">
        <v>85709</v>
      </c>
      <c r="I411">
        <v>233</v>
      </c>
      <c r="J411">
        <v>0.97</v>
      </c>
      <c r="K411">
        <v>6.29</v>
      </c>
      <c r="L411">
        <v>1.2</v>
      </c>
      <c r="M411">
        <v>7</v>
      </c>
      <c r="N411" s="1">
        <f>bmw_global_sales_dataset[[#This Row],[units_sold]]*bmw_global_sales_dataset[[#This Row],[price_usd]]</f>
        <v>58339656</v>
      </c>
      <c r="O411">
        <v>652</v>
      </c>
    </row>
    <row r="412" spans="1:15" x14ac:dyDescent="0.35">
      <c r="A412">
        <v>2019</v>
      </c>
      <c r="B412">
        <v>3</v>
      </c>
      <c r="C412" t="s">
        <v>21</v>
      </c>
      <c r="D412" t="s">
        <v>26</v>
      </c>
      <c r="E412" t="s">
        <v>19</v>
      </c>
      <c r="F412" t="s">
        <v>20</v>
      </c>
      <c r="G412" s="1">
        <v>63621</v>
      </c>
      <c r="H412" s="1">
        <v>253675</v>
      </c>
      <c r="I412">
        <v>360</v>
      </c>
      <c r="J412">
        <v>0.97</v>
      </c>
      <c r="K412">
        <v>6.29</v>
      </c>
      <c r="L412">
        <v>1.2</v>
      </c>
      <c r="M412">
        <v>2</v>
      </c>
      <c r="N412" s="1">
        <f>bmw_global_sales_dataset[[#This Row],[units_sold]]*bmw_global_sales_dataset[[#This Row],[price_usd]]</f>
        <v>60121845</v>
      </c>
      <c r="O412">
        <v>945</v>
      </c>
    </row>
    <row r="413" spans="1:15" x14ac:dyDescent="0.35">
      <c r="A413">
        <v>2019</v>
      </c>
      <c r="B413">
        <v>10</v>
      </c>
      <c r="C413" t="s">
        <v>30</v>
      </c>
      <c r="D413" t="s">
        <v>29</v>
      </c>
      <c r="E413" t="s">
        <v>16</v>
      </c>
      <c r="F413" t="s">
        <v>17</v>
      </c>
      <c r="G413" s="1">
        <v>83994</v>
      </c>
      <c r="H413" s="1">
        <v>55499</v>
      </c>
      <c r="I413">
        <v>12</v>
      </c>
      <c r="J413">
        <v>0.97</v>
      </c>
      <c r="K413">
        <v>6.29</v>
      </c>
      <c r="L413">
        <v>1.2</v>
      </c>
      <c r="M413">
        <v>10</v>
      </c>
      <c r="N413" s="1">
        <f>bmw_global_sales_dataset[[#This Row],[units_sold]]*bmw_global_sales_dataset[[#This Row],[price_usd]]</f>
        <v>34689522</v>
      </c>
      <c r="O413">
        <v>413</v>
      </c>
    </row>
    <row r="414" spans="1:15" x14ac:dyDescent="0.35">
      <c r="A414">
        <v>2019</v>
      </c>
      <c r="B414">
        <v>5</v>
      </c>
      <c r="C414" t="s">
        <v>38</v>
      </c>
      <c r="D414" t="s">
        <v>31</v>
      </c>
      <c r="E414" t="s">
        <v>16</v>
      </c>
      <c r="F414" t="s">
        <v>20</v>
      </c>
      <c r="G414" s="1">
        <v>65133</v>
      </c>
      <c r="H414" s="1">
        <v>357322</v>
      </c>
      <c r="I414">
        <v>52</v>
      </c>
      <c r="J414">
        <v>0.97</v>
      </c>
      <c r="K414">
        <v>6.29</v>
      </c>
      <c r="L414">
        <v>1.2</v>
      </c>
      <c r="M414">
        <v>10</v>
      </c>
      <c r="N414" s="1">
        <f>bmw_global_sales_dataset[[#This Row],[units_sold]]*bmw_global_sales_dataset[[#This Row],[price_usd]]</f>
        <v>7620561</v>
      </c>
      <c r="O414">
        <v>117</v>
      </c>
    </row>
    <row r="415" spans="1:15" x14ac:dyDescent="0.35">
      <c r="A415">
        <v>2019</v>
      </c>
      <c r="B415">
        <v>1</v>
      </c>
      <c r="C415" t="s">
        <v>36</v>
      </c>
      <c r="D415" t="s">
        <v>18</v>
      </c>
      <c r="E415" t="s">
        <v>16</v>
      </c>
      <c r="F415" t="s">
        <v>17</v>
      </c>
      <c r="G415" s="1">
        <v>75475</v>
      </c>
      <c r="H415" s="1">
        <v>131268</v>
      </c>
      <c r="I415">
        <v>200</v>
      </c>
      <c r="J415">
        <v>0.97</v>
      </c>
      <c r="K415">
        <v>6.29</v>
      </c>
      <c r="L415">
        <v>1.2</v>
      </c>
      <c r="M415">
        <v>3</v>
      </c>
      <c r="N415" s="1">
        <f>bmw_global_sales_dataset[[#This Row],[units_sold]]*bmw_global_sales_dataset[[#This Row],[price_usd]]</f>
        <v>46039750</v>
      </c>
      <c r="O415">
        <v>610</v>
      </c>
    </row>
    <row r="416" spans="1:15" x14ac:dyDescent="0.35">
      <c r="A416">
        <v>2019</v>
      </c>
      <c r="B416">
        <v>1</v>
      </c>
      <c r="C416" t="s">
        <v>28</v>
      </c>
      <c r="D416" t="s">
        <v>24</v>
      </c>
      <c r="E416" t="s">
        <v>20</v>
      </c>
      <c r="F416" t="s">
        <v>27</v>
      </c>
      <c r="G416" s="1">
        <v>49327</v>
      </c>
      <c r="H416" s="1">
        <v>215250</v>
      </c>
      <c r="I416">
        <v>396</v>
      </c>
      <c r="J416">
        <v>0.97</v>
      </c>
      <c r="K416">
        <v>6.29</v>
      </c>
      <c r="L416">
        <v>1.2</v>
      </c>
      <c r="M416">
        <v>10</v>
      </c>
      <c r="N416" s="1">
        <f>bmw_global_sales_dataset[[#This Row],[units_sold]]*bmw_global_sales_dataset[[#This Row],[price_usd]]</f>
        <v>52582582</v>
      </c>
      <c r="O416">
        <v>1066</v>
      </c>
    </row>
    <row r="417" spans="1:15" x14ac:dyDescent="0.35">
      <c r="A417">
        <v>2019</v>
      </c>
      <c r="B417">
        <v>3</v>
      </c>
      <c r="C417" t="s">
        <v>35</v>
      </c>
      <c r="D417" t="s">
        <v>33</v>
      </c>
      <c r="E417" t="s">
        <v>20</v>
      </c>
      <c r="F417" t="s">
        <v>20</v>
      </c>
      <c r="G417" s="1">
        <v>77832</v>
      </c>
      <c r="H417" s="1">
        <v>247780</v>
      </c>
      <c r="I417">
        <v>132</v>
      </c>
      <c r="J417">
        <v>0.97</v>
      </c>
      <c r="K417">
        <v>6.29</v>
      </c>
      <c r="L417">
        <v>1.2</v>
      </c>
      <c r="M417">
        <v>8</v>
      </c>
      <c r="N417" s="1">
        <f>bmw_global_sales_dataset[[#This Row],[units_sold]]*bmw_global_sales_dataset[[#This Row],[price_usd]]</f>
        <v>51213456</v>
      </c>
      <c r="O417">
        <v>658</v>
      </c>
    </row>
    <row r="418" spans="1:15" x14ac:dyDescent="0.35">
      <c r="A418">
        <v>2019</v>
      </c>
      <c r="B418">
        <v>6</v>
      </c>
      <c r="C418" t="s">
        <v>38</v>
      </c>
      <c r="D418" t="s">
        <v>31</v>
      </c>
      <c r="E418" t="s">
        <v>19</v>
      </c>
      <c r="F418" t="s">
        <v>17</v>
      </c>
      <c r="G418" s="1">
        <v>80436</v>
      </c>
      <c r="H418" s="1">
        <v>336198</v>
      </c>
      <c r="I418">
        <v>22</v>
      </c>
      <c r="J418">
        <v>0.97</v>
      </c>
      <c r="K418">
        <v>6.29</v>
      </c>
      <c r="L418">
        <v>1.2</v>
      </c>
      <c r="M418">
        <v>9</v>
      </c>
      <c r="N418" s="1">
        <f>bmw_global_sales_dataset[[#This Row],[units_sold]]*bmw_global_sales_dataset[[#This Row],[price_usd]]</f>
        <v>15524148</v>
      </c>
      <c r="O418">
        <v>193</v>
      </c>
    </row>
    <row r="419" spans="1:15" x14ac:dyDescent="0.35">
      <c r="A419">
        <v>2019</v>
      </c>
      <c r="B419">
        <v>1</v>
      </c>
      <c r="C419" t="s">
        <v>14</v>
      </c>
      <c r="D419" t="s">
        <v>39</v>
      </c>
      <c r="E419" t="s">
        <v>16</v>
      </c>
      <c r="F419" t="s">
        <v>23</v>
      </c>
      <c r="G419" s="1">
        <v>57490</v>
      </c>
      <c r="H419" s="1">
        <v>50363</v>
      </c>
      <c r="I419">
        <v>320</v>
      </c>
      <c r="J419">
        <v>0.97</v>
      </c>
      <c r="K419">
        <v>6.29</v>
      </c>
      <c r="L419">
        <v>1.2</v>
      </c>
      <c r="M419">
        <v>3</v>
      </c>
      <c r="N419" s="1">
        <f>bmw_global_sales_dataset[[#This Row],[units_sold]]*bmw_global_sales_dataset[[#This Row],[price_usd]]</f>
        <v>60307010</v>
      </c>
      <c r="O419">
        <v>1049</v>
      </c>
    </row>
    <row r="420" spans="1:15" x14ac:dyDescent="0.35">
      <c r="A420">
        <v>2019</v>
      </c>
      <c r="B420">
        <v>7</v>
      </c>
      <c r="C420" t="s">
        <v>35</v>
      </c>
      <c r="D420" t="s">
        <v>31</v>
      </c>
      <c r="E420" t="s">
        <v>19</v>
      </c>
      <c r="F420" t="s">
        <v>23</v>
      </c>
      <c r="G420" s="1">
        <v>104922</v>
      </c>
      <c r="H420" s="1">
        <v>304822</v>
      </c>
      <c r="I420">
        <v>273</v>
      </c>
      <c r="J420">
        <v>0.97</v>
      </c>
      <c r="K420">
        <v>6.29</v>
      </c>
      <c r="L420">
        <v>1.2</v>
      </c>
      <c r="M420">
        <v>6</v>
      </c>
      <c r="N420" s="1">
        <f>bmw_global_sales_dataset[[#This Row],[units_sold]]*bmw_global_sales_dataset[[#This Row],[price_usd]]</f>
        <v>98731602</v>
      </c>
      <c r="O420">
        <v>941</v>
      </c>
    </row>
    <row r="421" spans="1:15" x14ac:dyDescent="0.35">
      <c r="A421">
        <v>2019</v>
      </c>
      <c r="B421">
        <v>7</v>
      </c>
      <c r="C421" t="s">
        <v>14</v>
      </c>
      <c r="D421" t="s">
        <v>33</v>
      </c>
      <c r="E421" t="s">
        <v>20</v>
      </c>
      <c r="F421" t="s">
        <v>20</v>
      </c>
      <c r="G421" s="1">
        <v>46618</v>
      </c>
      <c r="H421" s="1">
        <v>380763</v>
      </c>
      <c r="I421">
        <v>285</v>
      </c>
      <c r="J421">
        <v>0.97</v>
      </c>
      <c r="K421">
        <v>6.29</v>
      </c>
      <c r="L421">
        <v>1.2</v>
      </c>
      <c r="M421">
        <v>2</v>
      </c>
      <c r="N421" s="1">
        <f>bmw_global_sales_dataset[[#This Row],[units_sold]]*bmw_global_sales_dataset[[#This Row],[price_usd]]</f>
        <v>39532064</v>
      </c>
      <c r="O421">
        <v>848</v>
      </c>
    </row>
    <row r="422" spans="1:15" x14ac:dyDescent="0.35">
      <c r="A422">
        <v>2019</v>
      </c>
      <c r="B422">
        <v>5</v>
      </c>
      <c r="C422" t="s">
        <v>38</v>
      </c>
      <c r="D422" t="s">
        <v>34</v>
      </c>
      <c r="E422" t="s">
        <v>16</v>
      </c>
      <c r="F422" t="s">
        <v>20</v>
      </c>
      <c r="G422" s="1">
        <v>35692</v>
      </c>
      <c r="H422" s="1">
        <v>159876</v>
      </c>
      <c r="I422">
        <v>351</v>
      </c>
      <c r="J422">
        <v>0.97</v>
      </c>
      <c r="K422">
        <v>6.29</v>
      </c>
      <c r="L422">
        <v>1.2</v>
      </c>
      <c r="M422">
        <v>4</v>
      </c>
      <c r="N422" s="1">
        <f>bmw_global_sales_dataset[[#This Row],[units_sold]]*bmw_global_sales_dataset[[#This Row],[price_usd]]</f>
        <v>32693872</v>
      </c>
      <c r="O422">
        <v>916</v>
      </c>
    </row>
    <row r="423" spans="1:15" x14ac:dyDescent="0.35">
      <c r="A423">
        <v>2019</v>
      </c>
      <c r="B423">
        <v>1</v>
      </c>
      <c r="C423" t="s">
        <v>35</v>
      </c>
      <c r="D423" t="s">
        <v>18</v>
      </c>
      <c r="E423" t="s">
        <v>20</v>
      </c>
      <c r="F423" t="s">
        <v>17</v>
      </c>
      <c r="G423" s="1">
        <v>100449</v>
      </c>
      <c r="H423" s="1">
        <v>387201</v>
      </c>
      <c r="I423">
        <v>314</v>
      </c>
      <c r="J423">
        <v>0.97</v>
      </c>
      <c r="K423">
        <v>6.29</v>
      </c>
      <c r="L423">
        <v>1.2</v>
      </c>
      <c r="M423">
        <v>10</v>
      </c>
      <c r="N423" s="1">
        <f>bmw_global_sales_dataset[[#This Row],[units_sold]]*bmw_global_sales_dataset[[#This Row],[price_usd]]</f>
        <v>84778956</v>
      </c>
      <c r="O423">
        <v>844</v>
      </c>
    </row>
    <row r="424" spans="1:15" x14ac:dyDescent="0.35">
      <c r="A424">
        <v>2019</v>
      </c>
      <c r="B424">
        <v>12</v>
      </c>
      <c r="C424" t="s">
        <v>35</v>
      </c>
      <c r="D424" t="s">
        <v>24</v>
      </c>
      <c r="E424" t="s">
        <v>20</v>
      </c>
      <c r="F424" t="s">
        <v>17</v>
      </c>
      <c r="G424" s="1">
        <v>52653</v>
      </c>
      <c r="H424" s="1">
        <v>423145</v>
      </c>
      <c r="I424">
        <v>173</v>
      </c>
      <c r="J424">
        <v>0.97</v>
      </c>
      <c r="K424">
        <v>6.29</v>
      </c>
      <c r="L424">
        <v>1.2</v>
      </c>
      <c r="M424">
        <v>3</v>
      </c>
      <c r="N424" s="1">
        <f>bmw_global_sales_dataset[[#This Row],[units_sold]]*bmw_global_sales_dataset[[#This Row],[price_usd]]</f>
        <v>31539147</v>
      </c>
      <c r="O424">
        <v>599</v>
      </c>
    </row>
    <row r="425" spans="1:15" x14ac:dyDescent="0.35">
      <c r="A425">
        <v>2019</v>
      </c>
      <c r="B425">
        <v>9</v>
      </c>
      <c r="C425" t="s">
        <v>14</v>
      </c>
      <c r="D425" t="s">
        <v>33</v>
      </c>
      <c r="E425" t="s">
        <v>19</v>
      </c>
      <c r="F425" t="s">
        <v>23</v>
      </c>
      <c r="G425" s="1">
        <v>79148</v>
      </c>
      <c r="H425" s="1">
        <v>390053</v>
      </c>
      <c r="I425">
        <v>331</v>
      </c>
      <c r="J425">
        <v>0.97</v>
      </c>
      <c r="K425">
        <v>6.29</v>
      </c>
      <c r="L425">
        <v>1.2</v>
      </c>
      <c r="M425">
        <v>4</v>
      </c>
      <c r="N425" s="1">
        <f>bmw_global_sales_dataset[[#This Row],[units_sold]]*bmw_global_sales_dataset[[#This Row],[price_usd]]</f>
        <v>58886112</v>
      </c>
      <c r="O425">
        <v>744</v>
      </c>
    </row>
    <row r="426" spans="1:15" x14ac:dyDescent="0.35">
      <c r="A426">
        <v>2019</v>
      </c>
      <c r="B426">
        <v>1</v>
      </c>
      <c r="C426" t="s">
        <v>38</v>
      </c>
      <c r="D426" t="s">
        <v>18</v>
      </c>
      <c r="E426" t="s">
        <v>19</v>
      </c>
      <c r="F426" t="s">
        <v>23</v>
      </c>
      <c r="G426" s="1">
        <v>84056</v>
      </c>
      <c r="H426" s="1">
        <v>153986</v>
      </c>
      <c r="I426">
        <v>76</v>
      </c>
      <c r="J426">
        <v>0.97</v>
      </c>
      <c r="K426">
        <v>6.29</v>
      </c>
      <c r="L426">
        <v>1.2</v>
      </c>
      <c r="M426">
        <v>10</v>
      </c>
      <c r="N426" s="1">
        <f>bmw_global_sales_dataset[[#This Row],[units_sold]]*bmw_global_sales_dataset[[#This Row],[price_usd]]</f>
        <v>35219464</v>
      </c>
      <c r="O426">
        <v>419</v>
      </c>
    </row>
    <row r="427" spans="1:15" x14ac:dyDescent="0.35">
      <c r="A427">
        <v>2019</v>
      </c>
      <c r="B427">
        <v>12</v>
      </c>
      <c r="C427" t="s">
        <v>30</v>
      </c>
      <c r="D427" t="s">
        <v>22</v>
      </c>
      <c r="E427" t="s">
        <v>16</v>
      </c>
      <c r="F427" t="s">
        <v>27</v>
      </c>
      <c r="G427" s="1">
        <v>108762</v>
      </c>
      <c r="H427" s="1">
        <v>297677</v>
      </c>
      <c r="I427">
        <v>68</v>
      </c>
      <c r="J427">
        <v>0.97</v>
      </c>
      <c r="K427">
        <v>6.29</v>
      </c>
      <c r="L427">
        <v>1.2</v>
      </c>
      <c r="M427">
        <v>7</v>
      </c>
      <c r="N427" s="1">
        <f>bmw_global_sales_dataset[[#This Row],[units_sold]]*bmw_global_sales_dataset[[#This Row],[price_usd]]</f>
        <v>39915654</v>
      </c>
      <c r="O427">
        <v>367</v>
      </c>
    </row>
    <row r="428" spans="1:15" x14ac:dyDescent="0.35">
      <c r="A428">
        <v>2019</v>
      </c>
      <c r="B428">
        <v>7</v>
      </c>
      <c r="C428" t="s">
        <v>38</v>
      </c>
      <c r="D428" t="s">
        <v>26</v>
      </c>
      <c r="E428" t="s">
        <v>16</v>
      </c>
      <c r="F428" t="s">
        <v>20</v>
      </c>
      <c r="G428" s="1">
        <v>46781</v>
      </c>
      <c r="H428" s="1">
        <v>353446</v>
      </c>
      <c r="I428">
        <v>252</v>
      </c>
      <c r="J428">
        <v>0.97</v>
      </c>
      <c r="K428">
        <v>6.29</v>
      </c>
      <c r="L428">
        <v>1.2</v>
      </c>
      <c r="M428">
        <v>2</v>
      </c>
      <c r="N428" s="1">
        <f>bmw_global_sales_dataset[[#This Row],[units_sold]]*bmw_global_sales_dataset[[#This Row],[price_usd]]</f>
        <v>30126964</v>
      </c>
      <c r="O428">
        <v>644</v>
      </c>
    </row>
    <row r="429" spans="1:15" x14ac:dyDescent="0.35">
      <c r="A429">
        <v>2019</v>
      </c>
      <c r="B429">
        <v>11</v>
      </c>
      <c r="C429" t="s">
        <v>28</v>
      </c>
      <c r="D429" t="s">
        <v>34</v>
      </c>
      <c r="E429" t="s">
        <v>16</v>
      </c>
      <c r="F429" t="s">
        <v>23</v>
      </c>
      <c r="G429" s="1">
        <v>87151</v>
      </c>
      <c r="H429" s="1">
        <v>161776</v>
      </c>
      <c r="I429">
        <v>297</v>
      </c>
      <c r="J429">
        <v>0.97</v>
      </c>
      <c r="K429">
        <v>6.29</v>
      </c>
      <c r="L429">
        <v>1.2</v>
      </c>
      <c r="M429">
        <v>10</v>
      </c>
      <c r="N429" s="1">
        <f>bmw_global_sales_dataset[[#This Row],[units_sold]]*bmw_global_sales_dataset[[#This Row],[price_usd]]</f>
        <v>87238151</v>
      </c>
      <c r="O429">
        <v>1001</v>
      </c>
    </row>
    <row r="430" spans="1:15" x14ac:dyDescent="0.35">
      <c r="A430">
        <v>2019</v>
      </c>
      <c r="B430">
        <v>4</v>
      </c>
      <c r="C430" t="s">
        <v>14</v>
      </c>
      <c r="D430" t="s">
        <v>39</v>
      </c>
      <c r="E430" t="s">
        <v>19</v>
      </c>
      <c r="F430" t="s">
        <v>23</v>
      </c>
      <c r="G430" s="1">
        <v>63091</v>
      </c>
      <c r="H430" s="1">
        <v>345457</v>
      </c>
      <c r="I430">
        <v>316</v>
      </c>
      <c r="J430">
        <v>0.97</v>
      </c>
      <c r="K430">
        <v>6.29</v>
      </c>
      <c r="L430">
        <v>1.2</v>
      </c>
      <c r="M430">
        <v>5</v>
      </c>
      <c r="N430" s="1">
        <f>bmw_global_sales_dataset[[#This Row],[units_sold]]*bmw_global_sales_dataset[[#This Row],[price_usd]]</f>
        <v>68201371</v>
      </c>
      <c r="O430">
        <v>1081</v>
      </c>
    </row>
    <row r="431" spans="1:15" x14ac:dyDescent="0.35">
      <c r="A431">
        <v>2019</v>
      </c>
      <c r="B431">
        <v>4</v>
      </c>
      <c r="C431" t="s">
        <v>30</v>
      </c>
      <c r="D431" t="s">
        <v>29</v>
      </c>
      <c r="E431" t="s">
        <v>16</v>
      </c>
      <c r="F431" t="s">
        <v>23</v>
      </c>
      <c r="G431" s="1">
        <v>36079</v>
      </c>
      <c r="H431" s="1">
        <v>215767</v>
      </c>
      <c r="I431">
        <v>116</v>
      </c>
      <c r="J431">
        <v>0.97</v>
      </c>
      <c r="K431">
        <v>6.29</v>
      </c>
      <c r="L431">
        <v>1.2</v>
      </c>
      <c r="M431">
        <v>5</v>
      </c>
      <c r="N431" s="1">
        <f>bmw_global_sales_dataset[[#This Row],[units_sold]]*bmw_global_sales_dataset[[#This Row],[price_usd]]</f>
        <v>12663729</v>
      </c>
      <c r="O431">
        <v>351</v>
      </c>
    </row>
    <row r="432" spans="1:15" x14ac:dyDescent="0.35">
      <c r="A432">
        <v>2019</v>
      </c>
      <c r="B432">
        <v>9</v>
      </c>
      <c r="C432" t="s">
        <v>36</v>
      </c>
      <c r="D432" t="s">
        <v>15</v>
      </c>
      <c r="E432" t="s">
        <v>20</v>
      </c>
      <c r="F432" t="s">
        <v>23</v>
      </c>
      <c r="G432" s="1">
        <v>94872</v>
      </c>
      <c r="H432" s="1">
        <v>137453</v>
      </c>
      <c r="I432">
        <v>173</v>
      </c>
      <c r="J432">
        <v>0.97</v>
      </c>
      <c r="K432">
        <v>6.29</v>
      </c>
      <c r="L432">
        <v>1.2</v>
      </c>
      <c r="M432">
        <v>8</v>
      </c>
      <c r="N432" s="1">
        <f>bmw_global_sales_dataset[[#This Row],[units_sold]]*bmw_global_sales_dataset[[#This Row],[price_usd]]</f>
        <v>47910360</v>
      </c>
      <c r="O432">
        <v>505</v>
      </c>
    </row>
    <row r="433" spans="1:15" x14ac:dyDescent="0.35">
      <c r="A433">
        <v>2019</v>
      </c>
      <c r="B433">
        <v>9</v>
      </c>
      <c r="C433" t="s">
        <v>28</v>
      </c>
      <c r="D433" t="s">
        <v>22</v>
      </c>
      <c r="E433" t="s">
        <v>16</v>
      </c>
      <c r="F433" t="s">
        <v>17</v>
      </c>
      <c r="G433" s="1">
        <v>56473</v>
      </c>
      <c r="H433" s="1">
        <v>497746</v>
      </c>
      <c r="I433">
        <v>190</v>
      </c>
      <c r="J433">
        <v>0.97</v>
      </c>
      <c r="K433">
        <v>6.29</v>
      </c>
      <c r="L433">
        <v>1.2</v>
      </c>
      <c r="M433">
        <v>5</v>
      </c>
      <c r="N433" s="1">
        <f>bmw_global_sales_dataset[[#This Row],[units_sold]]*bmw_global_sales_dataset[[#This Row],[price_usd]]</f>
        <v>43653629</v>
      </c>
      <c r="O433">
        <v>773</v>
      </c>
    </row>
    <row r="434" spans="1:15" x14ac:dyDescent="0.35">
      <c r="A434">
        <v>2019</v>
      </c>
      <c r="B434">
        <v>1</v>
      </c>
      <c r="C434" t="s">
        <v>25</v>
      </c>
      <c r="D434" t="s">
        <v>34</v>
      </c>
      <c r="E434" t="s">
        <v>19</v>
      </c>
      <c r="F434" t="s">
        <v>20</v>
      </c>
      <c r="G434" s="1">
        <v>67230</v>
      </c>
      <c r="H434" s="1">
        <v>359945</v>
      </c>
      <c r="I434">
        <v>75</v>
      </c>
      <c r="J434">
        <v>0.97</v>
      </c>
      <c r="K434">
        <v>6.29</v>
      </c>
      <c r="L434">
        <v>1.2</v>
      </c>
      <c r="M434">
        <v>6</v>
      </c>
      <c r="N434" s="1">
        <f>bmw_global_sales_dataset[[#This Row],[units_sold]]*bmw_global_sales_dataset[[#This Row],[price_usd]]</f>
        <v>28505520</v>
      </c>
      <c r="O434">
        <v>424</v>
      </c>
    </row>
    <row r="435" spans="1:15" x14ac:dyDescent="0.35">
      <c r="A435">
        <v>2019</v>
      </c>
      <c r="B435">
        <v>8</v>
      </c>
      <c r="C435" t="s">
        <v>21</v>
      </c>
      <c r="D435" t="s">
        <v>31</v>
      </c>
      <c r="E435" t="s">
        <v>16</v>
      </c>
      <c r="F435" t="s">
        <v>27</v>
      </c>
      <c r="G435" s="1">
        <v>83664</v>
      </c>
      <c r="H435" s="1">
        <v>208666</v>
      </c>
      <c r="I435">
        <v>309</v>
      </c>
      <c r="J435">
        <v>0.97</v>
      </c>
      <c r="K435">
        <v>6.29</v>
      </c>
      <c r="L435">
        <v>1.2</v>
      </c>
      <c r="M435">
        <v>2</v>
      </c>
      <c r="N435" s="1">
        <f>bmw_global_sales_dataset[[#This Row],[units_sold]]*bmw_global_sales_dataset[[#This Row],[price_usd]]</f>
        <v>57477168</v>
      </c>
      <c r="O435">
        <v>687</v>
      </c>
    </row>
    <row r="436" spans="1:15" x14ac:dyDescent="0.35">
      <c r="A436">
        <v>2019</v>
      </c>
      <c r="B436">
        <v>8</v>
      </c>
      <c r="C436" t="s">
        <v>28</v>
      </c>
      <c r="D436" t="s">
        <v>33</v>
      </c>
      <c r="E436" t="s">
        <v>19</v>
      </c>
      <c r="F436" t="s">
        <v>27</v>
      </c>
      <c r="G436" s="1">
        <v>86413</v>
      </c>
      <c r="H436" s="1">
        <v>497126</v>
      </c>
      <c r="I436">
        <v>123</v>
      </c>
      <c r="J436">
        <v>0.97</v>
      </c>
      <c r="K436">
        <v>6.29</v>
      </c>
      <c r="L436">
        <v>1.2</v>
      </c>
      <c r="M436">
        <v>5</v>
      </c>
      <c r="N436" s="1">
        <f>bmw_global_sales_dataset[[#This Row],[units_sold]]*bmw_global_sales_dataset[[#This Row],[price_usd]]</f>
        <v>39145089</v>
      </c>
      <c r="O436">
        <v>453</v>
      </c>
    </row>
    <row r="437" spans="1:15" x14ac:dyDescent="0.35">
      <c r="A437">
        <v>2019</v>
      </c>
      <c r="B437">
        <v>7</v>
      </c>
      <c r="C437" t="s">
        <v>37</v>
      </c>
      <c r="D437" t="s">
        <v>18</v>
      </c>
      <c r="E437" t="s">
        <v>19</v>
      </c>
      <c r="F437" t="s">
        <v>17</v>
      </c>
      <c r="G437" s="1">
        <v>106576</v>
      </c>
      <c r="H437" s="1">
        <v>345901</v>
      </c>
      <c r="I437">
        <v>129</v>
      </c>
      <c r="J437">
        <v>0.97</v>
      </c>
      <c r="K437">
        <v>6.29</v>
      </c>
      <c r="L437">
        <v>1.2</v>
      </c>
      <c r="M437">
        <v>7</v>
      </c>
      <c r="N437" s="1">
        <f>bmw_global_sales_dataset[[#This Row],[units_sold]]*bmw_global_sales_dataset[[#This Row],[price_usd]]</f>
        <v>57444464</v>
      </c>
      <c r="O437">
        <v>539</v>
      </c>
    </row>
    <row r="438" spans="1:15" x14ac:dyDescent="0.35">
      <c r="A438">
        <v>2019</v>
      </c>
      <c r="B438">
        <v>2</v>
      </c>
      <c r="C438" t="s">
        <v>38</v>
      </c>
      <c r="D438" t="s">
        <v>39</v>
      </c>
      <c r="E438" t="s">
        <v>20</v>
      </c>
      <c r="F438" t="s">
        <v>20</v>
      </c>
      <c r="G438" s="1">
        <v>45304</v>
      </c>
      <c r="H438" s="1">
        <v>128012</v>
      </c>
      <c r="I438">
        <v>179</v>
      </c>
      <c r="J438">
        <v>0.97</v>
      </c>
      <c r="K438">
        <v>6.29</v>
      </c>
      <c r="L438">
        <v>1.2</v>
      </c>
      <c r="M438">
        <v>9</v>
      </c>
      <c r="N438" s="1">
        <f>bmw_global_sales_dataset[[#This Row],[units_sold]]*bmw_global_sales_dataset[[#This Row],[price_usd]]</f>
        <v>27771352</v>
      </c>
      <c r="O438">
        <v>613</v>
      </c>
    </row>
    <row r="439" spans="1:15" x14ac:dyDescent="0.35">
      <c r="A439">
        <v>2019</v>
      </c>
      <c r="B439">
        <v>10</v>
      </c>
      <c r="C439" t="s">
        <v>35</v>
      </c>
      <c r="D439" t="s">
        <v>33</v>
      </c>
      <c r="E439" t="s">
        <v>20</v>
      </c>
      <c r="F439" t="s">
        <v>23</v>
      </c>
      <c r="G439" s="1">
        <v>52065</v>
      </c>
      <c r="H439" s="1">
        <v>447595</v>
      </c>
      <c r="I439">
        <v>371</v>
      </c>
      <c r="J439">
        <v>0.97</v>
      </c>
      <c r="K439">
        <v>6.29</v>
      </c>
      <c r="L439">
        <v>1.2</v>
      </c>
      <c r="M439">
        <v>7</v>
      </c>
      <c r="N439" s="1">
        <f>bmw_global_sales_dataset[[#This Row],[units_sold]]*bmw_global_sales_dataset[[#This Row],[price_usd]]</f>
        <v>50867505</v>
      </c>
      <c r="O439">
        <v>977</v>
      </c>
    </row>
    <row r="440" spans="1:15" x14ac:dyDescent="0.35">
      <c r="A440">
        <v>2019</v>
      </c>
      <c r="B440">
        <v>7</v>
      </c>
      <c r="C440" t="s">
        <v>32</v>
      </c>
      <c r="D440" t="s">
        <v>18</v>
      </c>
      <c r="E440" t="s">
        <v>20</v>
      </c>
      <c r="F440" t="s">
        <v>27</v>
      </c>
      <c r="G440" s="1">
        <v>36073</v>
      </c>
      <c r="H440" s="1">
        <v>132018</v>
      </c>
      <c r="I440">
        <v>264</v>
      </c>
      <c r="J440">
        <v>0.97</v>
      </c>
      <c r="K440">
        <v>6.29</v>
      </c>
      <c r="L440">
        <v>1.2</v>
      </c>
      <c r="M440">
        <v>1</v>
      </c>
      <c r="N440" s="1">
        <f>bmw_global_sales_dataset[[#This Row],[units_sold]]*bmw_global_sales_dataset[[#This Row],[price_usd]]</f>
        <v>31744240</v>
      </c>
      <c r="O440">
        <v>880</v>
      </c>
    </row>
    <row r="441" spans="1:15" x14ac:dyDescent="0.35">
      <c r="A441">
        <v>2019</v>
      </c>
      <c r="B441">
        <v>8</v>
      </c>
      <c r="C441" t="s">
        <v>32</v>
      </c>
      <c r="D441" t="s">
        <v>22</v>
      </c>
      <c r="E441" t="s">
        <v>20</v>
      </c>
      <c r="F441" t="s">
        <v>23</v>
      </c>
      <c r="G441" s="1">
        <v>64320</v>
      </c>
      <c r="H441" s="1">
        <v>444093</v>
      </c>
      <c r="I441">
        <v>121</v>
      </c>
      <c r="J441">
        <v>0.97</v>
      </c>
      <c r="K441">
        <v>6.29</v>
      </c>
      <c r="L441">
        <v>1.2</v>
      </c>
      <c r="M441">
        <v>2</v>
      </c>
      <c r="N441" s="1">
        <f>bmw_global_sales_dataset[[#This Row],[units_sold]]*bmw_global_sales_dataset[[#This Row],[price_usd]]</f>
        <v>39878400</v>
      </c>
      <c r="O441">
        <v>620</v>
      </c>
    </row>
    <row r="442" spans="1:15" x14ac:dyDescent="0.35">
      <c r="A442">
        <v>2019</v>
      </c>
      <c r="B442">
        <v>2</v>
      </c>
      <c r="C442" t="s">
        <v>35</v>
      </c>
      <c r="D442" t="s">
        <v>22</v>
      </c>
      <c r="E442" t="s">
        <v>19</v>
      </c>
      <c r="F442" t="s">
        <v>20</v>
      </c>
      <c r="G442" s="1">
        <v>114436</v>
      </c>
      <c r="H442" s="1">
        <v>354169</v>
      </c>
      <c r="I442">
        <v>309</v>
      </c>
      <c r="J442">
        <v>0.97</v>
      </c>
      <c r="K442">
        <v>6.29</v>
      </c>
      <c r="L442">
        <v>1.2</v>
      </c>
      <c r="M442">
        <v>1</v>
      </c>
      <c r="N442" s="1">
        <f>bmw_global_sales_dataset[[#This Row],[units_sold]]*bmw_global_sales_dataset[[#This Row],[price_usd]]</f>
        <v>83538280</v>
      </c>
      <c r="O442">
        <v>730</v>
      </c>
    </row>
    <row r="443" spans="1:15" x14ac:dyDescent="0.35">
      <c r="A443">
        <v>2019</v>
      </c>
      <c r="B443">
        <v>10</v>
      </c>
      <c r="C443" t="s">
        <v>28</v>
      </c>
      <c r="D443" t="s">
        <v>29</v>
      </c>
      <c r="E443" t="s">
        <v>19</v>
      </c>
      <c r="F443" t="s">
        <v>23</v>
      </c>
      <c r="G443" s="1">
        <v>96075</v>
      </c>
      <c r="H443" s="1">
        <v>411652</v>
      </c>
      <c r="I443">
        <v>398</v>
      </c>
      <c r="J443">
        <v>0.97</v>
      </c>
      <c r="K443">
        <v>6.29</v>
      </c>
      <c r="L443">
        <v>1.2</v>
      </c>
      <c r="M443">
        <v>7</v>
      </c>
      <c r="N443" s="1">
        <f>bmw_global_sales_dataset[[#This Row],[units_sold]]*bmw_global_sales_dataset[[#This Row],[price_usd]]</f>
        <v>104049225</v>
      </c>
      <c r="O443">
        <v>1083</v>
      </c>
    </row>
    <row r="444" spans="1:15" x14ac:dyDescent="0.35">
      <c r="A444">
        <v>2019</v>
      </c>
      <c r="B444">
        <v>11</v>
      </c>
      <c r="C444" t="s">
        <v>37</v>
      </c>
      <c r="D444" t="s">
        <v>39</v>
      </c>
      <c r="E444" t="s">
        <v>16</v>
      </c>
      <c r="F444" t="s">
        <v>27</v>
      </c>
      <c r="G444" s="1">
        <v>58464</v>
      </c>
      <c r="H444" s="1">
        <v>397236</v>
      </c>
      <c r="I444">
        <v>41</v>
      </c>
      <c r="J444">
        <v>0.97</v>
      </c>
      <c r="K444">
        <v>6.29</v>
      </c>
      <c r="L444">
        <v>1.2</v>
      </c>
      <c r="M444">
        <v>8</v>
      </c>
      <c r="N444" s="1">
        <f>bmw_global_sales_dataset[[#This Row],[units_sold]]*bmw_global_sales_dataset[[#This Row],[price_usd]]</f>
        <v>8594208</v>
      </c>
      <c r="O444">
        <v>147</v>
      </c>
    </row>
    <row r="445" spans="1:15" x14ac:dyDescent="0.35">
      <c r="A445">
        <v>2019</v>
      </c>
      <c r="B445">
        <v>1</v>
      </c>
      <c r="C445" t="s">
        <v>35</v>
      </c>
      <c r="D445" t="s">
        <v>29</v>
      </c>
      <c r="E445" t="s">
        <v>20</v>
      </c>
      <c r="F445" t="s">
        <v>27</v>
      </c>
      <c r="G445" s="1">
        <v>96497</v>
      </c>
      <c r="H445" s="1">
        <v>438681</v>
      </c>
      <c r="I445">
        <v>76</v>
      </c>
      <c r="J445">
        <v>0.97</v>
      </c>
      <c r="K445">
        <v>6.29</v>
      </c>
      <c r="L445">
        <v>1.2</v>
      </c>
      <c r="M445">
        <v>7</v>
      </c>
      <c r="N445" s="1">
        <f>bmw_global_sales_dataset[[#This Row],[units_sold]]*bmw_global_sales_dataset[[#This Row],[price_usd]]</f>
        <v>35607393</v>
      </c>
      <c r="O445">
        <v>369</v>
      </c>
    </row>
    <row r="446" spans="1:15" x14ac:dyDescent="0.35">
      <c r="A446">
        <v>2019</v>
      </c>
      <c r="B446">
        <v>9</v>
      </c>
      <c r="C446" t="s">
        <v>21</v>
      </c>
      <c r="D446" t="s">
        <v>29</v>
      </c>
      <c r="E446" t="s">
        <v>19</v>
      </c>
      <c r="F446" t="s">
        <v>17</v>
      </c>
      <c r="G446" s="1">
        <v>119517</v>
      </c>
      <c r="H446" s="1">
        <v>138741</v>
      </c>
      <c r="I446">
        <v>213</v>
      </c>
      <c r="J446">
        <v>0.97</v>
      </c>
      <c r="K446">
        <v>6.29</v>
      </c>
      <c r="L446">
        <v>1.2</v>
      </c>
      <c r="M446">
        <v>3</v>
      </c>
      <c r="N446" s="1">
        <f>bmw_global_sales_dataset[[#This Row],[units_sold]]*bmw_global_sales_dataset[[#This Row],[price_usd]]</f>
        <v>61790289</v>
      </c>
      <c r="O446">
        <v>517</v>
      </c>
    </row>
    <row r="447" spans="1:15" x14ac:dyDescent="0.35">
      <c r="A447">
        <v>2019</v>
      </c>
      <c r="B447">
        <v>9</v>
      </c>
      <c r="C447" t="s">
        <v>25</v>
      </c>
      <c r="D447" t="s">
        <v>26</v>
      </c>
      <c r="E447" t="s">
        <v>20</v>
      </c>
      <c r="F447" t="s">
        <v>20</v>
      </c>
      <c r="G447" s="1">
        <v>37881</v>
      </c>
      <c r="H447" s="1">
        <v>386092</v>
      </c>
      <c r="I447">
        <v>194</v>
      </c>
      <c r="J447">
        <v>0.97</v>
      </c>
      <c r="K447">
        <v>6.29</v>
      </c>
      <c r="L447">
        <v>1.2</v>
      </c>
      <c r="M447">
        <v>2</v>
      </c>
      <c r="N447" s="1">
        <f>bmw_global_sales_dataset[[#This Row],[units_sold]]*bmw_global_sales_dataset[[#This Row],[price_usd]]</f>
        <v>29357775</v>
      </c>
      <c r="O447">
        <v>775</v>
      </c>
    </row>
    <row r="448" spans="1:15" x14ac:dyDescent="0.35">
      <c r="A448">
        <v>2019</v>
      </c>
      <c r="B448">
        <v>4</v>
      </c>
      <c r="C448" t="s">
        <v>35</v>
      </c>
      <c r="D448" t="s">
        <v>31</v>
      </c>
      <c r="E448" t="s">
        <v>19</v>
      </c>
      <c r="F448" t="s">
        <v>17</v>
      </c>
      <c r="G448" s="1">
        <v>118168</v>
      </c>
      <c r="H448" s="1">
        <v>252123</v>
      </c>
      <c r="I448">
        <v>71</v>
      </c>
      <c r="J448">
        <v>0.97</v>
      </c>
      <c r="K448">
        <v>6.29</v>
      </c>
      <c r="L448">
        <v>1.2</v>
      </c>
      <c r="M448">
        <v>6</v>
      </c>
      <c r="N448" s="1">
        <f>bmw_global_sales_dataset[[#This Row],[units_sold]]*bmw_global_sales_dataset[[#This Row],[price_usd]]</f>
        <v>22097416</v>
      </c>
      <c r="O448">
        <v>187</v>
      </c>
    </row>
    <row r="449" spans="1:15" x14ac:dyDescent="0.35">
      <c r="A449">
        <v>2019</v>
      </c>
      <c r="B449">
        <v>8</v>
      </c>
      <c r="C449" t="s">
        <v>38</v>
      </c>
      <c r="D449" t="s">
        <v>33</v>
      </c>
      <c r="E449" t="s">
        <v>16</v>
      </c>
      <c r="F449" t="s">
        <v>20</v>
      </c>
      <c r="G449" s="1">
        <v>74255</v>
      </c>
      <c r="H449" s="1">
        <v>156471</v>
      </c>
      <c r="I449">
        <v>150</v>
      </c>
      <c r="J449">
        <v>0.97</v>
      </c>
      <c r="K449">
        <v>6.29</v>
      </c>
      <c r="L449">
        <v>1.2</v>
      </c>
      <c r="M449">
        <v>9</v>
      </c>
      <c r="N449" s="1">
        <f>bmw_global_sales_dataset[[#This Row],[units_sold]]*bmw_global_sales_dataset[[#This Row],[price_usd]]</f>
        <v>40988760</v>
      </c>
      <c r="O449">
        <v>552</v>
      </c>
    </row>
    <row r="450" spans="1:15" x14ac:dyDescent="0.35">
      <c r="A450">
        <v>2019</v>
      </c>
      <c r="B450">
        <v>9</v>
      </c>
      <c r="C450" t="s">
        <v>32</v>
      </c>
      <c r="D450" t="s">
        <v>39</v>
      </c>
      <c r="E450" t="s">
        <v>19</v>
      </c>
      <c r="F450" t="s">
        <v>27</v>
      </c>
      <c r="G450" s="1">
        <v>81994</v>
      </c>
      <c r="H450" s="1">
        <v>155386</v>
      </c>
      <c r="I450">
        <v>40</v>
      </c>
      <c r="J450">
        <v>0.97</v>
      </c>
      <c r="K450">
        <v>6.29</v>
      </c>
      <c r="L450">
        <v>1.2</v>
      </c>
      <c r="M450">
        <v>5</v>
      </c>
      <c r="N450" s="1">
        <f>bmw_global_sales_dataset[[#This Row],[units_sold]]*bmw_global_sales_dataset[[#This Row],[price_usd]]</f>
        <v>15742848</v>
      </c>
      <c r="O450">
        <v>192</v>
      </c>
    </row>
    <row r="451" spans="1:15" x14ac:dyDescent="0.35">
      <c r="A451">
        <v>2019</v>
      </c>
      <c r="B451">
        <v>8</v>
      </c>
      <c r="C451" t="s">
        <v>21</v>
      </c>
      <c r="D451" t="s">
        <v>29</v>
      </c>
      <c r="E451" t="s">
        <v>20</v>
      </c>
      <c r="F451" t="s">
        <v>23</v>
      </c>
      <c r="G451" s="1">
        <v>36462</v>
      </c>
      <c r="H451" s="1">
        <v>309278</v>
      </c>
      <c r="I451">
        <v>180</v>
      </c>
      <c r="J451">
        <v>0.97</v>
      </c>
      <c r="K451">
        <v>6.29</v>
      </c>
      <c r="L451">
        <v>1.2</v>
      </c>
      <c r="M451">
        <v>1</v>
      </c>
      <c r="N451" s="1">
        <f>bmw_global_sales_dataset[[#This Row],[units_sold]]*bmw_global_sales_dataset[[#This Row],[price_usd]]</f>
        <v>20892726</v>
      </c>
      <c r="O451">
        <v>573</v>
      </c>
    </row>
    <row r="452" spans="1:15" x14ac:dyDescent="0.35">
      <c r="A452">
        <v>2019</v>
      </c>
      <c r="B452">
        <v>6</v>
      </c>
      <c r="C452" t="s">
        <v>25</v>
      </c>
      <c r="D452" t="s">
        <v>26</v>
      </c>
      <c r="E452" t="s">
        <v>19</v>
      </c>
      <c r="F452" t="s">
        <v>27</v>
      </c>
      <c r="G452" s="1">
        <v>108870</v>
      </c>
      <c r="H452" s="1">
        <v>383245</v>
      </c>
      <c r="I452">
        <v>363</v>
      </c>
      <c r="J452">
        <v>0.97</v>
      </c>
      <c r="K452">
        <v>6.29</v>
      </c>
      <c r="L452">
        <v>1.2</v>
      </c>
      <c r="M452">
        <v>1</v>
      </c>
      <c r="N452" s="1">
        <f>bmw_global_sales_dataset[[#This Row],[units_sold]]*bmw_global_sales_dataset[[#This Row],[price_usd]]</f>
        <v>103535370</v>
      </c>
      <c r="O452">
        <v>951</v>
      </c>
    </row>
    <row r="453" spans="1:15" x14ac:dyDescent="0.35">
      <c r="A453">
        <v>2019</v>
      </c>
      <c r="B453">
        <v>1</v>
      </c>
      <c r="C453" t="s">
        <v>28</v>
      </c>
      <c r="D453" t="s">
        <v>33</v>
      </c>
      <c r="E453" t="s">
        <v>20</v>
      </c>
      <c r="F453" t="s">
        <v>23</v>
      </c>
      <c r="G453" s="1">
        <v>38332</v>
      </c>
      <c r="H453" s="1">
        <v>255232</v>
      </c>
      <c r="I453">
        <v>55</v>
      </c>
      <c r="J453">
        <v>0.97</v>
      </c>
      <c r="K453">
        <v>6.29</v>
      </c>
      <c r="L453">
        <v>1.2</v>
      </c>
      <c r="M453">
        <v>8</v>
      </c>
      <c r="N453" s="1">
        <f>bmw_global_sales_dataset[[#This Row],[units_sold]]*bmw_global_sales_dataset[[#This Row],[price_usd]]</f>
        <v>16022776</v>
      </c>
      <c r="O453">
        <v>418</v>
      </c>
    </row>
    <row r="454" spans="1:15" x14ac:dyDescent="0.35">
      <c r="A454">
        <v>2019</v>
      </c>
      <c r="B454">
        <v>10</v>
      </c>
      <c r="C454" t="s">
        <v>25</v>
      </c>
      <c r="D454" t="s">
        <v>15</v>
      </c>
      <c r="E454" t="s">
        <v>20</v>
      </c>
      <c r="F454" t="s">
        <v>20</v>
      </c>
      <c r="G454" s="1">
        <v>117542</v>
      </c>
      <c r="H454" s="1">
        <v>330790</v>
      </c>
      <c r="I454">
        <v>196</v>
      </c>
      <c r="J454">
        <v>0.97</v>
      </c>
      <c r="K454">
        <v>6.29</v>
      </c>
      <c r="L454">
        <v>1.2</v>
      </c>
      <c r="M454">
        <v>1</v>
      </c>
      <c r="N454" s="1">
        <f>bmw_global_sales_dataset[[#This Row],[units_sold]]*bmw_global_sales_dataset[[#This Row],[price_usd]]</f>
        <v>63237596</v>
      </c>
      <c r="O454">
        <v>538</v>
      </c>
    </row>
    <row r="455" spans="1:15" x14ac:dyDescent="0.35">
      <c r="A455">
        <v>2019</v>
      </c>
      <c r="B455">
        <v>8</v>
      </c>
      <c r="C455" t="s">
        <v>35</v>
      </c>
      <c r="D455" t="s">
        <v>39</v>
      </c>
      <c r="E455" t="s">
        <v>16</v>
      </c>
      <c r="F455" t="s">
        <v>23</v>
      </c>
      <c r="G455" s="1">
        <v>73498</v>
      </c>
      <c r="H455" s="1">
        <v>249215</v>
      </c>
      <c r="I455">
        <v>285</v>
      </c>
      <c r="J455">
        <v>0.97</v>
      </c>
      <c r="K455">
        <v>6.29</v>
      </c>
      <c r="L455">
        <v>1.2</v>
      </c>
      <c r="M455">
        <v>3</v>
      </c>
      <c r="N455" s="1">
        <f>bmw_global_sales_dataset[[#This Row],[units_sold]]*bmw_global_sales_dataset[[#This Row],[price_usd]]</f>
        <v>68279642</v>
      </c>
      <c r="O455">
        <v>929</v>
      </c>
    </row>
    <row r="456" spans="1:15" x14ac:dyDescent="0.35">
      <c r="A456">
        <v>2019</v>
      </c>
      <c r="B456">
        <v>11</v>
      </c>
      <c r="C456" t="s">
        <v>38</v>
      </c>
      <c r="D456" t="s">
        <v>31</v>
      </c>
      <c r="E456" t="s">
        <v>19</v>
      </c>
      <c r="F456" t="s">
        <v>27</v>
      </c>
      <c r="G456" s="1">
        <v>52118</v>
      </c>
      <c r="H456" s="1">
        <v>450213</v>
      </c>
      <c r="I456">
        <v>106</v>
      </c>
      <c r="J456">
        <v>0.97</v>
      </c>
      <c r="K456">
        <v>6.29</v>
      </c>
      <c r="L456">
        <v>1.2</v>
      </c>
      <c r="M456">
        <v>9</v>
      </c>
      <c r="N456" s="1">
        <f>bmw_global_sales_dataset[[#This Row],[units_sold]]*bmw_global_sales_dataset[[#This Row],[price_usd]]</f>
        <v>34762706</v>
      </c>
      <c r="O456">
        <v>667</v>
      </c>
    </row>
    <row r="457" spans="1:15" x14ac:dyDescent="0.35">
      <c r="A457">
        <v>2019</v>
      </c>
      <c r="B457">
        <v>11</v>
      </c>
      <c r="C457" t="s">
        <v>21</v>
      </c>
      <c r="D457" t="s">
        <v>34</v>
      </c>
      <c r="E457" t="s">
        <v>16</v>
      </c>
      <c r="F457" t="s">
        <v>27</v>
      </c>
      <c r="G457" s="1">
        <v>57616</v>
      </c>
      <c r="H457" s="1">
        <v>241480</v>
      </c>
      <c r="I457">
        <v>376</v>
      </c>
      <c r="J457">
        <v>0.97</v>
      </c>
      <c r="K457">
        <v>6.29</v>
      </c>
      <c r="L457">
        <v>1.2</v>
      </c>
      <c r="M457">
        <v>5</v>
      </c>
      <c r="N457" s="1">
        <f>bmw_global_sales_dataset[[#This Row],[units_sold]]*bmw_global_sales_dataset[[#This Row],[price_usd]]</f>
        <v>69254432</v>
      </c>
      <c r="O457">
        <v>1202</v>
      </c>
    </row>
    <row r="458" spans="1:15" x14ac:dyDescent="0.35">
      <c r="A458">
        <v>2019</v>
      </c>
      <c r="B458">
        <v>6</v>
      </c>
      <c r="C458" t="s">
        <v>32</v>
      </c>
      <c r="D458" t="s">
        <v>33</v>
      </c>
      <c r="E458" t="s">
        <v>16</v>
      </c>
      <c r="F458" t="s">
        <v>17</v>
      </c>
      <c r="G458" s="1">
        <v>37795</v>
      </c>
      <c r="H458" s="1">
        <v>337307</v>
      </c>
      <c r="I458">
        <v>35</v>
      </c>
      <c r="J458">
        <v>0.97</v>
      </c>
      <c r="K458">
        <v>6.29</v>
      </c>
      <c r="L458">
        <v>1.2</v>
      </c>
      <c r="M458">
        <v>2</v>
      </c>
      <c r="N458" s="1">
        <f>bmw_global_sales_dataset[[#This Row],[units_sold]]*bmw_global_sales_dataset[[#This Row],[price_usd]]</f>
        <v>7256640</v>
      </c>
      <c r="O458">
        <v>192</v>
      </c>
    </row>
    <row r="459" spans="1:15" x14ac:dyDescent="0.35">
      <c r="A459">
        <v>2019</v>
      </c>
      <c r="B459">
        <v>11</v>
      </c>
      <c r="C459" t="s">
        <v>14</v>
      </c>
      <c r="D459" t="s">
        <v>33</v>
      </c>
      <c r="E459" t="s">
        <v>16</v>
      </c>
      <c r="F459" t="s">
        <v>23</v>
      </c>
      <c r="G459" s="1">
        <v>107833</v>
      </c>
      <c r="H459" s="1">
        <v>137508</v>
      </c>
      <c r="I459">
        <v>21</v>
      </c>
      <c r="J459">
        <v>0.97</v>
      </c>
      <c r="K459">
        <v>6.29</v>
      </c>
      <c r="L459">
        <v>1.2</v>
      </c>
      <c r="M459">
        <v>9</v>
      </c>
      <c r="N459" s="1">
        <f>bmw_global_sales_dataset[[#This Row],[units_sold]]*bmw_global_sales_dataset[[#This Row],[price_usd]]</f>
        <v>42594035</v>
      </c>
      <c r="O459">
        <v>395</v>
      </c>
    </row>
    <row r="460" spans="1:15" x14ac:dyDescent="0.35">
      <c r="A460">
        <v>2019</v>
      </c>
      <c r="B460">
        <v>6</v>
      </c>
      <c r="C460" t="s">
        <v>37</v>
      </c>
      <c r="D460" t="s">
        <v>22</v>
      </c>
      <c r="E460" t="s">
        <v>16</v>
      </c>
      <c r="F460" t="s">
        <v>27</v>
      </c>
      <c r="G460" s="1">
        <v>36129</v>
      </c>
      <c r="H460" s="1">
        <v>114926</v>
      </c>
      <c r="I460">
        <v>229</v>
      </c>
      <c r="J460">
        <v>0.97</v>
      </c>
      <c r="K460">
        <v>6.29</v>
      </c>
      <c r="L460">
        <v>1.2</v>
      </c>
      <c r="M460">
        <v>8</v>
      </c>
      <c r="N460" s="1">
        <f>bmw_global_sales_dataset[[#This Row],[units_sold]]*bmw_global_sales_dataset[[#This Row],[price_usd]]</f>
        <v>25904493</v>
      </c>
      <c r="O460">
        <v>717</v>
      </c>
    </row>
    <row r="461" spans="1:15" x14ac:dyDescent="0.35">
      <c r="A461">
        <v>2019</v>
      </c>
      <c r="B461">
        <v>1</v>
      </c>
      <c r="C461" t="s">
        <v>32</v>
      </c>
      <c r="D461" t="s">
        <v>24</v>
      </c>
      <c r="E461" t="s">
        <v>20</v>
      </c>
      <c r="F461" t="s">
        <v>17</v>
      </c>
      <c r="G461" s="1">
        <v>64265</v>
      </c>
      <c r="H461" s="1">
        <v>356259</v>
      </c>
      <c r="I461">
        <v>31</v>
      </c>
      <c r="J461">
        <v>0.97</v>
      </c>
      <c r="K461">
        <v>6.29</v>
      </c>
      <c r="L461">
        <v>1.2</v>
      </c>
      <c r="M461">
        <v>6</v>
      </c>
      <c r="N461" s="1">
        <f>bmw_global_sales_dataset[[#This Row],[units_sold]]*bmw_global_sales_dataset[[#This Row],[price_usd]]</f>
        <v>14845215</v>
      </c>
      <c r="O461">
        <v>231</v>
      </c>
    </row>
    <row r="462" spans="1:15" x14ac:dyDescent="0.35">
      <c r="A462">
        <v>2019</v>
      </c>
      <c r="B462">
        <v>12</v>
      </c>
      <c r="C462" t="s">
        <v>32</v>
      </c>
      <c r="D462" t="s">
        <v>26</v>
      </c>
      <c r="E462" t="s">
        <v>20</v>
      </c>
      <c r="F462" t="s">
        <v>23</v>
      </c>
      <c r="G462" s="1">
        <v>91240</v>
      </c>
      <c r="H462" s="1">
        <v>234381</v>
      </c>
      <c r="I462">
        <v>185</v>
      </c>
      <c r="J462">
        <v>0.97</v>
      </c>
      <c r="K462">
        <v>6.29</v>
      </c>
      <c r="L462">
        <v>1.2</v>
      </c>
      <c r="M462">
        <v>10</v>
      </c>
      <c r="N462" s="1">
        <f>bmw_global_sales_dataset[[#This Row],[units_sold]]*bmw_global_sales_dataset[[#This Row],[price_usd]]</f>
        <v>68430000</v>
      </c>
      <c r="O462">
        <v>750</v>
      </c>
    </row>
    <row r="463" spans="1:15" x14ac:dyDescent="0.35">
      <c r="A463">
        <v>2019</v>
      </c>
      <c r="B463">
        <v>1</v>
      </c>
      <c r="C463" t="s">
        <v>14</v>
      </c>
      <c r="D463" t="s">
        <v>34</v>
      </c>
      <c r="E463" t="s">
        <v>20</v>
      </c>
      <c r="F463" t="s">
        <v>20</v>
      </c>
      <c r="G463" s="1">
        <v>40586</v>
      </c>
      <c r="H463" s="1">
        <v>77043</v>
      </c>
      <c r="I463">
        <v>250</v>
      </c>
      <c r="J463">
        <v>0.97</v>
      </c>
      <c r="K463">
        <v>6.29</v>
      </c>
      <c r="L463">
        <v>1.2</v>
      </c>
      <c r="M463">
        <v>8</v>
      </c>
      <c r="N463" s="1">
        <f>bmw_global_sales_dataset[[#This Row],[units_sold]]*bmw_global_sales_dataset[[#This Row],[price_usd]]</f>
        <v>37744980</v>
      </c>
      <c r="O463">
        <v>930</v>
      </c>
    </row>
    <row r="464" spans="1:15" x14ac:dyDescent="0.35">
      <c r="A464">
        <v>2019</v>
      </c>
      <c r="B464">
        <v>2</v>
      </c>
      <c r="C464" t="s">
        <v>37</v>
      </c>
      <c r="D464" t="s">
        <v>39</v>
      </c>
      <c r="E464" t="s">
        <v>20</v>
      </c>
      <c r="F464" t="s">
        <v>27</v>
      </c>
      <c r="G464" s="1">
        <v>56045</v>
      </c>
      <c r="H464" s="1">
        <v>364941</v>
      </c>
      <c r="I464">
        <v>395</v>
      </c>
      <c r="J464">
        <v>0.97</v>
      </c>
      <c r="K464">
        <v>6.29</v>
      </c>
      <c r="L464">
        <v>1.2</v>
      </c>
      <c r="M464">
        <v>8</v>
      </c>
      <c r="N464" s="1">
        <f>bmw_global_sales_dataset[[#This Row],[units_sold]]*bmw_global_sales_dataset[[#This Row],[price_usd]]</f>
        <v>62434130</v>
      </c>
      <c r="O464">
        <v>1114</v>
      </c>
    </row>
    <row r="465" spans="1:15" x14ac:dyDescent="0.35">
      <c r="A465">
        <v>2019</v>
      </c>
      <c r="B465">
        <v>3</v>
      </c>
      <c r="C465" t="s">
        <v>32</v>
      </c>
      <c r="D465" t="s">
        <v>15</v>
      </c>
      <c r="E465" t="s">
        <v>20</v>
      </c>
      <c r="F465" t="s">
        <v>20</v>
      </c>
      <c r="G465" s="1">
        <v>77771</v>
      </c>
      <c r="H465" s="1">
        <v>315660</v>
      </c>
      <c r="I465">
        <v>60</v>
      </c>
      <c r="J465">
        <v>0.97</v>
      </c>
      <c r="K465">
        <v>6.29</v>
      </c>
      <c r="L465">
        <v>1.2</v>
      </c>
      <c r="M465">
        <v>2</v>
      </c>
      <c r="N465" s="1">
        <f>bmw_global_sales_dataset[[#This Row],[units_sold]]*bmw_global_sales_dataset[[#This Row],[price_usd]]</f>
        <v>17498475</v>
      </c>
      <c r="O465">
        <v>225</v>
      </c>
    </row>
    <row r="466" spans="1:15" x14ac:dyDescent="0.35">
      <c r="A466">
        <v>2019</v>
      </c>
      <c r="B466">
        <v>3</v>
      </c>
      <c r="C466" t="s">
        <v>28</v>
      </c>
      <c r="D466" t="s">
        <v>31</v>
      </c>
      <c r="E466" t="s">
        <v>19</v>
      </c>
      <c r="F466" t="s">
        <v>17</v>
      </c>
      <c r="G466" s="1">
        <v>87949</v>
      </c>
      <c r="H466" s="1">
        <v>80373</v>
      </c>
      <c r="I466">
        <v>43</v>
      </c>
      <c r="J466">
        <v>0.97</v>
      </c>
      <c r="K466">
        <v>6.29</v>
      </c>
      <c r="L466">
        <v>1.2</v>
      </c>
      <c r="M466">
        <v>4</v>
      </c>
      <c r="N466" s="1">
        <f>bmw_global_sales_dataset[[#This Row],[units_sold]]*bmw_global_sales_dataset[[#This Row],[price_usd]]</f>
        <v>23306485</v>
      </c>
      <c r="O466">
        <v>265</v>
      </c>
    </row>
    <row r="467" spans="1:15" x14ac:dyDescent="0.35">
      <c r="A467">
        <v>2019</v>
      </c>
      <c r="B467">
        <v>7</v>
      </c>
      <c r="C467" t="s">
        <v>28</v>
      </c>
      <c r="D467" t="s">
        <v>18</v>
      </c>
      <c r="E467" t="s">
        <v>16</v>
      </c>
      <c r="F467" t="s">
        <v>27</v>
      </c>
      <c r="G467" s="1">
        <v>105714</v>
      </c>
      <c r="H467" s="1">
        <v>172026</v>
      </c>
      <c r="I467">
        <v>300</v>
      </c>
      <c r="J467">
        <v>0.97</v>
      </c>
      <c r="K467">
        <v>6.29</v>
      </c>
      <c r="L467">
        <v>1.2</v>
      </c>
      <c r="M467">
        <v>7</v>
      </c>
      <c r="N467" s="1">
        <f>bmw_global_sales_dataset[[#This Row],[units_sold]]*bmw_global_sales_dataset[[#This Row],[price_usd]]</f>
        <v>64379826</v>
      </c>
      <c r="O467">
        <v>609</v>
      </c>
    </row>
    <row r="468" spans="1:15" x14ac:dyDescent="0.35">
      <c r="A468">
        <v>2019</v>
      </c>
      <c r="B468">
        <v>4</v>
      </c>
      <c r="C468" t="s">
        <v>37</v>
      </c>
      <c r="D468" t="s">
        <v>34</v>
      </c>
      <c r="E468" t="s">
        <v>20</v>
      </c>
      <c r="F468" t="s">
        <v>17</v>
      </c>
      <c r="G468" s="1">
        <v>101151</v>
      </c>
      <c r="H468" s="1">
        <v>53626</v>
      </c>
      <c r="I468">
        <v>338</v>
      </c>
      <c r="J468">
        <v>0.97</v>
      </c>
      <c r="K468">
        <v>6.29</v>
      </c>
      <c r="L468">
        <v>1.2</v>
      </c>
      <c r="M468">
        <v>4</v>
      </c>
      <c r="N468" s="1">
        <f>bmw_global_sales_dataset[[#This Row],[units_sold]]*bmw_global_sales_dataset[[#This Row],[price_usd]]</f>
        <v>98723376</v>
      </c>
      <c r="O468">
        <v>976</v>
      </c>
    </row>
    <row r="469" spans="1:15" x14ac:dyDescent="0.35">
      <c r="A469">
        <v>2019</v>
      </c>
      <c r="B469">
        <v>1</v>
      </c>
      <c r="C469" t="s">
        <v>38</v>
      </c>
      <c r="D469" t="s">
        <v>29</v>
      </c>
      <c r="E469" t="s">
        <v>20</v>
      </c>
      <c r="F469" t="s">
        <v>27</v>
      </c>
      <c r="G469" s="1">
        <v>109417</v>
      </c>
      <c r="H469" s="1">
        <v>54025</v>
      </c>
      <c r="I469">
        <v>72</v>
      </c>
      <c r="J469">
        <v>0.97</v>
      </c>
      <c r="K469">
        <v>6.29</v>
      </c>
      <c r="L469">
        <v>1.2</v>
      </c>
      <c r="M469">
        <v>1</v>
      </c>
      <c r="N469" s="1">
        <f>bmw_global_sales_dataset[[#This Row],[units_sold]]*bmw_global_sales_dataset[[#This Row],[price_usd]]</f>
        <v>27354250</v>
      </c>
      <c r="O469">
        <v>250</v>
      </c>
    </row>
    <row r="470" spans="1:15" x14ac:dyDescent="0.35">
      <c r="A470">
        <v>2019</v>
      </c>
      <c r="B470">
        <v>4</v>
      </c>
      <c r="C470" t="s">
        <v>28</v>
      </c>
      <c r="D470" t="s">
        <v>18</v>
      </c>
      <c r="E470" t="s">
        <v>20</v>
      </c>
      <c r="F470" t="s">
        <v>20</v>
      </c>
      <c r="G470" s="1">
        <v>77543</v>
      </c>
      <c r="H470" s="1">
        <v>446659</v>
      </c>
      <c r="I470">
        <v>182</v>
      </c>
      <c r="J470">
        <v>0.97</v>
      </c>
      <c r="K470">
        <v>6.29</v>
      </c>
      <c r="L470">
        <v>1.2</v>
      </c>
      <c r="M470">
        <v>7</v>
      </c>
      <c r="N470" s="1">
        <f>bmw_global_sales_dataset[[#This Row],[units_sold]]*bmw_global_sales_dataset[[#This Row],[price_usd]]</f>
        <v>61801771</v>
      </c>
      <c r="O470">
        <v>797</v>
      </c>
    </row>
    <row r="471" spans="1:15" x14ac:dyDescent="0.35">
      <c r="A471">
        <v>2019</v>
      </c>
      <c r="B471">
        <v>1</v>
      </c>
      <c r="C471" t="s">
        <v>30</v>
      </c>
      <c r="D471" t="s">
        <v>22</v>
      </c>
      <c r="E471" t="s">
        <v>19</v>
      </c>
      <c r="F471" t="s">
        <v>23</v>
      </c>
      <c r="G471" s="1">
        <v>46516</v>
      </c>
      <c r="H471" s="1">
        <v>395876</v>
      </c>
      <c r="I471">
        <v>183</v>
      </c>
      <c r="J471">
        <v>0.97</v>
      </c>
      <c r="K471">
        <v>6.29</v>
      </c>
      <c r="L471">
        <v>1.2</v>
      </c>
      <c r="M471">
        <v>10</v>
      </c>
      <c r="N471" s="1">
        <f>bmw_global_sales_dataset[[#This Row],[units_sold]]*bmw_global_sales_dataset[[#This Row],[price_usd]]</f>
        <v>23071936</v>
      </c>
      <c r="O471">
        <v>496</v>
      </c>
    </row>
    <row r="472" spans="1:15" x14ac:dyDescent="0.35">
      <c r="A472">
        <v>2019</v>
      </c>
      <c r="B472">
        <v>10</v>
      </c>
      <c r="C472" t="s">
        <v>37</v>
      </c>
      <c r="D472" t="s">
        <v>18</v>
      </c>
      <c r="E472" t="s">
        <v>20</v>
      </c>
      <c r="F472" t="s">
        <v>17</v>
      </c>
      <c r="G472" s="1">
        <v>73737</v>
      </c>
      <c r="H472" s="1">
        <v>108560</v>
      </c>
      <c r="I472">
        <v>308</v>
      </c>
      <c r="J472">
        <v>0.97</v>
      </c>
      <c r="K472">
        <v>6.29</v>
      </c>
      <c r="L472">
        <v>1.2</v>
      </c>
      <c r="M472">
        <v>10</v>
      </c>
      <c r="N472" s="1">
        <f>bmw_global_sales_dataset[[#This Row],[units_sold]]*bmw_global_sales_dataset[[#This Row],[price_usd]]</f>
        <v>53090640</v>
      </c>
      <c r="O472">
        <v>720</v>
      </c>
    </row>
    <row r="473" spans="1:15" x14ac:dyDescent="0.35">
      <c r="A473">
        <v>2019</v>
      </c>
      <c r="B473">
        <v>9</v>
      </c>
      <c r="C473" t="s">
        <v>21</v>
      </c>
      <c r="D473" t="s">
        <v>22</v>
      </c>
      <c r="E473" t="s">
        <v>20</v>
      </c>
      <c r="F473" t="s">
        <v>17</v>
      </c>
      <c r="G473" s="1">
        <v>88634</v>
      </c>
      <c r="H473" s="1">
        <v>276024</v>
      </c>
      <c r="I473">
        <v>252</v>
      </c>
      <c r="J473">
        <v>0.97</v>
      </c>
      <c r="K473">
        <v>6.29</v>
      </c>
      <c r="L473">
        <v>1.2</v>
      </c>
      <c r="M473">
        <v>4</v>
      </c>
      <c r="N473" s="1">
        <f>bmw_global_sales_dataset[[#This Row],[units_sold]]*bmw_global_sales_dataset[[#This Row],[price_usd]]</f>
        <v>58764342</v>
      </c>
      <c r="O473">
        <v>663</v>
      </c>
    </row>
    <row r="474" spans="1:15" x14ac:dyDescent="0.35">
      <c r="A474">
        <v>2019</v>
      </c>
      <c r="B474">
        <v>11</v>
      </c>
      <c r="C474" t="s">
        <v>21</v>
      </c>
      <c r="D474" t="s">
        <v>39</v>
      </c>
      <c r="E474" t="s">
        <v>19</v>
      </c>
      <c r="F474" t="s">
        <v>20</v>
      </c>
      <c r="G474" s="1">
        <v>76505</v>
      </c>
      <c r="H474" s="1">
        <v>268547</v>
      </c>
      <c r="I474">
        <v>241</v>
      </c>
      <c r="J474">
        <v>0.97</v>
      </c>
      <c r="K474">
        <v>6.29</v>
      </c>
      <c r="L474">
        <v>1.2</v>
      </c>
      <c r="M474">
        <v>5</v>
      </c>
      <c r="N474" s="1">
        <f>bmw_global_sales_dataset[[#This Row],[units_sold]]*bmw_global_sales_dataset[[#This Row],[price_usd]]</f>
        <v>42613285</v>
      </c>
      <c r="O474">
        <v>557</v>
      </c>
    </row>
    <row r="475" spans="1:15" x14ac:dyDescent="0.35">
      <c r="A475">
        <v>2019</v>
      </c>
      <c r="B475">
        <v>4</v>
      </c>
      <c r="C475" t="s">
        <v>25</v>
      </c>
      <c r="D475" t="s">
        <v>15</v>
      </c>
      <c r="E475" t="s">
        <v>16</v>
      </c>
      <c r="F475" t="s">
        <v>27</v>
      </c>
      <c r="G475" s="1">
        <v>62388</v>
      </c>
      <c r="H475" s="1">
        <v>278300</v>
      </c>
      <c r="I475">
        <v>355</v>
      </c>
      <c r="J475">
        <v>0.97</v>
      </c>
      <c r="K475">
        <v>6.29</v>
      </c>
      <c r="L475">
        <v>1.2</v>
      </c>
      <c r="M475">
        <v>7</v>
      </c>
      <c r="N475" s="1">
        <f>bmw_global_sales_dataset[[#This Row],[units_sold]]*bmw_global_sales_dataset[[#This Row],[price_usd]]</f>
        <v>55275768</v>
      </c>
      <c r="O475">
        <v>886</v>
      </c>
    </row>
    <row r="476" spans="1:15" x14ac:dyDescent="0.35">
      <c r="A476">
        <v>2019</v>
      </c>
      <c r="B476">
        <v>5</v>
      </c>
      <c r="C476" t="s">
        <v>30</v>
      </c>
      <c r="D476" t="s">
        <v>24</v>
      </c>
      <c r="E476" t="s">
        <v>20</v>
      </c>
      <c r="F476" t="s">
        <v>27</v>
      </c>
      <c r="G476" s="1">
        <v>49645</v>
      </c>
      <c r="H476" s="1">
        <v>453964</v>
      </c>
      <c r="I476">
        <v>258</v>
      </c>
      <c r="J476">
        <v>0.97</v>
      </c>
      <c r="K476">
        <v>6.29</v>
      </c>
      <c r="L476">
        <v>1.2</v>
      </c>
      <c r="M476">
        <v>7</v>
      </c>
      <c r="N476" s="1">
        <f>bmw_global_sales_dataset[[#This Row],[units_sold]]*bmw_global_sales_dataset[[#This Row],[price_usd]]</f>
        <v>36687655</v>
      </c>
      <c r="O476">
        <v>739</v>
      </c>
    </row>
    <row r="477" spans="1:15" x14ac:dyDescent="0.35">
      <c r="A477">
        <v>2019</v>
      </c>
      <c r="B477">
        <v>3</v>
      </c>
      <c r="C477" t="s">
        <v>21</v>
      </c>
      <c r="D477" t="s">
        <v>24</v>
      </c>
      <c r="E477" t="s">
        <v>19</v>
      </c>
      <c r="F477" t="s">
        <v>17</v>
      </c>
      <c r="G477" s="1">
        <v>66105</v>
      </c>
      <c r="H477" s="1">
        <v>112785</v>
      </c>
      <c r="I477">
        <v>330</v>
      </c>
      <c r="J477">
        <v>0.97</v>
      </c>
      <c r="K477">
        <v>6.29</v>
      </c>
      <c r="L477">
        <v>1.2</v>
      </c>
      <c r="M477">
        <v>5</v>
      </c>
      <c r="N477" s="1">
        <f>bmw_global_sales_dataset[[#This Row],[units_sold]]*bmw_global_sales_dataset[[#This Row],[price_usd]]</f>
        <v>70203510</v>
      </c>
      <c r="O477">
        <v>1062</v>
      </c>
    </row>
    <row r="478" spans="1:15" x14ac:dyDescent="0.35">
      <c r="A478">
        <v>2019</v>
      </c>
      <c r="B478">
        <v>10</v>
      </c>
      <c r="C478" t="s">
        <v>21</v>
      </c>
      <c r="D478" t="s">
        <v>31</v>
      </c>
      <c r="E478" t="s">
        <v>20</v>
      </c>
      <c r="F478" t="s">
        <v>20</v>
      </c>
      <c r="G478" s="1">
        <v>46357</v>
      </c>
      <c r="H478" s="1">
        <v>124231</v>
      </c>
      <c r="I478">
        <v>388</v>
      </c>
      <c r="J478">
        <v>0.97</v>
      </c>
      <c r="K478">
        <v>6.29</v>
      </c>
      <c r="L478">
        <v>1.2</v>
      </c>
      <c r="M478">
        <v>5</v>
      </c>
      <c r="N478" s="1">
        <f>bmw_global_sales_dataset[[#This Row],[units_sold]]*bmw_global_sales_dataset[[#This Row],[price_usd]]</f>
        <v>41489515</v>
      </c>
      <c r="O478">
        <v>895</v>
      </c>
    </row>
    <row r="479" spans="1:15" x14ac:dyDescent="0.35">
      <c r="A479">
        <v>2019</v>
      </c>
      <c r="B479">
        <v>6</v>
      </c>
      <c r="C479" t="s">
        <v>32</v>
      </c>
      <c r="D479" t="s">
        <v>34</v>
      </c>
      <c r="E479" t="s">
        <v>16</v>
      </c>
      <c r="F479" t="s">
        <v>23</v>
      </c>
      <c r="G479" s="1">
        <v>86796</v>
      </c>
      <c r="H479" s="1">
        <v>353806</v>
      </c>
      <c r="I479">
        <v>53</v>
      </c>
      <c r="J479">
        <v>0.97</v>
      </c>
      <c r="K479">
        <v>6.29</v>
      </c>
      <c r="L479">
        <v>1.2</v>
      </c>
      <c r="M479">
        <v>3</v>
      </c>
      <c r="N479" s="1">
        <f>bmw_global_sales_dataset[[#This Row],[units_sold]]*bmw_global_sales_dataset[[#This Row],[price_usd]]</f>
        <v>17619588</v>
      </c>
      <c r="O479">
        <v>203</v>
      </c>
    </row>
    <row r="480" spans="1:15" x14ac:dyDescent="0.35">
      <c r="A480">
        <v>2019</v>
      </c>
      <c r="B480">
        <v>2</v>
      </c>
      <c r="C480" t="s">
        <v>30</v>
      </c>
      <c r="D480" t="s">
        <v>15</v>
      </c>
      <c r="E480" t="s">
        <v>20</v>
      </c>
      <c r="F480" t="s">
        <v>20</v>
      </c>
      <c r="G480" s="1">
        <v>50804</v>
      </c>
      <c r="H480" s="1">
        <v>430457</v>
      </c>
      <c r="I480">
        <v>365</v>
      </c>
      <c r="J480">
        <v>0.97</v>
      </c>
      <c r="K480">
        <v>6.29</v>
      </c>
      <c r="L480">
        <v>1.2</v>
      </c>
      <c r="M480">
        <v>6</v>
      </c>
      <c r="N480" s="1">
        <f>bmw_global_sales_dataset[[#This Row],[units_sold]]*bmw_global_sales_dataset[[#This Row],[price_usd]]</f>
        <v>60609172</v>
      </c>
      <c r="O480">
        <v>1193</v>
      </c>
    </row>
    <row r="481" spans="1:15" x14ac:dyDescent="0.35">
      <c r="A481">
        <v>2019</v>
      </c>
      <c r="B481">
        <v>3</v>
      </c>
      <c r="C481" t="s">
        <v>35</v>
      </c>
      <c r="D481" t="s">
        <v>15</v>
      </c>
      <c r="E481" t="s">
        <v>20</v>
      </c>
      <c r="F481" t="s">
        <v>17</v>
      </c>
      <c r="G481" s="1">
        <v>49626</v>
      </c>
      <c r="H481" s="1">
        <v>277369</v>
      </c>
      <c r="I481">
        <v>37</v>
      </c>
      <c r="J481">
        <v>0.97</v>
      </c>
      <c r="K481">
        <v>6.29</v>
      </c>
      <c r="L481">
        <v>1.2</v>
      </c>
      <c r="M481">
        <v>5</v>
      </c>
      <c r="N481" s="1">
        <f>bmw_global_sales_dataset[[#This Row],[units_sold]]*bmw_global_sales_dataset[[#This Row],[price_usd]]</f>
        <v>11215476</v>
      </c>
      <c r="O481">
        <v>226</v>
      </c>
    </row>
    <row r="482" spans="1:15" x14ac:dyDescent="0.35">
      <c r="A482">
        <v>2019</v>
      </c>
      <c r="B482">
        <v>2</v>
      </c>
      <c r="C482" t="s">
        <v>32</v>
      </c>
      <c r="D482" t="s">
        <v>22</v>
      </c>
      <c r="E482" t="s">
        <v>20</v>
      </c>
      <c r="F482" t="s">
        <v>27</v>
      </c>
      <c r="G482" s="1">
        <v>44130</v>
      </c>
      <c r="H482" s="1">
        <v>212403</v>
      </c>
      <c r="I482">
        <v>253</v>
      </c>
      <c r="J482">
        <v>0.97</v>
      </c>
      <c r="K482">
        <v>6.29</v>
      </c>
      <c r="L482">
        <v>1.2</v>
      </c>
      <c r="M482">
        <v>1</v>
      </c>
      <c r="N482" s="1">
        <f>bmw_global_sales_dataset[[#This Row],[units_sold]]*bmw_global_sales_dataset[[#This Row],[price_usd]]</f>
        <v>32832720</v>
      </c>
      <c r="O482">
        <v>744</v>
      </c>
    </row>
    <row r="483" spans="1:15" x14ac:dyDescent="0.35">
      <c r="A483">
        <v>2019</v>
      </c>
      <c r="B483">
        <v>4</v>
      </c>
      <c r="C483" t="s">
        <v>37</v>
      </c>
      <c r="D483" t="s">
        <v>33</v>
      </c>
      <c r="E483" t="s">
        <v>16</v>
      </c>
      <c r="F483" t="s">
        <v>17</v>
      </c>
      <c r="G483" s="1">
        <v>91597</v>
      </c>
      <c r="H483" s="1">
        <v>462375</v>
      </c>
      <c r="I483">
        <v>174</v>
      </c>
      <c r="J483">
        <v>0.97</v>
      </c>
      <c r="K483">
        <v>6.29</v>
      </c>
      <c r="L483">
        <v>1.2</v>
      </c>
      <c r="M483">
        <v>9</v>
      </c>
      <c r="N483" s="1">
        <f>bmw_global_sales_dataset[[#This Row],[units_sold]]*bmw_global_sales_dataset[[#This Row],[price_usd]]</f>
        <v>70438093</v>
      </c>
      <c r="O483">
        <v>769</v>
      </c>
    </row>
    <row r="484" spans="1:15" x14ac:dyDescent="0.35">
      <c r="A484">
        <v>2019</v>
      </c>
      <c r="B484">
        <v>12</v>
      </c>
      <c r="C484" t="s">
        <v>25</v>
      </c>
      <c r="D484" t="s">
        <v>34</v>
      </c>
      <c r="E484" t="s">
        <v>20</v>
      </c>
      <c r="F484" t="s">
        <v>27</v>
      </c>
      <c r="G484" s="1">
        <v>70693</v>
      </c>
      <c r="H484" s="1">
        <v>418946</v>
      </c>
      <c r="I484">
        <v>20</v>
      </c>
      <c r="J484">
        <v>0.97</v>
      </c>
      <c r="K484">
        <v>6.29</v>
      </c>
      <c r="L484">
        <v>1.2</v>
      </c>
      <c r="M484">
        <v>10</v>
      </c>
      <c r="N484" s="1">
        <f>bmw_global_sales_dataset[[#This Row],[units_sold]]*bmw_global_sales_dataset[[#This Row],[price_usd]]</f>
        <v>30327297</v>
      </c>
      <c r="O484">
        <v>429</v>
      </c>
    </row>
    <row r="485" spans="1:15" x14ac:dyDescent="0.35">
      <c r="A485">
        <v>2019</v>
      </c>
      <c r="B485">
        <v>4</v>
      </c>
      <c r="C485" t="s">
        <v>28</v>
      </c>
      <c r="D485" t="s">
        <v>24</v>
      </c>
      <c r="E485" t="s">
        <v>20</v>
      </c>
      <c r="F485" t="s">
        <v>17</v>
      </c>
      <c r="G485" s="1">
        <v>44824</v>
      </c>
      <c r="H485" s="1">
        <v>152413</v>
      </c>
      <c r="I485">
        <v>352</v>
      </c>
      <c r="J485">
        <v>0.97</v>
      </c>
      <c r="K485">
        <v>6.29</v>
      </c>
      <c r="L485">
        <v>1.2</v>
      </c>
      <c r="M485">
        <v>5</v>
      </c>
      <c r="N485" s="1">
        <f>bmw_global_sales_dataset[[#This Row],[units_sold]]*bmw_global_sales_dataset[[#This Row],[price_usd]]</f>
        <v>45137768</v>
      </c>
      <c r="O485">
        <v>1007</v>
      </c>
    </row>
    <row r="486" spans="1:15" x14ac:dyDescent="0.35">
      <c r="A486">
        <v>2019</v>
      </c>
      <c r="B486">
        <v>9</v>
      </c>
      <c r="C486" t="s">
        <v>32</v>
      </c>
      <c r="D486" t="s">
        <v>15</v>
      </c>
      <c r="E486" t="s">
        <v>16</v>
      </c>
      <c r="F486" t="s">
        <v>20</v>
      </c>
      <c r="G486" s="1">
        <v>48329</v>
      </c>
      <c r="H486" s="1">
        <v>346956</v>
      </c>
      <c r="I486">
        <v>395</v>
      </c>
      <c r="J486">
        <v>0.97</v>
      </c>
      <c r="K486">
        <v>6.29</v>
      </c>
      <c r="L486">
        <v>1.2</v>
      </c>
      <c r="M486">
        <v>3</v>
      </c>
      <c r="N486" s="1">
        <f>bmw_global_sales_dataset[[#This Row],[units_sold]]*bmw_global_sales_dataset[[#This Row],[price_usd]]</f>
        <v>52581952</v>
      </c>
      <c r="O486">
        <v>1088</v>
      </c>
    </row>
    <row r="487" spans="1:15" x14ac:dyDescent="0.35">
      <c r="A487">
        <v>2019</v>
      </c>
      <c r="B487">
        <v>8</v>
      </c>
      <c r="C487" t="s">
        <v>14</v>
      </c>
      <c r="D487" t="s">
        <v>24</v>
      </c>
      <c r="E487" t="s">
        <v>20</v>
      </c>
      <c r="F487" t="s">
        <v>20</v>
      </c>
      <c r="G487" s="1">
        <v>98261</v>
      </c>
      <c r="H487" s="1">
        <v>69156</v>
      </c>
      <c r="I487">
        <v>22</v>
      </c>
      <c r="J487">
        <v>0.97</v>
      </c>
      <c r="K487">
        <v>6.29</v>
      </c>
      <c r="L487">
        <v>1.2</v>
      </c>
      <c r="M487">
        <v>8</v>
      </c>
      <c r="N487" s="1">
        <f>bmw_global_sales_dataset[[#This Row],[units_sold]]*bmw_global_sales_dataset[[#This Row],[price_usd]]</f>
        <v>15230455</v>
      </c>
      <c r="O487">
        <v>155</v>
      </c>
    </row>
    <row r="488" spans="1:15" x14ac:dyDescent="0.35">
      <c r="A488">
        <v>2019</v>
      </c>
      <c r="B488">
        <v>12</v>
      </c>
      <c r="C488" t="s">
        <v>35</v>
      </c>
      <c r="D488" t="s">
        <v>15</v>
      </c>
      <c r="E488" t="s">
        <v>19</v>
      </c>
      <c r="F488" t="s">
        <v>17</v>
      </c>
      <c r="G488" s="1">
        <v>71547</v>
      </c>
      <c r="H488" s="1">
        <v>281226</v>
      </c>
      <c r="I488">
        <v>380</v>
      </c>
      <c r="J488">
        <v>0.97</v>
      </c>
      <c r="K488">
        <v>6.29</v>
      </c>
      <c r="L488">
        <v>1.2</v>
      </c>
      <c r="M488">
        <v>5</v>
      </c>
      <c r="N488" s="1">
        <f>bmw_global_sales_dataset[[#This Row],[units_sold]]*bmw_global_sales_dataset[[#This Row],[price_usd]]</f>
        <v>77771589</v>
      </c>
      <c r="O488">
        <v>1087</v>
      </c>
    </row>
    <row r="489" spans="1:15" x14ac:dyDescent="0.35">
      <c r="A489">
        <v>2019</v>
      </c>
      <c r="B489">
        <v>6</v>
      </c>
      <c r="C489" t="s">
        <v>25</v>
      </c>
      <c r="D489" t="s">
        <v>29</v>
      </c>
      <c r="E489" t="s">
        <v>19</v>
      </c>
      <c r="F489" t="s">
        <v>20</v>
      </c>
      <c r="G489" s="1">
        <v>112733</v>
      </c>
      <c r="H489" s="1">
        <v>399345</v>
      </c>
      <c r="I489">
        <v>221</v>
      </c>
      <c r="J489">
        <v>0.97</v>
      </c>
      <c r="K489">
        <v>6.29</v>
      </c>
      <c r="L489">
        <v>1.2</v>
      </c>
      <c r="M489">
        <v>10</v>
      </c>
      <c r="N489" s="1">
        <f>bmw_global_sales_dataset[[#This Row],[units_sold]]*bmw_global_sales_dataset[[#This Row],[price_usd]]</f>
        <v>97063113</v>
      </c>
      <c r="O489">
        <v>861</v>
      </c>
    </row>
    <row r="490" spans="1:15" x14ac:dyDescent="0.35">
      <c r="A490">
        <v>2019</v>
      </c>
      <c r="B490">
        <v>7</v>
      </c>
      <c r="C490" t="s">
        <v>25</v>
      </c>
      <c r="D490" t="s">
        <v>22</v>
      </c>
      <c r="E490" t="s">
        <v>20</v>
      </c>
      <c r="F490" t="s">
        <v>17</v>
      </c>
      <c r="G490" s="1">
        <v>64511</v>
      </c>
      <c r="H490" s="1">
        <v>459414</v>
      </c>
      <c r="I490">
        <v>25</v>
      </c>
      <c r="J490">
        <v>0.97</v>
      </c>
      <c r="K490">
        <v>6.29</v>
      </c>
      <c r="L490">
        <v>1.2</v>
      </c>
      <c r="M490">
        <v>7</v>
      </c>
      <c r="N490" s="1">
        <f>bmw_global_sales_dataset[[#This Row],[units_sold]]*bmw_global_sales_dataset[[#This Row],[price_usd]]</f>
        <v>12450623</v>
      </c>
      <c r="O490">
        <v>193</v>
      </c>
    </row>
    <row r="491" spans="1:15" x14ac:dyDescent="0.35">
      <c r="A491">
        <v>2019</v>
      </c>
      <c r="B491">
        <v>10</v>
      </c>
      <c r="C491" t="s">
        <v>28</v>
      </c>
      <c r="D491" t="s">
        <v>29</v>
      </c>
      <c r="E491" t="s">
        <v>16</v>
      </c>
      <c r="F491" t="s">
        <v>27</v>
      </c>
      <c r="G491" s="1">
        <v>105167</v>
      </c>
      <c r="H491" s="1">
        <v>112501</v>
      </c>
      <c r="I491">
        <v>374</v>
      </c>
      <c r="J491">
        <v>0.97</v>
      </c>
      <c r="K491">
        <v>6.29</v>
      </c>
      <c r="L491">
        <v>1.2</v>
      </c>
      <c r="M491">
        <v>2</v>
      </c>
      <c r="N491" s="1">
        <f>bmw_global_sales_dataset[[#This Row],[units_sold]]*bmw_global_sales_dataset[[#This Row],[price_usd]]</f>
        <v>86657608</v>
      </c>
      <c r="O491">
        <v>824</v>
      </c>
    </row>
    <row r="492" spans="1:15" x14ac:dyDescent="0.35">
      <c r="A492">
        <v>2019</v>
      </c>
      <c r="B492">
        <v>2</v>
      </c>
      <c r="C492" t="s">
        <v>38</v>
      </c>
      <c r="D492" t="s">
        <v>15</v>
      </c>
      <c r="E492" t="s">
        <v>16</v>
      </c>
      <c r="F492" t="s">
        <v>27</v>
      </c>
      <c r="G492" s="1">
        <v>96382</v>
      </c>
      <c r="H492" s="1">
        <v>216280</v>
      </c>
      <c r="I492">
        <v>265</v>
      </c>
      <c r="J492">
        <v>0.97</v>
      </c>
      <c r="K492">
        <v>6.29</v>
      </c>
      <c r="L492">
        <v>1.2</v>
      </c>
      <c r="M492">
        <v>6</v>
      </c>
      <c r="N492" s="1">
        <f>bmw_global_sales_dataset[[#This Row],[units_sold]]*bmw_global_sales_dataset[[#This Row],[price_usd]]</f>
        <v>57443672</v>
      </c>
      <c r="O492">
        <v>596</v>
      </c>
    </row>
    <row r="493" spans="1:15" x14ac:dyDescent="0.35">
      <c r="A493">
        <v>2019</v>
      </c>
      <c r="B493">
        <v>7</v>
      </c>
      <c r="C493" t="s">
        <v>28</v>
      </c>
      <c r="D493" t="s">
        <v>33</v>
      </c>
      <c r="E493" t="s">
        <v>20</v>
      </c>
      <c r="F493" t="s">
        <v>17</v>
      </c>
      <c r="G493" s="1">
        <v>41464</v>
      </c>
      <c r="H493" s="1">
        <v>141493</v>
      </c>
      <c r="I493">
        <v>195</v>
      </c>
      <c r="J493">
        <v>0.97</v>
      </c>
      <c r="K493">
        <v>6.29</v>
      </c>
      <c r="L493">
        <v>1.2</v>
      </c>
      <c r="M493">
        <v>6</v>
      </c>
      <c r="N493" s="1">
        <f>bmw_global_sales_dataset[[#This Row],[units_sold]]*bmw_global_sales_dataset[[#This Row],[price_usd]]</f>
        <v>21727136</v>
      </c>
      <c r="O493">
        <v>524</v>
      </c>
    </row>
    <row r="494" spans="1:15" x14ac:dyDescent="0.35">
      <c r="A494">
        <v>2019</v>
      </c>
      <c r="B494">
        <v>3</v>
      </c>
      <c r="C494" t="s">
        <v>28</v>
      </c>
      <c r="D494" t="s">
        <v>31</v>
      </c>
      <c r="E494" t="s">
        <v>16</v>
      </c>
      <c r="F494" t="s">
        <v>17</v>
      </c>
      <c r="G494" s="1">
        <v>115356</v>
      </c>
      <c r="H494" s="1">
        <v>209788</v>
      </c>
      <c r="I494">
        <v>353</v>
      </c>
      <c r="J494">
        <v>0.97</v>
      </c>
      <c r="K494">
        <v>6.29</v>
      </c>
      <c r="L494">
        <v>1.2</v>
      </c>
      <c r="M494">
        <v>9</v>
      </c>
      <c r="N494" s="1">
        <f>bmw_global_sales_dataset[[#This Row],[units_sold]]*bmw_global_sales_dataset[[#This Row],[price_usd]]</f>
        <v>113048880</v>
      </c>
      <c r="O494">
        <v>980</v>
      </c>
    </row>
    <row r="495" spans="1:15" x14ac:dyDescent="0.35">
      <c r="A495">
        <v>2019</v>
      </c>
      <c r="B495">
        <v>5</v>
      </c>
      <c r="C495" t="s">
        <v>14</v>
      </c>
      <c r="D495" t="s">
        <v>18</v>
      </c>
      <c r="E495" t="s">
        <v>20</v>
      </c>
      <c r="F495" t="s">
        <v>23</v>
      </c>
      <c r="G495" s="1">
        <v>70897</v>
      </c>
      <c r="H495" s="1">
        <v>395165</v>
      </c>
      <c r="I495">
        <v>392</v>
      </c>
      <c r="J495">
        <v>0.97</v>
      </c>
      <c r="K495">
        <v>6.29</v>
      </c>
      <c r="L495">
        <v>1.2</v>
      </c>
      <c r="M495">
        <v>10</v>
      </c>
      <c r="N495" s="1">
        <f>bmw_global_sales_dataset[[#This Row],[units_sold]]*bmw_global_sales_dataset[[#This Row],[price_usd]]</f>
        <v>69833545</v>
      </c>
      <c r="O495">
        <v>985</v>
      </c>
    </row>
    <row r="496" spans="1:15" x14ac:dyDescent="0.35">
      <c r="A496">
        <v>2019</v>
      </c>
      <c r="B496">
        <v>4</v>
      </c>
      <c r="C496" t="s">
        <v>14</v>
      </c>
      <c r="D496" t="s">
        <v>33</v>
      </c>
      <c r="E496" t="s">
        <v>19</v>
      </c>
      <c r="F496" t="s">
        <v>17</v>
      </c>
      <c r="G496" s="1">
        <v>92233</v>
      </c>
      <c r="H496" s="1">
        <v>192692</v>
      </c>
      <c r="I496">
        <v>16</v>
      </c>
      <c r="J496">
        <v>0.97</v>
      </c>
      <c r="K496">
        <v>6.29</v>
      </c>
      <c r="L496">
        <v>1.2</v>
      </c>
      <c r="M496">
        <v>3</v>
      </c>
      <c r="N496" s="1">
        <f>bmw_global_sales_dataset[[#This Row],[units_sold]]*bmw_global_sales_dataset[[#This Row],[price_usd]]</f>
        <v>6456310</v>
      </c>
      <c r="O496">
        <v>70</v>
      </c>
    </row>
    <row r="497" spans="1:15" x14ac:dyDescent="0.35">
      <c r="A497">
        <v>2019</v>
      </c>
      <c r="B497">
        <v>4</v>
      </c>
      <c r="C497" t="s">
        <v>28</v>
      </c>
      <c r="D497" t="s">
        <v>24</v>
      </c>
      <c r="E497" t="s">
        <v>19</v>
      </c>
      <c r="F497" t="s">
        <v>20</v>
      </c>
      <c r="G497" s="1">
        <v>49380</v>
      </c>
      <c r="H497" s="1">
        <v>473327</v>
      </c>
      <c r="I497">
        <v>236</v>
      </c>
      <c r="J497">
        <v>0.97</v>
      </c>
      <c r="K497">
        <v>6.29</v>
      </c>
      <c r="L497">
        <v>1.2</v>
      </c>
      <c r="M497">
        <v>1</v>
      </c>
      <c r="N497" s="1">
        <f>bmw_global_sales_dataset[[#This Row],[units_sold]]*bmw_global_sales_dataset[[#This Row],[price_usd]]</f>
        <v>28837920</v>
      </c>
      <c r="O497">
        <v>584</v>
      </c>
    </row>
    <row r="498" spans="1:15" x14ac:dyDescent="0.35">
      <c r="A498">
        <v>2019</v>
      </c>
      <c r="B498">
        <v>5</v>
      </c>
      <c r="C498" t="s">
        <v>38</v>
      </c>
      <c r="D498" t="s">
        <v>26</v>
      </c>
      <c r="E498" t="s">
        <v>20</v>
      </c>
      <c r="F498" t="s">
        <v>20</v>
      </c>
      <c r="G498" s="1">
        <v>73106</v>
      </c>
      <c r="H498" s="1">
        <v>78481</v>
      </c>
      <c r="I498">
        <v>292</v>
      </c>
      <c r="J498">
        <v>0.97</v>
      </c>
      <c r="K498">
        <v>6.29</v>
      </c>
      <c r="L498">
        <v>1.2</v>
      </c>
      <c r="M498">
        <v>9</v>
      </c>
      <c r="N498" s="1">
        <f>bmw_global_sales_dataset[[#This Row],[units_sold]]*bmw_global_sales_dataset[[#This Row],[price_usd]]</f>
        <v>71424562</v>
      </c>
      <c r="O498">
        <v>977</v>
      </c>
    </row>
    <row r="499" spans="1:15" x14ac:dyDescent="0.35">
      <c r="A499">
        <v>2019</v>
      </c>
      <c r="B499">
        <v>1</v>
      </c>
      <c r="C499" t="s">
        <v>21</v>
      </c>
      <c r="D499" t="s">
        <v>24</v>
      </c>
      <c r="E499" t="s">
        <v>20</v>
      </c>
      <c r="F499" t="s">
        <v>20</v>
      </c>
      <c r="G499" s="1">
        <v>55028</v>
      </c>
      <c r="H499" s="1">
        <v>119123</v>
      </c>
      <c r="I499">
        <v>208</v>
      </c>
      <c r="J499">
        <v>0.97</v>
      </c>
      <c r="K499">
        <v>6.29</v>
      </c>
      <c r="L499">
        <v>1.2</v>
      </c>
      <c r="M499">
        <v>10</v>
      </c>
      <c r="N499" s="1">
        <f>bmw_global_sales_dataset[[#This Row],[units_sold]]*bmw_global_sales_dataset[[#This Row],[price_usd]]</f>
        <v>37694180</v>
      </c>
      <c r="O499">
        <v>685</v>
      </c>
    </row>
    <row r="500" spans="1:15" x14ac:dyDescent="0.35">
      <c r="A500">
        <v>2019</v>
      </c>
      <c r="B500">
        <v>9</v>
      </c>
      <c r="C500" t="s">
        <v>28</v>
      </c>
      <c r="D500" t="s">
        <v>26</v>
      </c>
      <c r="E500" t="s">
        <v>19</v>
      </c>
      <c r="F500" t="s">
        <v>20</v>
      </c>
      <c r="G500" s="1">
        <v>40801</v>
      </c>
      <c r="H500" s="1">
        <v>446343</v>
      </c>
      <c r="I500">
        <v>118</v>
      </c>
      <c r="J500">
        <v>0.97</v>
      </c>
      <c r="K500">
        <v>6.29</v>
      </c>
      <c r="L500">
        <v>1.2</v>
      </c>
      <c r="M500">
        <v>2</v>
      </c>
      <c r="N500" s="1">
        <f>bmw_global_sales_dataset[[#This Row],[units_sold]]*bmw_global_sales_dataset[[#This Row],[price_usd]]</f>
        <v>29213516</v>
      </c>
      <c r="O500">
        <v>716</v>
      </c>
    </row>
    <row r="501" spans="1:15" x14ac:dyDescent="0.35">
      <c r="A501">
        <v>2019</v>
      </c>
      <c r="B501">
        <v>7</v>
      </c>
      <c r="C501" t="s">
        <v>28</v>
      </c>
      <c r="D501" t="s">
        <v>39</v>
      </c>
      <c r="E501" t="s">
        <v>19</v>
      </c>
      <c r="F501" t="s">
        <v>27</v>
      </c>
      <c r="G501" s="1">
        <v>106376</v>
      </c>
      <c r="H501" s="1">
        <v>149468</v>
      </c>
      <c r="I501">
        <v>375</v>
      </c>
      <c r="J501">
        <v>0.97</v>
      </c>
      <c r="K501">
        <v>6.29</v>
      </c>
      <c r="L501">
        <v>1.2</v>
      </c>
      <c r="M501">
        <v>10</v>
      </c>
      <c r="N501" s="1">
        <f>bmw_global_sales_dataset[[#This Row],[units_sold]]*bmw_global_sales_dataset[[#This Row],[price_usd]]</f>
        <v>79675624</v>
      </c>
      <c r="O501">
        <v>749</v>
      </c>
    </row>
    <row r="502" spans="1:15" x14ac:dyDescent="0.35">
      <c r="A502">
        <v>2019</v>
      </c>
      <c r="B502">
        <v>3</v>
      </c>
      <c r="C502" t="s">
        <v>32</v>
      </c>
      <c r="D502" t="s">
        <v>15</v>
      </c>
      <c r="E502" t="s">
        <v>20</v>
      </c>
      <c r="F502" t="s">
        <v>17</v>
      </c>
      <c r="G502" s="1">
        <v>55056</v>
      </c>
      <c r="H502" s="1">
        <v>166712</v>
      </c>
      <c r="I502">
        <v>371</v>
      </c>
      <c r="J502">
        <v>0.97</v>
      </c>
      <c r="K502">
        <v>6.29</v>
      </c>
      <c r="L502">
        <v>1.2</v>
      </c>
      <c r="M502">
        <v>8</v>
      </c>
      <c r="N502" s="1">
        <f>bmw_global_sales_dataset[[#This Row],[units_sold]]*bmw_global_sales_dataset[[#This Row],[price_usd]]</f>
        <v>50266128</v>
      </c>
      <c r="O502">
        <v>913</v>
      </c>
    </row>
    <row r="503" spans="1:15" x14ac:dyDescent="0.35">
      <c r="A503">
        <v>2019</v>
      </c>
      <c r="B503">
        <v>11</v>
      </c>
      <c r="C503" t="s">
        <v>21</v>
      </c>
      <c r="D503" t="s">
        <v>33</v>
      </c>
      <c r="E503" t="s">
        <v>20</v>
      </c>
      <c r="F503" t="s">
        <v>27</v>
      </c>
      <c r="G503" s="1">
        <v>102657</v>
      </c>
      <c r="H503" s="1">
        <v>93481</v>
      </c>
      <c r="I503">
        <v>96</v>
      </c>
      <c r="J503">
        <v>0.97</v>
      </c>
      <c r="K503">
        <v>6.29</v>
      </c>
      <c r="L503">
        <v>1.2</v>
      </c>
      <c r="M503">
        <v>5</v>
      </c>
      <c r="N503" s="1">
        <f>bmw_global_sales_dataset[[#This Row],[units_sold]]*bmw_global_sales_dataset[[#This Row],[price_usd]]</f>
        <v>19094202</v>
      </c>
      <c r="O503">
        <v>186</v>
      </c>
    </row>
    <row r="504" spans="1:15" x14ac:dyDescent="0.35">
      <c r="A504">
        <v>2019</v>
      </c>
      <c r="B504">
        <v>3</v>
      </c>
      <c r="C504" t="s">
        <v>30</v>
      </c>
      <c r="D504" t="s">
        <v>31</v>
      </c>
      <c r="E504" t="s">
        <v>19</v>
      </c>
      <c r="F504" t="s">
        <v>20</v>
      </c>
      <c r="G504" s="1">
        <v>80156</v>
      </c>
      <c r="H504" s="1">
        <v>125118</v>
      </c>
      <c r="I504">
        <v>110</v>
      </c>
      <c r="J504">
        <v>0.97</v>
      </c>
      <c r="K504">
        <v>6.29</v>
      </c>
      <c r="L504">
        <v>1.2</v>
      </c>
      <c r="M504">
        <v>4</v>
      </c>
      <c r="N504" s="1">
        <f>bmw_global_sales_dataset[[#This Row],[units_sold]]*bmw_global_sales_dataset[[#This Row],[price_usd]]</f>
        <v>36470980</v>
      </c>
      <c r="O504">
        <v>455</v>
      </c>
    </row>
    <row r="505" spans="1:15" x14ac:dyDescent="0.35">
      <c r="A505">
        <v>2019</v>
      </c>
      <c r="B505">
        <v>12</v>
      </c>
      <c r="C505" t="s">
        <v>32</v>
      </c>
      <c r="D505" t="s">
        <v>24</v>
      </c>
      <c r="E505" t="s">
        <v>19</v>
      </c>
      <c r="F505" t="s">
        <v>17</v>
      </c>
      <c r="G505" s="1">
        <v>54585</v>
      </c>
      <c r="H505" s="1">
        <v>323958</v>
      </c>
      <c r="I505">
        <v>223</v>
      </c>
      <c r="J505">
        <v>0.97</v>
      </c>
      <c r="K505">
        <v>6.29</v>
      </c>
      <c r="L505">
        <v>1.2</v>
      </c>
      <c r="M505">
        <v>4</v>
      </c>
      <c r="N505" s="1">
        <f>bmw_global_sales_dataset[[#This Row],[units_sold]]*bmw_global_sales_dataset[[#This Row],[price_usd]]</f>
        <v>46997685</v>
      </c>
      <c r="O505">
        <v>861</v>
      </c>
    </row>
    <row r="506" spans="1:15" x14ac:dyDescent="0.35">
      <c r="A506">
        <v>2019</v>
      </c>
      <c r="B506">
        <v>9</v>
      </c>
      <c r="C506" t="s">
        <v>21</v>
      </c>
      <c r="D506" t="s">
        <v>22</v>
      </c>
      <c r="E506" t="s">
        <v>16</v>
      </c>
      <c r="F506" t="s">
        <v>27</v>
      </c>
      <c r="G506" s="1">
        <v>61619</v>
      </c>
      <c r="H506" s="1">
        <v>322168</v>
      </c>
      <c r="I506">
        <v>175</v>
      </c>
      <c r="J506">
        <v>0.97</v>
      </c>
      <c r="K506">
        <v>6.29</v>
      </c>
      <c r="L506">
        <v>1.2</v>
      </c>
      <c r="M506">
        <v>4</v>
      </c>
      <c r="N506" s="1">
        <f>bmw_global_sales_dataset[[#This Row],[units_sold]]*bmw_global_sales_dataset[[#This Row],[price_usd]]</f>
        <v>37341114</v>
      </c>
      <c r="O506">
        <v>606</v>
      </c>
    </row>
    <row r="507" spans="1:15" x14ac:dyDescent="0.35">
      <c r="A507">
        <v>2019</v>
      </c>
      <c r="B507">
        <v>6</v>
      </c>
      <c r="C507" t="s">
        <v>28</v>
      </c>
      <c r="D507" t="s">
        <v>24</v>
      </c>
      <c r="E507" t="s">
        <v>19</v>
      </c>
      <c r="F507" t="s">
        <v>23</v>
      </c>
      <c r="G507" s="1">
        <v>110069</v>
      </c>
      <c r="H507" s="1">
        <v>244360</v>
      </c>
      <c r="I507">
        <v>288</v>
      </c>
      <c r="J507">
        <v>0.97</v>
      </c>
      <c r="K507">
        <v>6.29</v>
      </c>
      <c r="L507">
        <v>1.2</v>
      </c>
      <c r="M507">
        <v>9</v>
      </c>
      <c r="N507" s="1">
        <f>bmw_global_sales_dataset[[#This Row],[units_sold]]*bmw_global_sales_dataset[[#This Row],[price_usd]]</f>
        <v>87064579</v>
      </c>
      <c r="O507">
        <v>791</v>
      </c>
    </row>
    <row r="508" spans="1:15" x14ac:dyDescent="0.35">
      <c r="A508">
        <v>2019</v>
      </c>
      <c r="B508">
        <v>4</v>
      </c>
      <c r="C508" t="s">
        <v>36</v>
      </c>
      <c r="D508" t="s">
        <v>24</v>
      </c>
      <c r="E508" t="s">
        <v>19</v>
      </c>
      <c r="F508" t="s">
        <v>20</v>
      </c>
      <c r="G508" s="1">
        <v>74895</v>
      </c>
      <c r="H508" s="1">
        <v>421380</v>
      </c>
      <c r="I508">
        <v>68</v>
      </c>
      <c r="J508">
        <v>0.97</v>
      </c>
      <c r="K508">
        <v>6.29</v>
      </c>
      <c r="L508">
        <v>1.2</v>
      </c>
      <c r="M508">
        <v>10</v>
      </c>
      <c r="N508" s="1">
        <f>bmw_global_sales_dataset[[#This Row],[units_sold]]*bmw_global_sales_dataset[[#This Row],[price_usd]]</f>
        <v>40967565</v>
      </c>
      <c r="O508">
        <v>547</v>
      </c>
    </row>
    <row r="509" spans="1:15" x14ac:dyDescent="0.35">
      <c r="A509">
        <v>2019</v>
      </c>
      <c r="B509">
        <v>4</v>
      </c>
      <c r="C509" t="s">
        <v>32</v>
      </c>
      <c r="D509" t="s">
        <v>39</v>
      </c>
      <c r="E509" t="s">
        <v>16</v>
      </c>
      <c r="F509" t="s">
        <v>27</v>
      </c>
      <c r="G509" s="1">
        <v>68324</v>
      </c>
      <c r="H509" s="1">
        <v>86713</v>
      </c>
      <c r="I509">
        <v>180</v>
      </c>
      <c r="J509">
        <v>0.97</v>
      </c>
      <c r="K509">
        <v>6.29</v>
      </c>
      <c r="L509">
        <v>1.2</v>
      </c>
      <c r="M509">
        <v>1</v>
      </c>
      <c r="N509" s="1">
        <f>bmw_global_sales_dataset[[#This Row],[units_sold]]*bmw_global_sales_dataset[[#This Row],[price_usd]]</f>
        <v>43454064</v>
      </c>
      <c r="O509">
        <v>636</v>
      </c>
    </row>
    <row r="510" spans="1:15" x14ac:dyDescent="0.35">
      <c r="A510">
        <v>2019</v>
      </c>
      <c r="B510">
        <v>2</v>
      </c>
      <c r="C510" t="s">
        <v>21</v>
      </c>
      <c r="D510" t="s">
        <v>24</v>
      </c>
      <c r="E510" t="s">
        <v>19</v>
      </c>
      <c r="F510" t="s">
        <v>17</v>
      </c>
      <c r="G510" s="1">
        <v>114795</v>
      </c>
      <c r="H510" s="1">
        <v>98784</v>
      </c>
      <c r="I510">
        <v>252</v>
      </c>
      <c r="J510">
        <v>0.97</v>
      </c>
      <c r="K510">
        <v>6.29</v>
      </c>
      <c r="L510">
        <v>1.2</v>
      </c>
      <c r="M510">
        <v>9</v>
      </c>
      <c r="N510" s="1">
        <f>bmw_global_sales_dataset[[#This Row],[units_sold]]*bmw_global_sales_dataset[[#This Row],[price_usd]]</f>
        <v>83111580</v>
      </c>
      <c r="O510">
        <v>724</v>
      </c>
    </row>
    <row r="511" spans="1:15" x14ac:dyDescent="0.35">
      <c r="A511">
        <v>2019</v>
      </c>
      <c r="B511">
        <v>2</v>
      </c>
      <c r="C511" t="s">
        <v>37</v>
      </c>
      <c r="D511" t="s">
        <v>33</v>
      </c>
      <c r="E511" t="s">
        <v>19</v>
      </c>
      <c r="F511" t="s">
        <v>20</v>
      </c>
      <c r="G511" s="1">
        <v>50792</v>
      </c>
      <c r="H511" s="1">
        <v>231413</v>
      </c>
      <c r="I511">
        <v>223</v>
      </c>
      <c r="J511">
        <v>0.97</v>
      </c>
      <c r="K511">
        <v>6.29</v>
      </c>
      <c r="L511">
        <v>1.2</v>
      </c>
      <c r="M511">
        <v>6</v>
      </c>
      <c r="N511" s="1">
        <f>bmw_global_sales_dataset[[#This Row],[units_sold]]*bmw_global_sales_dataset[[#This Row],[price_usd]]</f>
        <v>40836768</v>
      </c>
      <c r="O511">
        <v>804</v>
      </c>
    </row>
    <row r="512" spans="1:15" x14ac:dyDescent="0.35">
      <c r="A512">
        <v>2019</v>
      </c>
      <c r="B512">
        <v>7</v>
      </c>
      <c r="C512" t="s">
        <v>25</v>
      </c>
      <c r="D512" t="s">
        <v>33</v>
      </c>
      <c r="E512" t="s">
        <v>19</v>
      </c>
      <c r="F512" t="s">
        <v>20</v>
      </c>
      <c r="G512" s="1">
        <v>92986</v>
      </c>
      <c r="H512" s="1">
        <v>74624</v>
      </c>
      <c r="I512">
        <v>231</v>
      </c>
      <c r="J512">
        <v>0.97</v>
      </c>
      <c r="K512">
        <v>6.29</v>
      </c>
      <c r="L512">
        <v>1.2</v>
      </c>
      <c r="M512">
        <v>7</v>
      </c>
      <c r="N512" s="1">
        <f>bmw_global_sales_dataset[[#This Row],[units_sold]]*bmw_global_sales_dataset[[#This Row],[price_usd]]</f>
        <v>65462144</v>
      </c>
      <c r="O512">
        <v>704</v>
      </c>
    </row>
    <row r="513" spans="1:15" x14ac:dyDescent="0.35">
      <c r="A513">
        <v>2019</v>
      </c>
      <c r="B513">
        <v>5</v>
      </c>
      <c r="C513" t="s">
        <v>28</v>
      </c>
      <c r="D513" t="s">
        <v>34</v>
      </c>
      <c r="E513" t="s">
        <v>20</v>
      </c>
      <c r="F513" t="s">
        <v>17</v>
      </c>
      <c r="G513" s="1">
        <v>119269</v>
      </c>
      <c r="H513" s="1">
        <v>251893</v>
      </c>
      <c r="I513">
        <v>292</v>
      </c>
      <c r="J513">
        <v>0.97</v>
      </c>
      <c r="K513">
        <v>6.29</v>
      </c>
      <c r="L513">
        <v>1.2</v>
      </c>
      <c r="M513">
        <v>6</v>
      </c>
      <c r="N513" s="1">
        <f>bmw_global_sales_dataset[[#This Row],[units_sold]]*bmw_global_sales_dataset[[#This Row],[price_usd]]</f>
        <v>108534790</v>
      </c>
      <c r="O513">
        <v>910</v>
      </c>
    </row>
    <row r="514" spans="1:15" x14ac:dyDescent="0.35">
      <c r="A514">
        <v>2020</v>
      </c>
      <c r="B514">
        <v>12</v>
      </c>
      <c r="C514" t="s">
        <v>36</v>
      </c>
      <c r="D514" t="s">
        <v>15</v>
      </c>
      <c r="E514" t="s">
        <v>20</v>
      </c>
      <c r="F514" t="s">
        <v>17</v>
      </c>
      <c r="G514" s="1">
        <v>119078</v>
      </c>
      <c r="H514" s="1">
        <v>352240</v>
      </c>
      <c r="I514">
        <v>101</v>
      </c>
      <c r="J514">
        <v>0.97</v>
      </c>
      <c r="K514">
        <v>6.29</v>
      </c>
      <c r="L514">
        <v>1.2</v>
      </c>
      <c r="M514">
        <v>10</v>
      </c>
      <c r="N514" s="1">
        <f>bmw_global_sales_dataset[[#This Row],[units_sold]]*bmw_global_sales_dataset[[#This Row],[price_usd]]</f>
        <v>36556946</v>
      </c>
      <c r="O514">
        <v>307</v>
      </c>
    </row>
    <row r="515" spans="1:15" x14ac:dyDescent="0.35">
      <c r="A515">
        <v>2020</v>
      </c>
      <c r="B515">
        <v>3</v>
      </c>
      <c r="C515" t="s">
        <v>25</v>
      </c>
      <c r="D515" t="s">
        <v>34</v>
      </c>
      <c r="E515" t="s">
        <v>19</v>
      </c>
      <c r="F515" t="s">
        <v>23</v>
      </c>
      <c r="G515" s="1">
        <v>37035</v>
      </c>
      <c r="H515" s="1">
        <v>432526</v>
      </c>
      <c r="I515">
        <v>157</v>
      </c>
      <c r="J515">
        <v>0.97</v>
      </c>
      <c r="K515">
        <v>6.29</v>
      </c>
      <c r="L515">
        <v>1.2</v>
      </c>
      <c r="M515">
        <v>4</v>
      </c>
      <c r="N515" s="1">
        <f>bmw_global_sales_dataset[[#This Row],[units_sold]]*bmw_global_sales_dataset[[#This Row],[price_usd]]</f>
        <v>19776690</v>
      </c>
      <c r="O515">
        <v>534</v>
      </c>
    </row>
    <row r="516" spans="1:15" x14ac:dyDescent="0.35">
      <c r="A516">
        <v>2020</v>
      </c>
      <c r="B516">
        <v>7</v>
      </c>
      <c r="C516" t="s">
        <v>28</v>
      </c>
      <c r="D516" t="s">
        <v>31</v>
      </c>
      <c r="E516" t="s">
        <v>19</v>
      </c>
      <c r="F516" t="s">
        <v>27</v>
      </c>
      <c r="G516" s="1">
        <v>60625</v>
      </c>
      <c r="H516" s="1">
        <v>492765</v>
      </c>
      <c r="I516">
        <v>323</v>
      </c>
      <c r="J516">
        <v>0.97</v>
      </c>
      <c r="K516">
        <v>6.29</v>
      </c>
      <c r="L516">
        <v>1.2</v>
      </c>
      <c r="M516">
        <v>2</v>
      </c>
      <c r="N516" s="1">
        <f>bmw_global_sales_dataset[[#This Row],[units_sold]]*bmw_global_sales_dataset[[#This Row],[price_usd]]</f>
        <v>57836250</v>
      </c>
      <c r="O516">
        <v>954</v>
      </c>
    </row>
    <row r="517" spans="1:15" x14ac:dyDescent="0.35">
      <c r="A517">
        <v>2020</v>
      </c>
      <c r="B517">
        <v>2</v>
      </c>
      <c r="C517" t="s">
        <v>25</v>
      </c>
      <c r="D517" t="s">
        <v>29</v>
      </c>
      <c r="E517" t="s">
        <v>20</v>
      </c>
      <c r="F517" t="s">
        <v>20</v>
      </c>
      <c r="G517" s="1">
        <v>75874</v>
      </c>
      <c r="H517" s="1">
        <v>385949</v>
      </c>
      <c r="I517">
        <v>55</v>
      </c>
      <c r="J517">
        <v>0.97</v>
      </c>
      <c r="K517">
        <v>6.29</v>
      </c>
      <c r="L517">
        <v>1.2</v>
      </c>
      <c r="M517">
        <v>3</v>
      </c>
      <c r="N517" s="1">
        <f>bmw_global_sales_dataset[[#This Row],[units_sold]]*bmw_global_sales_dataset[[#This Row],[price_usd]]</f>
        <v>22155208</v>
      </c>
      <c r="O517">
        <v>292</v>
      </c>
    </row>
    <row r="518" spans="1:15" x14ac:dyDescent="0.35">
      <c r="A518">
        <v>2020</v>
      </c>
      <c r="B518">
        <v>11</v>
      </c>
      <c r="C518" t="s">
        <v>30</v>
      </c>
      <c r="D518" t="s">
        <v>26</v>
      </c>
      <c r="E518" t="s">
        <v>19</v>
      </c>
      <c r="F518" t="s">
        <v>27</v>
      </c>
      <c r="G518" s="1">
        <v>112362</v>
      </c>
      <c r="H518" s="1">
        <v>380511</v>
      </c>
      <c r="I518">
        <v>75</v>
      </c>
      <c r="J518">
        <v>0.97</v>
      </c>
      <c r="K518">
        <v>6.29</v>
      </c>
      <c r="L518">
        <v>1.2</v>
      </c>
      <c r="M518">
        <v>10</v>
      </c>
      <c r="N518" s="1">
        <f>bmw_global_sales_dataset[[#This Row],[units_sold]]*bmw_global_sales_dataset[[#This Row],[price_usd]]</f>
        <v>55619190</v>
      </c>
      <c r="O518">
        <v>495</v>
      </c>
    </row>
    <row r="519" spans="1:15" x14ac:dyDescent="0.35">
      <c r="A519">
        <v>2020</v>
      </c>
      <c r="B519">
        <v>11</v>
      </c>
      <c r="C519" t="s">
        <v>14</v>
      </c>
      <c r="D519" t="s">
        <v>24</v>
      </c>
      <c r="E519" t="s">
        <v>20</v>
      </c>
      <c r="F519" t="s">
        <v>20</v>
      </c>
      <c r="G519" s="1">
        <v>109328</v>
      </c>
      <c r="H519" s="1">
        <v>389499</v>
      </c>
      <c r="I519">
        <v>120</v>
      </c>
      <c r="J519">
        <v>0.97</v>
      </c>
      <c r="K519">
        <v>6.29</v>
      </c>
      <c r="L519">
        <v>1.2</v>
      </c>
      <c r="M519">
        <v>2</v>
      </c>
      <c r="N519" s="1">
        <f>bmw_global_sales_dataset[[#This Row],[units_sold]]*bmw_global_sales_dataset[[#This Row],[price_usd]]</f>
        <v>49525584</v>
      </c>
      <c r="O519">
        <v>453</v>
      </c>
    </row>
    <row r="520" spans="1:15" x14ac:dyDescent="0.35">
      <c r="A520">
        <v>2020</v>
      </c>
      <c r="B520">
        <v>6</v>
      </c>
      <c r="C520" t="s">
        <v>28</v>
      </c>
      <c r="D520" t="s">
        <v>33</v>
      </c>
      <c r="E520" t="s">
        <v>20</v>
      </c>
      <c r="F520" t="s">
        <v>27</v>
      </c>
      <c r="G520" s="1">
        <v>52576</v>
      </c>
      <c r="H520" s="1">
        <v>84409</v>
      </c>
      <c r="I520">
        <v>153</v>
      </c>
      <c r="J520">
        <v>0.97</v>
      </c>
      <c r="K520">
        <v>6.29</v>
      </c>
      <c r="L520">
        <v>1.2</v>
      </c>
      <c r="M520">
        <v>8</v>
      </c>
      <c r="N520" s="1">
        <f>bmw_global_sales_dataset[[#This Row],[units_sold]]*bmw_global_sales_dataset[[#This Row],[price_usd]]</f>
        <v>38275328</v>
      </c>
      <c r="O520">
        <v>728</v>
      </c>
    </row>
    <row r="521" spans="1:15" x14ac:dyDescent="0.35">
      <c r="A521">
        <v>2020</v>
      </c>
      <c r="B521">
        <v>9</v>
      </c>
      <c r="C521" t="s">
        <v>35</v>
      </c>
      <c r="D521" t="s">
        <v>15</v>
      </c>
      <c r="E521" t="s">
        <v>20</v>
      </c>
      <c r="F521" t="s">
        <v>20</v>
      </c>
      <c r="G521" s="1">
        <v>83785</v>
      </c>
      <c r="H521" s="1">
        <v>446419</v>
      </c>
      <c r="I521">
        <v>209</v>
      </c>
      <c r="J521">
        <v>0.97</v>
      </c>
      <c r="K521">
        <v>6.29</v>
      </c>
      <c r="L521">
        <v>1.2</v>
      </c>
      <c r="M521">
        <v>8</v>
      </c>
      <c r="N521" s="1">
        <f>bmw_global_sales_dataset[[#This Row],[units_sold]]*bmw_global_sales_dataset[[#This Row],[price_usd]]</f>
        <v>63090105</v>
      </c>
      <c r="O521">
        <v>753</v>
      </c>
    </row>
    <row r="522" spans="1:15" x14ac:dyDescent="0.35">
      <c r="A522">
        <v>2020</v>
      </c>
      <c r="B522">
        <v>11</v>
      </c>
      <c r="C522" t="s">
        <v>30</v>
      </c>
      <c r="D522" t="s">
        <v>24</v>
      </c>
      <c r="E522" t="s">
        <v>19</v>
      </c>
      <c r="F522" t="s">
        <v>17</v>
      </c>
      <c r="G522" s="1">
        <v>109286</v>
      </c>
      <c r="H522" s="1">
        <v>71584</v>
      </c>
      <c r="I522">
        <v>273</v>
      </c>
      <c r="J522">
        <v>0.97</v>
      </c>
      <c r="K522">
        <v>6.29</v>
      </c>
      <c r="L522">
        <v>1.2</v>
      </c>
      <c r="M522">
        <v>1</v>
      </c>
      <c r="N522" s="1">
        <f>bmw_global_sales_dataset[[#This Row],[units_sold]]*bmw_global_sales_dataset[[#This Row],[price_usd]]</f>
        <v>99559546</v>
      </c>
      <c r="O522">
        <v>911</v>
      </c>
    </row>
    <row r="523" spans="1:15" x14ac:dyDescent="0.35">
      <c r="A523">
        <v>2020</v>
      </c>
      <c r="B523">
        <v>11</v>
      </c>
      <c r="C523" t="s">
        <v>30</v>
      </c>
      <c r="D523" t="s">
        <v>33</v>
      </c>
      <c r="E523" t="s">
        <v>16</v>
      </c>
      <c r="F523" t="s">
        <v>27</v>
      </c>
      <c r="G523" s="1">
        <v>42370</v>
      </c>
      <c r="H523" s="1">
        <v>459337</v>
      </c>
      <c r="I523">
        <v>374</v>
      </c>
      <c r="J523">
        <v>0.97</v>
      </c>
      <c r="K523">
        <v>6.29</v>
      </c>
      <c r="L523">
        <v>1.2</v>
      </c>
      <c r="M523">
        <v>3</v>
      </c>
      <c r="N523" s="1">
        <f>bmw_global_sales_dataset[[#This Row],[units_sold]]*bmw_global_sales_dataset[[#This Row],[price_usd]]</f>
        <v>44191910</v>
      </c>
      <c r="O523">
        <v>1043</v>
      </c>
    </row>
    <row r="524" spans="1:15" x14ac:dyDescent="0.35">
      <c r="A524">
        <v>2020</v>
      </c>
      <c r="B524">
        <v>7</v>
      </c>
      <c r="C524" t="s">
        <v>30</v>
      </c>
      <c r="D524" t="s">
        <v>22</v>
      </c>
      <c r="E524" t="s">
        <v>16</v>
      </c>
      <c r="F524" t="s">
        <v>27</v>
      </c>
      <c r="G524" s="1">
        <v>110609</v>
      </c>
      <c r="H524" s="1">
        <v>73004</v>
      </c>
      <c r="I524">
        <v>111</v>
      </c>
      <c r="J524">
        <v>0.97</v>
      </c>
      <c r="K524">
        <v>6.29</v>
      </c>
      <c r="L524">
        <v>1.2</v>
      </c>
      <c r="M524">
        <v>1</v>
      </c>
      <c r="N524" s="1">
        <f>bmw_global_sales_dataset[[#This Row],[units_sold]]*bmw_global_sales_dataset[[#This Row],[price_usd]]</f>
        <v>69462452</v>
      </c>
      <c r="O524">
        <v>628</v>
      </c>
    </row>
    <row r="525" spans="1:15" x14ac:dyDescent="0.35">
      <c r="A525">
        <v>2020</v>
      </c>
      <c r="B525">
        <v>7</v>
      </c>
      <c r="C525" t="s">
        <v>30</v>
      </c>
      <c r="D525" t="s">
        <v>33</v>
      </c>
      <c r="E525" t="s">
        <v>19</v>
      </c>
      <c r="F525" t="s">
        <v>23</v>
      </c>
      <c r="G525" s="1">
        <v>43346</v>
      </c>
      <c r="H525" s="1">
        <v>212696</v>
      </c>
      <c r="I525">
        <v>144</v>
      </c>
      <c r="J525">
        <v>0.97</v>
      </c>
      <c r="K525">
        <v>6.29</v>
      </c>
      <c r="L525">
        <v>1.2</v>
      </c>
      <c r="M525">
        <v>4</v>
      </c>
      <c r="N525" s="1">
        <f>bmw_global_sales_dataset[[#This Row],[units_sold]]*bmw_global_sales_dataset[[#This Row],[price_usd]]</f>
        <v>16731556</v>
      </c>
      <c r="O525">
        <v>386</v>
      </c>
    </row>
    <row r="526" spans="1:15" x14ac:dyDescent="0.35">
      <c r="A526">
        <v>2020</v>
      </c>
      <c r="B526">
        <v>5</v>
      </c>
      <c r="C526" t="s">
        <v>21</v>
      </c>
      <c r="D526" t="s">
        <v>24</v>
      </c>
      <c r="E526" t="s">
        <v>19</v>
      </c>
      <c r="F526" t="s">
        <v>23</v>
      </c>
      <c r="G526" s="1">
        <v>57195</v>
      </c>
      <c r="H526" s="1">
        <v>219801</v>
      </c>
      <c r="I526">
        <v>82</v>
      </c>
      <c r="J526">
        <v>0.97</v>
      </c>
      <c r="K526">
        <v>6.29</v>
      </c>
      <c r="L526">
        <v>1.2</v>
      </c>
      <c r="M526">
        <v>6</v>
      </c>
      <c r="N526" s="1">
        <f>bmw_global_sales_dataset[[#This Row],[units_sold]]*bmw_global_sales_dataset[[#This Row],[price_usd]]</f>
        <v>29226645</v>
      </c>
      <c r="O526">
        <v>511</v>
      </c>
    </row>
    <row r="527" spans="1:15" x14ac:dyDescent="0.35">
      <c r="A527">
        <v>2020</v>
      </c>
      <c r="B527">
        <v>12</v>
      </c>
      <c r="C527" t="s">
        <v>37</v>
      </c>
      <c r="D527" t="s">
        <v>15</v>
      </c>
      <c r="E527" t="s">
        <v>19</v>
      </c>
      <c r="F527" t="s">
        <v>17</v>
      </c>
      <c r="G527" s="1">
        <v>83849</v>
      </c>
      <c r="H527" s="1">
        <v>320577</v>
      </c>
      <c r="I527">
        <v>191</v>
      </c>
      <c r="J527">
        <v>0.97</v>
      </c>
      <c r="K527">
        <v>6.29</v>
      </c>
      <c r="L527">
        <v>1.2</v>
      </c>
      <c r="M527">
        <v>7</v>
      </c>
      <c r="N527" s="1">
        <f>bmw_global_sales_dataset[[#This Row],[units_sold]]*bmw_global_sales_dataset[[#This Row],[price_usd]]</f>
        <v>33204204</v>
      </c>
      <c r="O527">
        <v>396</v>
      </c>
    </row>
    <row r="528" spans="1:15" x14ac:dyDescent="0.35">
      <c r="A528">
        <v>2020</v>
      </c>
      <c r="B528">
        <v>11</v>
      </c>
      <c r="C528" t="s">
        <v>36</v>
      </c>
      <c r="D528" t="s">
        <v>18</v>
      </c>
      <c r="E528" t="s">
        <v>20</v>
      </c>
      <c r="F528" t="s">
        <v>20</v>
      </c>
      <c r="G528" s="1">
        <v>116418</v>
      </c>
      <c r="H528" s="1">
        <v>261655</v>
      </c>
      <c r="I528">
        <v>323</v>
      </c>
      <c r="J528">
        <v>0.97</v>
      </c>
      <c r="K528">
        <v>6.29</v>
      </c>
      <c r="L528">
        <v>1.2</v>
      </c>
      <c r="M528">
        <v>9</v>
      </c>
      <c r="N528" s="1">
        <f>bmw_global_sales_dataset[[#This Row],[units_sold]]*bmw_global_sales_dataset[[#This Row],[price_usd]]</f>
        <v>76137372</v>
      </c>
      <c r="O528">
        <v>654</v>
      </c>
    </row>
    <row r="529" spans="1:15" x14ac:dyDescent="0.35">
      <c r="A529">
        <v>2020</v>
      </c>
      <c r="B529">
        <v>7</v>
      </c>
      <c r="C529" t="s">
        <v>32</v>
      </c>
      <c r="D529" t="s">
        <v>34</v>
      </c>
      <c r="E529" t="s">
        <v>19</v>
      </c>
      <c r="F529" t="s">
        <v>17</v>
      </c>
      <c r="G529" s="1">
        <v>105211</v>
      </c>
      <c r="H529" s="1">
        <v>333895</v>
      </c>
      <c r="I529">
        <v>335</v>
      </c>
      <c r="J529">
        <v>0.97</v>
      </c>
      <c r="K529">
        <v>6.29</v>
      </c>
      <c r="L529">
        <v>1.2</v>
      </c>
      <c r="M529">
        <v>9</v>
      </c>
      <c r="N529" s="1">
        <f>bmw_global_sales_dataset[[#This Row],[units_sold]]*bmw_global_sales_dataset[[#This Row],[price_usd]]</f>
        <v>81328103</v>
      </c>
      <c r="O529">
        <v>773</v>
      </c>
    </row>
    <row r="530" spans="1:15" x14ac:dyDescent="0.35">
      <c r="A530">
        <v>2020</v>
      </c>
      <c r="B530">
        <v>3</v>
      </c>
      <c r="C530" t="s">
        <v>37</v>
      </c>
      <c r="D530" t="s">
        <v>34</v>
      </c>
      <c r="E530" t="s">
        <v>16</v>
      </c>
      <c r="F530" t="s">
        <v>17</v>
      </c>
      <c r="G530" s="1">
        <v>62843</v>
      </c>
      <c r="H530" s="1">
        <v>482184</v>
      </c>
      <c r="I530">
        <v>323</v>
      </c>
      <c r="J530">
        <v>0.97</v>
      </c>
      <c r="K530">
        <v>6.29</v>
      </c>
      <c r="L530">
        <v>1.2</v>
      </c>
      <c r="M530">
        <v>7</v>
      </c>
      <c r="N530" s="1">
        <f>bmw_global_sales_dataset[[#This Row],[units_sold]]*bmw_global_sales_dataset[[#This Row],[price_usd]]</f>
        <v>61271925</v>
      </c>
      <c r="O530">
        <v>975</v>
      </c>
    </row>
    <row r="531" spans="1:15" x14ac:dyDescent="0.35">
      <c r="A531">
        <v>2020</v>
      </c>
      <c r="B531">
        <v>8</v>
      </c>
      <c r="C531" t="s">
        <v>25</v>
      </c>
      <c r="D531" t="s">
        <v>29</v>
      </c>
      <c r="E531" t="s">
        <v>20</v>
      </c>
      <c r="F531" t="s">
        <v>23</v>
      </c>
      <c r="G531" s="1">
        <v>72038</v>
      </c>
      <c r="H531" s="1">
        <v>401136</v>
      </c>
      <c r="I531">
        <v>77</v>
      </c>
      <c r="J531">
        <v>0.97</v>
      </c>
      <c r="K531">
        <v>6.29</v>
      </c>
      <c r="L531">
        <v>1.2</v>
      </c>
      <c r="M531">
        <v>7</v>
      </c>
      <c r="N531" s="1">
        <f>bmw_global_sales_dataset[[#This Row],[units_sold]]*bmw_global_sales_dataset[[#This Row],[price_usd]]</f>
        <v>29319466</v>
      </c>
      <c r="O531">
        <v>407</v>
      </c>
    </row>
    <row r="532" spans="1:15" x14ac:dyDescent="0.35">
      <c r="A532">
        <v>2020</v>
      </c>
      <c r="B532">
        <v>10</v>
      </c>
      <c r="C532" t="s">
        <v>21</v>
      </c>
      <c r="D532" t="s">
        <v>26</v>
      </c>
      <c r="E532" t="s">
        <v>16</v>
      </c>
      <c r="F532" t="s">
        <v>23</v>
      </c>
      <c r="G532" s="1">
        <v>87719</v>
      </c>
      <c r="H532" s="1">
        <v>480481</v>
      </c>
      <c r="I532">
        <v>324</v>
      </c>
      <c r="J532">
        <v>0.97</v>
      </c>
      <c r="K532">
        <v>6.29</v>
      </c>
      <c r="L532">
        <v>1.2</v>
      </c>
      <c r="M532">
        <v>8</v>
      </c>
      <c r="N532" s="1">
        <f>bmw_global_sales_dataset[[#This Row],[units_sold]]*bmw_global_sales_dataset[[#This Row],[price_usd]]</f>
        <v>74297993</v>
      </c>
      <c r="O532">
        <v>847</v>
      </c>
    </row>
    <row r="533" spans="1:15" x14ac:dyDescent="0.35">
      <c r="A533">
        <v>2020</v>
      </c>
      <c r="B533">
        <v>5</v>
      </c>
      <c r="C533" t="s">
        <v>25</v>
      </c>
      <c r="D533" t="s">
        <v>33</v>
      </c>
      <c r="E533" t="s">
        <v>16</v>
      </c>
      <c r="F533" t="s">
        <v>27</v>
      </c>
      <c r="G533" s="1">
        <v>54880</v>
      </c>
      <c r="H533" s="1">
        <v>337062</v>
      </c>
      <c r="I533">
        <v>88</v>
      </c>
      <c r="J533">
        <v>0.97</v>
      </c>
      <c r="K533">
        <v>6.29</v>
      </c>
      <c r="L533">
        <v>1.2</v>
      </c>
      <c r="M533">
        <v>9</v>
      </c>
      <c r="N533" s="1">
        <f>bmw_global_sales_dataset[[#This Row],[units_sold]]*bmw_global_sales_dataset[[#This Row],[price_usd]]</f>
        <v>25080160</v>
      </c>
      <c r="O533">
        <v>457</v>
      </c>
    </row>
    <row r="534" spans="1:15" x14ac:dyDescent="0.35">
      <c r="A534">
        <v>2020</v>
      </c>
      <c r="B534">
        <v>7</v>
      </c>
      <c r="C534" t="s">
        <v>37</v>
      </c>
      <c r="D534" t="s">
        <v>15</v>
      </c>
      <c r="E534" t="s">
        <v>19</v>
      </c>
      <c r="F534" t="s">
        <v>27</v>
      </c>
      <c r="G534" s="1">
        <v>114854</v>
      </c>
      <c r="H534" s="1">
        <v>409698</v>
      </c>
      <c r="I534">
        <v>319</v>
      </c>
      <c r="J534">
        <v>0.97</v>
      </c>
      <c r="K534">
        <v>6.29</v>
      </c>
      <c r="L534">
        <v>1.2</v>
      </c>
      <c r="M534">
        <v>2</v>
      </c>
      <c r="N534" s="1">
        <f>bmw_global_sales_dataset[[#This Row],[units_sold]]*bmw_global_sales_dataset[[#This Row],[price_usd]]</f>
        <v>92687178</v>
      </c>
      <c r="O534">
        <v>807</v>
      </c>
    </row>
    <row r="535" spans="1:15" x14ac:dyDescent="0.35">
      <c r="A535">
        <v>2020</v>
      </c>
      <c r="B535">
        <v>6</v>
      </c>
      <c r="C535" t="s">
        <v>28</v>
      </c>
      <c r="D535" t="s">
        <v>31</v>
      </c>
      <c r="E535" t="s">
        <v>20</v>
      </c>
      <c r="F535" t="s">
        <v>17</v>
      </c>
      <c r="G535" s="1">
        <v>62672</v>
      </c>
      <c r="H535" s="1">
        <v>419942</v>
      </c>
      <c r="I535">
        <v>226</v>
      </c>
      <c r="J535">
        <v>0.97</v>
      </c>
      <c r="K535">
        <v>6.29</v>
      </c>
      <c r="L535">
        <v>1.2</v>
      </c>
      <c r="M535">
        <v>9</v>
      </c>
      <c r="N535" s="1">
        <f>bmw_global_sales_dataset[[#This Row],[units_sold]]*bmw_global_sales_dataset[[#This Row],[price_usd]]</f>
        <v>53145856</v>
      </c>
      <c r="O535">
        <v>848</v>
      </c>
    </row>
    <row r="536" spans="1:15" x14ac:dyDescent="0.35">
      <c r="A536">
        <v>2020</v>
      </c>
      <c r="B536">
        <v>6</v>
      </c>
      <c r="C536" t="s">
        <v>35</v>
      </c>
      <c r="D536" t="s">
        <v>33</v>
      </c>
      <c r="E536" t="s">
        <v>16</v>
      </c>
      <c r="F536" t="s">
        <v>27</v>
      </c>
      <c r="G536" s="1">
        <v>73417</v>
      </c>
      <c r="H536" s="1">
        <v>358474</v>
      </c>
      <c r="I536">
        <v>89</v>
      </c>
      <c r="J536">
        <v>0.97</v>
      </c>
      <c r="K536">
        <v>6.29</v>
      </c>
      <c r="L536">
        <v>1.2</v>
      </c>
      <c r="M536">
        <v>10</v>
      </c>
      <c r="N536" s="1">
        <f>bmw_global_sales_dataset[[#This Row],[units_sold]]*bmw_global_sales_dataset[[#This Row],[price_usd]]</f>
        <v>32817399</v>
      </c>
      <c r="O536">
        <v>447</v>
      </c>
    </row>
    <row r="537" spans="1:15" x14ac:dyDescent="0.35">
      <c r="A537">
        <v>2020</v>
      </c>
      <c r="B537">
        <v>5</v>
      </c>
      <c r="C537" t="s">
        <v>21</v>
      </c>
      <c r="D537" t="s">
        <v>22</v>
      </c>
      <c r="E537" t="s">
        <v>19</v>
      </c>
      <c r="F537" t="s">
        <v>17</v>
      </c>
      <c r="G537" s="1">
        <v>87413</v>
      </c>
      <c r="H537" s="1">
        <v>299141</v>
      </c>
      <c r="I537">
        <v>323</v>
      </c>
      <c r="J537">
        <v>0.97</v>
      </c>
      <c r="K537">
        <v>6.29</v>
      </c>
      <c r="L537">
        <v>1.2</v>
      </c>
      <c r="M537">
        <v>4</v>
      </c>
      <c r="N537" s="1">
        <f>bmw_global_sales_dataset[[#This Row],[units_sold]]*bmw_global_sales_dataset[[#This Row],[price_usd]]</f>
        <v>91871063</v>
      </c>
      <c r="O537">
        <v>1051</v>
      </c>
    </row>
    <row r="538" spans="1:15" x14ac:dyDescent="0.35">
      <c r="A538">
        <v>2020</v>
      </c>
      <c r="B538">
        <v>1</v>
      </c>
      <c r="C538" t="s">
        <v>37</v>
      </c>
      <c r="D538" t="s">
        <v>26</v>
      </c>
      <c r="E538" t="s">
        <v>19</v>
      </c>
      <c r="F538" t="s">
        <v>27</v>
      </c>
      <c r="G538" s="1">
        <v>94213</v>
      </c>
      <c r="H538" s="1">
        <v>249488</v>
      </c>
      <c r="I538">
        <v>74</v>
      </c>
      <c r="J538">
        <v>0.97</v>
      </c>
      <c r="K538">
        <v>6.29</v>
      </c>
      <c r="L538">
        <v>1.2</v>
      </c>
      <c r="M538">
        <v>10</v>
      </c>
      <c r="N538" s="1">
        <f>bmw_global_sales_dataset[[#This Row],[units_sold]]*bmw_global_sales_dataset[[#This Row],[price_usd]]</f>
        <v>18559961</v>
      </c>
      <c r="O538">
        <v>197</v>
      </c>
    </row>
    <row r="539" spans="1:15" x14ac:dyDescent="0.35">
      <c r="A539">
        <v>2020</v>
      </c>
      <c r="B539">
        <v>10</v>
      </c>
      <c r="C539" t="s">
        <v>36</v>
      </c>
      <c r="D539" t="s">
        <v>26</v>
      </c>
      <c r="E539" t="s">
        <v>19</v>
      </c>
      <c r="F539" t="s">
        <v>17</v>
      </c>
      <c r="G539" s="1">
        <v>42235</v>
      </c>
      <c r="H539" s="1">
        <v>208901</v>
      </c>
      <c r="I539">
        <v>77</v>
      </c>
      <c r="J539">
        <v>0.97</v>
      </c>
      <c r="K539">
        <v>6.29</v>
      </c>
      <c r="L539">
        <v>1.2</v>
      </c>
      <c r="M539">
        <v>4</v>
      </c>
      <c r="N539" s="1">
        <f>bmw_global_sales_dataset[[#This Row],[units_sold]]*bmw_global_sales_dataset[[#This Row],[price_usd]]</f>
        <v>15584715</v>
      </c>
      <c r="O539">
        <v>369</v>
      </c>
    </row>
    <row r="540" spans="1:15" x14ac:dyDescent="0.35">
      <c r="A540">
        <v>2020</v>
      </c>
      <c r="B540">
        <v>5</v>
      </c>
      <c r="C540" t="s">
        <v>25</v>
      </c>
      <c r="D540" t="s">
        <v>33</v>
      </c>
      <c r="E540" t="s">
        <v>19</v>
      </c>
      <c r="F540" t="s">
        <v>17</v>
      </c>
      <c r="G540" s="1">
        <v>105219</v>
      </c>
      <c r="H540" s="1">
        <v>63569</v>
      </c>
      <c r="I540">
        <v>94</v>
      </c>
      <c r="J540">
        <v>0.97</v>
      </c>
      <c r="K540">
        <v>6.29</v>
      </c>
      <c r="L540">
        <v>1.2</v>
      </c>
      <c r="M540">
        <v>8</v>
      </c>
      <c r="N540" s="1">
        <f>bmw_global_sales_dataset[[#This Row],[units_sold]]*bmw_global_sales_dataset[[#This Row],[price_usd]]</f>
        <v>18518544</v>
      </c>
      <c r="O540">
        <v>176</v>
      </c>
    </row>
    <row r="541" spans="1:15" x14ac:dyDescent="0.35">
      <c r="A541">
        <v>2020</v>
      </c>
      <c r="B541">
        <v>12</v>
      </c>
      <c r="C541" t="s">
        <v>32</v>
      </c>
      <c r="D541" t="s">
        <v>39</v>
      </c>
      <c r="E541" t="s">
        <v>20</v>
      </c>
      <c r="F541" t="s">
        <v>20</v>
      </c>
      <c r="G541" s="1">
        <v>73196</v>
      </c>
      <c r="H541" s="1">
        <v>194587</v>
      </c>
      <c r="I541">
        <v>82</v>
      </c>
      <c r="J541">
        <v>0.97</v>
      </c>
      <c r="K541">
        <v>6.29</v>
      </c>
      <c r="L541">
        <v>1.2</v>
      </c>
      <c r="M541">
        <v>4</v>
      </c>
      <c r="N541" s="1">
        <f>bmw_global_sales_dataset[[#This Row],[units_sold]]*bmw_global_sales_dataset[[#This Row],[price_usd]]</f>
        <v>38867076</v>
      </c>
      <c r="O541">
        <v>531</v>
      </c>
    </row>
    <row r="542" spans="1:15" x14ac:dyDescent="0.35">
      <c r="A542">
        <v>2020</v>
      </c>
      <c r="B542">
        <v>7</v>
      </c>
      <c r="C542" t="s">
        <v>30</v>
      </c>
      <c r="D542" t="s">
        <v>33</v>
      </c>
      <c r="E542" t="s">
        <v>16</v>
      </c>
      <c r="F542" t="s">
        <v>20</v>
      </c>
      <c r="G542" s="1">
        <v>78894</v>
      </c>
      <c r="H542" s="1">
        <v>311578</v>
      </c>
      <c r="I542">
        <v>368</v>
      </c>
      <c r="J542">
        <v>0.97</v>
      </c>
      <c r="K542">
        <v>6.29</v>
      </c>
      <c r="L542">
        <v>1.2</v>
      </c>
      <c r="M542">
        <v>7</v>
      </c>
      <c r="N542" s="1">
        <f>bmw_global_sales_dataset[[#This Row],[units_sold]]*bmw_global_sales_dataset[[#This Row],[price_usd]]</f>
        <v>90728100</v>
      </c>
      <c r="O542">
        <v>1150</v>
      </c>
    </row>
    <row r="543" spans="1:15" x14ac:dyDescent="0.35">
      <c r="A543">
        <v>2020</v>
      </c>
      <c r="B543">
        <v>10</v>
      </c>
      <c r="C543" t="s">
        <v>28</v>
      </c>
      <c r="D543" t="s">
        <v>26</v>
      </c>
      <c r="E543" t="s">
        <v>16</v>
      </c>
      <c r="F543" t="s">
        <v>20</v>
      </c>
      <c r="G543" s="1">
        <v>80349</v>
      </c>
      <c r="H543" s="1">
        <v>276179</v>
      </c>
      <c r="I543">
        <v>180</v>
      </c>
      <c r="J543">
        <v>0.97</v>
      </c>
      <c r="K543">
        <v>6.29</v>
      </c>
      <c r="L543">
        <v>1.2</v>
      </c>
      <c r="M543">
        <v>8</v>
      </c>
      <c r="N543" s="1">
        <f>bmw_global_sales_dataset[[#This Row],[units_sold]]*bmw_global_sales_dataset[[#This Row],[price_usd]]</f>
        <v>41861829</v>
      </c>
      <c r="O543">
        <v>521</v>
      </c>
    </row>
    <row r="544" spans="1:15" x14ac:dyDescent="0.35">
      <c r="A544">
        <v>2020</v>
      </c>
      <c r="B544">
        <v>10</v>
      </c>
      <c r="C544" t="s">
        <v>32</v>
      </c>
      <c r="D544" t="s">
        <v>39</v>
      </c>
      <c r="E544" t="s">
        <v>16</v>
      </c>
      <c r="F544" t="s">
        <v>23</v>
      </c>
      <c r="G544" s="1">
        <v>57837</v>
      </c>
      <c r="H544" s="1">
        <v>168422</v>
      </c>
      <c r="I544">
        <v>371</v>
      </c>
      <c r="J544">
        <v>0.97</v>
      </c>
      <c r="K544">
        <v>6.29</v>
      </c>
      <c r="L544">
        <v>1.2</v>
      </c>
      <c r="M544">
        <v>1</v>
      </c>
      <c r="N544" s="1">
        <f>bmw_global_sales_dataset[[#This Row],[units_sold]]*bmw_global_sales_dataset[[#This Row],[price_usd]]</f>
        <v>46905807</v>
      </c>
      <c r="O544">
        <v>811</v>
      </c>
    </row>
    <row r="545" spans="1:15" x14ac:dyDescent="0.35">
      <c r="A545">
        <v>2020</v>
      </c>
      <c r="B545">
        <v>10</v>
      </c>
      <c r="C545" t="s">
        <v>28</v>
      </c>
      <c r="D545" t="s">
        <v>22</v>
      </c>
      <c r="E545" t="s">
        <v>16</v>
      </c>
      <c r="F545" t="s">
        <v>17</v>
      </c>
      <c r="G545" s="1">
        <v>55923</v>
      </c>
      <c r="H545" s="1">
        <v>432188</v>
      </c>
      <c r="I545">
        <v>155</v>
      </c>
      <c r="J545">
        <v>0.97</v>
      </c>
      <c r="K545">
        <v>6.29</v>
      </c>
      <c r="L545">
        <v>1.2</v>
      </c>
      <c r="M545">
        <v>7</v>
      </c>
      <c r="N545" s="1">
        <f>bmw_global_sales_dataset[[#This Row],[units_sold]]*bmw_global_sales_dataset[[#This Row],[price_usd]]</f>
        <v>22089585</v>
      </c>
      <c r="O545">
        <v>395</v>
      </c>
    </row>
    <row r="546" spans="1:15" x14ac:dyDescent="0.35">
      <c r="A546">
        <v>2020</v>
      </c>
      <c r="B546">
        <v>9</v>
      </c>
      <c r="C546" t="s">
        <v>36</v>
      </c>
      <c r="D546" t="s">
        <v>18</v>
      </c>
      <c r="E546" t="s">
        <v>20</v>
      </c>
      <c r="F546" t="s">
        <v>17</v>
      </c>
      <c r="G546" s="1">
        <v>98723</v>
      </c>
      <c r="H546" s="1">
        <v>485686</v>
      </c>
      <c r="I546">
        <v>38</v>
      </c>
      <c r="J546">
        <v>0.97</v>
      </c>
      <c r="K546">
        <v>6.29</v>
      </c>
      <c r="L546">
        <v>1.2</v>
      </c>
      <c r="M546">
        <v>4</v>
      </c>
      <c r="N546" s="1">
        <f>bmw_global_sales_dataset[[#This Row],[units_sold]]*bmw_global_sales_dataset[[#This Row],[price_usd]]</f>
        <v>20336938</v>
      </c>
      <c r="O546">
        <v>206</v>
      </c>
    </row>
    <row r="547" spans="1:15" x14ac:dyDescent="0.35">
      <c r="A547">
        <v>2020</v>
      </c>
      <c r="B547">
        <v>3</v>
      </c>
      <c r="C547" t="s">
        <v>32</v>
      </c>
      <c r="D547" t="s">
        <v>24</v>
      </c>
      <c r="E547" t="s">
        <v>19</v>
      </c>
      <c r="F547" t="s">
        <v>27</v>
      </c>
      <c r="G547" s="1">
        <v>77422</v>
      </c>
      <c r="H547" s="1">
        <v>363804</v>
      </c>
      <c r="I547">
        <v>390</v>
      </c>
      <c r="J547">
        <v>0.97</v>
      </c>
      <c r="K547">
        <v>6.29</v>
      </c>
      <c r="L547">
        <v>1.2</v>
      </c>
      <c r="M547">
        <v>5</v>
      </c>
      <c r="N547" s="1">
        <f>bmw_global_sales_dataset[[#This Row],[units_sold]]*bmw_global_sales_dataset[[#This Row],[price_usd]]</f>
        <v>87873970</v>
      </c>
      <c r="O547">
        <v>1135</v>
      </c>
    </row>
    <row r="548" spans="1:15" x14ac:dyDescent="0.35">
      <c r="A548">
        <v>2020</v>
      </c>
      <c r="B548">
        <v>3</v>
      </c>
      <c r="C548" t="s">
        <v>32</v>
      </c>
      <c r="D548" t="s">
        <v>29</v>
      </c>
      <c r="E548" t="s">
        <v>20</v>
      </c>
      <c r="F548" t="s">
        <v>27</v>
      </c>
      <c r="G548" s="1">
        <v>52010</v>
      </c>
      <c r="H548" s="1">
        <v>474606</v>
      </c>
      <c r="I548">
        <v>358</v>
      </c>
      <c r="J548">
        <v>0.97</v>
      </c>
      <c r="K548">
        <v>6.29</v>
      </c>
      <c r="L548">
        <v>1.2</v>
      </c>
      <c r="M548">
        <v>1</v>
      </c>
      <c r="N548" s="1">
        <f>bmw_global_sales_dataset[[#This Row],[units_sold]]*bmw_global_sales_dataset[[#This Row],[price_usd]]</f>
        <v>50969800</v>
      </c>
      <c r="O548">
        <v>980</v>
      </c>
    </row>
    <row r="549" spans="1:15" x14ac:dyDescent="0.35">
      <c r="A549">
        <v>2020</v>
      </c>
      <c r="B549">
        <v>1</v>
      </c>
      <c r="C549" t="s">
        <v>28</v>
      </c>
      <c r="D549" t="s">
        <v>22</v>
      </c>
      <c r="E549" t="s">
        <v>16</v>
      </c>
      <c r="F549" t="s">
        <v>27</v>
      </c>
      <c r="G549" s="1">
        <v>75025</v>
      </c>
      <c r="H549" s="1">
        <v>494783</v>
      </c>
      <c r="I549">
        <v>61</v>
      </c>
      <c r="J549">
        <v>0.97</v>
      </c>
      <c r="K549">
        <v>6.29</v>
      </c>
      <c r="L549">
        <v>1.2</v>
      </c>
      <c r="M549">
        <v>2</v>
      </c>
      <c r="N549" s="1">
        <f>bmw_global_sales_dataset[[#This Row],[units_sold]]*bmw_global_sales_dataset[[#This Row],[price_usd]]</f>
        <v>42539175</v>
      </c>
      <c r="O549">
        <v>567</v>
      </c>
    </row>
    <row r="550" spans="1:15" x14ac:dyDescent="0.35">
      <c r="A550">
        <v>2020</v>
      </c>
      <c r="B550">
        <v>2</v>
      </c>
      <c r="C550" t="s">
        <v>36</v>
      </c>
      <c r="D550" t="s">
        <v>22</v>
      </c>
      <c r="E550" t="s">
        <v>20</v>
      </c>
      <c r="F550" t="s">
        <v>27</v>
      </c>
      <c r="G550" s="1">
        <v>82204</v>
      </c>
      <c r="H550" s="1">
        <v>132464</v>
      </c>
      <c r="I550">
        <v>383</v>
      </c>
      <c r="J550">
        <v>0.97</v>
      </c>
      <c r="K550">
        <v>6.29</v>
      </c>
      <c r="L550">
        <v>1.2</v>
      </c>
      <c r="M550">
        <v>6</v>
      </c>
      <c r="N550" s="1">
        <f>bmw_global_sales_dataset[[#This Row],[units_sold]]*bmw_global_sales_dataset[[#This Row],[price_usd]]</f>
        <v>80395512</v>
      </c>
      <c r="O550">
        <v>978</v>
      </c>
    </row>
    <row r="551" spans="1:15" x14ac:dyDescent="0.35">
      <c r="A551">
        <v>2020</v>
      </c>
      <c r="B551">
        <v>7</v>
      </c>
      <c r="C551" t="s">
        <v>35</v>
      </c>
      <c r="D551" t="s">
        <v>18</v>
      </c>
      <c r="E551" t="s">
        <v>19</v>
      </c>
      <c r="F551" t="s">
        <v>27</v>
      </c>
      <c r="G551" s="1">
        <v>86137</v>
      </c>
      <c r="H551" s="1">
        <v>403023</v>
      </c>
      <c r="I551">
        <v>298</v>
      </c>
      <c r="J551">
        <v>0.97</v>
      </c>
      <c r="K551">
        <v>6.29</v>
      </c>
      <c r="L551">
        <v>1.2</v>
      </c>
      <c r="M551">
        <v>6</v>
      </c>
      <c r="N551" s="1">
        <f>bmw_global_sales_dataset[[#This Row],[units_sold]]*bmw_global_sales_dataset[[#This Row],[price_usd]]</f>
        <v>76317382</v>
      </c>
      <c r="O551">
        <v>886</v>
      </c>
    </row>
    <row r="552" spans="1:15" x14ac:dyDescent="0.35">
      <c r="A552">
        <v>2020</v>
      </c>
      <c r="B552">
        <v>3</v>
      </c>
      <c r="C552" t="s">
        <v>32</v>
      </c>
      <c r="D552" t="s">
        <v>34</v>
      </c>
      <c r="E552" t="s">
        <v>16</v>
      </c>
      <c r="F552" t="s">
        <v>27</v>
      </c>
      <c r="G552" s="1">
        <v>107572</v>
      </c>
      <c r="H552" s="1">
        <v>381665</v>
      </c>
      <c r="I552">
        <v>188</v>
      </c>
      <c r="J552">
        <v>0.97</v>
      </c>
      <c r="K552">
        <v>6.29</v>
      </c>
      <c r="L552">
        <v>1.2</v>
      </c>
      <c r="M552">
        <v>7</v>
      </c>
      <c r="N552" s="1">
        <f>bmw_global_sales_dataset[[#This Row],[units_sold]]*bmw_global_sales_dataset[[#This Row],[price_usd]]</f>
        <v>87456036</v>
      </c>
      <c r="O552">
        <v>813</v>
      </c>
    </row>
    <row r="553" spans="1:15" x14ac:dyDescent="0.35">
      <c r="A553">
        <v>2020</v>
      </c>
      <c r="B553">
        <v>12</v>
      </c>
      <c r="C553" t="s">
        <v>37</v>
      </c>
      <c r="D553" t="s">
        <v>18</v>
      </c>
      <c r="E553" t="s">
        <v>16</v>
      </c>
      <c r="F553" t="s">
        <v>27</v>
      </c>
      <c r="G553" s="1">
        <v>67567</v>
      </c>
      <c r="H553" s="1">
        <v>383260</v>
      </c>
      <c r="I553">
        <v>35</v>
      </c>
      <c r="J553">
        <v>0.97</v>
      </c>
      <c r="K553">
        <v>6.29</v>
      </c>
      <c r="L553">
        <v>1.2</v>
      </c>
      <c r="M553">
        <v>9</v>
      </c>
      <c r="N553" s="1">
        <f>bmw_global_sales_dataset[[#This Row],[units_sold]]*bmw_global_sales_dataset[[#This Row],[price_usd]]</f>
        <v>32972696</v>
      </c>
      <c r="O553">
        <v>488</v>
      </c>
    </row>
    <row r="554" spans="1:15" x14ac:dyDescent="0.35">
      <c r="A554">
        <v>2020</v>
      </c>
      <c r="B554">
        <v>2</v>
      </c>
      <c r="C554" t="s">
        <v>21</v>
      </c>
      <c r="D554" t="s">
        <v>22</v>
      </c>
      <c r="E554" t="s">
        <v>16</v>
      </c>
      <c r="F554" t="s">
        <v>20</v>
      </c>
      <c r="G554" s="1">
        <v>54773</v>
      </c>
      <c r="H554" s="1">
        <v>249665</v>
      </c>
      <c r="I554">
        <v>251</v>
      </c>
      <c r="J554">
        <v>0.97</v>
      </c>
      <c r="K554">
        <v>6.29</v>
      </c>
      <c r="L554">
        <v>1.2</v>
      </c>
      <c r="M554">
        <v>2</v>
      </c>
      <c r="N554" s="1">
        <f>bmw_global_sales_dataset[[#This Row],[units_sold]]*bmw_global_sales_dataset[[#This Row],[price_usd]]</f>
        <v>53787086</v>
      </c>
      <c r="O554">
        <v>982</v>
      </c>
    </row>
    <row r="555" spans="1:15" x14ac:dyDescent="0.35">
      <c r="A555">
        <v>2020</v>
      </c>
      <c r="B555">
        <v>11</v>
      </c>
      <c r="C555" t="s">
        <v>35</v>
      </c>
      <c r="D555" t="s">
        <v>18</v>
      </c>
      <c r="E555" t="s">
        <v>20</v>
      </c>
      <c r="F555" t="s">
        <v>17</v>
      </c>
      <c r="G555" s="1">
        <v>66186</v>
      </c>
      <c r="H555" s="1">
        <v>83635</v>
      </c>
      <c r="I555">
        <v>395</v>
      </c>
      <c r="J555">
        <v>0.97</v>
      </c>
      <c r="K555">
        <v>6.29</v>
      </c>
      <c r="L555">
        <v>1.2</v>
      </c>
      <c r="M555">
        <v>8</v>
      </c>
      <c r="N555" s="1">
        <f>bmw_global_sales_dataset[[#This Row],[units_sold]]*bmw_global_sales_dataset[[#This Row],[price_usd]]</f>
        <v>59898330</v>
      </c>
      <c r="O555">
        <v>905</v>
      </c>
    </row>
    <row r="556" spans="1:15" x14ac:dyDescent="0.35">
      <c r="A556">
        <v>2020</v>
      </c>
      <c r="B556">
        <v>9</v>
      </c>
      <c r="C556" t="s">
        <v>32</v>
      </c>
      <c r="D556" t="s">
        <v>15</v>
      </c>
      <c r="E556" t="s">
        <v>19</v>
      </c>
      <c r="F556" t="s">
        <v>17</v>
      </c>
      <c r="G556" s="1">
        <v>89962</v>
      </c>
      <c r="H556" s="1">
        <v>327510</v>
      </c>
      <c r="I556">
        <v>59</v>
      </c>
      <c r="J556">
        <v>0.97</v>
      </c>
      <c r="K556">
        <v>6.29</v>
      </c>
      <c r="L556">
        <v>1.2</v>
      </c>
      <c r="M556">
        <v>10</v>
      </c>
      <c r="N556" s="1">
        <f>bmw_global_sales_dataset[[#This Row],[units_sold]]*bmw_global_sales_dataset[[#This Row],[price_usd]]</f>
        <v>25369284</v>
      </c>
      <c r="O556">
        <v>282</v>
      </c>
    </row>
    <row r="557" spans="1:15" x14ac:dyDescent="0.35">
      <c r="A557">
        <v>2020</v>
      </c>
      <c r="B557">
        <v>7</v>
      </c>
      <c r="C557" t="s">
        <v>36</v>
      </c>
      <c r="D557" t="s">
        <v>39</v>
      </c>
      <c r="E557" t="s">
        <v>19</v>
      </c>
      <c r="F557" t="s">
        <v>23</v>
      </c>
      <c r="G557" s="1">
        <v>68798</v>
      </c>
      <c r="H557" s="1">
        <v>331567</v>
      </c>
      <c r="I557">
        <v>282</v>
      </c>
      <c r="J557">
        <v>0.97</v>
      </c>
      <c r="K557">
        <v>6.29</v>
      </c>
      <c r="L557">
        <v>1.2</v>
      </c>
      <c r="M557">
        <v>4</v>
      </c>
      <c r="N557" s="1">
        <f>bmw_global_sales_dataset[[#This Row],[units_sold]]*bmw_global_sales_dataset[[#This Row],[price_usd]]</f>
        <v>50222540</v>
      </c>
      <c r="O557">
        <v>730</v>
      </c>
    </row>
    <row r="558" spans="1:15" x14ac:dyDescent="0.35">
      <c r="A558">
        <v>2020</v>
      </c>
      <c r="B558">
        <v>11</v>
      </c>
      <c r="C558" t="s">
        <v>35</v>
      </c>
      <c r="D558" t="s">
        <v>34</v>
      </c>
      <c r="E558" t="s">
        <v>20</v>
      </c>
      <c r="F558" t="s">
        <v>23</v>
      </c>
      <c r="G558" s="1">
        <v>45785</v>
      </c>
      <c r="H558" s="1">
        <v>79992</v>
      </c>
      <c r="I558">
        <v>195</v>
      </c>
      <c r="J558">
        <v>0.97</v>
      </c>
      <c r="K558">
        <v>6.29</v>
      </c>
      <c r="L558">
        <v>1.2</v>
      </c>
      <c r="M558">
        <v>6</v>
      </c>
      <c r="N558" s="1">
        <f>bmw_global_sales_dataset[[#This Row],[units_sold]]*bmw_global_sales_dataset[[#This Row],[price_usd]]</f>
        <v>24815470</v>
      </c>
      <c r="O558">
        <v>542</v>
      </c>
    </row>
    <row r="559" spans="1:15" x14ac:dyDescent="0.35">
      <c r="A559">
        <v>2020</v>
      </c>
      <c r="B559">
        <v>8</v>
      </c>
      <c r="C559" t="s">
        <v>38</v>
      </c>
      <c r="D559" t="s">
        <v>39</v>
      </c>
      <c r="E559" t="s">
        <v>16</v>
      </c>
      <c r="F559" t="s">
        <v>23</v>
      </c>
      <c r="G559" s="1">
        <v>58474</v>
      </c>
      <c r="H559" s="1">
        <v>196104</v>
      </c>
      <c r="I559">
        <v>61</v>
      </c>
      <c r="J559">
        <v>0.97</v>
      </c>
      <c r="K559">
        <v>6.29</v>
      </c>
      <c r="L559">
        <v>1.2</v>
      </c>
      <c r="M559">
        <v>2</v>
      </c>
      <c r="N559" s="1">
        <f>bmw_global_sales_dataset[[#This Row],[units_sold]]*bmw_global_sales_dataset[[#This Row],[price_usd]]</f>
        <v>14326130</v>
      </c>
      <c r="O559">
        <v>245</v>
      </c>
    </row>
    <row r="560" spans="1:15" x14ac:dyDescent="0.35">
      <c r="A560">
        <v>2020</v>
      </c>
      <c r="B560">
        <v>12</v>
      </c>
      <c r="C560" t="s">
        <v>14</v>
      </c>
      <c r="D560" t="s">
        <v>26</v>
      </c>
      <c r="E560" t="s">
        <v>20</v>
      </c>
      <c r="F560" t="s">
        <v>23</v>
      </c>
      <c r="G560" s="1">
        <v>39922</v>
      </c>
      <c r="H560" s="1">
        <v>347438</v>
      </c>
      <c r="I560">
        <v>278</v>
      </c>
      <c r="J560">
        <v>0.97</v>
      </c>
      <c r="K560">
        <v>6.29</v>
      </c>
      <c r="L560">
        <v>1.2</v>
      </c>
      <c r="M560">
        <v>1</v>
      </c>
      <c r="N560" s="1">
        <f>bmw_global_sales_dataset[[#This Row],[units_sold]]*bmw_global_sales_dataset[[#This Row],[price_usd]]</f>
        <v>25590002</v>
      </c>
      <c r="O560">
        <v>641</v>
      </c>
    </row>
    <row r="561" spans="1:15" x14ac:dyDescent="0.35">
      <c r="A561">
        <v>2020</v>
      </c>
      <c r="B561">
        <v>6</v>
      </c>
      <c r="C561" t="s">
        <v>35</v>
      </c>
      <c r="D561" t="s">
        <v>29</v>
      </c>
      <c r="E561" t="s">
        <v>20</v>
      </c>
      <c r="F561" t="s">
        <v>20</v>
      </c>
      <c r="G561" s="1">
        <v>87335</v>
      </c>
      <c r="H561" s="1">
        <v>200823</v>
      </c>
      <c r="I561">
        <v>195</v>
      </c>
      <c r="J561">
        <v>0.97</v>
      </c>
      <c r="K561">
        <v>6.29</v>
      </c>
      <c r="L561">
        <v>1.2</v>
      </c>
      <c r="M561">
        <v>5</v>
      </c>
      <c r="N561" s="1">
        <f>bmw_global_sales_dataset[[#This Row],[units_sold]]*bmw_global_sales_dataset[[#This Row],[price_usd]]</f>
        <v>39388085</v>
      </c>
      <c r="O561">
        <v>451</v>
      </c>
    </row>
    <row r="562" spans="1:15" x14ac:dyDescent="0.35">
      <c r="A562">
        <v>2020</v>
      </c>
      <c r="B562">
        <v>2</v>
      </c>
      <c r="C562" t="s">
        <v>14</v>
      </c>
      <c r="D562" t="s">
        <v>24</v>
      </c>
      <c r="E562" t="s">
        <v>20</v>
      </c>
      <c r="F562" t="s">
        <v>27</v>
      </c>
      <c r="G562" s="1">
        <v>85906</v>
      </c>
      <c r="H562" s="1">
        <v>135936</v>
      </c>
      <c r="I562">
        <v>381</v>
      </c>
      <c r="J562">
        <v>0.97</v>
      </c>
      <c r="K562">
        <v>6.29</v>
      </c>
      <c r="L562">
        <v>1.2</v>
      </c>
      <c r="M562">
        <v>5</v>
      </c>
      <c r="N562" s="1">
        <f>bmw_global_sales_dataset[[#This Row],[units_sold]]*bmw_global_sales_dataset[[#This Row],[price_usd]]</f>
        <v>68896612</v>
      </c>
      <c r="O562">
        <v>802</v>
      </c>
    </row>
    <row r="563" spans="1:15" x14ac:dyDescent="0.35">
      <c r="A563">
        <v>2020</v>
      </c>
      <c r="B563">
        <v>4</v>
      </c>
      <c r="C563" t="s">
        <v>38</v>
      </c>
      <c r="D563" t="s">
        <v>31</v>
      </c>
      <c r="E563" t="s">
        <v>20</v>
      </c>
      <c r="F563" t="s">
        <v>20</v>
      </c>
      <c r="G563" s="1">
        <v>35463</v>
      </c>
      <c r="H563" s="1">
        <v>284873</v>
      </c>
      <c r="I563">
        <v>142</v>
      </c>
      <c r="J563">
        <v>0.97</v>
      </c>
      <c r="K563">
        <v>6.29</v>
      </c>
      <c r="L563">
        <v>1.2</v>
      </c>
      <c r="M563">
        <v>8</v>
      </c>
      <c r="N563" s="1">
        <f>bmw_global_sales_dataset[[#This Row],[units_sold]]*bmw_global_sales_dataset[[#This Row],[price_usd]]</f>
        <v>22838172</v>
      </c>
      <c r="O563">
        <v>644</v>
      </c>
    </row>
    <row r="564" spans="1:15" x14ac:dyDescent="0.35">
      <c r="A564">
        <v>2020</v>
      </c>
      <c r="B564">
        <v>10</v>
      </c>
      <c r="C564" t="s">
        <v>28</v>
      </c>
      <c r="D564" t="s">
        <v>34</v>
      </c>
      <c r="E564" t="s">
        <v>20</v>
      </c>
      <c r="F564" t="s">
        <v>20</v>
      </c>
      <c r="G564" s="1">
        <v>105474</v>
      </c>
      <c r="H564" s="1">
        <v>104144</v>
      </c>
      <c r="I564">
        <v>100</v>
      </c>
      <c r="J564">
        <v>0.97</v>
      </c>
      <c r="K564">
        <v>6.29</v>
      </c>
      <c r="L564">
        <v>1.2</v>
      </c>
      <c r="M564">
        <v>2</v>
      </c>
      <c r="N564" s="1">
        <f>bmw_global_sales_dataset[[#This Row],[units_sold]]*bmw_global_sales_dataset[[#This Row],[price_usd]]</f>
        <v>37443270</v>
      </c>
      <c r="O564">
        <v>355</v>
      </c>
    </row>
    <row r="565" spans="1:15" x14ac:dyDescent="0.35">
      <c r="A565">
        <v>2020</v>
      </c>
      <c r="B565">
        <v>4</v>
      </c>
      <c r="C565" t="s">
        <v>14</v>
      </c>
      <c r="D565" t="s">
        <v>15</v>
      </c>
      <c r="E565" t="s">
        <v>20</v>
      </c>
      <c r="F565" t="s">
        <v>17</v>
      </c>
      <c r="G565" s="1">
        <v>43802</v>
      </c>
      <c r="H565" s="1">
        <v>83461</v>
      </c>
      <c r="I565">
        <v>108</v>
      </c>
      <c r="J565">
        <v>0.97</v>
      </c>
      <c r="K565">
        <v>6.29</v>
      </c>
      <c r="L565">
        <v>1.2</v>
      </c>
      <c r="M565">
        <v>4</v>
      </c>
      <c r="N565" s="1">
        <f>bmw_global_sales_dataset[[#This Row],[units_sold]]*bmw_global_sales_dataset[[#This Row],[price_usd]]</f>
        <v>27901874</v>
      </c>
      <c r="O565">
        <v>637</v>
      </c>
    </row>
    <row r="566" spans="1:15" x14ac:dyDescent="0.35">
      <c r="A566">
        <v>2020</v>
      </c>
      <c r="B566">
        <v>11</v>
      </c>
      <c r="C566" t="s">
        <v>37</v>
      </c>
      <c r="D566" t="s">
        <v>39</v>
      </c>
      <c r="E566" t="s">
        <v>19</v>
      </c>
      <c r="F566" t="s">
        <v>23</v>
      </c>
      <c r="G566" s="1">
        <v>65480</v>
      </c>
      <c r="H566" s="1">
        <v>209762</v>
      </c>
      <c r="I566">
        <v>325</v>
      </c>
      <c r="J566">
        <v>0.97</v>
      </c>
      <c r="K566">
        <v>6.29</v>
      </c>
      <c r="L566">
        <v>1.2</v>
      </c>
      <c r="M566">
        <v>1</v>
      </c>
      <c r="N566" s="1">
        <f>bmw_global_sales_dataset[[#This Row],[units_sold]]*bmw_global_sales_dataset[[#This Row],[price_usd]]</f>
        <v>64432320</v>
      </c>
      <c r="O566">
        <v>984</v>
      </c>
    </row>
    <row r="567" spans="1:15" x14ac:dyDescent="0.35">
      <c r="A567">
        <v>2020</v>
      </c>
      <c r="B567">
        <v>4</v>
      </c>
      <c r="C567" t="s">
        <v>28</v>
      </c>
      <c r="D567" t="s">
        <v>39</v>
      </c>
      <c r="E567" t="s">
        <v>20</v>
      </c>
      <c r="F567" t="s">
        <v>23</v>
      </c>
      <c r="G567" s="1">
        <v>50581</v>
      </c>
      <c r="H567" s="1">
        <v>431164</v>
      </c>
      <c r="I567">
        <v>331</v>
      </c>
      <c r="J567">
        <v>0.97</v>
      </c>
      <c r="K567">
        <v>6.29</v>
      </c>
      <c r="L567">
        <v>1.2</v>
      </c>
      <c r="M567">
        <v>1</v>
      </c>
      <c r="N567" s="1">
        <f>bmw_global_sales_dataset[[#This Row],[units_sold]]*bmw_global_sales_dataset[[#This Row],[price_usd]]</f>
        <v>44359537</v>
      </c>
      <c r="O567">
        <v>877</v>
      </c>
    </row>
    <row r="568" spans="1:15" x14ac:dyDescent="0.35">
      <c r="A568">
        <v>2020</v>
      </c>
      <c r="B568">
        <v>1</v>
      </c>
      <c r="C568" t="s">
        <v>28</v>
      </c>
      <c r="D568" t="s">
        <v>33</v>
      </c>
      <c r="E568" t="s">
        <v>19</v>
      </c>
      <c r="F568" t="s">
        <v>17</v>
      </c>
      <c r="G568" s="1">
        <v>60464</v>
      </c>
      <c r="H568" s="1">
        <v>275121</v>
      </c>
      <c r="I568">
        <v>204</v>
      </c>
      <c r="J568">
        <v>0.97</v>
      </c>
      <c r="K568">
        <v>6.29</v>
      </c>
      <c r="L568">
        <v>1.2</v>
      </c>
      <c r="M568">
        <v>8</v>
      </c>
      <c r="N568" s="1">
        <f>bmw_global_sales_dataset[[#This Row],[units_sold]]*bmw_global_sales_dataset[[#This Row],[price_usd]]</f>
        <v>50910688</v>
      </c>
      <c r="O568">
        <v>842</v>
      </c>
    </row>
    <row r="569" spans="1:15" x14ac:dyDescent="0.35">
      <c r="A569">
        <v>2020</v>
      </c>
      <c r="B569">
        <v>3</v>
      </c>
      <c r="C569" t="s">
        <v>35</v>
      </c>
      <c r="D569" t="s">
        <v>18</v>
      </c>
      <c r="E569" t="s">
        <v>16</v>
      </c>
      <c r="F569" t="s">
        <v>23</v>
      </c>
      <c r="G569" s="1">
        <v>118981</v>
      </c>
      <c r="H569" s="1">
        <v>262566</v>
      </c>
      <c r="I569">
        <v>96</v>
      </c>
      <c r="J569">
        <v>0.97</v>
      </c>
      <c r="K569">
        <v>6.29</v>
      </c>
      <c r="L569">
        <v>1.2</v>
      </c>
      <c r="M569">
        <v>6</v>
      </c>
      <c r="N569" s="1">
        <f>bmw_global_sales_dataset[[#This Row],[units_sold]]*bmw_global_sales_dataset[[#This Row],[price_usd]]</f>
        <v>74006182</v>
      </c>
      <c r="O569">
        <v>622</v>
      </c>
    </row>
    <row r="570" spans="1:15" x14ac:dyDescent="0.35">
      <c r="A570">
        <v>2020</v>
      </c>
      <c r="B570">
        <v>11</v>
      </c>
      <c r="C570" t="s">
        <v>37</v>
      </c>
      <c r="D570" t="s">
        <v>22</v>
      </c>
      <c r="E570" t="s">
        <v>16</v>
      </c>
      <c r="F570" t="s">
        <v>20</v>
      </c>
      <c r="G570" s="1">
        <v>48668</v>
      </c>
      <c r="H570" s="1">
        <v>126050</v>
      </c>
      <c r="I570">
        <v>292</v>
      </c>
      <c r="J570">
        <v>0.97</v>
      </c>
      <c r="K570">
        <v>6.29</v>
      </c>
      <c r="L570">
        <v>1.2</v>
      </c>
      <c r="M570">
        <v>1</v>
      </c>
      <c r="N570" s="1">
        <f>bmw_global_sales_dataset[[#This Row],[units_sold]]*bmw_global_sales_dataset[[#This Row],[price_usd]]</f>
        <v>48424660</v>
      </c>
      <c r="O570">
        <v>995</v>
      </c>
    </row>
    <row r="571" spans="1:15" x14ac:dyDescent="0.35">
      <c r="A571">
        <v>2020</v>
      </c>
      <c r="B571">
        <v>12</v>
      </c>
      <c r="C571" t="s">
        <v>21</v>
      </c>
      <c r="D571" t="s">
        <v>31</v>
      </c>
      <c r="E571" t="s">
        <v>16</v>
      </c>
      <c r="F571" t="s">
        <v>27</v>
      </c>
      <c r="G571" s="1">
        <v>114335</v>
      </c>
      <c r="H571" s="1">
        <v>219957</v>
      </c>
      <c r="I571">
        <v>108</v>
      </c>
      <c r="J571">
        <v>0.97</v>
      </c>
      <c r="K571">
        <v>6.29</v>
      </c>
      <c r="L571">
        <v>1.2</v>
      </c>
      <c r="M571">
        <v>2</v>
      </c>
      <c r="N571" s="1">
        <f>bmw_global_sales_dataset[[#This Row],[units_sold]]*bmw_global_sales_dataset[[#This Row],[price_usd]]</f>
        <v>52708435</v>
      </c>
      <c r="O571">
        <v>461</v>
      </c>
    </row>
    <row r="572" spans="1:15" x14ac:dyDescent="0.35">
      <c r="A572">
        <v>2020</v>
      </c>
      <c r="B572">
        <v>5</v>
      </c>
      <c r="C572" t="s">
        <v>14</v>
      </c>
      <c r="D572" t="s">
        <v>31</v>
      </c>
      <c r="E572" t="s">
        <v>20</v>
      </c>
      <c r="F572" t="s">
        <v>23</v>
      </c>
      <c r="G572" s="1">
        <v>61312</v>
      </c>
      <c r="H572" s="1">
        <v>365288</v>
      </c>
      <c r="I572">
        <v>356</v>
      </c>
      <c r="J572">
        <v>0.97</v>
      </c>
      <c r="K572">
        <v>6.29</v>
      </c>
      <c r="L572">
        <v>1.2</v>
      </c>
      <c r="M572">
        <v>1</v>
      </c>
      <c r="N572" s="1">
        <f>bmw_global_sales_dataset[[#This Row],[units_sold]]*bmw_global_sales_dataset[[#This Row],[price_usd]]</f>
        <v>59104768</v>
      </c>
      <c r="O572">
        <v>964</v>
      </c>
    </row>
    <row r="573" spans="1:15" x14ac:dyDescent="0.35">
      <c r="A573">
        <v>2020</v>
      </c>
      <c r="B573">
        <v>3</v>
      </c>
      <c r="C573" t="s">
        <v>25</v>
      </c>
      <c r="D573" t="s">
        <v>15</v>
      </c>
      <c r="E573" t="s">
        <v>16</v>
      </c>
      <c r="F573" t="s">
        <v>20</v>
      </c>
      <c r="G573" s="1">
        <v>66551</v>
      </c>
      <c r="H573" s="1">
        <v>228371</v>
      </c>
      <c r="I573">
        <v>183</v>
      </c>
      <c r="J573">
        <v>0.97</v>
      </c>
      <c r="K573">
        <v>6.29</v>
      </c>
      <c r="L573">
        <v>1.2</v>
      </c>
      <c r="M573">
        <v>3</v>
      </c>
      <c r="N573" s="1">
        <f>bmw_global_sales_dataset[[#This Row],[units_sold]]*bmw_global_sales_dataset[[#This Row],[price_usd]]</f>
        <v>26620400</v>
      </c>
      <c r="O573">
        <v>400</v>
      </c>
    </row>
    <row r="574" spans="1:15" x14ac:dyDescent="0.35">
      <c r="A574">
        <v>2020</v>
      </c>
      <c r="B574">
        <v>9</v>
      </c>
      <c r="C574" t="s">
        <v>37</v>
      </c>
      <c r="D574" t="s">
        <v>29</v>
      </c>
      <c r="E574" t="s">
        <v>16</v>
      </c>
      <c r="F574" t="s">
        <v>20</v>
      </c>
      <c r="G574" s="1">
        <v>46523</v>
      </c>
      <c r="H574" s="1">
        <v>198178</v>
      </c>
      <c r="I574">
        <v>36</v>
      </c>
      <c r="J574">
        <v>0.97</v>
      </c>
      <c r="K574">
        <v>6.29</v>
      </c>
      <c r="L574">
        <v>1.2</v>
      </c>
      <c r="M574">
        <v>5</v>
      </c>
      <c r="N574" s="1">
        <f>bmw_global_sales_dataset[[#This Row],[units_sold]]*bmw_global_sales_dataset[[#This Row],[price_usd]]</f>
        <v>13863854</v>
      </c>
      <c r="O574">
        <v>298</v>
      </c>
    </row>
    <row r="575" spans="1:15" x14ac:dyDescent="0.35">
      <c r="A575">
        <v>2020</v>
      </c>
      <c r="B575">
        <v>6</v>
      </c>
      <c r="C575" t="s">
        <v>30</v>
      </c>
      <c r="D575" t="s">
        <v>26</v>
      </c>
      <c r="E575" t="s">
        <v>16</v>
      </c>
      <c r="F575" t="s">
        <v>27</v>
      </c>
      <c r="G575" s="1">
        <v>103689</v>
      </c>
      <c r="H575" s="1">
        <v>161825</v>
      </c>
      <c r="I575">
        <v>11</v>
      </c>
      <c r="J575">
        <v>0.97</v>
      </c>
      <c r="K575">
        <v>6.29</v>
      </c>
      <c r="L575">
        <v>1.2</v>
      </c>
      <c r="M575">
        <v>10</v>
      </c>
      <c r="N575" s="1">
        <f>bmw_global_sales_dataset[[#This Row],[units_sold]]*bmw_global_sales_dataset[[#This Row],[price_usd]]</f>
        <v>9539388</v>
      </c>
      <c r="O575">
        <v>92</v>
      </c>
    </row>
    <row r="576" spans="1:15" x14ac:dyDescent="0.35">
      <c r="A576">
        <v>2020</v>
      </c>
      <c r="B576">
        <v>1</v>
      </c>
      <c r="C576" t="s">
        <v>25</v>
      </c>
      <c r="D576" t="s">
        <v>34</v>
      </c>
      <c r="E576" t="s">
        <v>16</v>
      </c>
      <c r="F576" t="s">
        <v>23</v>
      </c>
      <c r="G576" s="1">
        <v>63229</v>
      </c>
      <c r="H576" s="1">
        <v>108655</v>
      </c>
      <c r="I576">
        <v>358</v>
      </c>
      <c r="J576">
        <v>0.97</v>
      </c>
      <c r="K576">
        <v>6.29</v>
      </c>
      <c r="L576">
        <v>1.2</v>
      </c>
      <c r="M576">
        <v>9</v>
      </c>
      <c r="N576" s="1">
        <f>bmw_global_sales_dataset[[#This Row],[units_sold]]*bmw_global_sales_dataset[[#This Row],[price_usd]]</f>
        <v>47358521</v>
      </c>
      <c r="O576">
        <v>749</v>
      </c>
    </row>
    <row r="577" spans="1:15" x14ac:dyDescent="0.35">
      <c r="A577">
        <v>2020</v>
      </c>
      <c r="B577">
        <v>1</v>
      </c>
      <c r="C577" t="s">
        <v>32</v>
      </c>
      <c r="D577" t="s">
        <v>39</v>
      </c>
      <c r="E577" t="s">
        <v>20</v>
      </c>
      <c r="F577" t="s">
        <v>23</v>
      </c>
      <c r="G577" s="1">
        <v>76785</v>
      </c>
      <c r="H577" s="1">
        <v>199001</v>
      </c>
      <c r="I577">
        <v>322</v>
      </c>
      <c r="J577">
        <v>0.97</v>
      </c>
      <c r="K577">
        <v>6.29</v>
      </c>
      <c r="L577">
        <v>1.2</v>
      </c>
      <c r="M577">
        <v>4</v>
      </c>
      <c r="N577" s="1">
        <f>bmw_global_sales_dataset[[#This Row],[units_sold]]*bmw_global_sales_dataset[[#This Row],[price_usd]]</f>
        <v>57128040</v>
      </c>
      <c r="O577">
        <v>744</v>
      </c>
    </row>
    <row r="578" spans="1:15" x14ac:dyDescent="0.35">
      <c r="A578">
        <v>2020</v>
      </c>
      <c r="B578">
        <v>1</v>
      </c>
      <c r="C578" t="s">
        <v>32</v>
      </c>
      <c r="D578" t="s">
        <v>18</v>
      </c>
      <c r="E578" t="s">
        <v>19</v>
      </c>
      <c r="F578" t="s">
        <v>23</v>
      </c>
      <c r="G578" s="1">
        <v>51576</v>
      </c>
      <c r="H578" s="1">
        <v>262909</v>
      </c>
      <c r="I578">
        <v>368</v>
      </c>
      <c r="J578">
        <v>0.97</v>
      </c>
      <c r="K578">
        <v>6.29</v>
      </c>
      <c r="L578">
        <v>1.2</v>
      </c>
      <c r="M578">
        <v>10</v>
      </c>
      <c r="N578" s="1">
        <f>bmw_global_sales_dataset[[#This Row],[units_sold]]*bmw_global_sales_dataset[[#This Row],[price_usd]]</f>
        <v>55341048</v>
      </c>
      <c r="O578">
        <v>1073</v>
      </c>
    </row>
    <row r="579" spans="1:15" x14ac:dyDescent="0.35">
      <c r="A579">
        <v>2020</v>
      </c>
      <c r="B579">
        <v>7</v>
      </c>
      <c r="C579" t="s">
        <v>32</v>
      </c>
      <c r="D579" t="s">
        <v>24</v>
      </c>
      <c r="E579" t="s">
        <v>16</v>
      </c>
      <c r="F579" t="s">
        <v>17</v>
      </c>
      <c r="G579" s="1">
        <v>100776</v>
      </c>
      <c r="H579" s="1">
        <v>328011</v>
      </c>
      <c r="I579">
        <v>214</v>
      </c>
      <c r="J579">
        <v>0.97</v>
      </c>
      <c r="K579">
        <v>6.29</v>
      </c>
      <c r="L579">
        <v>1.2</v>
      </c>
      <c r="M579">
        <v>1</v>
      </c>
      <c r="N579" s="1">
        <f>bmw_global_sales_dataset[[#This Row],[units_sold]]*bmw_global_sales_dataset[[#This Row],[price_usd]]</f>
        <v>71954064</v>
      </c>
      <c r="O579">
        <v>714</v>
      </c>
    </row>
    <row r="580" spans="1:15" x14ac:dyDescent="0.35">
      <c r="A580">
        <v>2020</v>
      </c>
      <c r="B580">
        <v>10</v>
      </c>
      <c r="C580" t="s">
        <v>35</v>
      </c>
      <c r="D580" t="s">
        <v>31</v>
      </c>
      <c r="E580" t="s">
        <v>19</v>
      </c>
      <c r="F580" t="s">
        <v>23</v>
      </c>
      <c r="G580" s="1">
        <v>110135</v>
      </c>
      <c r="H580" s="1">
        <v>195338</v>
      </c>
      <c r="I580">
        <v>48</v>
      </c>
      <c r="J580">
        <v>0.97</v>
      </c>
      <c r="K580">
        <v>6.29</v>
      </c>
      <c r="L580">
        <v>1.2</v>
      </c>
      <c r="M580">
        <v>7</v>
      </c>
      <c r="N580" s="1">
        <f>bmw_global_sales_dataset[[#This Row],[units_sold]]*bmw_global_sales_dataset[[#This Row],[price_usd]]</f>
        <v>38216845</v>
      </c>
      <c r="O580">
        <v>347</v>
      </c>
    </row>
    <row r="581" spans="1:15" x14ac:dyDescent="0.35">
      <c r="A581">
        <v>2020</v>
      </c>
      <c r="B581">
        <v>9</v>
      </c>
      <c r="C581" t="s">
        <v>37</v>
      </c>
      <c r="D581" t="s">
        <v>15</v>
      </c>
      <c r="E581" t="s">
        <v>16</v>
      </c>
      <c r="F581" t="s">
        <v>23</v>
      </c>
      <c r="G581" s="1">
        <v>93866</v>
      </c>
      <c r="H581" s="1">
        <v>306157</v>
      </c>
      <c r="I581">
        <v>197</v>
      </c>
      <c r="J581">
        <v>0.97</v>
      </c>
      <c r="K581">
        <v>6.29</v>
      </c>
      <c r="L581">
        <v>1.2</v>
      </c>
      <c r="M581">
        <v>10</v>
      </c>
      <c r="N581" s="1">
        <f>bmw_global_sales_dataset[[#This Row],[units_sold]]*bmw_global_sales_dataset[[#This Row],[price_usd]]</f>
        <v>35387482</v>
      </c>
      <c r="O581">
        <v>377</v>
      </c>
    </row>
    <row r="582" spans="1:15" x14ac:dyDescent="0.35">
      <c r="A582">
        <v>2020</v>
      </c>
      <c r="B582">
        <v>4</v>
      </c>
      <c r="C582" t="s">
        <v>36</v>
      </c>
      <c r="D582" t="s">
        <v>15</v>
      </c>
      <c r="E582" t="s">
        <v>16</v>
      </c>
      <c r="F582" t="s">
        <v>20</v>
      </c>
      <c r="G582" s="1">
        <v>81040</v>
      </c>
      <c r="H582" s="1">
        <v>208998</v>
      </c>
      <c r="I582">
        <v>155</v>
      </c>
      <c r="J582">
        <v>0.97</v>
      </c>
      <c r="K582">
        <v>6.29</v>
      </c>
      <c r="L582">
        <v>1.2</v>
      </c>
      <c r="M582">
        <v>4</v>
      </c>
      <c r="N582" s="1">
        <f>bmw_global_sales_dataset[[#This Row],[units_sold]]*bmw_global_sales_dataset[[#This Row],[price_usd]]</f>
        <v>57295280</v>
      </c>
      <c r="O582">
        <v>707</v>
      </c>
    </row>
    <row r="583" spans="1:15" x14ac:dyDescent="0.35">
      <c r="A583">
        <v>2020</v>
      </c>
      <c r="B583">
        <v>10</v>
      </c>
      <c r="C583" t="s">
        <v>30</v>
      </c>
      <c r="D583" t="s">
        <v>15</v>
      </c>
      <c r="E583" t="s">
        <v>20</v>
      </c>
      <c r="F583" t="s">
        <v>27</v>
      </c>
      <c r="G583" s="1">
        <v>53300</v>
      </c>
      <c r="H583" s="1">
        <v>277467</v>
      </c>
      <c r="I583">
        <v>298</v>
      </c>
      <c r="J583">
        <v>0.97</v>
      </c>
      <c r="K583">
        <v>6.29</v>
      </c>
      <c r="L583">
        <v>1.2</v>
      </c>
      <c r="M583">
        <v>7</v>
      </c>
      <c r="N583" s="1">
        <f>bmw_global_sales_dataset[[#This Row],[units_sold]]*bmw_global_sales_dataset[[#This Row],[price_usd]]</f>
        <v>41680600</v>
      </c>
      <c r="O583">
        <v>782</v>
      </c>
    </row>
    <row r="584" spans="1:15" x14ac:dyDescent="0.35">
      <c r="A584">
        <v>2020</v>
      </c>
      <c r="B584">
        <v>7</v>
      </c>
      <c r="C584" t="s">
        <v>14</v>
      </c>
      <c r="D584" t="s">
        <v>29</v>
      </c>
      <c r="E584" t="s">
        <v>16</v>
      </c>
      <c r="F584" t="s">
        <v>20</v>
      </c>
      <c r="G584" s="1">
        <v>44269</v>
      </c>
      <c r="H584" s="1">
        <v>95641</v>
      </c>
      <c r="I584">
        <v>368</v>
      </c>
      <c r="J584">
        <v>0.97</v>
      </c>
      <c r="K584">
        <v>6.29</v>
      </c>
      <c r="L584">
        <v>1.2</v>
      </c>
      <c r="M584">
        <v>5</v>
      </c>
      <c r="N584" s="1">
        <f>bmw_global_sales_dataset[[#This Row],[units_sold]]*bmw_global_sales_dataset[[#This Row],[price_usd]]</f>
        <v>44003386</v>
      </c>
      <c r="O584">
        <v>994</v>
      </c>
    </row>
    <row r="585" spans="1:15" x14ac:dyDescent="0.35">
      <c r="A585">
        <v>2020</v>
      </c>
      <c r="B585">
        <v>6</v>
      </c>
      <c r="C585" t="s">
        <v>30</v>
      </c>
      <c r="D585" t="s">
        <v>24</v>
      </c>
      <c r="E585" t="s">
        <v>20</v>
      </c>
      <c r="F585" t="s">
        <v>27</v>
      </c>
      <c r="G585" s="1">
        <v>54782</v>
      </c>
      <c r="H585" s="1">
        <v>155723</v>
      </c>
      <c r="I585">
        <v>335</v>
      </c>
      <c r="J585">
        <v>0.97</v>
      </c>
      <c r="K585">
        <v>6.29</v>
      </c>
      <c r="L585">
        <v>1.2</v>
      </c>
      <c r="M585">
        <v>4</v>
      </c>
      <c r="N585" s="1">
        <f>bmw_global_sales_dataset[[#This Row],[units_sold]]*bmw_global_sales_dataset[[#This Row],[price_usd]]</f>
        <v>58397612</v>
      </c>
      <c r="O585">
        <v>1066</v>
      </c>
    </row>
    <row r="586" spans="1:15" x14ac:dyDescent="0.35">
      <c r="A586">
        <v>2020</v>
      </c>
      <c r="B586">
        <v>3</v>
      </c>
      <c r="C586" t="s">
        <v>38</v>
      </c>
      <c r="D586" t="s">
        <v>33</v>
      </c>
      <c r="E586" t="s">
        <v>20</v>
      </c>
      <c r="F586" t="s">
        <v>27</v>
      </c>
      <c r="G586" s="1">
        <v>111427</v>
      </c>
      <c r="H586" s="1">
        <v>390281</v>
      </c>
      <c r="I586">
        <v>350</v>
      </c>
      <c r="J586">
        <v>0.97</v>
      </c>
      <c r="K586">
        <v>6.29</v>
      </c>
      <c r="L586">
        <v>1.2</v>
      </c>
      <c r="M586">
        <v>3</v>
      </c>
      <c r="N586" s="1">
        <f>bmw_global_sales_dataset[[#This Row],[units_sold]]*bmw_global_sales_dataset[[#This Row],[price_usd]]</f>
        <v>119784025</v>
      </c>
      <c r="O586">
        <v>1075</v>
      </c>
    </row>
    <row r="587" spans="1:15" x14ac:dyDescent="0.35">
      <c r="A587">
        <v>2020</v>
      </c>
      <c r="B587">
        <v>1</v>
      </c>
      <c r="C587" t="s">
        <v>30</v>
      </c>
      <c r="D587" t="s">
        <v>18</v>
      </c>
      <c r="E587" t="s">
        <v>20</v>
      </c>
      <c r="F587" t="s">
        <v>20</v>
      </c>
      <c r="G587" s="1">
        <v>111276</v>
      </c>
      <c r="H587" s="1">
        <v>291422</v>
      </c>
      <c r="I587">
        <v>231</v>
      </c>
      <c r="J587">
        <v>0.97</v>
      </c>
      <c r="K587">
        <v>6.29</v>
      </c>
      <c r="L587">
        <v>1.2</v>
      </c>
      <c r="M587">
        <v>4</v>
      </c>
      <c r="N587" s="1">
        <f>bmw_global_sales_dataset[[#This Row],[units_sold]]*bmw_global_sales_dataset[[#This Row],[price_usd]]</f>
        <v>87796764</v>
      </c>
      <c r="O587">
        <v>789</v>
      </c>
    </row>
    <row r="588" spans="1:15" x14ac:dyDescent="0.35">
      <c r="A588">
        <v>2020</v>
      </c>
      <c r="B588">
        <v>5</v>
      </c>
      <c r="C588" t="s">
        <v>25</v>
      </c>
      <c r="D588" t="s">
        <v>22</v>
      </c>
      <c r="E588" t="s">
        <v>19</v>
      </c>
      <c r="F588" t="s">
        <v>23</v>
      </c>
      <c r="G588" s="1">
        <v>117821</v>
      </c>
      <c r="H588" s="1">
        <v>58177</v>
      </c>
      <c r="I588">
        <v>281</v>
      </c>
      <c r="J588">
        <v>0.97</v>
      </c>
      <c r="K588">
        <v>6.29</v>
      </c>
      <c r="L588">
        <v>1.2</v>
      </c>
      <c r="M588">
        <v>3</v>
      </c>
      <c r="N588" s="1">
        <f>bmw_global_sales_dataset[[#This Row],[units_sold]]*bmw_global_sales_dataset[[#This Row],[price_usd]]</f>
        <v>77054934</v>
      </c>
      <c r="O588">
        <v>654</v>
      </c>
    </row>
    <row r="589" spans="1:15" x14ac:dyDescent="0.35">
      <c r="A589">
        <v>2020</v>
      </c>
      <c r="B589">
        <v>12</v>
      </c>
      <c r="C589" t="s">
        <v>32</v>
      </c>
      <c r="D589" t="s">
        <v>31</v>
      </c>
      <c r="E589" t="s">
        <v>16</v>
      </c>
      <c r="F589" t="s">
        <v>20</v>
      </c>
      <c r="G589" s="1">
        <v>111896</v>
      </c>
      <c r="H589" s="1">
        <v>301842</v>
      </c>
      <c r="I589">
        <v>25</v>
      </c>
      <c r="J589">
        <v>0.97</v>
      </c>
      <c r="K589">
        <v>6.29</v>
      </c>
      <c r="L589">
        <v>1.2</v>
      </c>
      <c r="M589">
        <v>6</v>
      </c>
      <c r="N589" s="1">
        <f>bmw_global_sales_dataset[[#This Row],[units_sold]]*bmw_global_sales_dataset[[#This Row],[price_usd]]</f>
        <v>44310816</v>
      </c>
      <c r="O589">
        <v>396</v>
      </c>
    </row>
    <row r="590" spans="1:15" x14ac:dyDescent="0.35">
      <c r="A590">
        <v>2020</v>
      </c>
      <c r="B590">
        <v>12</v>
      </c>
      <c r="C590" t="s">
        <v>32</v>
      </c>
      <c r="D590" t="s">
        <v>29</v>
      </c>
      <c r="E590" t="s">
        <v>20</v>
      </c>
      <c r="F590" t="s">
        <v>20</v>
      </c>
      <c r="G590" s="1">
        <v>105934</v>
      </c>
      <c r="H590" s="1">
        <v>400722</v>
      </c>
      <c r="I590">
        <v>21</v>
      </c>
      <c r="J590">
        <v>0.97</v>
      </c>
      <c r="K590">
        <v>6.29</v>
      </c>
      <c r="L590">
        <v>1.2</v>
      </c>
      <c r="M590">
        <v>9</v>
      </c>
      <c r="N590" s="1">
        <f>bmw_global_sales_dataset[[#This Row],[units_sold]]*bmw_global_sales_dataset[[#This Row],[price_usd]]</f>
        <v>25212292</v>
      </c>
      <c r="O590">
        <v>238</v>
      </c>
    </row>
    <row r="591" spans="1:15" x14ac:dyDescent="0.35">
      <c r="A591">
        <v>2020</v>
      </c>
      <c r="B591">
        <v>2</v>
      </c>
      <c r="C591" t="s">
        <v>36</v>
      </c>
      <c r="D591" t="s">
        <v>24</v>
      </c>
      <c r="E591" t="s">
        <v>20</v>
      </c>
      <c r="F591" t="s">
        <v>20</v>
      </c>
      <c r="G591" s="1">
        <v>43997</v>
      </c>
      <c r="H591" s="1">
        <v>286774</v>
      </c>
      <c r="I591">
        <v>146</v>
      </c>
      <c r="J591">
        <v>0.97</v>
      </c>
      <c r="K591">
        <v>6.29</v>
      </c>
      <c r="L591">
        <v>1.2</v>
      </c>
      <c r="M591">
        <v>9</v>
      </c>
      <c r="N591" s="1">
        <f>bmw_global_sales_dataset[[#This Row],[units_sold]]*bmw_global_sales_dataset[[#This Row],[price_usd]]</f>
        <v>17114833</v>
      </c>
      <c r="O591">
        <v>389</v>
      </c>
    </row>
    <row r="592" spans="1:15" x14ac:dyDescent="0.35">
      <c r="A592">
        <v>2020</v>
      </c>
      <c r="B592">
        <v>7</v>
      </c>
      <c r="C592" t="s">
        <v>21</v>
      </c>
      <c r="D592" t="s">
        <v>29</v>
      </c>
      <c r="E592" t="s">
        <v>19</v>
      </c>
      <c r="F592" t="s">
        <v>17</v>
      </c>
      <c r="G592" s="1">
        <v>98656</v>
      </c>
      <c r="H592" s="1">
        <v>229845</v>
      </c>
      <c r="I592">
        <v>112</v>
      </c>
      <c r="J592">
        <v>0.97</v>
      </c>
      <c r="K592">
        <v>6.29</v>
      </c>
      <c r="L592">
        <v>1.2</v>
      </c>
      <c r="M592">
        <v>3</v>
      </c>
      <c r="N592" s="1">
        <f>bmw_global_sales_dataset[[#This Row],[units_sold]]*bmw_global_sales_dataset[[#This Row],[price_usd]]</f>
        <v>47256224</v>
      </c>
      <c r="O592">
        <v>479</v>
      </c>
    </row>
    <row r="593" spans="1:15" x14ac:dyDescent="0.35">
      <c r="A593">
        <v>2020</v>
      </c>
      <c r="B593">
        <v>10</v>
      </c>
      <c r="C593" t="s">
        <v>38</v>
      </c>
      <c r="D593" t="s">
        <v>26</v>
      </c>
      <c r="E593" t="s">
        <v>19</v>
      </c>
      <c r="F593" t="s">
        <v>27</v>
      </c>
      <c r="G593" s="1">
        <v>86880</v>
      </c>
      <c r="H593" s="1">
        <v>369186</v>
      </c>
      <c r="I593">
        <v>64</v>
      </c>
      <c r="J593">
        <v>0.97</v>
      </c>
      <c r="K593">
        <v>6.29</v>
      </c>
      <c r="L593">
        <v>1.2</v>
      </c>
      <c r="M593">
        <v>9</v>
      </c>
      <c r="N593" s="1">
        <f>bmw_global_sales_dataset[[#This Row],[units_sold]]*bmw_global_sales_dataset[[#This Row],[price_usd]]</f>
        <v>16854720</v>
      </c>
      <c r="O593">
        <v>194</v>
      </c>
    </row>
    <row r="594" spans="1:15" x14ac:dyDescent="0.35">
      <c r="A594">
        <v>2020</v>
      </c>
      <c r="B594">
        <v>10</v>
      </c>
      <c r="C594" t="s">
        <v>32</v>
      </c>
      <c r="D594" t="s">
        <v>33</v>
      </c>
      <c r="E594" t="s">
        <v>19</v>
      </c>
      <c r="F594" t="s">
        <v>17</v>
      </c>
      <c r="G594" s="1">
        <v>91633</v>
      </c>
      <c r="H594" s="1">
        <v>340696</v>
      </c>
      <c r="I594">
        <v>207</v>
      </c>
      <c r="J594">
        <v>0.97</v>
      </c>
      <c r="K594">
        <v>6.29</v>
      </c>
      <c r="L594">
        <v>1.2</v>
      </c>
      <c r="M594">
        <v>2</v>
      </c>
      <c r="N594" s="1">
        <f>bmw_global_sales_dataset[[#This Row],[units_sold]]*bmw_global_sales_dataset[[#This Row],[price_usd]]</f>
        <v>45999766</v>
      </c>
      <c r="O594">
        <v>502</v>
      </c>
    </row>
    <row r="595" spans="1:15" x14ac:dyDescent="0.35">
      <c r="A595">
        <v>2020</v>
      </c>
      <c r="B595">
        <v>3</v>
      </c>
      <c r="C595" t="s">
        <v>38</v>
      </c>
      <c r="D595" t="s">
        <v>34</v>
      </c>
      <c r="E595" t="s">
        <v>16</v>
      </c>
      <c r="F595" t="s">
        <v>27</v>
      </c>
      <c r="G595" s="1">
        <v>90565</v>
      </c>
      <c r="H595" s="1">
        <v>66535</v>
      </c>
      <c r="I595">
        <v>311</v>
      </c>
      <c r="J595">
        <v>0.97</v>
      </c>
      <c r="K595">
        <v>6.29</v>
      </c>
      <c r="L595">
        <v>1.2</v>
      </c>
      <c r="M595">
        <v>5</v>
      </c>
      <c r="N595" s="1">
        <f>bmw_global_sales_dataset[[#This Row],[units_sold]]*bmw_global_sales_dataset[[#This Row],[price_usd]]</f>
        <v>95183815</v>
      </c>
      <c r="O595">
        <v>1051</v>
      </c>
    </row>
    <row r="596" spans="1:15" x14ac:dyDescent="0.35">
      <c r="A596">
        <v>2020</v>
      </c>
      <c r="B596">
        <v>8</v>
      </c>
      <c r="C596" t="s">
        <v>32</v>
      </c>
      <c r="D596" t="s">
        <v>39</v>
      </c>
      <c r="E596" t="s">
        <v>19</v>
      </c>
      <c r="F596" t="s">
        <v>27</v>
      </c>
      <c r="G596" s="1">
        <v>70333</v>
      </c>
      <c r="H596" s="1">
        <v>96562</v>
      </c>
      <c r="I596">
        <v>131</v>
      </c>
      <c r="J596">
        <v>0.97</v>
      </c>
      <c r="K596">
        <v>6.29</v>
      </c>
      <c r="L596">
        <v>1.2</v>
      </c>
      <c r="M596">
        <v>1</v>
      </c>
      <c r="N596" s="1">
        <f>bmw_global_sales_dataset[[#This Row],[units_sold]]*bmw_global_sales_dataset[[#This Row],[price_usd]]</f>
        <v>26445208</v>
      </c>
      <c r="O596">
        <v>376</v>
      </c>
    </row>
    <row r="597" spans="1:15" x14ac:dyDescent="0.35">
      <c r="A597">
        <v>2020</v>
      </c>
      <c r="B597">
        <v>6</v>
      </c>
      <c r="C597" t="s">
        <v>21</v>
      </c>
      <c r="D597" t="s">
        <v>18</v>
      </c>
      <c r="E597" t="s">
        <v>20</v>
      </c>
      <c r="F597" t="s">
        <v>20</v>
      </c>
      <c r="G597" s="1">
        <v>45313</v>
      </c>
      <c r="H597" s="1">
        <v>354606</v>
      </c>
      <c r="I597">
        <v>33</v>
      </c>
      <c r="J597">
        <v>0.97</v>
      </c>
      <c r="K597">
        <v>6.29</v>
      </c>
      <c r="L597">
        <v>1.2</v>
      </c>
      <c r="M597">
        <v>3</v>
      </c>
      <c r="N597" s="1">
        <f>bmw_global_sales_dataset[[#This Row],[units_sold]]*bmw_global_sales_dataset[[#This Row],[price_usd]]</f>
        <v>24015890</v>
      </c>
      <c r="O597">
        <v>530</v>
      </c>
    </row>
    <row r="598" spans="1:15" x14ac:dyDescent="0.35">
      <c r="A598">
        <v>2020</v>
      </c>
      <c r="B598">
        <v>7</v>
      </c>
      <c r="C598" t="s">
        <v>35</v>
      </c>
      <c r="D598" t="s">
        <v>18</v>
      </c>
      <c r="E598" t="s">
        <v>19</v>
      </c>
      <c r="F598" t="s">
        <v>17</v>
      </c>
      <c r="G598" s="1">
        <v>53984</v>
      </c>
      <c r="H598" s="1">
        <v>294172</v>
      </c>
      <c r="I598">
        <v>196</v>
      </c>
      <c r="J598">
        <v>0.97</v>
      </c>
      <c r="K598">
        <v>6.29</v>
      </c>
      <c r="L598">
        <v>1.2</v>
      </c>
      <c r="M598">
        <v>4</v>
      </c>
      <c r="N598" s="1">
        <f>bmw_global_sales_dataset[[#This Row],[units_sold]]*bmw_global_sales_dataset[[#This Row],[price_usd]]</f>
        <v>29421280</v>
      </c>
      <c r="O598">
        <v>545</v>
      </c>
    </row>
    <row r="599" spans="1:15" x14ac:dyDescent="0.35">
      <c r="A599">
        <v>2020</v>
      </c>
      <c r="B599">
        <v>12</v>
      </c>
      <c r="C599" t="s">
        <v>35</v>
      </c>
      <c r="D599" t="s">
        <v>26</v>
      </c>
      <c r="E599" t="s">
        <v>16</v>
      </c>
      <c r="F599" t="s">
        <v>27</v>
      </c>
      <c r="G599" s="1">
        <v>94838</v>
      </c>
      <c r="H599" s="1">
        <v>91025</v>
      </c>
      <c r="I599">
        <v>244</v>
      </c>
      <c r="J599">
        <v>0.97</v>
      </c>
      <c r="K599">
        <v>6.29</v>
      </c>
      <c r="L599">
        <v>1.2</v>
      </c>
      <c r="M599">
        <v>4</v>
      </c>
      <c r="N599" s="1">
        <f>bmw_global_sales_dataset[[#This Row],[units_sold]]*bmw_global_sales_dataset[[#This Row],[price_usd]]</f>
        <v>53109280</v>
      </c>
      <c r="O599">
        <v>560</v>
      </c>
    </row>
    <row r="600" spans="1:15" x14ac:dyDescent="0.35">
      <c r="A600">
        <v>2020</v>
      </c>
      <c r="B600">
        <v>4</v>
      </c>
      <c r="C600" t="s">
        <v>38</v>
      </c>
      <c r="D600" t="s">
        <v>29</v>
      </c>
      <c r="E600" t="s">
        <v>16</v>
      </c>
      <c r="F600" t="s">
        <v>20</v>
      </c>
      <c r="G600" s="1">
        <v>66376</v>
      </c>
      <c r="H600" s="1">
        <v>435751</v>
      </c>
      <c r="I600">
        <v>280</v>
      </c>
      <c r="J600">
        <v>0.97</v>
      </c>
      <c r="K600">
        <v>6.29</v>
      </c>
      <c r="L600">
        <v>1.2</v>
      </c>
      <c r="M600">
        <v>5</v>
      </c>
      <c r="N600" s="1">
        <f>bmw_global_sales_dataset[[#This Row],[units_sold]]*bmw_global_sales_dataset[[#This Row],[price_usd]]</f>
        <v>40489360</v>
      </c>
      <c r="O600">
        <v>610</v>
      </c>
    </row>
    <row r="601" spans="1:15" x14ac:dyDescent="0.35">
      <c r="A601">
        <v>2020</v>
      </c>
      <c r="B601">
        <v>12</v>
      </c>
      <c r="C601" t="s">
        <v>30</v>
      </c>
      <c r="D601" t="s">
        <v>39</v>
      </c>
      <c r="E601" t="s">
        <v>20</v>
      </c>
      <c r="F601" t="s">
        <v>17</v>
      </c>
      <c r="G601" s="1">
        <v>100425</v>
      </c>
      <c r="H601" s="1">
        <v>430791</v>
      </c>
      <c r="I601">
        <v>200</v>
      </c>
      <c r="J601">
        <v>0.97</v>
      </c>
      <c r="K601">
        <v>6.29</v>
      </c>
      <c r="L601">
        <v>1.2</v>
      </c>
      <c r="M601">
        <v>6</v>
      </c>
      <c r="N601" s="1">
        <f>bmw_global_sales_dataset[[#This Row],[units_sold]]*bmw_global_sales_dataset[[#This Row],[price_usd]]</f>
        <v>83051475</v>
      </c>
      <c r="O601">
        <v>827</v>
      </c>
    </row>
    <row r="602" spans="1:15" x14ac:dyDescent="0.35">
      <c r="A602">
        <v>2020</v>
      </c>
      <c r="B602">
        <v>5</v>
      </c>
      <c r="C602" t="s">
        <v>30</v>
      </c>
      <c r="D602" t="s">
        <v>33</v>
      </c>
      <c r="E602" t="s">
        <v>19</v>
      </c>
      <c r="F602" t="s">
        <v>20</v>
      </c>
      <c r="G602" s="1">
        <v>109462</v>
      </c>
      <c r="H602" s="1">
        <v>352666</v>
      </c>
      <c r="I602">
        <v>197</v>
      </c>
      <c r="J602">
        <v>0.97</v>
      </c>
      <c r="K602">
        <v>6.29</v>
      </c>
      <c r="L602">
        <v>1.2</v>
      </c>
      <c r="M602">
        <v>1</v>
      </c>
      <c r="N602" s="1">
        <f>bmw_global_sales_dataset[[#This Row],[units_sold]]*bmw_global_sales_dataset[[#This Row],[price_usd]]</f>
        <v>81439728</v>
      </c>
      <c r="O602">
        <v>744</v>
      </c>
    </row>
    <row r="603" spans="1:15" x14ac:dyDescent="0.35">
      <c r="A603">
        <v>2020</v>
      </c>
      <c r="B603">
        <v>5</v>
      </c>
      <c r="C603" t="s">
        <v>36</v>
      </c>
      <c r="D603" t="s">
        <v>26</v>
      </c>
      <c r="E603" t="s">
        <v>16</v>
      </c>
      <c r="F603" t="s">
        <v>23</v>
      </c>
      <c r="G603" s="1">
        <v>58889</v>
      </c>
      <c r="H603" s="1">
        <v>262204</v>
      </c>
      <c r="I603">
        <v>381</v>
      </c>
      <c r="J603">
        <v>0.97</v>
      </c>
      <c r="K603">
        <v>6.29</v>
      </c>
      <c r="L603">
        <v>1.2</v>
      </c>
      <c r="M603">
        <v>1</v>
      </c>
      <c r="N603" s="1">
        <f>bmw_global_sales_dataset[[#This Row],[units_sold]]*bmw_global_sales_dataset[[#This Row],[price_usd]]</f>
        <v>48230091</v>
      </c>
      <c r="O603">
        <v>819</v>
      </c>
    </row>
    <row r="604" spans="1:15" x14ac:dyDescent="0.35">
      <c r="A604">
        <v>2020</v>
      </c>
      <c r="B604">
        <v>8</v>
      </c>
      <c r="C604" t="s">
        <v>30</v>
      </c>
      <c r="D604" t="s">
        <v>33</v>
      </c>
      <c r="E604" t="s">
        <v>19</v>
      </c>
      <c r="F604" t="s">
        <v>17</v>
      </c>
      <c r="G604" s="1">
        <v>61870</v>
      </c>
      <c r="H604" s="1">
        <v>64799</v>
      </c>
      <c r="I604">
        <v>158</v>
      </c>
      <c r="J604">
        <v>0.97</v>
      </c>
      <c r="K604">
        <v>6.29</v>
      </c>
      <c r="L604">
        <v>1.2</v>
      </c>
      <c r="M604">
        <v>8</v>
      </c>
      <c r="N604" s="1">
        <f>bmw_global_sales_dataset[[#This Row],[units_sold]]*bmw_global_sales_dataset[[#This Row],[price_usd]]</f>
        <v>45783800</v>
      </c>
      <c r="O604">
        <v>740</v>
      </c>
    </row>
    <row r="605" spans="1:15" x14ac:dyDescent="0.35">
      <c r="A605">
        <v>2020</v>
      </c>
      <c r="B605">
        <v>7</v>
      </c>
      <c r="C605" t="s">
        <v>35</v>
      </c>
      <c r="D605" t="s">
        <v>22</v>
      </c>
      <c r="E605" t="s">
        <v>20</v>
      </c>
      <c r="F605" t="s">
        <v>20</v>
      </c>
      <c r="G605" s="1">
        <v>35153</v>
      </c>
      <c r="H605" s="1">
        <v>250598</v>
      </c>
      <c r="I605">
        <v>104</v>
      </c>
      <c r="J605">
        <v>0.97</v>
      </c>
      <c r="K605">
        <v>6.29</v>
      </c>
      <c r="L605">
        <v>1.2</v>
      </c>
      <c r="M605">
        <v>9</v>
      </c>
      <c r="N605" s="1">
        <f>bmw_global_sales_dataset[[#This Row],[units_sold]]*bmw_global_sales_dataset[[#This Row],[price_usd]]</f>
        <v>22146390</v>
      </c>
      <c r="O605">
        <v>630</v>
      </c>
    </row>
    <row r="606" spans="1:15" x14ac:dyDescent="0.35">
      <c r="A606">
        <v>2020</v>
      </c>
      <c r="B606">
        <v>6</v>
      </c>
      <c r="C606" t="s">
        <v>30</v>
      </c>
      <c r="D606" t="s">
        <v>18</v>
      </c>
      <c r="E606" t="s">
        <v>20</v>
      </c>
      <c r="F606" t="s">
        <v>23</v>
      </c>
      <c r="G606" s="1">
        <v>98456</v>
      </c>
      <c r="H606" s="1">
        <v>326693</v>
      </c>
      <c r="I606">
        <v>109</v>
      </c>
      <c r="J606">
        <v>0.97</v>
      </c>
      <c r="K606">
        <v>6.29</v>
      </c>
      <c r="L606">
        <v>1.2</v>
      </c>
      <c r="M606">
        <v>8</v>
      </c>
      <c r="N606" s="1">
        <f>bmw_global_sales_dataset[[#This Row],[units_sold]]*bmw_global_sales_dataset[[#This Row],[price_usd]]</f>
        <v>55627640</v>
      </c>
      <c r="O606">
        <v>565</v>
      </c>
    </row>
    <row r="607" spans="1:15" x14ac:dyDescent="0.35">
      <c r="A607">
        <v>2020</v>
      </c>
      <c r="B607">
        <v>4</v>
      </c>
      <c r="C607" t="s">
        <v>30</v>
      </c>
      <c r="D607" t="s">
        <v>29</v>
      </c>
      <c r="E607" t="s">
        <v>19</v>
      </c>
      <c r="F607" t="s">
        <v>27</v>
      </c>
      <c r="G607" s="1">
        <v>46049</v>
      </c>
      <c r="H607" s="1">
        <v>369064</v>
      </c>
      <c r="I607">
        <v>21</v>
      </c>
      <c r="J607">
        <v>0.97</v>
      </c>
      <c r="K607">
        <v>6.29</v>
      </c>
      <c r="L607">
        <v>1.2</v>
      </c>
      <c r="M607">
        <v>9</v>
      </c>
      <c r="N607" s="1">
        <f>bmw_global_sales_dataset[[#This Row],[units_sold]]*bmw_global_sales_dataset[[#This Row],[price_usd]]</f>
        <v>4420704</v>
      </c>
      <c r="O607">
        <v>96</v>
      </c>
    </row>
    <row r="608" spans="1:15" x14ac:dyDescent="0.35">
      <c r="A608">
        <v>2020</v>
      </c>
      <c r="B608">
        <v>7</v>
      </c>
      <c r="C608" t="s">
        <v>21</v>
      </c>
      <c r="D608" t="s">
        <v>34</v>
      </c>
      <c r="E608" t="s">
        <v>20</v>
      </c>
      <c r="F608" t="s">
        <v>27</v>
      </c>
      <c r="G608" s="1">
        <v>91117</v>
      </c>
      <c r="H608" s="1">
        <v>385325</v>
      </c>
      <c r="I608">
        <v>385</v>
      </c>
      <c r="J608">
        <v>0.97</v>
      </c>
      <c r="K608">
        <v>6.29</v>
      </c>
      <c r="L608">
        <v>1.2</v>
      </c>
      <c r="M608">
        <v>9</v>
      </c>
      <c r="N608" s="1">
        <f>bmw_global_sales_dataset[[#This Row],[units_sold]]*bmw_global_sales_dataset[[#This Row],[price_usd]]</f>
        <v>94397212</v>
      </c>
      <c r="O608">
        <v>1036</v>
      </c>
    </row>
    <row r="609" spans="1:15" x14ac:dyDescent="0.35">
      <c r="A609">
        <v>2020</v>
      </c>
      <c r="B609">
        <v>7</v>
      </c>
      <c r="C609" t="s">
        <v>14</v>
      </c>
      <c r="D609" t="s">
        <v>24</v>
      </c>
      <c r="E609" t="s">
        <v>20</v>
      </c>
      <c r="F609" t="s">
        <v>17</v>
      </c>
      <c r="G609" s="1">
        <v>49141</v>
      </c>
      <c r="H609" s="1">
        <v>225858</v>
      </c>
      <c r="I609">
        <v>289</v>
      </c>
      <c r="J609">
        <v>0.97</v>
      </c>
      <c r="K609">
        <v>6.29</v>
      </c>
      <c r="L609">
        <v>1.2</v>
      </c>
      <c r="M609">
        <v>2</v>
      </c>
      <c r="N609" s="1">
        <f>bmw_global_sales_dataset[[#This Row],[units_sold]]*bmw_global_sales_dataset[[#This Row],[price_usd]]</f>
        <v>31843368</v>
      </c>
      <c r="O609">
        <v>648</v>
      </c>
    </row>
    <row r="610" spans="1:15" x14ac:dyDescent="0.35">
      <c r="A610">
        <v>2021</v>
      </c>
      <c r="B610">
        <v>1</v>
      </c>
      <c r="C610" t="s">
        <v>14</v>
      </c>
      <c r="D610" t="s">
        <v>15</v>
      </c>
      <c r="E610" t="s">
        <v>16</v>
      </c>
      <c r="F610" t="s">
        <v>17</v>
      </c>
      <c r="G610" s="1">
        <v>82234</v>
      </c>
      <c r="H610" s="1">
        <v>315372</v>
      </c>
      <c r="I610">
        <v>96</v>
      </c>
      <c r="J610">
        <v>0.97</v>
      </c>
      <c r="K610">
        <v>6.29</v>
      </c>
      <c r="L610">
        <v>1.2</v>
      </c>
      <c r="M610">
        <v>8</v>
      </c>
      <c r="N610" s="1">
        <f>bmw_global_sales_dataset[[#This Row],[units_sold]]*bmw_global_sales_dataset[[#This Row],[price_usd]]</f>
        <v>26643816</v>
      </c>
      <c r="O610">
        <v>324</v>
      </c>
    </row>
    <row r="611" spans="1:15" x14ac:dyDescent="0.35">
      <c r="A611">
        <v>2021</v>
      </c>
      <c r="B611">
        <v>12</v>
      </c>
      <c r="C611" t="s">
        <v>25</v>
      </c>
      <c r="D611" t="s">
        <v>26</v>
      </c>
      <c r="E611" t="s">
        <v>16</v>
      </c>
      <c r="F611" t="s">
        <v>27</v>
      </c>
      <c r="G611" s="1">
        <v>82315</v>
      </c>
      <c r="H611" s="1">
        <v>482015</v>
      </c>
      <c r="I611">
        <v>367</v>
      </c>
      <c r="J611">
        <v>0.97</v>
      </c>
      <c r="K611">
        <v>6.29</v>
      </c>
      <c r="L611">
        <v>1.2</v>
      </c>
      <c r="M611">
        <v>2</v>
      </c>
      <c r="N611" s="1">
        <f>bmw_global_sales_dataset[[#This Row],[units_sold]]*bmw_global_sales_dataset[[#This Row],[price_usd]]</f>
        <v>95156140</v>
      </c>
      <c r="O611">
        <v>1156</v>
      </c>
    </row>
    <row r="612" spans="1:15" x14ac:dyDescent="0.35">
      <c r="A612">
        <v>2021</v>
      </c>
      <c r="B612">
        <v>4</v>
      </c>
      <c r="C612" t="s">
        <v>21</v>
      </c>
      <c r="D612" t="s">
        <v>29</v>
      </c>
      <c r="E612" t="s">
        <v>19</v>
      </c>
      <c r="F612" t="s">
        <v>27</v>
      </c>
      <c r="G612" s="1">
        <v>51626</v>
      </c>
      <c r="H612" s="1">
        <v>405398</v>
      </c>
      <c r="I612">
        <v>165</v>
      </c>
      <c r="J612">
        <v>0.97</v>
      </c>
      <c r="K612">
        <v>6.29</v>
      </c>
      <c r="L612">
        <v>1.2</v>
      </c>
      <c r="M612">
        <v>3</v>
      </c>
      <c r="N612" s="1">
        <f>bmw_global_sales_dataset[[#This Row],[units_sold]]*bmw_global_sales_dataset[[#This Row],[price_usd]]</f>
        <v>25245114</v>
      </c>
      <c r="O612">
        <v>489</v>
      </c>
    </row>
    <row r="613" spans="1:15" x14ac:dyDescent="0.35">
      <c r="A613">
        <v>2021</v>
      </c>
      <c r="B613">
        <v>4</v>
      </c>
      <c r="C613" t="s">
        <v>30</v>
      </c>
      <c r="D613" t="s">
        <v>29</v>
      </c>
      <c r="E613" t="s">
        <v>19</v>
      </c>
      <c r="F613" t="s">
        <v>20</v>
      </c>
      <c r="G613" s="1">
        <v>119719</v>
      </c>
      <c r="H613" s="1">
        <v>157051</v>
      </c>
      <c r="I613">
        <v>196</v>
      </c>
      <c r="J613">
        <v>0.97</v>
      </c>
      <c r="K613">
        <v>6.29</v>
      </c>
      <c r="L613">
        <v>1.2</v>
      </c>
      <c r="M613">
        <v>5</v>
      </c>
      <c r="N613" s="1">
        <f>bmw_global_sales_dataset[[#This Row],[units_sold]]*bmw_global_sales_dataset[[#This Row],[price_usd]]</f>
        <v>93620258</v>
      </c>
      <c r="O613">
        <v>782</v>
      </c>
    </row>
    <row r="614" spans="1:15" x14ac:dyDescent="0.35">
      <c r="A614">
        <v>2021</v>
      </c>
      <c r="B614">
        <v>7</v>
      </c>
      <c r="C614" t="s">
        <v>30</v>
      </c>
      <c r="D614" t="s">
        <v>15</v>
      </c>
      <c r="E614" t="s">
        <v>19</v>
      </c>
      <c r="F614" t="s">
        <v>27</v>
      </c>
      <c r="G614" s="1">
        <v>90734</v>
      </c>
      <c r="H614" s="1">
        <v>207977</v>
      </c>
      <c r="I614">
        <v>57</v>
      </c>
      <c r="J614">
        <v>0.97</v>
      </c>
      <c r="K614">
        <v>6.29</v>
      </c>
      <c r="L614">
        <v>1.2</v>
      </c>
      <c r="M614">
        <v>5</v>
      </c>
      <c r="N614" s="1">
        <f>bmw_global_sales_dataset[[#This Row],[units_sold]]*bmw_global_sales_dataset[[#This Row],[price_usd]]</f>
        <v>19326342</v>
      </c>
      <c r="O614">
        <v>213</v>
      </c>
    </row>
    <row r="615" spans="1:15" x14ac:dyDescent="0.35">
      <c r="A615">
        <v>2021</v>
      </c>
      <c r="B615">
        <v>5</v>
      </c>
      <c r="C615" t="s">
        <v>37</v>
      </c>
      <c r="D615" t="s">
        <v>34</v>
      </c>
      <c r="E615" t="s">
        <v>16</v>
      </c>
      <c r="F615" t="s">
        <v>27</v>
      </c>
      <c r="G615" s="1">
        <v>81121</v>
      </c>
      <c r="H615" s="1">
        <v>431923</v>
      </c>
      <c r="I615">
        <v>73</v>
      </c>
      <c r="J615">
        <v>0.97</v>
      </c>
      <c r="K615">
        <v>6.29</v>
      </c>
      <c r="L615">
        <v>1.2</v>
      </c>
      <c r="M615">
        <v>4</v>
      </c>
      <c r="N615" s="1">
        <f>bmw_global_sales_dataset[[#This Row],[units_sold]]*bmw_global_sales_dataset[[#This Row],[price_usd]]</f>
        <v>29852528</v>
      </c>
      <c r="O615">
        <v>368</v>
      </c>
    </row>
    <row r="616" spans="1:15" x14ac:dyDescent="0.35">
      <c r="A616">
        <v>2021</v>
      </c>
      <c r="B616">
        <v>4</v>
      </c>
      <c r="C616" t="s">
        <v>21</v>
      </c>
      <c r="D616" t="s">
        <v>33</v>
      </c>
      <c r="E616" t="s">
        <v>20</v>
      </c>
      <c r="F616" t="s">
        <v>27</v>
      </c>
      <c r="G616" s="1">
        <v>36466</v>
      </c>
      <c r="H616" s="1">
        <v>182371</v>
      </c>
      <c r="I616">
        <v>381</v>
      </c>
      <c r="J616">
        <v>0.97</v>
      </c>
      <c r="K616">
        <v>6.29</v>
      </c>
      <c r="L616">
        <v>1.2</v>
      </c>
      <c r="M616">
        <v>3</v>
      </c>
      <c r="N616" s="1">
        <f>bmw_global_sales_dataset[[#This Row],[units_sold]]*bmw_global_sales_dataset[[#This Row],[price_usd]]</f>
        <v>36174272</v>
      </c>
      <c r="O616">
        <v>992</v>
      </c>
    </row>
    <row r="617" spans="1:15" x14ac:dyDescent="0.35">
      <c r="A617">
        <v>2021</v>
      </c>
      <c r="B617">
        <v>7</v>
      </c>
      <c r="C617" t="s">
        <v>36</v>
      </c>
      <c r="D617" t="s">
        <v>39</v>
      </c>
      <c r="E617" t="s">
        <v>16</v>
      </c>
      <c r="F617" t="s">
        <v>17</v>
      </c>
      <c r="G617" s="1">
        <v>114878</v>
      </c>
      <c r="H617" s="1">
        <v>53089</v>
      </c>
      <c r="I617">
        <v>112</v>
      </c>
      <c r="J617">
        <v>0.97</v>
      </c>
      <c r="K617">
        <v>6.29</v>
      </c>
      <c r="L617">
        <v>1.2</v>
      </c>
      <c r="M617">
        <v>7</v>
      </c>
      <c r="N617" s="1">
        <f>bmw_global_sales_dataset[[#This Row],[units_sold]]*bmw_global_sales_dataset[[#This Row],[price_usd]]</f>
        <v>52039734</v>
      </c>
      <c r="O617">
        <v>453</v>
      </c>
    </row>
    <row r="618" spans="1:15" x14ac:dyDescent="0.35">
      <c r="A618">
        <v>2021</v>
      </c>
      <c r="B618">
        <v>5</v>
      </c>
      <c r="C618" t="s">
        <v>30</v>
      </c>
      <c r="D618" t="s">
        <v>31</v>
      </c>
      <c r="E618" t="s">
        <v>19</v>
      </c>
      <c r="F618" t="s">
        <v>20</v>
      </c>
      <c r="G618" s="1">
        <v>83291</v>
      </c>
      <c r="H618" s="1">
        <v>215637</v>
      </c>
      <c r="I618">
        <v>267</v>
      </c>
      <c r="J618">
        <v>0.97</v>
      </c>
      <c r="K618">
        <v>6.29</v>
      </c>
      <c r="L618">
        <v>1.2</v>
      </c>
      <c r="M618">
        <v>3</v>
      </c>
      <c r="N618" s="1">
        <f>bmw_global_sales_dataset[[#This Row],[units_sold]]*bmw_global_sales_dataset[[#This Row],[price_usd]]</f>
        <v>74878609</v>
      </c>
      <c r="O618">
        <v>899</v>
      </c>
    </row>
    <row r="619" spans="1:15" x14ac:dyDescent="0.35">
      <c r="A619">
        <v>2021</v>
      </c>
      <c r="B619">
        <v>1</v>
      </c>
      <c r="C619" t="s">
        <v>36</v>
      </c>
      <c r="D619" t="s">
        <v>34</v>
      </c>
      <c r="E619" t="s">
        <v>20</v>
      </c>
      <c r="F619" t="s">
        <v>17</v>
      </c>
      <c r="G619" s="1">
        <v>49693</v>
      </c>
      <c r="H619" s="1">
        <v>312678</v>
      </c>
      <c r="I619">
        <v>227</v>
      </c>
      <c r="J619">
        <v>0.97</v>
      </c>
      <c r="K619">
        <v>6.29</v>
      </c>
      <c r="L619">
        <v>1.2</v>
      </c>
      <c r="M619">
        <v>7</v>
      </c>
      <c r="N619" s="1">
        <f>bmw_global_sales_dataset[[#This Row],[units_sold]]*bmw_global_sales_dataset[[#This Row],[price_usd]]</f>
        <v>29418256</v>
      </c>
      <c r="O619">
        <v>592</v>
      </c>
    </row>
    <row r="620" spans="1:15" x14ac:dyDescent="0.35">
      <c r="A620">
        <v>2021</v>
      </c>
      <c r="B620">
        <v>11</v>
      </c>
      <c r="C620" t="s">
        <v>35</v>
      </c>
      <c r="D620" t="s">
        <v>31</v>
      </c>
      <c r="E620" t="s">
        <v>16</v>
      </c>
      <c r="F620" t="s">
        <v>23</v>
      </c>
      <c r="G620" s="1">
        <v>107255</v>
      </c>
      <c r="H620" s="1">
        <v>427864</v>
      </c>
      <c r="I620">
        <v>239</v>
      </c>
      <c r="J620">
        <v>0.97</v>
      </c>
      <c r="K620">
        <v>6.29</v>
      </c>
      <c r="L620">
        <v>1.2</v>
      </c>
      <c r="M620">
        <v>6</v>
      </c>
      <c r="N620" s="1">
        <f>bmw_global_sales_dataset[[#This Row],[units_sold]]*bmw_global_sales_dataset[[#This Row],[price_usd]]</f>
        <v>67570650</v>
      </c>
      <c r="O620">
        <v>630</v>
      </c>
    </row>
    <row r="621" spans="1:15" x14ac:dyDescent="0.35">
      <c r="A621">
        <v>2021</v>
      </c>
      <c r="B621">
        <v>3</v>
      </c>
      <c r="C621" t="s">
        <v>38</v>
      </c>
      <c r="D621" t="s">
        <v>29</v>
      </c>
      <c r="E621" t="s">
        <v>19</v>
      </c>
      <c r="F621" t="s">
        <v>27</v>
      </c>
      <c r="G621" s="1">
        <v>46350</v>
      </c>
      <c r="H621" s="1">
        <v>376160</v>
      </c>
      <c r="I621">
        <v>270</v>
      </c>
      <c r="J621">
        <v>0.97</v>
      </c>
      <c r="K621">
        <v>6.29</v>
      </c>
      <c r="L621">
        <v>1.2</v>
      </c>
      <c r="M621">
        <v>1</v>
      </c>
      <c r="N621" s="1">
        <f>bmw_global_sales_dataset[[#This Row],[units_sold]]*bmw_global_sales_dataset[[#This Row],[price_usd]]</f>
        <v>43754400</v>
      </c>
      <c r="O621">
        <v>944</v>
      </c>
    </row>
    <row r="622" spans="1:15" x14ac:dyDescent="0.35">
      <c r="A622">
        <v>2021</v>
      </c>
      <c r="B622">
        <v>2</v>
      </c>
      <c r="C622" t="s">
        <v>14</v>
      </c>
      <c r="D622" t="s">
        <v>24</v>
      </c>
      <c r="E622" t="s">
        <v>19</v>
      </c>
      <c r="F622" t="s">
        <v>17</v>
      </c>
      <c r="G622" s="1">
        <v>90512</v>
      </c>
      <c r="H622" s="1">
        <v>96233</v>
      </c>
      <c r="I622">
        <v>263</v>
      </c>
      <c r="J622">
        <v>0.97</v>
      </c>
      <c r="K622">
        <v>6.29</v>
      </c>
      <c r="L622">
        <v>1.2</v>
      </c>
      <c r="M622">
        <v>4</v>
      </c>
      <c r="N622" s="1">
        <f>bmw_global_sales_dataset[[#This Row],[units_sold]]*bmw_global_sales_dataset[[#This Row],[price_usd]]</f>
        <v>63810960</v>
      </c>
      <c r="O622">
        <v>705</v>
      </c>
    </row>
    <row r="623" spans="1:15" x14ac:dyDescent="0.35">
      <c r="A623">
        <v>2021</v>
      </c>
      <c r="B623">
        <v>7</v>
      </c>
      <c r="C623" t="s">
        <v>38</v>
      </c>
      <c r="D623" t="s">
        <v>18</v>
      </c>
      <c r="E623" t="s">
        <v>19</v>
      </c>
      <c r="F623" t="s">
        <v>17</v>
      </c>
      <c r="G623" s="1">
        <v>40867</v>
      </c>
      <c r="H623" s="1">
        <v>446456</v>
      </c>
      <c r="I623">
        <v>158</v>
      </c>
      <c r="J623">
        <v>0.97</v>
      </c>
      <c r="K623">
        <v>6.29</v>
      </c>
      <c r="L623">
        <v>1.2</v>
      </c>
      <c r="M623">
        <v>7</v>
      </c>
      <c r="N623" s="1">
        <f>bmw_global_sales_dataset[[#This Row],[units_sold]]*bmw_global_sales_dataset[[#This Row],[price_usd]]</f>
        <v>17409342</v>
      </c>
      <c r="O623">
        <v>426</v>
      </c>
    </row>
    <row r="624" spans="1:15" x14ac:dyDescent="0.35">
      <c r="A624">
        <v>2021</v>
      </c>
      <c r="B624">
        <v>7</v>
      </c>
      <c r="C624" t="s">
        <v>37</v>
      </c>
      <c r="D624" t="s">
        <v>24</v>
      </c>
      <c r="E624" t="s">
        <v>16</v>
      </c>
      <c r="F624" t="s">
        <v>23</v>
      </c>
      <c r="G624" s="1">
        <v>115820</v>
      </c>
      <c r="H624" s="1">
        <v>95689</v>
      </c>
      <c r="I624">
        <v>331</v>
      </c>
      <c r="J624">
        <v>0.97</v>
      </c>
      <c r="K624">
        <v>6.29</v>
      </c>
      <c r="L624">
        <v>1.2</v>
      </c>
      <c r="M624">
        <v>5</v>
      </c>
      <c r="N624" s="1">
        <f>bmw_global_sales_dataset[[#This Row],[units_sold]]*bmw_global_sales_dataset[[#This Row],[price_usd]]</f>
        <v>122190100</v>
      </c>
      <c r="O624">
        <v>1055</v>
      </c>
    </row>
    <row r="625" spans="1:15" x14ac:dyDescent="0.35">
      <c r="A625">
        <v>2021</v>
      </c>
      <c r="B625">
        <v>2</v>
      </c>
      <c r="C625" t="s">
        <v>35</v>
      </c>
      <c r="D625" t="s">
        <v>22</v>
      </c>
      <c r="E625" t="s">
        <v>20</v>
      </c>
      <c r="F625" t="s">
        <v>20</v>
      </c>
      <c r="G625" s="1">
        <v>43921</v>
      </c>
      <c r="H625" s="1">
        <v>258606</v>
      </c>
      <c r="I625">
        <v>327</v>
      </c>
      <c r="J625">
        <v>0.97</v>
      </c>
      <c r="K625">
        <v>6.29</v>
      </c>
      <c r="L625">
        <v>1.2</v>
      </c>
      <c r="M625">
        <v>3</v>
      </c>
      <c r="N625" s="1">
        <f>bmw_global_sales_dataset[[#This Row],[units_sold]]*bmw_global_sales_dataset[[#This Row],[price_usd]]</f>
        <v>39792426</v>
      </c>
      <c r="O625">
        <v>906</v>
      </c>
    </row>
    <row r="626" spans="1:15" x14ac:dyDescent="0.35">
      <c r="A626">
        <v>2021</v>
      </c>
      <c r="B626">
        <v>12</v>
      </c>
      <c r="C626" t="s">
        <v>25</v>
      </c>
      <c r="D626" t="s">
        <v>15</v>
      </c>
      <c r="E626" t="s">
        <v>20</v>
      </c>
      <c r="F626" t="s">
        <v>23</v>
      </c>
      <c r="G626" s="1">
        <v>117839</v>
      </c>
      <c r="H626" s="1">
        <v>175865</v>
      </c>
      <c r="I626">
        <v>106</v>
      </c>
      <c r="J626">
        <v>0.97</v>
      </c>
      <c r="K626">
        <v>6.29</v>
      </c>
      <c r="L626">
        <v>1.2</v>
      </c>
      <c r="M626">
        <v>8</v>
      </c>
      <c r="N626" s="1">
        <f>bmw_global_sales_dataset[[#This Row],[units_sold]]*bmw_global_sales_dataset[[#This Row],[price_usd]]</f>
        <v>73767214</v>
      </c>
      <c r="O626">
        <v>626</v>
      </c>
    </row>
    <row r="627" spans="1:15" x14ac:dyDescent="0.35">
      <c r="A627">
        <v>2021</v>
      </c>
      <c r="B627">
        <v>2</v>
      </c>
      <c r="C627" t="s">
        <v>35</v>
      </c>
      <c r="D627" t="s">
        <v>22</v>
      </c>
      <c r="E627" t="s">
        <v>20</v>
      </c>
      <c r="F627" t="s">
        <v>27</v>
      </c>
      <c r="G627" s="1">
        <v>47242</v>
      </c>
      <c r="H627" s="1">
        <v>173745</v>
      </c>
      <c r="I627">
        <v>126</v>
      </c>
      <c r="J627">
        <v>0.97</v>
      </c>
      <c r="K627">
        <v>6.29</v>
      </c>
      <c r="L627">
        <v>1.2</v>
      </c>
      <c r="M627">
        <v>7</v>
      </c>
      <c r="N627" s="1">
        <f>bmw_global_sales_dataset[[#This Row],[units_sold]]*bmw_global_sales_dataset[[#This Row],[price_usd]]</f>
        <v>29856944</v>
      </c>
      <c r="O627">
        <v>632</v>
      </c>
    </row>
    <row r="628" spans="1:15" x14ac:dyDescent="0.35">
      <c r="A628">
        <v>2021</v>
      </c>
      <c r="B628">
        <v>8</v>
      </c>
      <c r="C628" t="s">
        <v>14</v>
      </c>
      <c r="D628" t="s">
        <v>33</v>
      </c>
      <c r="E628" t="s">
        <v>20</v>
      </c>
      <c r="F628" t="s">
        <v>20</v>
      </c>
      <c r="G628" s="1">
        <v>106466</v>
      </c>
      <c r="H628" s="1">
        <v>78885</v>
      </c>
      <c r="I628">
        <v>329</v>
      </c>
      <c r="J628">
        <v>0.97</v>
      </c>
      <c r="K628">
        <v>6.29</v>
      </c>
      <c r="L628">
        <v>1.2</v>
      </c>
      <c r="M628">
        <v>1</v>
      </c>
      <c r="N628" s="1">
        <f>bmw_global_sales_dataset[[#This Row],[units_sold]]*bmw_global_sales_dataset[[#This Row],[price_usd]]</f>
        <v>79743034</v>
      </c>
      <c r="O628">
        <v>749</v>
      </c>
    </row>
    <row r="629" spans="1:15" x14ac:dyDescent="0.35">
      <c r="A629">
        <v>2021</v>
      </c>
      <c r="B629">
        <v>9</v>
      </c>
      <c r="C629" t="s">
        <v>35</v>
      </c>
      <c r="D629" t="s">
        <v>24</v>
      </c>
      <c r="E629" t="s">
        <v>16</v>
      </c>
      <c r="F629" t="s">
        <v>27</v>
      </c>
      <c r="G629" s="1">
        <v>65979</v>
      </c>
      <c r="H629" s="1">
        <v>345685</v>
      </c>
      <c r="I629">
        <v>40</v>
      </c>
      <c r="J629">
        <v>0.97</v>
      </c>
      <c r="K629">
        <v>6.29</v>
      </c>
      <c r="L629">
        <v>1.2</v>
      </c>
      <c r="M629">
        <v>6</v>
      </c>
      <c r="N629" s="1">
        <f>bmw_global_sales_dataset[[#This Row],[units_sold]]*bmw_global_sales_dataset[[#This Row],[price_usd]]</f>
        <v>13393737</v>
      </c>
      <c r="O629">
        <v>203</v>
      </c>
    </row>
    <row r="630" spans="1:15" x14ac:dyDescent="0.35">
      <c r="A630">
        <v>2021</v>
      </c>
      <c r="B630">
        <v>3</v>
      </c>
      <c r="C630" t="s">
        <v>36</v>
      </c>
      <c r="D630" t="s">
        <v>22</v>
      </c>
      <c r="E630" t="s">
        <v>20</v>
      </c>
      <c r="F630" t="s">
        <v>23</v>
      </c>
      <c r="G630" s="1">
        <v>87774</v>
      </c>
      <c r="H630" s="1">
        <v>120268</v>
      </c>
      <c r="I630">
        <v>102</v>
      </c>
      <c r="J630">
        <v>0.97</v>
      </c>
      <c r="K630">
        <v>6.29</v>
      </c>
      <c r="L630">
        <v>1.2</v>
      </c>
      <c r="M630">
        <v>1</v>
      </c>
      <c r="N630" s="1">
        <f>bmw_global_sales_dataset[[#This Row],[units_sold]]*bmw_global_sales_dataset[[#This Row],[price_usd]]</f>
        <v>35811792</v>
      </c>
      <c r="O630">
        <v>408</v>
      </c>
    </row>
    <row r="631" spans="1:15" x14ac:dyDescent="0.35">
      <c r="A631">
        <v>2021</v>
      </c>
      <c r="B631">
        <v>8</v>
      </c>
      <c r="C631" t="s">
        <v>21</v>
      </c>
      <c r="D631" t="s">
        <v>29</v>
      </c>
      <c r="E631" t="s">
        <v>19</v>
      </c>
      <c r="F631" t="s">
        <v>17</v>
      </c>
      <c r="G631" s="1">
        <v>69069</v>
      </c>
      <c r="H631" s="1">
        <v>445783</v>
      </c>
      <c r="I631">
        <v>93</v>
      </c>
      <c r="J631">
        <v>0.97</v>
      </c>
      <c r="K631">
        <v>6.29</v>
      </c>
      <c r="L631">
        <v>1.2</v>
      </c>
      <c r="M631">
        <v>8</v>
      </c>
      <c r="N631" s="1">
        <f>bmw_global_sales_dataset[[#This Row],[units_sold]]*bmw_global_sales_dataset[[#This Row],[price_usd]]</f>
        <v>24657633</v>
      </c>
      <c r="O631">
        <v>357</v>
      </c>
    </row>
    <row r="632" spans="1:15" x14ac:dyDescent="0.35">
      <c r="A632">
        <v>2021</v>
      </c>
      <c r="B632">
        <v>4</v>
      </c>
      <c r="C632" t="s">
        <v>38</v>
      </c>
      <c r="D632" t="s">
        <v>34</v>
      </c>
      <c r="E632" t="s">
        <v>16</v>
      </c>
      <c r="F632" t="s">
        <v>17</v>
      </c>
      <c r="G632" s="1">
        <v>112713</v>
      </c>
      <c r="H632" s="1">
        <v>139044</v>
      </c>
      <c r="I632">
        <v>100</v>
      </c>
      <c r="J632">
        <v>0.97</v>
      </c>
      <c r="K632">
        <v>6.29</v>
      </c>
      <c r="L632">
        <v>1.2</v>
      </c>
      <c r="M632">
        <v>6</v>
      </c>
      <c r="N632" s="1">
        <f>bmw_global_sales_dataset[[#This Row],[units_sold]]*bmw_global_sales_dataset[[#This Row],[price_usd]]</f>
        <v>59399751</v>
      </c>
      <c r="O632">
        <v>527</v>
      </c>
    </row>
    <row r="633" spans="1:15" x14ac:dyDescent="0.35">
      <c r="A633">
        <v>2021</v>
      </c>
      <c r="B633">
        <v>7</v>
      </c>
      <c r="C633" t="s">
        <v>28</v>
      </c>
      <c r="D633" t="s">
        <v>29</v>
      </c>
      <c r="E633" t="s">
        <v>20</v>
      </c>
      <c r="F633" t="s">
        <v>27</v>
      </c>
      <c r="G633" s="1">
        <v>68672</v>
      </c>
      <c r="H633" s="1">
        <v>63440</v>
      </c>
      <c r="I633">
        <v>51</v>
      </c>
      <c r="J633">
        <v>0.97</v>
      </c>
      <c r="K633">
        <v>6.29</v>
      </c>
      <c r="L633">
        <v>1.2</v>
      </c>
      <c r="M633">
        <v>8</v>
      </c>
      <c r="N633" s="1">
        <f>bmw_global_sales_dataset[[#This Row],[units_sold]]*bmw_global_sales_dataset[[#This Row],[price_usd]]</f>
        <v>12841664</v>
      </c>
      <c r="O633">
        <v>187</v>
      </c>
    </row>
    <row r="634" spans="1:15" x14ac:dyDescent="0.35">
      <c r="A634">
        <v>2021</v>
      </c>
      <c r="B634">
        <v>12</v>
      </c>
      <c r="C634" t="s">
        <v>28</v>
      </c>
      <c r="D634" t="s">
        <v>29</v>
      </c>
      <c r="E634" t="s">
        <v>16</v>
      </c>
      <c r="F634" t="s">
        <v>20</v>
      </c>
      <c r="G634" s="1">
        <v>40606</v>
      </c>
      <c r="H634" s="1">
        <v>65734</v>
      </c>
      <c r="I634">
        <v>382</v>
      </c>
      <c r="J634">
        <v>0.97</v>
      </c>
      <c r="K634">
        <v>6.29</v>
      </c>
      <c r="L634">
        <v>1.2</v>
      </c>
      <c r="M634">
        <v>8</v>
      </c>
      <c r="N634" s="1">
        <f>bmw_global_sales_dataset[[#This Row],[units_sold]]*bmw_global_sales_dataset[[#This Row],[price_usd]]</f>
        <v>32078740</v>
      </c>
      <c r="O634">
        <v>790</v>
      </c>
    </row>
    <row r="635" spans="1:15" x14ac:dyDescent="0.35">
      <c r="A635">
        <v>2021</v>
      </c>
      <c r="B635">
        <v>4</v>
      </c>
      <c r="C635" t="s">
        <v>25</v>
      </c>
      <c r="D635" t="s">
        <v>39</v>
      </c>
      <c r="E635" t="s">
        <v>19</v>
      </c>
      <c r="F635" t="s">
        <v>27</v>
      </c>
      <c r="G635" s="1">
        <v>51555</v>
      </c>
      <c r="H635" s="1">
        <v>222409</v>
      </c>
      <c r="I635">
        <v>96</v>
      </c>
      <c r="J635">
        <v>0.97</v>
      </c>
      <c r="K635">
        <v>6.29</v>
      </c>
      <c r="L635">
        <v>1.2</v>
      </c>
      <c r="M635">
        <v>10</v>
      </c>
      <c r="N635" s="1">
        <f>bmw_global_sales_dataset[[#This Row],[units_sold]]*bmw_global_sales_dataset[[#This Row],[price_usd]]</f>
        <v>12630975</v>
      </c>
      <c r="O635">
        <v>245</v>
      </c>
    </row>
    <row r="636" spans="1:15" x14ac:dyDescent="0.35">
      <c r="A636">
        <v>2021</v>
      </c>
      <c r="B636">
        <v>6</v>
      </c>
      <c r="C636" t="s">
        <v>36</v>
      </c>
      <c r="D636" t="s">
        <v>31</v>
      </c>
      <c r="E636" t="s">
        <v>16</v>
      </c>
      <c r="F636" t="s">
        <v>17</v>
      </c>
      <c r="G636" s="1">
        <v>90798</v>
      </c>
      <c r="H636" s="1">
        <v>398984</v>
      </c>
      <c r="I636">
        <v>377</v>
      </c>
      <c r="J636">
        <v>0.97</v>
      </c>
      <c r="K636">
        <v>6.29</v>
      </c>
      <c r="L636">
        <v>1.2</v>
      </c>
      <c r="M636">
        <v>4</v>
      </c>
      <c r="N636" s="1">
        <f>bmw_global_sales_dataset[[#This Row],[units_sold]]*bmw_global_sales_dataset[[#This Row],[price_usd]]</f>
        <v>91524384</v>
      </c>
      <c r="O636">
        <v>1008</v>
      </c>
    </row>
    <row r="637" spans="1:15" x14ac:dyDescent="0.35">
      <c r="A637">
        <v>2021</v>
      </c>
      <c r="B637">
        <v>2</v>
      </c>
      <c r="C637" t="s">
        <v>30</v>
      </c>
      <c r="D637" t="s">
        <v>22</v>
      </c>
      <c r="E637" t="s">
        <v>16</v>
      </c>
      <c r="F637" t="s">
        <v>20</v>
      </c>
      <c r="G637" s="1">
        <v>110163</v>
      </c>
      <c r="H637" s="1">
        <v>485497</v>
      </c>
      <c r="I637">
        <v>394</v>
      </c>
      <c r="J637">
        <v>0.97</v>
      </c>
      <c r="K637">
        <v>6.29</v>
      </c>
      <c r="L637">
        <v>1.2</v>
      </c>
      <c r="M637">
        <v>8</v>
      </c>
      <c r="N637" s="1">
        <f>bmw_global_sales_dataset[[#This Row],[units_sold]]*bmw_global_sales_dataset[[#This Row],[price_usd]]</f>
        <v>136271631</v>
      </c>
      <c r="O637">
        <v>1237</v>
      </c>
    </row>
    <row r="638" spans="1:15" x14ac:dyDescent="0.35">
      <c r="A638">
        <v>2021</v>
      </c>
      <c r="B638">
        <v>10</v>
      </c>
      <c r="C638" t="s">
        <v>28</v>
      </c>
      <c r="D638" t="s">
        <v>22</v>
      </c>
      <c r="E638" t="s">
        <v>16</v>
      </c>
      <c r="F638" t="s">
        <v>20</v>
      </c>
      <c r="G638" s="1">
        <v>70892</v>
      </c>
      <c r="H638" s="1">
        <v>294255</v>
      </c>
      <c r="I638">
        <v>320</v>
      </c>
      <c r="J638">
        <v>0.97</v>
      </c>
      <c r="K638">
        <v>6.29</v>
      </c>
      <c r="L638">
        <v>1.2</v>
      </c>
      <c r="M638">
        <v>5</v>
      </c>
      <c r="N638" s="1">
        <f>bmw_global_sales_dataset[[#This Row],[units_sold]]*bmw_global_sales_dataset[[#This Row],[price_usd]]</f>
        <v>77910308</v>
      </c>
      <c r="O638">
        <v>1099</v>
      </c>
    </row>
    <row r="639" spans="1:15" x14ac:dyDescent="0.35">
      <c r="A639">
        <v>2021</v>
      </c>
      <c r="B639">
        <v>6</v>
      </c>
      <c r="C639" t="s">
        <v>38</v>
      </c>
      <c r="D639" t="s">
        <v>18</v>
      </c>
      <c r="E639" t="s">
        <v>20</v>
      </c>
      <c r="F639" t="s">
        <v>17</v>
      </c>
      <c r="G639" s="1">
        <v>35924</v>
      </c>
      <c r="H639" s="1">
        <v>336744</v>
      </c>
      <c r="I639">
        <v>310</v>
      </c>
      <c r="J639">
        <v>0.97</v>
      </c>
      <c r="K639">
        <v>6.29</v>
      </c>
      <c r="L639">
        <v>1.2</v>
      </c>
      <c r="M639">
        <v>3</v>
      </c>
      <c r="N639" s="1">
        <f>bmw_global_sales_dataset[[#This Row],[units_sold]]*bmw_global_sales_dataset[[#This Row],[price_usd]]</f>
        <v>29816920</v>
      </c>
      <c r="O639">
        <v>830</v>
      </c>
    </row>
    <row r="640" spans="1:15" x14ac:dyDescent="0.35">
      <c r="A640">
        <v>2021</v>
      </c>
      <c r="B640">
        <v>5</v>
      </c>
      <c r="C640" t="s">
        <v>30</v>
      </c>
      <c r="D640" t="s">
        <v>34</v>
      </c>
      <c r="E640" t="s">
        <v>19</v>
      </c>
      <c r="F640" t="s">
        <v>27</v>
      </c>
      <c r="G640" s="1">
        <v>40515</v>
      </c>
      <c r="H640" s="1">
        <v>275756</v>
      </c>
      <c r="I640">
        <v>216</v>
      </c>
      <c r="J640">
        <v>0.97</v>
      </c>
      <c r="K640">
        <v>6.29</v>
      </c>
      <c r="L640">
        <v>1.2</v>
      </c>
      <c r="M640">
        <v>6</v>
      </c>
      <c r="N640" s="1">
        <f>bmw_global_sales_dataset[[#This Row],[units_sold]]*bmw_global_sales_dataset[[#This Row],[price_usd]]</f>
        <v>21472950</v>
      </c>
      <c r="O640">
        <v>530</v>
      </c>
    </row>
    <row r="641" spans="1:15" x14ac:dyDescent="0.35">
      <c r="A641">
        <v>2021</v>
      </c>
      <c r="B641">
        <v>7</v>
      </c>
      <c r="C641" t="s">
        <v>36</v>
      </c>
      <c r="D641" t="s">
        <v>33</v>
      </c>
      <c r="E641" t="s">
        <v>19</v>
      </c>
      <c r="F641" t="s">
        <v>27</v>
      </c>
      <c r="G641" s="1">
        <v>93861</v>
      </c>
      <c r="H641" s="1">
        <v>262803</v>
      </c>
      <c r="I641">
        <v>197</v>
      </c>
      <c r="J641">
        <v>0.97</v>
      </c>
      <c r="K641">
        <v>6.29</v>
      </c>
      <c r="L641">
        <v>1.2</v>
      </c>
      <c r="M641">
        <v>6</v>
      </c>
      <c r="N641" s="1">
        <f>bmw_global_sales_dataset[[#This Row],[units_sold]]*bmw_global_sales_dataset[[#This Row],[price_usd]]</f>
        <v>57724515</v>
      </c>
      <c r="O641">
        <v>615</v>
      </c>
    </row>
    <row r="642" spans="1:15" x14ac:dyDescent="0.35">
      <c r="A642">
        <v>2021</v>
      </c>
      <c r="B642">
        <v>8</v>
      </c>
      <c r="C642" t="s">
        <v>32</v>
      </c>
      <c r="D642" t="s">
        <v>33</v>
      </c>
      <c r="E642" t="s">
        <v>20</v>
      </c>
      <c r="F642" t="s">
        <v>17</v>
      </c>
      <c r="G642" s="1">
        <v>61026</v>
      </c>
      <c r="H642" s="1">
        <v>255753</v>
      </c>
      <c r="I642">
        <v>45</v>
      </c>
      <c r="J642">
        <v>0.97</v>
      </c>
      <c r="K642">
        <v>6.29</v>
      </c>
      <c r="L642">
        <v>1.2</v>
      </c>
      <c r="M642">
        <v>8</v>
      </c>
      <c r="N642" s="1">
        <f>bmw_global_sales_dataset[[#This Row],[units_sold]]*bmw_global_sales_dataset[[#This Row],[price_usd]]</f>
        <v>12266226</v>
      </c>
      <c r="O642">
        <v>201</v>
      </c>
    </row>
    <row r="643" spans="1:15" x14ac:dyDescent="0.35">
      <c r="A643">
        <v>2021</v>
      </c>
      <c r="B643">
        <v>10</v>
      </c>
      <c r="C643" t="s">
        <v>28</v>
      </c>
      <c r="D643" t="s">
        <v>18</v>
      </c>
      <c r="E643" t="s">
        <v>19</v>
      </c>
      <c r="F643" t="s">
        <v>17</v>
      </c>
      <c r="G643" s="1">
        <v>80203</v>
      </c>
      <c r="H643" s="1">
        <v>165819</v>
      </c>
      <c r="I643">
        <v>112</v>
      </c>
      <c r="J643">
        <v>0.97</v>
      </c>
      <c r="K643">
        <v>6.29</v>
      </c>
      <c r="L643">
        <v>1.2</v>
      </c>
      <c r="M643">
        <v>2</v>
      </c>
      <c r="N643" s="1">
        <f>bmw_global_sales_dataset[[#This Row],[units_sold]]*bmw_global_sales_dataset[[#This Row],[price_usd]]</f>
        <v>41224342</v>
      </c>
      <c r="O643">
        <v>514</v>
      </c>
    </row>
    <row r="644" spans="1:15" x14ac:dyDescent="0.35">
      <c r="A644">
        <v>2021</v>
      </c>
      <c r="B644">
        <v>3</v>
      </c>
      <c r="C644" t="s">
        <v>36</v>
      </c>
      <c r="D644" t="s">
        <v>15</v>
      </c>
      <c r="E644" t="s">
        <v>16</v>
      </c>
      <c r="F644" t="s">
        <v>27</v>
      </c>
      <c r="G644" s="1">
        <v>74449</v>
      </c>
      <c r="H644" s="1">
        <v>121695</v>
      </c>
      <c r="I644">
        <v>58</v>
      </c>
      <c r="J644">
        <v>0.97</v>
      </c>
      <c r="K644">
        <v>6.29</v>
      </c>
      <c r="L644">
        <v>1.2</v>
      </c>
      <c r="M644">
        <v>2</v>
      </c>
      <c r="N644" s="1">
        <f>bmw_global_sales_dataset[[#This Row],[units_sold]]*bmw_global_sales_dataset[[#This Row],[price_usd]]</f>
        <v>40351358</v>
      </c>
      <c r="O644">
        <v>542</v>
      </c>
    </row>
    <row r="645" spans="1:15" x14ac:dyDescent="0.35">
      <c r="A645">
        <v>2021</v>
      </c>
      <c r="B645">
        <v>1</v>
      </c>
      <c r="C645" t="s">
        <v>30</v>
      </c>
      <c r="D645" t="s">
        <v>34</v>
      </c>
      <c r="E645" t="s">
        <v>20</v>
      </c>
      <c r="F645" t="s">
        <v>20</v>
      </c>
      <c r="G645" s="1">
        <v>41869</v>
      </c>
      <c r="H645" s="1">
        <v>389273</v>
      </c>
      <c r="I645">
        <v>11</v>
      </c>
      <c r="J645">
        <v>0.97</v>
      </c>
      <c r="K645">
        <v>6.29</v>
      </c>
      <c r="L645">
        <v>1.2</v>
      </c>
      <c r="M645">
        <v>10</v>
      </c>
      <c r="N645" s="1">
        <f>bmw_global_sales_dataset[[#This Row],[units_sold]]*bmw_global_sales_dataset[[#This Row],[price_usd]]</f>
        <v>15114709</v>
      </c>
      <c r="O645">
        <v>361</v>
      </c>
    </row>
    <row r="646" spans="1:15" x14ac:dyDescent="0.35">
      <c r="A646">
        <v>2021</v>
      </c>
      <c r="B646">
        <v>8</v>
      </c>
      <c r="C646" t="s">
        <v>30</v>
      </c>
      <c r="D646" t="s">
        <v>33</v>
      </c>
      <c r="E646" t="s">
        <v>20</v>
      </c>
      <c r="F646" t="s">
        <v>23</v>
      </c>
      <c r="G646" s="1">
        <v>91759</v>
      </c>
      <c r="H646" s="1">
        <v>333816</v>
      </c>
      <c r="I646">
        <v>306</v>
      </c>
      <c r="J646">
        <v>0.97</v>
      </c>
      <c r="K646">
        <v>6.29</v>
      </c>
      <c r="L646">
        <v>1.2</v>
      </c>
      <c r="M646">
        <v>6</v>
      </c>
      <c r="N646" s="1">
        <f>bmw_global_sales_dataset[[#This Row],[units_sold]]*bmw_global_sales_dataset[[#This Row],[price_usd]]</f>
        <v>80380884</v>
      </c>
      <c r="O646">
        <v>876</v>
      </c>
    </row>
    <row r="647" spans="1:15" x14ac:dyDescent="0.35">
      <c r="A647">
        <v>2021</v>
      </c>
      <c r="B647">
        <v>6</v>
      </c>
      <c r="C647" t="s">
        <v>25</v>
      </c>
      <c r="D647" t="s">
        <v>31</v>
      </c>
      <c r="E647" t="s">
        <v>20</v>
      </c>
      <c r="F647" t="s">
        <v>17</v>
      </c>
      <c r="G647" s="1">
        <v>48851</v>
      </c>
      <c r="H647" s="1">
        <v>379478</v>
      </c>
      <c r="I647">
        <v>149</v>
      </c>
      <c r="J647">
        <v>0.97</v>
      </c>
      <c r="K647">
        <v>6.29</v>
      </c>
      <c r="L647">
        <v>1.2</v>
      </c>
      <c r="M647">
        <v>8</v>
      </c>
      <c r="N647" s="1">
        <f>bmw_global_sales_dataset[[#This Row],[units_sold]]*bmw_global_sales_dataset[[#This Row],[price_usd]]</f>
        <v>16951297</v>
      </c>
      <c r="O647">
        <v>347</v>
      </c>
    </row>
    <row r="648" spans="1:15" x14ac:dyDescent="0.35">
      <c r="A648">
        <v>2021</v>
      </c>
      <c r="B648">
        <v>11</v>
      </c>
      <c r="C648" t="s">
        <v>30</v>
      </c>
      <c r="D648" t="s">
        <v>33</v>
      </c>
      <c r="E648" t="s">
        <v>20</v>
      </c>
      <c r="F648" t="s">
        <v>27</v>
      </c>
      <c r="G648" s="1">
        <v>48921</v>
      </c>
      <c r="H648" s="1">
        <v>361011</v>
      </c>
      <c r="I648">
        <v>346</v>
      </c>
      <c r="J648">
        <v>0.97</v>
      </c>
      <c r="K648">
        <v>6.29</v>
      </c>
      <c r="L648">
        <v>1.2</v>
      </c>
      <c r="M648">
        <v>5</v>
      </c>
      <c r="N648" s="1">
        <f>bmw_global_sales_dataset[[#This Row],[units_sold]]*bmw_global_sales_dataset[[#This Row],[price_usd]]</f>
        <v>53128206</v>
      </c>
      <c r="O648">
        <v>1086</v>
      </c>
    </row>
    <row r="649" spans="1:15" x14ac:dyDescent="0.35">
      <c r="A649">
        <v>2021</v>
      </c>
      <c r="B649">
        <v>10</v>
      </c>
      <c r="C649" t="s">
        <v>28</v>
      </c>
      <c r="D649" t="s">
        <v>22</v>
      </c>
      <c r="E649" t="s">
        <v>20</v>
      </c>
      <c r="F649" t="s">
        <v>20</v>
      </c>
      <c r="G649" s="1">
        <v>54023</v>
      </c>
      <c r="H649" s="1">
        <v>208272</v>
      </c>
      <c r="I649">
        <v>83</v>
      </c>
      <c r="J649">
        <v>0.97</v>
      </c>
      <c r="K649">
        <v>6.29</v>
      </c>
      <c r="L649">
        <v>1.2</v>
      </c>
      <c r="M649">
        <v>6</v>
      </c>
      <c r="N649" s="1">
        <f>bmw_global_sales_dataset[[#This Row],[units_sold]]*bmw_global_sales_dataset[[#This Row],[price_usd]]</f>
        <v>25660925</v>
      </c>
      <c r="O649">
        <v>475</v>
      </c>
    </row>
    <row r="650" spans="1:15" x14ac:dyDescent="0.35">
      <c r="A650">
        <v>2021</v>
      </c>
      <c r="B650">
        <v>4</v>
      </c>
      <c r="C650" t="s">
        <v>32</v>
      </c>
      <c r="D650" t="s">
        <v>31</v>
      </c>
      <c r="E650" t="s">
        <v>16</v>
      </c>
      <c r="F650" t="s">
        <v>23</v>
      </c>
      <c r="G650" s="1">
        <v>65341</v>
      </c>
      <c r="H650" s="1">
        <v>418894</v>
      </c>
      <c r="I650">
        <v>166</v>
      </c>
      <c r="J650">
        <v>0.97</v>
      </c>
      <c r="K650">
        <v>6.29</v>
      </c>
      <c r="L650">
        <v>1.2</v>
      </c>
      <c r="M650">
        <v>7</v>
      </c>
      <c r="N650" s="1">
        <f>bmw_global_sales_dataset[[#This Row],[units_sold]]*bmw_global_sales_dataset[[#This Row],[price_usd]]</f>
        <v>47698930</v>
      </c>
      <c r="O650">
        <v>730</v>
      </c>
    </row>
    <row r="651" spans="1:15" x14ac:dyDescent="0.35">
      <c r="A651">
        <v>2021</v>
      </c>
      <c r="B651">
        <v>10</v>
      </c>
      <c r="C651" t="s">
        <v>32</v>
      </c>
      <c r="D651" t="s">
        <v>31</v>
      </c>
      <c r="E651" t="s">
        <v>16</v>
      </c>
      <c r="F651" t="s">
        <v>23</v>
      </c>
      <c r="G651" s="1">
        <v>84002</v>
      </c>
      <c r="H651" s="1">
        <v>82152</v>
      </c>
      <c r="I651">
        <v>251</v>
      </c>
      <c r="J651">
        <v>0.97</v>
      </c>
      <c r="K651">
        <v>6.29</v>
      </c>
      <c r="L651">
        <v>1.2</v>
      </c>
      <c r="M651">
        <v>7</v>
      </c>
      <c r="N651" s="1">
        <f>bmw_global_sales_dataset[[#This Row],[units_sold]]*bmw_global_sales_dataset[[#This Row],[price_usd]]</f>
        <v>55609324</v>
      </c>
      <c r="O651">
        <v>662</v>
      </c>
    </row>
    <row r="652" spans="1:15" x14ac:dyDescent="0.35">
      <c r="A652">
        <v>2021</v>
      </c>
      <c r="B652">
        <v>11</v>
      </c>
      <c r="C652" t="s">
        <v>21</v>
      </c>
      <c r="D652" t="s">
        <v>31</v>
      </c>
      <c r="E652" t="s">
        <v>16</v>
      </c>
      <c r="F652" t="s">
        <v>17</v>
      </c>
      <c r="G652" s="1">
        <v>38159</v>
      </c>
      <c r="H652" s="1">
        <v>200259</v>
      </c>
      <c r="I652">
        <v>329</v>
      </c>
      <c r="J652">
        <v>0.97</v>
      </c>
      <c r="K652">
        <v>6.29</v>
      </c>
      <c r="L652">
        <v>1.2</v>
      </c>
      <c r="M652">
        <v>10</v>
      </c>
      <c r="N652" s="1">
        <f>bmw_global_sales_dataset[[#This Row],[units_sold]]*bmw_global_sales_dataset[[#This Row],[price_usd]]</f>
        <v>38655067</v>
      </c>
      <c r="O652">
        <v>1013</v>
      </c>
    </row>
    <row r="653" spans="1:15" x14ac:dyDescent="0.35">
      <c r="A653">
        <v>2021</v>
      </c>
      <c r="B653">
        <v>12</v>
      </c>
      <c r="C653" t="s">
        <v>32</v>
      </c>
      <c r="D653" t="s">
        <v>29</v>
      </c>
      <c r="E653" t="s">
        <v>19</v>
      </c>
      <c r="F653" t="s">
        <v>20</v>
      </c>
      <c r="G653" s="1">
        <v>81511</v>
      </c>
      <c r="H653" s="1">
        <v>173076</v>
      </c>
      <c r="I653">
        <v>29</v>
      </c>
      <c r="J653">
        <v>0.97</v>
      </c>
      <c r="K653">
        <v>6.29</v>
      </c>
      <c r="L653">
        <v>1.2</v>
      </c>
      <c r="M653">
        <v>2</v>
      </c>
      <c r="N653" s="1">
        <f>bmw_global_sales_dataset[[#This Row],[units_sold]]*bmw_global_sales_dataset[[#This Row],[price_usd]]</f>
        <v>28202806</v>
      </c>
      <c r="O653">
        <v>346</v>
      </c>
    </row>
    <row r="654" spans="1:15" x14ac:dyDescent="0.35">
      <c r="A654">
        <v>2021</v>
      </c>
      <c r="B654">
        <v>3</v>
      </c>
      <c r="C654" t="s">
        <v>36</v>
      </c>
      <c r="D654" t="s">
        <v>31</v>
      </c>
      <c r="E654" t="s">
        <v>16</v>
      </c>
      <c r="F654" t="s">
        <v>23</v>
      </c>
      <c r="G654" s="1">
        <v>49678</v>
      </c>
      <c r="H654" s="1">
        <v>282259</v>
      </c>
      <c r="I654">
        <v>245</v>
      </c>
      <c r="J654">
        <v>0.97</v>
      </c>
      <c r="K654">
        <v>6.29</v>
      </c>
      <c r="L654">
        <v>1.2</v>
      </c>
      <c r="M654">
        <v>3</v>
      </c>
      <c r="N654" s="1">
        <f>bmw_global_sales_dataset[[#This Row],[units_sold]]*bmw_global_sales_dataset[[#This Row],[price_usd]]</f>
        <v>43468250</v>
      </c>
      <c r="O654">
        <v>875</v>
      </c>
    </row>
    <row r="655" spans="1:15" x14ac:dyDescent="0.35">
      <c r="A655">
        <v>2021</v>
      </c>
      <c r="B655">
        <v>11</v>
      </c>
      <c r="C655" t="s">
        <v>14</v>
      </c>
      <c r="D655" t="s">
        <v>39</v>
      </c>
      <c r="E655" t="s">
        <v>20</v>
      </c>
      <c r="F655" t="s">
        <v>17</v>
      </c>
      <c r="G655" s="1">
        <v>47021</v>
      </c>
      <c r="H655" s="1">
        <v>340886</v>
      </c>
      <c r="I655">
        <v>78</v>
      </c>
      <c r="J655">
        <v>0.97</v>
      </c>
      <c r="K655">
        <v>6.29</v>
      </c>
      <c r="L655">
        <v>1.2</v>
      </c>
      <c r="M655">
        <v>8</v>
      </c>
      <c r="N655" s="1">
        <f>bmw_global_sales_dataset[[#This Row],[units_sold]]*bmw_global_sales_dataset[[#This Row],[price_usd]]</f>
        <v>11661208</v>
      </c>
      <c r="O655">
        <v>248</v>
      </c>
    </row>
    <row r="656" spans="1:15" x14ac:dyDescent="0.35">
      <c r="A656">
        <v>2021</v>
      </c>
      <c r="B656">
        <v>10</v>
      </c>
      <c r="C656" t="s">
        <v>21</v>
      </c>
      <c r="D656" t="s">
        <v>29</v>
      </c>
      <c r="E656" t="s">
        <v>19</v>
      </c>
      <c r="F656" t="s">
        <v>27</v>
      </c>
      <c r="G656" s="1">
        <v>64863</v>
      </c>
      <c r="H656" s="1">
        <v>119202</v>
      </c>
      <c r="I656">
        <v>262</v>
      </c>
      <c r="J656">
        <v>0.97</v>
      </c>
      <c r="K656">
        <v>6.29</v>
      </c>
      <c r="L656">
        <v>1.2</v>
      </c>
      <c r="M656">
        <v>3</v>
      </c>
      <c r="N656" s="1">
        <f>bmw_global_sales_dataset[[#This Row],[units_sold]]*bmw_global_sales_dataset[[#This Row],[price_usd]]</f>
        <v>46960812</v>
      </c>
      <c r="O656">
        <v>724</v>
      </c>
    </row>
    <row r="657" spans="1:15" x14ac:dyDescent="0.35">
      <c r="A657">
        <v>2021</v>
      </c>
      <c r="B657">
        <v>5</v>
      </c>
      <c r="C657" t="s">
        <v>36</v>
      </c>
      <c r="D657" t="s">
        <v>31</v>
      </c>
      <c r="E657" t="s">
        <v>16</v>
      </c>
      <c r="F657" t="s">
        <v>23</v>
      </c>
      <c r="G657" s="1">
        <v>106186</v>
      </c>
      <c r="H657" s="1">
        <v>419653</v>
      </c>
      <c r="I657">
        <v>12</v>
      </c>
      <c r="J657">
        <v>0.97</v>
      </c>
      <c r="K657">
        <v>6.29</v>
      </c>
      <c r="L657">
        <v>1.2</v>
      </c>
      <c r="M657">
        <v>1</v>
      </c>
      <c r="N657" s="1">
        <f>bmw_global_sales_dataset[[#This Row],[units_sold]]*bmw_global_sales_dataset[[#This Row],[price_usd]]</f>
        <v>32386730</v>
      </c>
      <c r="O657">
        <v>305</v>
      </c>
    </row>
    <row r="658" spans="1:15" x14ac:dyDescent="0.35">
      <c r="A658">
        <v>2021</v>
      </c>
      <c r="B658">
        <v>12</v>
      </c>
      <c r="C658" t="s">
        <v>32</v>
      </c>
      <c r="D658" t="s">
        <v>26</v>
      </c>
      <c r="E658" t="s">
        <v>19</v>
      </c>
      <c r="F658" t="s">
        <v>20</v>
      </c>
      <c r="G658" s="1">
        <v>91344</v>
      </c>
      <c r="H658" s="1">
        <v>143246</v>
      </c>
      <c r="I658">
        <v>361</v>
      </c>
      <c r="J658">
        <v>0.97</v>
      </c>
      <c r="K658">
        <v>6.29</v>
      </c>
      <c r="L658">
        <v>1.2</v>
      </c>
      <c r="M658">
        <v>4</v>
      </c>
      <c r="N658" s="1">
        <f>bmw_global_sales_dataset[[#This Row],[units_sold]]*bmw_global_sales_dataset[[#This Row],[price_usd]]</f>
        <v>80748096</v>
      </c>
      <c r="O658">
        <v>884</v>
      </c>
    </row>
    <row r="659" spans="1:15" x14ac:dyDescent="0.35">
      <c r="A659">
        <v>2021</v>
      </c>
      <c r="B659">
        <v>6</v>
      </c>
      <c r="C659" t="s">
        <v>30</v>
      </c>
      <c r="D659" t="s">
        <v>24</v>
      </c>
      <c r="E659" t="s">
        <v>16</v>
      </c>
      <c r="F659" t="s">
        <v>20</v>
      </c>
      <c r="G659" s="1">
        <v>101537</v>
      </c>
      <c r="H659" s="1">
        <v>311849</v>
      </c>
      <c r="I659">
        <v>35</v>
      </c>
      <c r="J659">
        <v>0.97</v>
      </c>
      <c r="K659">
        <v>6.29</v>
      </c>
      <c r="L659">
        <v>1.2</v>
      </c>
      <c r="M659">
        <v>4</v>
      </c>
      <c r="N659" s="1">
        <f>bmw_global_sales_dataset[[#This Row],[units_sold]]*bmw_global_sales_dataset[[#This Row],[price_usd]]</f>
        <v>42239392</v>
      </c>
      <c r="O659">
        <v>416</v>
      </c>
    </row>
    <row r="660" spans="1:15" x14ac:dyDescent="0.35">
      <c r="A660">
        <v>2021</v>
      </c>
      <c r="B660">
        <v>10</v>
      </c>
      <c r="C660" t="s">
        <v>14</v>
      </c>
      <c r="D660" t="s">
        <v>22</v>
      </c>
      <c r="E660" t="s">
        <v>16</v>
      </c>
      <c r="F660" t="s">
        <v>27</v>
      </c>
      <c r="G660" s="1">
        <v>106833</v>
      </c>
      <c r="H660" s="1">
        <v>90870</v>
      </c>
      <c r="I660">
        <v>213</v>
      </c>
      <c r="J660">
        <v>0.97</v>
      </c>
      <c r="K660">
        <v>6.29</v>
      </c>
      <c r="L660">
        <v>1.2</v>
      </c>
      <c r="M660">
        <v>1</v>
      </c>
      <c r="N660" s="1">
        <f>bmw_global_sales_dataset[[#This Row],[units_sold]]*bmw_global_sales_dataset[[#This Row],[price_usd]]</f>
        <v>52882335</v>
      </c>
      <c r="O660">
        <v>495</v>
      </c>
    </row>
    <row r="661" spans="1:15" x14ac:dyDescent="0.35">
      <c r="A661">
        <v>2021</v>
      </c>
      <c r="B661">
        <v>3</v>
      </c>
      <c r="C661" t="s">
        <v>37</v>
      </c>
      <c r="D661" t="s">
        <v>31</v>
      </c>
      <c r="E661" t="s">
        <v>20</v>
      </c>
      <c r="F661" t="s">
        <v>17</v>
      </c>
      <c r="G661" s="1">
        <v>115639</v>
      </c>
      <c r="H661" s="1">
        <v>419566</v>
      </c>
      <c r="I661">
        <v>376</v>
      </c>
      <c r="J661">
        <v>0.97</v>
      </c>
      <c r="K661">
        <v>6.29</v>
      </c>
      <c r="L661">
        <v>1.2</v>
      </c>
      <c r="M661">
        <v>10</v>
      </c>
      <c r="N661" s="1">
        <f>bmw_global_sales_dataset[[#This Row],[units_sold]]*bmw_global_sales_dataset[[#This Row],[price_usd]]</f>
        <v>134256879</v>
      </c>
      <c r="O661">
        <v>1161</v>
      </c>
    </row>
    <row r="662" spans="1:15" x14ac:dyDescent="0.35">
      <c r="A662">
        <v>2021</v>
      </c>
      <c r="B662">
        <v>6</v>
      </c>
      <c r="C662" t="s">
        <v>36</v>
      </c>
      <c r="D662" t="s">
        <v>29</v>
      </c>
      <c r="E662" t="s">
        <v>19</v>
      </c>
      <c r="F662" t="s">
        <v>27</v>
      </c>
      <c r="G662" s="1">
        <v>94658</v>
      </c>
      <c r="H662" s="1">
        <v>169975</v>
      </c>
      <c r="I662">
        <v>124</v>
      </c>
      <c r="J662">
        <v>0.97</v>
      </c>
      <c r="K662">
        <v>6.29</v>
      </c>
      <c r="L662">
        <v>1.2</v>
      </c>
      <c r="M662">
        <v>8</v>
      </c>
      <c r="N662" s="1">
        <f>bmw_global_sales_dataset[[#This Row],[units_sold]]*bmw_global_sales_dataset[[#This Row],[price_usd]]</f>
        <v>40513624</v>
      </c>
      <c r="O662">
        <v>428</v>
      </c>
    </row>
    <row r="663" spans="1:15" x14ac:dyDescent="0.35">
      <c r="A663">
        <v>2021</v>
      </c>
      <c r="B663">
        <v>9</v>
      </c>
      <c r="C663" t="s">
        <v>14</v>
      </c>
      <c r="D663" t="s">
        <v>24</v>
      </c>
      <c r="E663" t="s">
        <v>19</v>
      </c>
      <c r="F663" t="s">
        <v>23</v>
      </c>
      <c r="G663" s="1">
        <v>84036</v>
      </c>
      <c r="H663" s="1">
        <v>416378</v>
      </c>
      <c r="I663">
        <v>284</v>
      </c>
      <c r="J663">
        <v>0.97</v>
      </c>
      <c r="K663">
        <v>6.29</v>
      </c>
      <c r="L663">
        <v>1.2</v>
      </c>
      <c r="M663">
        <v>1</v>
      </c>
      <c r="N663" s="1">
        <f>bmw_global_sales_dataset[[#This Row],[units_sold]]*bmw_global_sales_dataset[[#This Row],[price_usd]]</f>
        <v>85380576</v>
      </c>
      <c r="O663">
        <v>1016</v>
      </c>
    </row>
    <row r="664" spans="1:15" x14ac:dyDescent="0.35">
      <c r="A664">
        <v>2021</v>
      </c>
      <c r="B664">
        <v>4</v>
      </c>
      <c r="C664" t="s">
        <v>36</v>
      </c>
      <c r="D664" t="s">
        <v>18</v>
      </c>
      <c r="E664" t="s">
        <v>19</v>
      </c>
      <c r="F664" t="s">
        <v>17</v>
      </c>
      <c r="G664" s="1">
        <v>93531</v>
      </c>
      <c r="H664" s="1">
        <v>152326</v>
      </c>
      <c r="I664">
        <v>270</v>
      </c>
      <c r="J664">
        <v>0.97</v>
      </c>
      <c r="K664">
        <v>6.29</v>
      </c>
      <c r="L664">
        <v>1.2</v>
      </c>
      <c r="M664">
        <v>3</v>
      </c>
      <c r="N664" s="1">
        <f>bmw_global_sales_dataset[[#This Row],[units_sold]]*bmw_global_sales_dataset[[#This Row],[price_usd]]</f>
        <v>56305662</v>
      </c>
      <c r="O664">
        <v>602</v>
      </c>
    </row>
    <row r="665" spans="1:15" x14ac:dyDescent="0.35">
      <c r="A665">
        <v>2021</v>
      </c>
      <c r="B665">
        <v>9</v>
      </c>
      <c r="C665" t="s">
        <v>32</v>
      </c>
      <c r="D665" t="s">
        <v>33</v>
      </c>
      <c r="E665" t="s">
        <v>16</v>
      </c>
      <c r="F665" t="s">
        <v>27</v>
      </c>
      <c r="G665" s="1">
        <v>96084</v>
      </c>
      <c r="H665" s="1">
        <v>184563</v>
      </c>
      <c r="I665">
        <v>197</v>
      </c>
      <c r="J665">
        <v>0.97</v>
      </c>
      <c r="K665">
        <v>6.29</v>
      </c>
      <c r="L665">
        <v>1.2</v>
      </c>
      <c r="M665">
        <v>8</v>
      </c>
      <c r="N665" s="1">
        <f>bmw_global_sales_dataset[[#This Row],[units_sold]]*bmw_global_sales_dataset[[#This Row],[price_usd]]</f>
        <v>41316120</v>
      </c>
      <c r="O665">
        <v>430</v>
      </c>
    </row>
    <row r="666" spans="1:15" x14ac:dyDescent="0.35">
      <c r="A666">
        <v>2021</v>
      </c>
      <c r="B666">
        <v>5</v>
      </c>
      <c r="C666" t="s">
        <v>38</v>
      </c>
      <c r="D666" t="s">
        <v>24</v>
      </c>
      <c r="E666" t="s">
        <v>16</v>
      </c>
      <c r="F666" t="s">
        <v>20</v>
      </c>
      <c r="G666" s="1">
        <v>38084</v>
      </c>
      <c r="H666" s="1">
        <v>264839</v>
      </c>
      <c r="I666">
        <v>81</v>
      </c>
      <c r="J666">
        <v>0.97</v>
      </c>
      <c r="K666">
        <v>6.29</v>
      </c>
      <c r="L666">
        <v>1.2</v>
      </c>
      <c r="M666">
        <v>8</v>
      </c>
      <c r="N666" s="1">
        <f>bmw_global_sales_dataset[[#This Row],[units_sold]]*bmw_global_sales_dataset[[#This Row],[price_usd]]</f>
        <v>10168428</v>
      </c>
      <c r="O666">
        <v>267</v>
      </c>
    </row>
    <row r="667" spans="1:15" x14ac:dyDescent="0.35">
      <c r="A667">
        <v>2021</v>
      </c>
      <c r="B667">
        <v>2</v>
      </c>
      <c r="C667" t="s">
        <v>37</v>
      </c>
      <c r="D667" t="s">
        <v>24</v>
      </c>
      <c r="E667" t="s">
        <v>16</v>
      </c>
      <c r="F667" t="s">
        <v>27</v>
      </c>
      <c r="G667" s="1">
        <v>35731</v>
      </c>
      <c r="H667" s="1">
        <v>324270</v>
      </c>
      <c r="I667">
        <v>115</v>
      </c>
      <c r="J667">
        <v>0.97</v>
      </c>
      <c r="K667">
        <v>6.29</v>
      </c>
      <c r="L667">
        <v>1.2</v>
      </c>
      <c r="M667">
        <v>10</v>
      </c>
      <c r="N667" s="1">
        <f>bmw_global_sales_dataset[[#This Row],[units_sold]]*bmw_global_sales_dataset[[#This Row],[price_usd]]</f>
        <v>18723044</v>
      </c>
      <c r="O667">
        <v>524</v>
      </c>
    </row>
    <row r="668" spans="1:15" x14ac:dyDescent="0.35">
      <c r="A668">
        <v>2021</v>
      </c>
      <c r="B668">
        <v>12</v>
      </c>
      <c r="C668" t="s">
        <v>36</v>
      </c>
      <c r="D668" t="s">
        <v>22</v>
      </c>
      <c r="E668" t="s">
        <v>20</v>
      </c>
      <c r="F668" t="s">
        <v>23</v>
      </c>
      <c r="G668" s="1">
        <v>112506</v>
      </c>
      <c r="H668" s="1">
        <v>53317</v>
      </c>
      <c r="I668">
        <v>291</v>
      </c>
      <c r="J668">
        <v>0.97</v>
      </c>
      <c r="K668">
        <v>6.29</v>
      </c>
      <c r="L668">
        <v>1.2</v>
      </c>
      <c r="M668">
        <v>6</v>
      </c>
      <c r="N668" s="1">
        <f>bmw_global_sales_dataset[[#This Row],[units_sold]]*bmw_global_sales_dataset[[#This Row],[price_usd]]</f>
        <v>76616586</v>
      </c>
      <c r="O668">
        <v>681</v>
      </c>
    </row>
    <row r="669" spans="1:15" x14ac:dyDescent="0.35">
      <c r="A669">
        <v>2021</v>
      </c>
      <c r="B669">
        <v>8</v>
      </c>
      <c r="C669" t="s">
        <v>36</v>
      </c>
      <c r="D669" t="s">
        <v>26</v>
      </c>
      <c r="E669" t="s">
        <v>19</v>
      </c>
      <c r="F669" t="s">
        <v>17</v>
      </c>
      <c r="G669" s="1">
        <v>103469</v>
      </c>
      <c r="H669" s="1">
        <v>355302</v>
      </c>
      <c r="I669">
        <v>170</v>
      </c>
      <c r="J669">
        <v>0.97</v>
      </c>
      <c r="K669">
        <v>6.29</v>
      </c>
      <c r="L669">
        <v>1.2</v>
      </c>
      <c r="M669">
        <v>10</v>
      </c>
      <c r="N669" s="1">
        <f>bmw_global_sales_dataset[[#This Row],[units_sold]]*bmw_global_sales_dataset[[#This Row],[price_usd]]</f>
        <v>76049715</v>
      </c>
      <c r="O669">
        <v>735</v>
      </c>
    </row>
    <row r="670" spans="1:15" x14ac:dyDescent="0.35">
      <c r="A670">
        <v>2021</v>
      </c>
      <c r="B670">
        <v>8</v>
      </c>
      <c r="C670" t="s">
        <v>14</v>
      </c>
      <c r="D670" t="s">
        <v>24</v>
      </c>
      <c r="E670" t="s">
        <v>19</v>
      </c>
      <c r="F670" t="s">
        <v>27</v>
      </c>
      <c r="G670" s="1">
        <v>39239</v>
      </c>
      <c r="H670" s="1">
        <v>469876</v>
      </c>
      <c r="I670">
        <v>126</v>
      </c>
      <c r="J670">
        <v>0.97</v>
      </c>
      <c r="K670">
        <v>6.29</v>
      </c>
      <c r="L670">
        <v>1.2</v>
      </c>
      <c r="M670">
        <v>7</v>
      </c>
      <c r="N670" s="1">
        <f>bmw_global_sales_dataset[[#This Row],[units_sold]]*bmw_global_sales_dataset[[#This Row],[price_usd]]</f>
        <v>25858501</v>
      </c>
      <c r="O670">
        <v>659</v>
      </c>
    </row>
    <row r="671" spans="1:15" x14ac:dyDescent="0.35">
      <c r="A671">
        <v>2021</v>
      </c>
      <c r="B671">
        <v>4</v>
      </c>
      <c r="C671" t="s">
        <v>28</v>
      </c>
      <c r="D671" t="s">
        <v>24</v>
      </c>
      <c r="E671" t="s">
        <v>19</v>
      </c>
      <c r="F671" t="s">
        <v>20</v>
      </c>
      <c r="G671" s="1">
        <v>110483</v>
      </c>
      <c r="H671" s="1">
        <v>427411</v>
      </c>
      <c r="I671">
        <v>225</v>
      </c>
      <c r="J671">
        <v>0.97</v>
      </c>
      <c r="K671">
        <v>6.29</v>
      </c>
      <c r="L671">
        <v>1.2</v>
      </c>
      <c r="M671">
        <v>3</v>
      </c>
      <c r="N671" s="1">
        <f>bmw_global_sales_dataset[[#This Row],[units_sold]]*bmw_global_sales_dataset[[#This Row],[price_usd]]</f>
        <v>70819603</v>
      </c>
      <c r="O671">
        <v>641</v>
      </c>
    </row>
    <row r="672" spans="1:15" x14ac:dyDescent="0.35">
      <c r="A672">
        <v>2021</v>
      </c>
      <c r="B672">
        <v>10</v>
      </c>
      <c r="C672" t="s">
        <v>32</v>
      </c>
      <c r="D672" t="s">
        <v>39</v>
      </c>
      <c r="E672" t="s">
        <v>20</v>
      </c>
      <c r="F672" t="s">
        <v>20</v>
      </c>
      <c r="G672" s="1">
        <v>107227</v>
      </c>
      <c r="H672" s="1">
        <v>422684</v>
      </c>
      <c r="I672">
        <v>79</v>
      </c>
      <c r="J672">
        <v>0.97</v>
      </c>
      <c r="K672">
        <v>6.29</v>
      </c>
      <c r="L672">
        <v>1.2</v>
      </c>
      <c r="M672">
        <v>9</v>
      </c>
      <c r="N672" s="1">
        <f>bmw_global_sales_dataset[[#This Row],[units_sold]]*bmw_global_sales_dataset[[#This Row],[price_usd]]</f>
        <v>40746260</v>
      </c>
      <c r="O672">
        <v>380</v>
      </c>
    </row>
    <row r="673" spans="1:15" x14ac:dyDescent="0.35">
      <c r="A673">
        <v>2021</v>
      </c>
      <c r="B673">
        <v>10</v>
      </c>
      <c r="C673" t="s">
        <v>25</v>
      </c>
      <c r="D673" t="s">
        <v>22</v>
      </c>
      <c r="E673" t="s">
        <v>16</v>
      </c>
      <c r="F673" t="s">
        <v>17</v>
      </c>
      <c r="G673" s="1">
        <v>106894</v>
      </c>
      <c r="H673" s="1">
        <v>379061</v>
      </c>
      <c r="I673">
        <v>35</v>
      </c>
      <c r="J673">
        <v>0.97</v>
      </c>
      <c r="K673">
        <v>6.29</v>
      </c>
      <c r="L673">
        <v>1.2</v>
      </c>
      <c r="M673">
        <v>2</v>
      </c>
      <c r="N673" s="1">
        <f>bmw_global_sales_dataset[[#This Row],[units_sold]]*bmw_global_sales_dataset[[#This Row],[price_usd]]</f>
        <v>49919498</v>
      </c>
      <c r="O673">
        <v>467</v>
      </c>
    </row>
    <row r="674" spans="1:15" x14ac:dyDescent="0.35">
      <c r="A674">
        <v>2021</v>
      </c>
      <c r="B674">
        <v>2</v>
      </c>
      <c r="C674" t="s">
        <v>37</v>
      </c>
      <c r="D674" t="s">
        <v>33</v>
      </c>
      <c r="E674" t="s">
        <v>19</v>
      </c>
      <c r="F674" t="s">
        <v>23</v>
      </c>
      <c r="G674" s="1">
        <v>111106</v>
      </c>
      <c r="H674" s="1">
        <v>108560</v>
      </c>
      <c r="I674">
        <v>98</v>
      </c>
      <c r="J674">
        <v>0.97</v>
      </c>
      <c r="K674">
        <v>6.29</v>
      </c>
      <c r="L674">
        <v>1.2</v>
      </c>
      <c r="M674">
        <v>4</v>
      </c>
      <c r="N674" s="1">
        <f>bmw_global_sales_dataset[[#This Row],[units_sold]]*bmw_global_sales_dataset[[#This Row],[price_usd]]</f>
        <v>42331386</v>
      </c>
      <c r="O674">
        <v>381</v>
      </c>
    </row>
    <row r="675" spans="1:15" x14ac:dyDescent="0.35">
      <c r="A675">
        <v>2021</v>
      </c>
      <c r="B675">
        <v>1</v>
      </c>
      <c r="C675" t="s">
        <v>35</v>
      </c>
      <c r="D675" t="s">
        <v>39</v>
      </c>
      <c r="E675" t="s">
        <v>20</v>
      </c>
      <c r="F675" t="s">
        <v>20</v>
      </c>
      <c r="G675" s="1">
        <v>109694</v>
      </c>
      <c r="H675" s="1">
        <v>258137</v>
      </c>
      <c r="I675">
        <v>148</v>
      </c>
      <c r="J675">
        <v>0.97</v>
      </c>
      <c r="K675">
        <v>6.29</v>
      </c>
      <c r="L675">
        <v>1.2</v>
      </c>
      <c r="M675">
        <v>8</v>
      </c>
      <c r="N675" s="1">
        <f>bmw_global_sales_dataset[[#This Row],[units_sold]]*bmw_global_sales_dataset[[#This Row],[price_usd]]</f>
        <v>44974540</v>
      </c>
      <c r="O675">
        <v>410</v>
      </c>
    </row>
    <row r="676" spans="1:15" x14ac:dyDescent="0.35">
      <c r="A676">
        <v>2021</v>
      </c>
      <c r="B676">
        <v>7</v>
      </c>
      <c r="C676" t="s">
        <v>38</v>
      </c>
      <c r="D676" t="s">
        <v>26</v>
      </c>
      <c r="E676" t="s">
        <v>19</v>
      </c>
      <c r="F676" t="s">
        <v>20</v>
      </c>
      <c r="G676" s="1">
        <v>82662</v>
      </c>
      <c r="H676" s="1">
        <v>230775</v>
      </c>
      <c r="I676">
        <v>267</v>
      </c>
      <c r="J676">
        <v>0.97</v>
      </c>
      <c r="K676">
        <v>6.29</v>
      </c>
      <c r="L676">
        <v>1.2</v>
      </c>
      <c r="M676">
        <v>9</v>
      </c>
      <c r="N676" s="1">
        <f>bmw_global_sales_dataset[[#This Row],[units_sold]]*bmw_global_sales_dataset[[#This Row],[price_usd]]</f>
        <v>52986342</v>
      </c>
      <c r="O676">
        <v>641</v>
      </c>
    </row>
    <row r="677" spans="1:15" x14ac:dyDescent="0.35">
      <c r="A677">
        <v>2021</v>
      </c>
      <c r="B677">
        <v>6</v>
      </c>
      <c r="C677" t="s">
        <v>28</v>
      </c>
      <c r="D677" t="s">
        <v>26</v>
      </c>
      <c r="E677" t="s">
        <v>19</v>
      </c>
      <c r="F677" t="s">
        <v>17</v>
      </c>
      <c r="G677" s="1">
        <v>56029</v>
      </c>
      <c r="H677" s="1">
        <v>153920</v>
      </c>
      <c r="I677">
        <v>303</v>
      </c>
      <c r="J677">
        <v>0.97</v>
      </c>
      <c r="K677">
        <v>6.29</v>
      </c>
      <c r="L677">
        <v>1.2</v>
      </c>
      <c r="M677">
        <v>9</v>
      </c>
      <c r="N677" s="1">
        <f>bmw_global_sales_dataset[[#This Row],[units_sold]]*bmw_global_sales_dataset[[#This Row],[price_usd]]</f>
        <v>38211778</v>
      </c>
      <c r="O677">
        <v>682</v>
      </c>
    </row>
    <row r="678" spans="1:15" x14ac:dyDescent="0.35">
      <c r="A678">
        <v>2021</v>
      </c>
      <c r="B678">
        <v>12</v>
      </c>
      <c r="C678" t="s">
        <v>30</v>
      </c>
      <c r="D678" t="s">
        <v>22</v>
      </c>
      <c r="E678" t="s">
        <v>16</v>
      </c>
      <c r="F678" t="s">
        <v>20</v>
      </c>
      <c r="G678" s="1">
        <v>99604</v>
      </c>
      <c r="H678" s="1">
        <v>123606</v>
      </c>
      <c r="I678">
        <v>207</v>
      </c>
      <c r="J678">
        <v>0.97</v>
      </c>
      <c r="K678">
        <v>6.29</v>
      </c>
      <c r="L678">
        <v>1.2</v>
      </c>
      <c r="M678">
        <v>7</v>
      </c>
      <c r="N678" s="1">
        <f>bmw_global_sales_dataset[[#This Row],[units_sold]]*bmw_global_sales_dataset[[#This Row],[price_usd]]</f>
        <v>75101416</v>
      </c>
      <c r="O678">
        <v>754</v>
      </c>
    </row>
    <row r="679" spans="1:15" x14ac:dyDescent="0.35">
      <c r="A679">
        <v>2021</v>
      </c>
      <c r="B679">
        <v>2</v>
      </c>
      <c r="C679" t="s">
        <v>38</v>
      </c>
      <c r="D679" t="s">
        <v>39</v>
      </c>
      <c r="E679" t="s">
        <v>19</v>
      </c>
      <c r="F679" t="s">
        <v>27</v>
      </c>
      <c r="G679" s="1">
        <v>63307</v>
      </c>
      <c r="H679" s="1">
        <v>74099</v>
      </c>
      <c r="I679">
        <v>78</v>
      </c>
      <c r="J679">
        <v>0.97</v>
      </c>
      <c r="K679">
        <v>6.29</v>
      </c>
      <c r="L679">
        <v>1.2</v>
      </c>
      <c r="M679">
        <v>4</v>
      </c>
      <c r="N679" s="1">
        <f>bmw_global_sales_dataset[[#This Row],[units_sold]]*bmw_global_sales_dataset[[#This Row],[price_usd]]</f>
        <v>13990847</v>
      </c>
      <c r="O679">
        <v>221</v>
      </c>
    </row>
    <row r="680" spans="1:15" x14ac:dyDescent="0.35">
      <c r="A680">
        <v>2021</v>
      </c>
      <c r="B680">
        <v>1</v>
      </c>
      <c r="C680" t="s">
        <v>14</v>
      </c>
      <c r="D680" t="s">
        <v>24</v>
      </c>
      <c r="E680" t="s">
        <v>20</v>
      </c>
      <c r="F680" t="s">
        <v>17</v>
      </c>
      <c r="G680" s="1">
        <v>78258</v>
      </c>
      <c r="H680" s="1">
        <v>298003</v>
      </c>
      <c r="I680">
        <v>40</v>
      </c>
      <c r="J680">
        <v>0.97</v>
      </c>
      <c r="K680">
        <v>6.29</v>
      </c>
      <c r="L680">
        <v>1.2</v>
      </c>
      <c r="M680">
        <v>1</v>
      </c>
      <c r="N680" s="1">
        <f>bmw_global_sales_dataset[[#This Row],[units_sold]]*bmw_global_sales_dataset[[#This Row],[price_usd]]</f>
        <v>39520290</v>
      </c>
      <c r="O680">
        <v>505</v>
      </c>
    </row>
    <row r="681" spans="1:15" x14ac:dyDescent="0.35">
      <c r="A681">
        <v>2021</v>
      </c>
      <c r="B681">
        <v>6</v>
      </c>
      <c r="C681" t="s">
        <v>35</v>
      </c>
      <c r="D681" t="s">
        <v>29</v>
      </c>
      <c r="E681" t="s">
        <v>16</v>
      </c>
      <c r="F681" t="s">
        <v>23</v>
      </c>
      <c r="G681" s="1">
        <v>35215</v>
      </c>
      <c r="H681" s="1">
        <v>268168</v>
      </c>
      <c r="I681">
        <v>114</v>
      </c>
      <c r="J681">
        <v>0.97</v>
      </c>
      <c r="K681">
        <v>6.29</v>
      </c>
      <c r="L681">
        <v>1.2</v>
      </c>
      <c r="M681">
        <v>9</v>
      </c>
      <c r="N681" s="1">
        <f>bmw_global_sales_dataset[[#This Row],[units_sold]]*bmw_global_sales_dataset[[#This Row],[price_usd]]</f>
        <v>10141920</v>
      </c>
      <c r="O681">
        <v>288</v>
      </c>
    </row>
    <row r="682" spans="1:15" x14ac:dyDescent="0.35">
      <c r="A682">
        <v>2021</v>
      </c>
      <c r="B682">
        <v>2</v>
      </c>
      <c r="C682" t="s">
        <v>28</v>
      </c>
      <c r="D682" t="s">
        <v>29</v>
      </c>
      <c r="E682" t="s">
        <v>20</v>
      </c>
      <c r="F682" t="s">
        <v>17</v>
      </c>
      <c r="G682" s="1">
        <v>106537</v>
      </c>
      <c r="H682" s="1">
        <v>228446</v>
      </c>
      <c r="I682">
        <v>326</v>
      </c>
      <c r="J682">
        <v>0.97</v>
      </c>
      <c r="K682">
        <v>6.29</v>
      </c>
      <c r="L682">
        <v>1.2</v>
      </c>
      <c r="M682">
        <v>2</v>
      </c>
      <c r="N682" s="1">
        <f>bmw_global_sales_dataset[[#This Row],[units_sold]]*bmw_global_sales_dataset[[#This Row],[price_usd]]</f>
        <v>98866336</v>
      </c>
      <c r="O682">
        <v>928</v>
      </c>
    </row>
    <row r="683" spans="1:15" x14ac:dyDescent="0.35">
      <c r="A683">
        <v>2021</v>
      </c>
      <c r="B683">
        <v>12</v>
      </c>
      <c r="C683" t="s">
        <v>32</v>
      </c>
      <c r="D683" t="s">
        <v>18</v>
      </c>
      <c r="E683" t="s">
        <v>20</v>
      </c>
      <c r="F683" t="s">
        <v>17</v>
      </c>
      <c r="G683" s="1">
        <v>114465</v>
      </c>
      <c r="H683" s="1">
        <v>407521</v>
      </c>
      <c r="I683">
        <v>270</v>
      </c>
      <c r="J683">
        <v>0.97</v>
      </c>
      <c r="K683">
        <v>6.29</v>
      </c>
      <c r="L683">
        <v>1.2</v>
      </c>
      <c r="M683">
        <v>8</v>
      </c>
      <c r="N683" s="1">
        <f>bmw_global_sales_dataset[[#This Row],[units_sold]]*bmw_global_sales_dataset[[#This Row],[price_usd]]</f>
        <v>63299145</v>
      </c>
      <c r="O683">
        <v>553</v>
      </c>
    </row>
    <row r="684" spans="1:15" x14ac:dyDescent="0.35">
      <c r="A684">
        <v>2021</v>
      </c>
      <c r="B684">
        <v>4</v>
      </c>
      <c r="C684" t="s">
        <v>35</v>
      </c>
      <c r="D684" t="s">
        <v>39</v>
      </c>
      <c r="E684" t="s">
        <v>20</v>
      </c>
      <c r="F684" t="s">
        <v>23</v>
      </c>
      <c r="G684" s="1">
        <v>72333</v>
      </c>
      <c r="H684" s="1">
        <v>355007</v>
      </c>
      <c r="I684">
        <v>287</v>
      </c>
      <c r="J684">
        <v>0.97</v>
      </c>
      <c r="K684">
        <v>6.29</v>
      </c>
      <c r="L684">
        <v>1.2</v>
      </c>
      <c r="M684">
        <v>6</v>
      </c>
      <c r="N684" s="1">
        <f>bmw_global_sales_dataset[[#This Row],[units_sold]]*bmw_global_sales_dataset[[#This Row],[price_usd]]</f>
        <v>46582452</v>
      </c>
      <c r="O684">
        <v>644</v>
      </c>
    </row>
    <row r="685" spans="1:15" x14ac:dyDescent="0.35">
      <c r="A685">
        <v>2021</v>
      </c>
      <c r="B685">
        <v>7</v>
      </c>
      <c r="C685" t="s">
        <v>25</v>
      </c>
      <c r="D685" t="s">
        <v>39</v>
      </c>
      <c r="E685" t="s">
        <v>20</v>
      </c>
      <c r="F685" t="s">
        <v>20</v>
      </c>
      <c r="G685" s="1">
        <v>118053</v>
      </c>
      <c r="H685" s="1">
        <v>148707</v>
      </c>
      <c r="I685">
        <v>13</v>
      </c>
      <c r="J685">
        <v>0.97</v>
      </c>
      <c r="K685">
        <v>6.29</v>
      </c>
      <c r="L685">
        <v>1.2</v>
      </c>
      <c r="M685">
        <v>2</v>
      </c>
      <c r="N685" s="1">
        <f>bmw_global_sales_dataset[[#This Row],[units_sold]]*bmw_global_sales_dataset[[#This Row],[price_usd]]</f>
        <v>34235370</v>
      </c>
      <c r="O685">
        <v>290</v>
      </c>
    </row>
    <row r="686" spans="1:15" x14ac:dyDescent="0.35">
      <c r="A686">
        <v>2021</v>
      </c>
      <c r="B686">
        <v>6</v>
      </c>
      <c r="C686" t="s">
        <v>37</v>
      </c>
      <c r="D686" t="s">
        <v>31</v>
      </c>
      <c r="E686" t="s">
        <v>16</v>
      </c>
      <c r="F686" t="s">
        <v>17</v>
      </c>
      <c r="G686" s="1">
        <v>59466</v>
      </c>
      <c r="H686" s="1">
        <v>295847</v>
      </c>
      <c r="I686">
        <v>38</v>
      </c>
      <c r="J686">
        <v>0.97</v>
      </c>
      <c r="K686">
        <v>6.29</v>
      </c>
      <c r="L686">
        <v>1.2</v>
      </c>
      <c r="M686">
        <v>10</v>
      </c>
      <c r="N686" s="1">
        <f>bmw_global_sales_dataset[[#This Row],[units_sold]]*bmw_global_sales_dataset[[#This Row],[price_usd]]</f>
        <v>24678390</v>
      </c>
      <c r="O686">
        <v>415</v>
      </c>
    </row>
    <row r="687" spans="1:15" x14ac:dyDescent="0.35">
      <c r="A687">
        <v>2021</v>
      </c>
      <c r="B687">
        <v>3</v>
      </c>
      <c r="C687" t="s">
        <v>14</v>
      </c>
      <c r="D687" t="s">
        <v>22</v>
      </c>
      <c r="E687" t="s">
        <v>16</v>
      </c>
      <c r="F687" t="s">
        <v>17</v>
      </c>
      <c r="G687" s="1">
        <v>75875</v>
      </c>
      <c r="H687" s="1">
        <v>392016</v>
      </c>
      <c r="I687">
        <v>254</v>
      </c>
      <c r="J687">
        <v>0.97</v>
      </c>
      <c r="K687">
        <v>6.29</v>
      </c>
      <c r="L687">
        <v>1.2</v>
      </c>
      <c r="M687">
        <v>3</v>
      </c>
      <c r="N687" s="1">
        <f>bmw_global_sales_dataset[[#This Row],[units_sold]]*bmw_global_sales_dataset[[#This Row],[price_usd]]</f>
        <v>52657250</v>
      </c>
      <c r="O687">
        <v>694</v>
      </c>
    </row>
    <row r="688" spans="1:15" x14ac:dyDescent="0.35">
      <c r="A688">
        <v>2021</v>
      </c>
      <c r="B688">
        <v>12</v>
      </c>
      <c r="C688" t="s">
        <v>32</v>
      </c>
      <c r="D688" t="s">
        <v>34</v>
      </c>
      <c r="E688" t="s">
        <v>20</v>
      </c>
      <c r="F688" t="s">
        <v>20</v>
      </c>
      <c r="G688" s="1">
        <v>61532</v>
      </c>
      <c r="H688" s="1">
        <v>405113</v>
      </c>
      <c r="I688">
        <v>66</v>
      </c>
      <c r="J688">
        <v>0.97</v>
      </c>
      <c r="K688">
        <v>6.29</v>
      </c>
      <c r="L688">
        <v>1.2</v>
      </c>
      <c r="M688">
        <v>6</v>
      </c>
      <c r="N688" s="1">
        <f>bmw_global_sales_dataset[[#This Row],[units_sold]]*bmw_global_sales_dataset[[#This Row],[price_usd]]</f>
        <v>12367932</v>
      </c>
      <c r="O688">
        <v>201</v>
      </c>
    </row>
    <row r="689" spans="1:15" x14ac:dyDescent="0.35">
      <c r="A689">
        <v>2021</v>
      </c>
      <c r="B689">
        <v>9</v>
      </c>
      <c r="C689" t="s">
        <v>28</v>
      </c>
      <c r="D689" t="s">
        <v>33</v>
      </c>
      <c r="E689" t="s">
        <v>16</v>
      </c>
      <c r="F689" t="s">
        <v>27</v>
      </c>
      <c r="G689" s="1">
        <v>90514</v>
      </c>
      <c r="H689" s="1">
        <v>267995</v>
      </c>
      <c r="I689">
        <v>285</v>
      </c>
      <c r="J689">
        <v>0.97</v>
      </c>
      <c r="K689">
        <v>6.29</v>
      </c>
      <c r="L689">
        <v>1.2</v>
      </c>
      <c r="M689">
        <v>2</v>
      </c>
      <c r="N689" s="1">
        <f>bmw_global_sales_dataset[[#This Row],[units_sold]]*bmw_global_sales_dataset[[#This Row],[price_usd]]</f>
        <v>80014376</v>
      </c>
      <c r="O689">
        <v>884</v>
      </c>
    </row>
    <row r="690" spans="1:15" x14ac:dyDescent="0.35">
      <c r="A690">
        <v>2021</v>
      </c>
      <c r="B690">
        <v>3</v>
      </c>
      <c r="C690" t="s">
        <v>14</v>
      </c>
      <c r="D690" t="s">
        <v>29</v>
      </c>
      <c r="E690" t="s">
        <v>16</v>
      </c>
      <c r="F690" t="s">
        <v>27</v>
      </c>
      <c r="G690" s="1">
        <v>35060</v>
      </c>
      <c r="H690" s="1">
        <v>343313</v>
      </c>
      <c r="I690">
        <v>190</v>
      </c>
      <c r="J690">
        <v>0.97</v>
      </c>
      <c r="K690">
        <v>6.29</v>
      </c>
      <c r="L690">
        <v>1.2</v>
      </c>
      <c r="M690">
        <v>1</v>
      </c>
      <c r="N690" s="1">
        <f>bmw_global_sales_dataset[[#This Row],[units_sold]]*bmw_global_sales_dataset[[#This Row],[price_usd]]</f>
        <v>16443140</v>
      </c>
      <c r="O690">
        <v>469</v>
      </c>
    </row>
    <row r="691" spans="1:15" x14ac:dyDescent="0.35">
      <c r="A691">
        <v>2021</v>
      </c>
      <c r="B691">
        <v>4</v>
      </c>
      <c r="C691" t="s">
        <v>14</v>
      </c>
      <c r="D691" t="s">
        <v>34</v>
      </c>
      <c r="E691" t="s">
        <v>19</v>
      </c>
      <c r="F691" t="s">
        <v>27</v>
      </c>
      <c r="G691" s="1">
        <v>90830</v>
      </c>
      <c r="H691" s="1">
        <v>139941</v>
      </c>
      <c r="I691">
        <v>300</v>
      </c>
      <c r="J691">
        <v>0.97</v>
      </c>
      <c r="K691">
        <v>6.29</v>
      </c>
      <c r="L691">
        <v>1.2</v>
      </c>
      <c r="M691">
        <v>8</v>
      </c>
      <c r="N691" s="1">
        <f>bmw_global_sales_dataset[[#This Row],[units_sold]]*bmw_global_sales_dataset[[#This Row],[price_usd]]</f>
        <v>57132070</v>
      </c>
      <c r="O691">
        <v>629</v>
      </c>
    </row>
    <row r="692" spans="1:15" x14ac:dyDescent="0.35">
      <c r="A692">
        <v>2021</v>
      </c>
      <c r="B692">
        <v>2</v>
      </c>
      <c r="C692" t="s">
        <v>14</v>
      </c>
      <c r="D692" t="s">
        <v>29</v>
      </c>
      <c r="E692" t="s">
        <v>19</v>
      </c>
      <c r="F692" t="s">
        <v>23</v>
      </c>
      <c r="G692" s="1">
        <v>84178</v>
      </c>
      <c r="H692" s="1">
        <v>194962</v>
      </c>
      <c r="I692">
        <v>187</v>
      </c>
      <c r="J692">
        <v>0.97</v>
      </c>
      <c r="K692">
        <v>6.29</v>
      </c>
      <c r="L692">
        <v>1.2</v>
      </c>
      <c r="M692">
        <v>8</v>
      </c>
      <c r="N692" s="1">
        <f>bmw_global_sales_dataset[[#This Row],[units_sold]]*bmw_global_sales_dataset[[#This Row],[price_usd]]</f>
        <v>33755378</v>
      </c>
      <c r="O692">
        <v>401</v>
      </c>
    </row>
    <row r="693" spans="1:15" x14ac:dyDescent="0.35">
      <c r="A693">
        <v>2021</v>
      </c>
      <c r="B693">
        <v>3</v>
      </c>
      <c r="C693" t="s">
        <v>35</v>
      </c>
      <c r="D693" t="s">
        <v>34</v>
      </c>
      <c r="E693" t="s">
        <v>16</v>
      </c>
      <c r="F693" t="s">
        <v>27</v>
      </c>
      <c r="G693" s="1">
        <v>74886</v>
      </c>
      <c r="H693" s="1">
        <v>176044</v>
      </c>
      <c r="I693">
        <v>282</v>
      </c>
      <c r="J693">
        <v>0.97</v>
      </c>
      <c r="K693">
        <v>6.29</v>
      </c>
      <c r="L693">
        <v>1.2</v>
      </c>
      <c r="M693">
        <v>9</v>
      </c>
      <c r="N693" s="1">
        <f>bmw_global_sales_dataset[[#This Row],[units_sold]]*bmw_global_sales_dataset[[#This Row],[price_usd]]</f>
        <v>70018410</v>
      </c>
      <c r="O693">
        <v>935</v>
      </c>
    </row>
    <row r="694" spans="1:15" x14ac:dyDescent="0.35">
      <c r="A694">
        <v>2021</v>
      </c>
      <c r="B694">
        <v>6</v>
      </c>
      <c r="C694" t="s">
        <v>37</v>
      </c>
      <c r="D694" t="s">
        <v>22</v>
      </c>
      <c r="E694" t="s">
        <v>16</v>
      </c>
      <c r="F694" t="s">
        <v>23</v>
      </c>
      <c r="G694" s="1">
        <v>96247</v>
      </c>
      <c r="H694" s="1">
        <v>292330</v>
      </c>
      <c r="I694">
        <v>46</v>
      </c>
      <c r="J694">
        <v>0.97</v>
      </c>
      <c r="K694">
        <v>6.29</v>
      </c>
      <c r="L694">
        <v>1.2</v>
      </c>
      <c r="M694">
        <v>8</v>
      </c>
      <c r="N694" s="1">
        <f>bmw_global_sales_dataset[[#This Row],[units_sold]]*bmw_global_sales_dataset[[#This Row],[price_usd]]</f>
        <v>13089592</v>
      </c>
      <c r="O694">
        <v>136</v>
      </c>
    </row>
    <row r="695" spans="1:15" x14ac:dyDescent="0.35">
      <c r="A695">
        <v>2021</v>
      </c>
      <c r="B695">
        <v>8</v>
      </c>
      <c r="C695" t="s">
        <v>32</v>
      </c>
      <c r="D695" t="s">
        <v>31</v>
      </c>
      <c r="E695" t="s">
        <v>19</v>
      </c>
      <c r="F695" t="s">
        <v>23</v>
      </c>
      <c r="G695" s="1">
        <v>81041</v>
      </c>
      <c r="H695" s="1">
        <v>194179</v>
      </c>
      <c r="I695">
        <v>276</v>
      </c>
      <c r="J695">
        <v>0.97</v>
      </c>
      <c r="K695">
        <v>6.29</v>
      </c>
      <c r="L695">
        <v>1.2</v>
      </c>
      <c r="M695">
        <v>1</v>
      </c>
      <c r="N695" s="1">
        <f>bmw_global_sales_dataset[[#This Row],[units_sold]]*bmw_global_sales_dataset[[#This Row],[price_usd]]</f>
        <v>51542076</v>
      </c>
      <c r="O695">
        <v>636</v>
      </c>
    </row>
    <row r="696" spans="1:15" x14ac:dyDescent="0.35">
      <c r="A696">
        <v>2021</v>
      </c>
      <c r="B696">
        <v>8</v>
      </c>
      <c r="C696" t="s">
        <v>14</v>
      </c>
      <c r="D696" t="s">
        <v>31</v>
      </c>
      <c r="E696" t="s">
        <v>20</v>
      </c>
      <c r="F696" t="s">
        <v>27</v>
      </c>
      <c r="G696" s="1">
        <v>118658</v>
      </c>
      <c r="H696" s="1">
        <v>82940</v>
      </c>
      <c r="I696">
        <v>59</v>
      </c>
      <c r="J696">
        <v>0.97</v>
      </c>
      <c r="K696">
        <v>6.29</v>
      </c>
      <c r="L696">
        <v>1.2</v>
      </c>
      <c r="M696">
        <v>5</v>
      </c>
      <c r="N696" s="1">
        <f>bmw_global_sales_dataset[[#This Row],[units_sold]]*bmw_global_sales_dataset[[#This Row],[price_usd]]</f>
        <v>58854368</v>
      </c>
      <c r="O696">
        <v>496</v>
      </c>
    </row>
    <row r="697" spans="1:15" x14ac:dyDescent="0.35">
      <c r="A697">
        <v>2021</v>
      </c>
      <c r="B697">
        <v>12</v>
      </c>
      <c r="C697" t="s">
        <v>35</v>
      </c>
      <c r="D697" t="s">
        <v>15</v>
      </c>
      <c r="E697" t="s">
        <v>20</v>
      </c>
      <c r="F697" t="s">
        <v>23</v>
      </c>
      <c r="G697" s="1">
        <v>117844</v>
      </c>
      <c r="H697" s="1">
        <v>441897</v>
      </c>
      <c r="I697">
        <v>332</v>
      </c>
      <c r="J697">
        <v>0.97</v>
      </c>
      <c r="K697">
        <v>6.29</v>
      </c>
      <c r="L697">
        <v>1.2</v>
      </c>
      <c r="M697">
        <v>9</v>
      </c>
      <c r="N697" s="1">
        <f>bmw_global_sales_dataset[[#This Row],[units_sold]]*bmw_global_sales_dataset[[#This Row],[price_usd]]</f>
        <v>86968872</v>
      </c>
      <c r="O697">
        <v>738</v>
      </c>
    </row>
    <row r="698" spans="1:15" x14ac:dyDescent="0.35">
      <c r="A698">
        <v>2021</v>
      </c>
      <c r="B698">
        <v>9</v>
      </c>
      <c r="C698" t="s">
        <v>25</v>
      </c>
      <c r="D698" t="s">
        <v>33</v>
      </c>
      <c r="E698" t="s">
        <v>20</v>
      </c>
      <c r="F698" t="s">
        <v>27</v>
      </c>
      <c r="G698" s="1">
        <v>79755</v>
      </c>
      <c r="H698" s="1">
        <v>441351</v>
      </c>
      <c r="I698">
        <v>290</v>
      </c>
      <c r="J698">
        <v>0.97</v>
      </c>
      <c r="K698">
        <v>6.29</v>
      </c>
      <c r="L698">
        <v>1.2</v>
      </c>
      <c r="M698">
        <v>8</v>
      </c>
      <c r="N698" s="1">
        <f>bmw_global_sales_dataset[[#This Row],[units_sold]]*bmw_global_sales_dataset[[#This Row],[price_usd]]</f>
        <v>48012510</v>
      </c>
      <c r="O698">
        <v>602</v>
      </c>
    </row>
    <row r="699" spans="1:15" x14ac:dyDescent="0.35">
      <c r="A699">
        <v>2021</v>
      </c>
      <c r="B699">
        <v>3</v>
      </c>
      <c r="C699" t="s">
        <v>38</v>
      </c>
      <c r="D699" t="s">
        <v>15</v>
      </c>
      <c r="E699" t="s">
        <v>16</v>
      </c>
      <c r="F699" t="s">
        <v>17</v>
      </c>
      <c r="G699" s="1">
        <v>70853</v>
      </c>
      <c r="H699" s="1">
        <v>127511</v>
      </c>
      <c r="I699">
        <v>95</v>
      </c>
      <c r="J699">
        <v>0.97</v>
      </c>
      <c r="K699">
        <v>6.29</v>
      </c>
      <c r="L699">
        <v>1.2</v>
      </c>
      <c r="M699">
        <v>4</v>
      </c>
      <c r="N699" s="1">
        <f>bmw_global_sales_dataset[[#This Row],[units_sold]]*bmw_global_sales_dataset[[#This Row],[price_usd]]</f>
        <v>30395937</v>
      </c>
      <c r="O699">
        <v>429</v>
      </c>
    </row>
    <row r="700" spans="1:15" x14ac:dyDescent="0.35">
      <c r="A700">
        <v>2021</v>
      </c>
      <c r="B700">
        <v>5</v>
      </c>
      <c r="C700" t="s">
        <v>21</v>
      </c>
      <c r="D700" t="s">
        <v>31</v>
      </c>
      <c r="E700" t="s">
        <v>16</v>
      </c>
      <c r="F700" t="s">
        <v>17</v>
      </c>
      <c r="G700" s="1">
        <v>108591</v>
      </c>
      <c r="H700" s="1">
        <v>299836</v>
      </c>
      <c r="I700">
        <v>160</v>
      </c>
      <c r="J700">
        <v>0.97</v>
      </c>
      <c r="K700">
        <v>6.29</v>
      </c>
      <c r="L700">
        <v>1.2</v>
      </c>
      <c r="M700">
        <v>6</v>
      </c>
      <c r="N700" s="1">
        <f>bmw_global_sales_dataset[[#This Row],[units_sold]]*bmw_global_sales_dataset[[#This Row],[price_usd]]</f>
        <v>43762173</v>
      </c>
      <c r="O700">
        <v>403</v>
      </c>
    </row>
    <row r="701" spans="1:15" x14ac:dyDescent="0.35">
      <c r="A701">
        <v>2021</v>
      </c>
      <c r="B701">
        <v>5</v>
      </c>
      <c r="C701" t="s">
        <v>32</v>
      </c>
      <c r="D701" t="s">
        <v>26</v>
      </c>
      <c r="E701" t="s">
        <v>19</v>
      </c>
      <c r="F701" t="s">
        <v>27</v>
      </c>
      <c r="G701" s="1">
        <v>75718</v>
      </c>
      <c r="H701" s="1">
        <v>290056</v>
      </c>
      <c r="I701">
        <v>380</v>
      </c>
      <c r="J701">
        <v>0.97</v>
      </c>
      <c r="K701">
        <v>6.29</v>
      </c>
      <c r="L701">
        <v>1.2</v>
      </c>
      <c r="M701">
        <v>10</v>
      </c>
      <c r="N701" s="1">
        <f>bmw_global_sales_dataset[[#This Row],[units_sold]]*bmw_global_sales_dataset[[#This Row],[price_usd]]</f>
        <v>82381184</v>
      </c>
      <c r="O701">
        <v>1088</v>
      </c>
    </row>
    <row r="702" spans="1:15" x14ac:dyDescent="0.35">
      <c r="A702">
        <v>2021</v>
      </c>
      <c r="B702">
        <v>9</v>
      </c>
      <c r="C702" t="s">
        <v>25</v>
      </c>
      <c r="D702" t="s">
        <v>15</v>
      </c>
      <c r="E702" t="s">
        <v>16</v>
      </c>
      <c r="F702" t="s">
        <v>20</v>
      </c>
      <c r="G702" s="1">
        <v>115409</v>
      </c>
      <c r="H702" s="1">
        <v>163034</v>
      </c>
      <c r="I702">
        <v>250</v>
      </c>
      <c r="J702">
        <v>0.97</v>
      </c>
      <c r="K702">
        <v>6.29</v>
      </c>
      <c r="L702">
        <v>1.2</v>
      </c>
      <c r="M702">
        <v>4</v>
      </c>
      <c r="N702" s="1">
        <f>bmw_global_sales_dataset[[#This Row],[units_sold]]*bmw_global_sales_dataset[[#This Row],[price_usd]]</f>
        <v>81940390</v>
      </c>
      <c r="O702">
        <v>710</v>
      </c>
    </row>
    <row r="703" spans="1:15" x14ac:dyDescent="0.35">
      <c r="A703">
        <v>2021</v>
      </c>
      <c r="B703">
        <v>11</v>
      </c>
      <c r="C703" t="s">
        <v>25</v>
      </c>
      <c r="D703" t="s">
        <v>26</v>
      </c>
      <c r="E703" t="s">
        <v>20</v>
      </c>
      <c r="F703" t="s">
        <v>27</v>
      </c>
      <c r="G703" s="1">
        <v>50896</v>
      </c>
      <c r="H703" s="1">
        <v>173711</v>
      </c>
      <c r="I703">
        <v>299</v>
      </c>
      <c r="J703">
        <v>0.97</v>
      </c>
      <c r="K703">
        <v>6.29</v>
      </c>
      <c r="L703">
        <v>1.2</v>
      </c>
      <c r="M703">
        <v>10</v>
      </c>
      <c r="N703" s="1">
        <f>bmw_global_sales_dataset[[#This Row],[units_sold]]*bmw_global_sales_dataset[[#This Row],[price_usd]]</f>
        <v>33998528</v>
      </c>
      <c r="O703">
        <v>668</v>
      </c>
    </row>
    <row r="704" spans="1:15" x14ac:dyDescent="0.35">
      <c r="A704">
        <v>2022</v>
      </c>
      <c r="B704">
        <v>12</v>
      </c>
      <c r="C704" t="s">
        <v>21</v>
      </c>
      <c r="D704" t="s">
        <v>22</v>
      </c>
      <c r="E704" t="s">
        <v>20</v>
      </c>
      <c r="F704" t="s">
        <v>23</v>
      </c>
      <c r="G704" s="1">
        <v>40594</v>
      </c>
      <c r="H704" s="1">
        <v>259755</v>
      </c>
      <c r="I704">
        <v>25</v>
      </c>
      <c r="J704">
        <v>0.97</v>
      </c>
      <c r="K704">
        <v>6.29</v>
      </c>
      <c r="L704">
        <v>1.2</v>
      </c>
      <c r="M704">
        <v>7</v>
      </c>
      <c r="N704" s="1">
        <f>bmw_global_sales_dataset[[#This Row],[units_sold]]*bmw_global_sales_dataset[[#This Row],[price_usd]]</f>
        <v>6170288</v>
      </c>
      <c r="O704">
        <v>152</v>
      </c>
    </row>
    <row r="705" spans="1:15" x14ac:dyDescent="0.35">
      <c r="A705">
        <v>2022</v>
      </c>
      <c r="B705">
        <v>5</v>
      </c>
      <c r="C705" t="s">
        <v>30</v>
      </c>
      <c r="D705" t="s">
        <v>31</v>
      </c>
      <c r="E705" t="s">
        <v>19</v>
      </c>
      <c r="F705" t="s">
        <v>17</v>
      </c>
      <c r="G705" s="1">
        <v>42130</v>
      </c>
      <c r="H705" s="1">
        <v>487480</v>
      </c>
      <c r="I705">
        <v>11</v>
      </c>
      <c r="J705">
        <v>0.97</v>
      </c>
      <c r="K705">
        <v>6.29</v>
      </c>
      <c r="L705">
        <v>1.2</v>
      </c>
      <c r="M705">
        <v>4</v>
      </c>
      <c r="N705" s="1">
        <f>bmw_global_sales_dataset[[#This Row],[units_sold]]*bmw_global_sales_dataset[[#This Row],[price_usd]]</f>
        <v>18326550</v>
      </c>
      <c r="O705">
        <v>435</v>
      </c>
    </row>
    <row r="706" spans="1:15" x14ac:dyDescent="0.35">
      <c r="A706">
        <v>2022</v>
      </c>
      <c r="B706">
        <v>8</v>
      </c>
      <c r="C706" t="s">
        <v>25</v>
      </c>
      <c r="D706" t="s">
        <v>34</v>
      </c>
      <c r="E706" t="s">
        <v>20</v>
      </c>
      <c r="F706" t="s">
        <v>23</v>
      </c>
      <c r="G706" s="1">
        <v>87664</v>
      </c>
      <c r="H706" s="1">
        <v>265705</v>
      </c>
      <c r="I706">
        <v>324</v>
      </c>
      <c r="J706">
        <v>0.97</v>
      </c>
      <c r="K706">
        <v>6.29</v>
      </c>
      <c r="L706">
        <v>1.2</v>
      </c>
      <c r="M706">
        <v>2</v>
      </c>
      <c r="N706" s="1">
        <f>bmw_global_sales_dataset[[#This Row],[units_sold]]*bmw_global_sales_dataset[[#This Row],[price_usd]]</f>
        <v>72498128</v>
      </c>
      <c r="O706">
        <v>827</v>
      </c>
    </row>
    <row r="707" spans="1:15" x14ac:dyDescent="0.35">
      <c r="A707">
        <v>2022</v>
      </c>
      <c r="B707">
        <v>10</v>
      </c>
      <c r="C707" t="s">
        <v>35</v>
      </c>
      <c r="D707" t="s">
        <v>34</v>
      </c>
      <c r="E707" t="s">
        <v>20</v>
      </c>
      <c r="F707" t="s">
        <v>27</v>
      </c>
      <c r="G707" s="1">
        <v>52883</v>
      </c>
      <c r="H707" s="1">
        <v>414633</v>
      </c>
      <c r="I707">
        <v>334</v>
      </c>
      <c r="J707">
        <v>0.97</v>
      </c>
      <c r="K707">
        <v>6.29</v>
      </c>
      <c r="L707">
        <v>1.2</v>
      </c>
      <c r="M707">
        <v>8</v>
      </c>
      <c r="N707" s="1">
        <f>bmw_global_sales_dataset[[#This Row],[units_sold]]*bmw_global_sales_dataset[[#This Row],[price_usd]]</f>
        <v>37652696</v>
      </c>
      <c r="O707">
        <v>712</v>
      </c>
    </row>
    <row r="708" spans="1:15" x14ac:dyDescent="0.35">
      <c r="A708">
        <v>2022</v>
      </c>
      <c r="B708">
        <v>6</v>
      </c>
      <c r="C708" t="s">
        <v>21</v>
      </c>
      <c r="D708" t="s">
        <v>31</v>
      </c>
      <c r="E708" t="s">
        <v>19</v>
      </c>
      <c r="F708" t="s">
        <v>23</v>
      </c>
      <c r="G708" s="1">
        <v>110986</v>
      </c>
      <c r="H708" s="1">
        <v>296060</v>
      </c>
      <c r="I708">
        <v>310</v>
      </c>
      <c r="J708">
        <v>0.97</v>
      </c>
      <c r="K708">
        <v>6.29</v>
      </c>
      <c r="L708">
        <v>1.2</v>
      </c>
      <c r="M708">
        <v>8</v>
      </c>
      <c r="N708" s="1">
        <f>bmw_global_sales_dataset[[#This Row],[units_sold]]*bmw_global_sales_dataset[[#This Row],[price_usd]]</f>
        <v>71474984</v>
      </c>
      <c r="O708">
        <v>644</v>
      </c>
    </row>
    <row r="709" spans="1:15" x14ac:dyDescent="0.35">
      <c r="A709">
        <v>2022</v>
      </c>
      <c r="B709">
        <v>9</v>
      </c>
      <c r="C709" t="s">
        <v>21</v>
      </c>
      <c r="D709" t="s">
        <v>26</v>
      </c>
      <c r="E709" t="s">
        <v>16</v>
      </c>
      <c r="F709" t="s">
        <v>17</v>
      </c>
      <c r="G709" s="1">
        <v>65771</v>
      </c>
      <c r="H709" s="1">
        <v>432650</v>
      </c>
      <c r="I709">
        <v>20</v>
      </c>
      <c r="J709">
        <v>0.97</v>
      </c>
      <c r="K709">
        <v>6.29</v>
      </c>
      <c r="L709">
        <v>1.2</v>
      </c>
      <c r="M709">
        <v>8</v>
      </c>
      <c r="N709" s="1">
        <f>bmw_global_sales_dataset[[#This Row],[units_sold]]*bmw_global_sales_dataset[[#This Row],[price_usd]]</f>
        <v>31306996</v>
      </c>
      <c r="O709">
        <v>476</v>
      </c>
    </row>
    <row r="710" spans="1:15" x14ac:dyDescent="0.35">
      <c r="A710">
        <v>2022</v>
      </c>
      <c r="B710">
        <v>7</v>
      </c>
      <c r="C710" t="s">
        <v>14</v>
      </c>
      <c r="D710" t="s">
        <v>24</v>
      </c>
      <c r="E710" t="s">
        <v>20</v>
      </c>
      <c r="F710" t="s">
        <v>17</v>
      </c>
      <c r="G710" s="1">
        <v>108369</v>
      </c>
      <c r="H710" s="1">
        <v>450705</v>
      </c>
      <c r="I710">
        <v>48</v>
      </c>
      <c r="J710">
        <v>0.97</v>
      </c>
      <c r="K710">
        <v>6.29</v>
      </c>
      <c r="L710">
        <v>1.2</v>
      </c>
      <c r="M710">
        <v>7</v>
      </c>
      <c r="N710" s="1">
        <f>bmw_global_sales_dataset[[#This Row],[units_sold]]*bmw_global_sales_dataset[[#This Row],[price_usd]]</f>
        <v>22215645</v>
      </c>
      <c r="O710">
        <v>205</v>
      </c>
    </row>
    <row r="711" spans="1:15" x14ac:dyDescent="0.35">
      <c r="A711">
        <v>2022</v>
      </c>
      <c r="B711">
        <v>9</v>
      </c>
      <c r="C711" t="s">
        <v>32</v>
      </c>
      <c r="D711" t="s">
        <v>33</v>
      </c>
      <c r="E711" t="s">
        <v>16</v>
      </c>
      <c r="F711" t="s">
        <v>20</v>
      </c>
      <c r="G711" s="1">
        <v>73367</v>
      </c>
      <c r="H711" s="1">
        <v>356531</v>
      </c>
      <c r="I711">
        <v>168</v>
      </c>
      <c r="J711">
        <v>0.97</v>
      </c>
      <c r="K711">
        <v>6.29</v>
      </c>
      <c r="L711">
        <v>1.2</v>
      </c>
      <c r="M711">
        <v>3</v>
      </c>
      <c r="N711" s="1">
        <f>bmw_global_sales_dataset[[#This Row],[units_sold]]*bmw_global_sales_dataset[[#This Row],[price_usd]]</f>
        <v>28833231</v>
      </c>
      <c r="O711">
        <v>393</v>
      </c>
    </row>
    <row r="712" spans="1:15" x14ac:dyDescent="0.35">
      <c r="A712">
        <v>2022</v>
      </c>
      <c r="B712">
        <v>6</v>
      </c>
      <c r="C712" t="s">
        <v>28</v>
      </c>
      <c r="D712" t="s">
        <v>24</v>
      </c>
      <c r="E712" t="s">
        <v>16</v>
      </c>
      <c r="F712" t="s">
        <v>27</v>
      </c>
      <c r="G712" s="1">
        <v>111298</v>
      </c>
      <c r="H712" s="1">
        <v>332803</v>
      </c>
      <c r="I712">
        <v>290</v>
      </c>
      <c r="J712">
        <v>0.97</v>
      </c>
      <c r="K712">
        <v>6.29</v>
      </c>
      <c r="L712">
        <v>1.2</v>
      </c>
      <c r="M712">
        <v>8</v>
      </c>
      <c r="N712" s="1">
        <f>bmw_global_sales_dataset[[#This Row],[units_sold]]*bmw_global_sales_dataset[[#This Row],[price_usd]]</f>
        <v>94269406</v>
      </c>
      <c r="O712">
        <v>847</v>
      </c>
    </row>
    <row r="713" spans="1:15" x14ac:dyDescent="0.35">
      <c r="A713">
        <v>2022</v>
      </c>
      <c r="B713">
        <v>1</v>
      </c>
      <c r="C713" t="s">
        <v>32</v>
      </c>
      <c r="D713" t="s">
        <v>33</v>
      </c>
      <c r="E713" t="s">
        <v>20</v>
      </c>
      <c r="F713" t="s">
        <v>23</v>
      </c>
      <c r="G713" s="1">
        <v>117666</v>
      </c>
      <c r="H713" s="1">
        <v>397186</v>
      </c>
      <c r="I713">
        <v>60</v>
      </c>
      <c r="J713">
        <v>0.97</v>
      </c>
      <c r="K713">
        <v>6.29</v>
      </c>
      <c r="L713">
        <v>1.2</v>
      </c>
      <c r="M713">
        <v>3</v>
      </c>
      <c r="N713" s="1">
        <f>bmw_global_sales_dataset[[#This Row],[units_sold]]*bmw_global_sales_dataset[[#This Row],[price_usd]]</f>
        <v>30593160</v>
      </c>
      <c r="O713">
        <v>260</v>
      </c>
    </row>
    <row r="714" spans="1:15" x14ac:dyDescent="0.35">
      <c r="A714">
        <v>2022</v>
      </c>
      <c r="B714">
        <v>7</v>
      </c>
      <c r="C714" t="s">
        <v>32</v>
      </c>
      <c r="D714" t="s">
        <v>15</v>
      </c>
      <c r="E714" t="s">
        <v>20</v>
      </c>
      <c r="F714" t="s">
        <v>20</v>
      </c>
      <c r="G714" s="1">
        <v>71386</v>
      </c>
      <c r="H714" s="1">
        <v>139242</v>
      </c>
      <c r="I714">
        <v>239</v>
      </c>
      <c r="J714">
        <v>0.97</v>
      </c>
      <c r="K714">
        <v>6.29</v>
      </c>
      <c r="L714">
        <v>1.2</v>
      </c>
      <c r="M714">
        <v>9</v>
      </c>
      <c r="N714" s="1">
        <f>bmw_global_sales_dataset[[#This Row],[units_sold]]*bmw_global_sales_dataset[[#This Row],[price_usd]]</f>
        <v>33836964</v>
      </c>
      <c r="O714">
        <v>474</v>
      </c>
    </row>
    <row r="715" spans="1:15" x14ac:dyDescent="0.35">
      <c r="A715">
        <v>2022</v>
      </c>
      <c r="B715">
        <v>4</v>
      </c>
      <c r="C715" t="s">
        <v>30</v>
      </c>
      <c r="D715" t="s">
        <v>39</v>
      </c>
      <c r="E715" t="s">
        <v>19</v>
      </c>
      <c r="F715" t="s">
        <v>17</v>
      </c>
      <c r="G715" s="1">
        <v>68040</v>
      </c>
      <c r="H715" s="1">
        <v>203956</v>
      </c>
      <c r="I715">
        <v>19</v>
      </c>
      <c r="J715">
        <v>0.97</v>
      </c>
      <c r="K715">
        <v>6.29</v>
      </c>
      <c r="L715">
        <v>1.2</v>
      </c>
      <c r="M715">
        <v>2</v>
      </c>
      <c r="N715" s="1">
        <f>bmw_global_sales_dataset[[#This Row],[units_sold]]*bmw_global_sales_dataset[[#This Row],[price_usd]]</f>
        <v>18506880</v>
      </c>
      <c r="O715">
        <v>272</v>
      </c>
    </row>
    <row r="716" spans="1:15" x14ac:dyDescent="0.35">
      <c r="A716">
        <v>2022</v>
      </c>
      <c r="B716">
        <v>9</v>
      </c>
      <c r="C716" t="s">
        <v>36</v>
      </c>
      <c r="D716" t="s">
        <v>29</v>
      </c>
      <c r="E716" t="s">
        <v>19</v>
      </c>
      <c r="F716" t="s">
        <v>23</v>
      </c>
      <c r="G716" s="1">
        <v>95354</v>
      </c>
      <c r="H716" s="1">
        <v>329343</v>
      </c>
      <c r="I716">
        <v>123</v>
      </c>
      <c r="J716">
        <v>0.97</v>
      </c>
      <c r="K716">
        <v>6.29</v>
      </c>
      <c r="L716">
        <v>1.2</v>
      </c>
      <c r="M716">
        <v>6</v>
      </c>
      <c r="N716" s="1">
        <f>bmw_global_sales_dataset[[#This Row],[units_sold]]*bmw_global_sales_dataset[[#This Row],[price_usd]]</f>
        <v>50632974</v>
      </c>
      <c r="O716">
        <v>531</v>
      </c>
    </row>
    <row r="717" spans="1:15" x14ac:dyDescent="0.35">
      <c r="A717">
        <v>2022</v>
      </c>
      <c r="B717">
        <v>6</v>
      </c>
      <c r="C717" t="s">
        <v>28</v>
      </c>
      <c r="D717" t="s">
        <v>31</v>
      </c>
      <c r="E717" t="s">
        <v>19</v>
      </c>
      <c r="F717" t="s">
        <v>20</v>
      </c>
      <c r="G717" s="1">
        <v>70315</v>
      </c>
      <c r="H717" s="1">
        <v>421780</v>
      </c>
      <c r="I717">
        <v>94</v>
      </c>
      <c r="J717">
        <v>0.97</v>
      </c>
      <c r="K717">
        <v>6.29</v>
      </c>
      <c r="L717">
        <v>1.2</v>
      </c>
      <c r="M717">
        <v>2</v>
      </c>
      <c r="N717" s="1">
        <f>bmw_global_sales_dataset[[#This Row],[units_sold]]*bmw_global_sales_dataset[[#This Row],[price_usd]]</f>
        <v>39306085</v>
      </c>
      <c r="O717">
        <v>559</v>
      </c>
    </row>
    <row r="718" spans="1:15" x14ac:dyDescent="0.35">
      <c r="A718">
        <v>2022</v>
      </c>
      <c r="B718">
        <v>3</v>
      </c>
      <c r="C718" t="s">
        <v>38</v>
      </c>
      <c r="D718" t="s">
        <v>34</v>
      </c>
      <c r="E718" t="s">
        <v>16</v>
      </c>
      <c r="F718" t="s">
        <v>20</v>
      </c>
      <c r="G718" s="1">
        <v>76203</v>
      </c>
      <c r="H718" s="1">
        <v>239826</v>
      </c>
      <c r="I718">
        <v>245</v>
      </c>
      <c r="J718">
        <v>0.97</v>
      </c>
      <c r="K718">
        <v>6.29</v>
      </c>
      <c r="L718">
        <v>1.2</v>
      </c>
      <c r="M718">
        <v>6</v>
      </c>
      <c r="N718" s="1">
        <f>bmw_global_sales_dataset[[#This Row],[units_sold]]*bmw_global_sales_dataset[[#This Row],[price_usd]]</f>
        <v>67058640</v>
      </c>
      <c r="O718">
        <v>880</v>
      </c>
    </row>
    <row r="719" spans="1:15" x14ac:dyDescent="0.35">
      <c r="A719">
        <v>2022</v>
      </c>
      <c r="B719">
        <v>1</v>
      </c>
      <c r="C719" t="s">
        <v>21</v>
      </c>
      <c r="D719" t="s">
        <v>29</v>
      </c>
      <c r="E719" t="s">
        <v>19</v>
      </c>
      <c r="F719" t="s">
        <v>27</v>
      </c>
      <c r="G719" s="1">
        <v>91809</v>
      </c>
      <c r="H719" s="1">
        <v>442007</v>
      </c>
      <c r="I719">
        <v>280</v>
      </c>
      <c r="J719">
        <v>0.97</v>
      </c>
      <c r="K719">
        <v>6.29</v>
      </c>
      <c r="L719">
        <v>1.2</v>
      </c>
      <c r="M719">
        <v>1</v>
      </c>
      <c r="N719" s="1">
        <f>bmw_global_sales_dataset[[#This Row],[units_sold]]*bmw_global_sales_dataset[[#This Row],[price_usd]]</f>
        <v>86943123</v>
      </c>
      <c r="O719">
        <v>947</v>
      </c>
    </row>
    <row r="720" spans="1:15" x14ac:dyDescent="0.35">
      <c r="A720">
        <v>2022</v>
      </c>
      <c r="B720">
        <v>2</v>
      </c>
      <c r="C720" t="s">
        <v>14</v>
      </c>
      <c r="D720" t="s">
        <v>18</v>
      </c>
      <c r="E720" t="s">
        <v>19</v>
      </c>
      <c r="F720" t="s">
        <v>20</v>
      </c>
      <c r="G720" s="1">
        <v>66728</v>
      </c>
      <c r="H720" s="1">
        <v>156311</v>
      </c>
      <c r="I720">
        <v>266</v>
      </c>
      <c r="J720">
        <v>0.97</v>
      </c>
      <c r="K720">
        <v>6.29</v>
      </c>
      <c r="L720">
        <v>1.2</v>
      </c>
      <c r="M720">
        <v>1</v>
      </c>
      <c r="N720" s="1">
        <f>bmw_global_sales_dataset[[#This Row],[units_sold]]*bmw_global_sales_dataset[[#This Row],[price_usd]]</f>
        <v>60322112</v>
      </c>
      <c r="O720">
        <v>904</v>
      </c>
    </row>
    <row r="721" spans="1:15" x14ac:dyDescent="0.35">
      <c r="A721">
        <v>2022</v>
      </c>
      <c r="B721">
        <v>4</v>
      </c>
      <c r="C721" t="s">
        <v>36</v>
      </c>
      <c r="D721" t="s">
        <v>15</v>
      </c>
      <c r="E721" t="s">
        <v>19</v>
      </c>
      <c r="F721" t="s">
        <v>17</v>
      </c>
      <c r="G721" s="1">
        <v>106947</v>
      </c>
      <c r="H721" s="1">
        <v>444890</v>
      </c>
      <c r="I721">
        <v>383</v>
      </c>
      <c r="J721">
        <v>0.97</v>
      </c>
      <c r="K721">
        <v>6.29</v>
      </c>
      <c r="L721">
        <v>1.2</v>
      </c>
      <c r="M721">
        <v>9</v>
      </c>
      <c r="N721" s="1">
        <f>bmw_global_sales_dataset[[#This Row],[units_sold]]*bmw_global_sales_dataset[[#This Row],[price_usd]]</f>
        <v>90798003</v>
      </c>
      <c r="O721">
        <v>849</v>
      </c>
    </row>
    <row r="722" spans="1:15" x14ac:dyDescent="0.35">
      <c r="A722">
        <v>2022</v>
      </c>
      <c r="B722">
        <v>2</v>
      </c>
      <c r="C722" t="s">
        <v>32</v>
      </c>
      <c r="D722" t="s">
        <v>18</v>
      </c>
      <c r="E722" t="s">
        <v>20</v>
      </c>
      <c r="F722" t="s">
        <v>27</v>
      </c>
      <c r="G722" s="1">
        <v>84593</v>
      </c>
      <c r="H722" s="1">
        <v>73331</v>
      </c>
      <c r="I722">
        <v>345</v>
      </c>
      <c r="J722">
        <v>0.97</v>
      </c>
      <c r="K722">
        <v>6.29</v>
      </c>
      <c r="L722">
        <v>1.2</v>
      </c>
      <c r="M722">
        <v>9</v>
      </c>
      <c r="N722" s="1">
        <f>bmw_global_sales_dataset[[#This Row],[units_sold]]*bmw_global_sales_dataset[[#This Row],[price_usd]]</f>
        <v>80870908</v>
      </c>
      <c r="O722">
        <v>956</v>
      </c>
    </row>
    <row r="723" spans="1:15" x14ac:dyDescent="0.35">
      <c r="A723">
        <v>2022</v>
      </c>
      <c r="B723">
        <v>10</v>
      </c>
      <c r="C723" t="s">
        <v>38</v>
      </c>
      <c r="D723" t="s">
        <v>31</v>
      </c>
      <c r="E723" t="s">
        <v>16</v>
      </c>
      <c r="F723" t="s">
        <v>27</v>
      </c>
      <c r="G723" s="1">
        <v>40209</v>
      </c>
      <c r="H723" s="1">
        <v>288441</v>
      </c>
      <c r="I723">
        <v>175</v>
      </c>
      <c r="J723">
        <v>0.97</v>
      </c>
      <c r="K723">
        <v>6.29</v>
      </c>
      <c r="L723">
        <v>1.2</v>
      </c>
      <c r="M723">
        <v>9</v>
      </c>
      <c r="N723" s="1">
        <f>bmw_global_sales_dataset[[#This Row],[units_sold]]*bmw_global_sales_dataset[[#This Row],[price_usd]]</f>
        <v>32408454</v>
      </c>
      <c r="O723">
        <v>806</v>
      </c>
    </row>
    <row r="724" spans="1:15" x14ac:dyDescent="0.35">
      <c r="A724">
        <v>2022</v>
      </c>
      <c r="B724">
        <v>4</v>
      </c>
      <c r="C724" t="s">
        <v>38</v>
      </c>
      <c r="D724" t="s">
        <v>26</v>
      </c>
      <c r="E724" t="s">
        <v>19</v>
      </c>
      <c r="F724" t="s">
        <v>20</v>
      </c>
      <c r="G724" s="1">
        <v>41089</v>
      </c>
      <c r="H724" s="1">
        <v>77302</v>
      </c>
      <c r="I724">
        <v>337</v>
      </c>
      <c r="J724">
        <v>0.97</v>
      </c>
      <c r="K724">
        <v>6.29</v>
      </c>
      <c r="L724">
        <v>1.2</v>
      </c>
      <c r="M724">
        <v>8</v>
      </c>
      <c r="N724" s="1">
        <f>bmw_global_sales_dataset[[#This Row],[units_sold]]*bmw_global_sales_dataset[[#This Row],[price_usd]]</f>
        <v>36158320</v>
      </c>
      <c r="O724">
        <v>880</v>
      </c>
    </row>
    <row r="725" spans="1:15" x14ac:dyDescent="0.35">
      <c r="A725">
        <v>2022</v>
      </c>
      <c r="B725">
        <v>10</v>
      </c>
      <c r="C725" t="s">
        <v>14</v>
      </c>
      <c r="D725" t="s">
        <v>24</v>
      </c>
      <c r="E725" t="s">
        <v>20</v>
      </c>
      <c r="F725" t="s">
        <v>17</v>
      </c>
      <c r="G725" s="1">
        <v>53690</v>
      </c>
      <c r="H725" s="1">
        <v>483541</v>
      </c>
      <c r="I725">
        <v>339</v>
      </c>
      <c r="J725">
        <v>0.97</v>
      </c>
      <c r="K725">
        <v>6.29</v>
      </c>
      <c r="L725">
        <v>1.2</v>
      </c>
      <c r="M725">
        <v>7</v>
      </c>
      <c r="N725" s="1">
        <f>bmw_global_sales_dataset[[#This Row],[units_sold]]*bmw_global_sales_dataset[[#This Row],[price_usd]]</f>
        <v>43918420</v>
      </c>
      <c r="O725">
        <v>818</v>
      </c>
    </row>
    <row r="726" spans="1:15" x14ac:dyDescent="0.35">
      <c r="A726">
        <v>2022</v>
      </c>
      <c r="B726">
        <v>8</v>
      </c>
      <c r="C726" t="s">
        <v>25</v>
      </c>
      <c r="D726" t="s">
        <v>31</v>
      </c>
      <c r="E726" t="s">
        <v>16</v>
      </c>
      <c r="F726" t="s">
        <v>20</v>
      </c>
      <c r="G726" s="1">
        <v>61347</v>
      </c>
      <c r="H726" s="1">
        <v>190183</v>
      </c>
      <c r="I726">
        <v>134</v>
      </c>
      <c r="J726">
        <v>0.97</v>
      </c>
      <c r="K726">
        <v>6.29</v>
      </c>
      <c r="L726">
        <v>1.2</v>
      </c>
      <c r="M726">
        <v>7</v>
      </c>
      <c r="N726" s="1">
        <f>bmw_global_sales_dataset[[#This Row],[units_sold]]*bmw_global_sales_dataset[[#This Row],[price_usd]]</f>
        <v>32084481</v>
      </c>
      <c r="O726">
        <v>523</v>
      </c>
    </row>
    <row r="727" spans="1:15" x14ac:dyDescent="0.35">
      <c r="A727">
        <v>2022</v>
      </c>
      <c r="B727">
        <v>10</v>
      </c>
      <c r="C727" t="s">
        <v>21</v>
      </c>
      <c r="D727" t="s">
        <v>18</v>
      </c>
      <c r="E727" t="s">
        <v>20</v>
      </c>
      <c r="F727" t="s">
        <v>17</v>
      </c>
      <c r="G727" s="1">
        <v>106334</v>
      </c>
      <c r="H727" s="1">
        <v>367231</v>
      </c>
      <c r="I727">
        <v>260</v>
      </c>
      <c r="J727">
        <v>0.97</v>
      </c>
      <c r="K727">
        <v>6.29</v>
      </c>
      <c r="L727">
        <v>1.2</v>
      </c>
      <c r="M727">
        <v>7</v>
      </c>
      <c r="N727" s="1">
        <f>bmw_global_sales_dataset[[#This Row],[units_sold]]*bmw_global_sales_dataset[[#This Row],[price_usd]]</f>
        <v>84641864</v>
      </c>
      <c r="O727">
        <v>796</v>
      </c>
    </row>
    <row r="728" spans="1:15" x14ac:dyDescent="0.35">
      <c r="A728">
        <v>2022</v>
      </c>
      <c r="B728">
        <v>5</v>
      </c>
      <c r="C728" t="s">
        <v>38</v>
      </c>
      <c r="D728" t="s">
        <v>18</v>
      </c>
      <c r="E728" t="s">
        <v>19</v>
      </c>
      <c r="F728" t="s">
        <v>23</v>
      </c>
      <c r="G728" s="1">
        <v>77614</v>
      </c>
      <c r="H728" s="1">
        <v>498073</v>
      </c>
      <c r="I728">
        <v>125</v>
      </c>
      <c r="J728">
        <v>0.97</v>
      </c>
      <c r="K728">
        <v>6.29</v>
      </c>
      <c r="L728">
        <v>1.2</v>
      </c>
      <c r="M728">
        <v>7</v>
      </c>
      <c r="N728" s="1">
        <f>bmw_global_sales_dataset[[#This Row],[units_sold]]*bmw_global_sales_dataset[[#This Row],[price_usd]]</f>
        <v>45947488</v>
      </c>
      <c r="O728">
        <v>592</v>
      </c>
    </row>
    <row r="729" spans="1:15" x14ac:dyDescent="0.35">
      <c r="A729">
        <v>2022</v>
      </c>
      <c r="B729">
        <v>11</v>
      </c>
      <c r="C729" t="s">
        <v>21</v>
      </c>
      <c r="D729" t="s">
        <v>33</v>
      </c>
      <c r="E729" t="s">
        <v>20</v>
      </c>
      <c r="F729" t="s">
        <v>20</v>
      </c>
      <c r="G729" s="1">
        <v>43531</v>
      </c>
      <c r="H729" s="1">
        <v>474622</v>
      </c>
      <c r="I729">
        <v>124</v>
      </c>
      <c r="J729">
        <v>0.97</v>
      </c>
      <c r="K729">
        <v>6.29</v>
      </c>
      <c r="L729">
        <v>1.2</v>
      </c>
      <c r="M729">
        <v>8</v>
      </c>
      <c r="N729" s="1">
        <f>bmw_global_sales_dataset[[#This Row],[units_sold]]*bmw_global_sales_dataset[[#This Row],[price_usd]]</f>
        <v>22461996</v>
      </c>
      <c r="O729">
        <v>516</v>
      </c>
    </row>
    <row r="730" spans="1:15" x14ac:dyDescent="0.35">
      <c r="A730">
        <v>2022</v>
      </c>
      <c r="B730">
        <v>2</v>
      </c>
      <c r="C730" t="s">
        <v>32</v>
      </c>
      <c r="D730" t="s">
        <v>26</v>
      </c>
      <c r="E730" t="s">
        <v>19</v>
      </c>
      <c r="F730" t="s">
        <v>27</v>
      </c>
      <c r="G730" s="1">
        <v>77674</v>
      </c>
      <c r="H730" s="1">
        <v>363572</v>
      </c>
      <c r="I730">
        <v>308</v>
      </c>
      <c r="J730">
        <v>0.97</v>
      </c>
      <c r="K730">
        <v>6.29</v>
      </c>
      <c r="L730">
        <v>1.2</v>
      </c>
      <c r="M730">
        <v>10</v>
      </c>
      <c r="N730" s="1">
        <f>bmw_global_sales_dataset[[#This Row],[units_sold]]*bmw_global_sales_dataset[[#This Row],[price_usd]]</f>
        <v>71848450</v>
      </c>
      <c r="O730">
        <v>925</v>
      </c>
    </row>
    <row r="731" spans="1:15" x14ac:dyDescent="0.35">
      <c r="A731">
        <v>2022</v>
      </c>
      <c r="B731">
        <v>9</v>
      </c>
      <c r="C731" t="s">
        <v>37</v>
      </c>
      <c r="D731" t="s">
        <v>22</v>
      </c>
      <c r="E731" t="s">
        <v>20</v>
      </c>
      <c r="F731" t="s">
        <v>23</v>
      </c>
      <c r="G731" s="1">
        <v>64831</v>
      </c>
      <c r="H731" s="1">
        <v>107939</v>
      </c>
      <c r="I731">
        <v>84</v>
      </c>
      <c r="J731">
        <v>0.97</v>
      </c>
      <c r="K731">
        <v>6.29</v>
      </c>
      <c r="L731">
        <v>1.2</v>
      </c>
      <c r="M731">
        <v>2</v>
      </c>
      <c r="N731" s="1">
        <f>bmw_global_sales_dataset[[#This Row],[units_sold]]*bmw_global_sales_dataset[[#This Row],[price_usd]]</f>
        <v>29173950</v>
      </c>
      <c r="O731">
        <v>450</v>
      </c>
    </row>
    <row r="732" spans="1:15" x14ac:dyDescent="0.35">
      <c r="A732">
        <v>2022</v>
      </c>
      <c r="B732">
        <v>10</v>
      </c>
      <c r="C732" t="s">
        <v>14</v>
      </c>
      <c r="D732" t="s">
        <v>15</v>
      </c>
      <c r="E732" t="s">
        <v>19</v>
      </c>
      <c r="F732" t="s">
        <v>20</v>
      </c>
      <c r="G732" s="1">
        <v>73220</v>
      </c>
      <c r="H732" s="1">
        <v>472769</v>
      </c>
      <c r="I732">
        <v>187</v>
      </c>
      <c r="J732">
        <v>0.97</v>
      </c>
      <c r="K732">
        <v>6.29</v>
      </c>
      <c r="L732">
        <v>1.2</v>
      </c>
      <c r="M732">
        <v>3</v>
      </c>
      <c r="N732" s="1">
        <f>bmw_global_sales_dataset[[#This Row],[units_sold]]*bmw_global_sales_dataset[[#This Row],[price_usd]]</f>
        <v>59381420</v>
      </c>
      <c r="O732">
        <v>811</v>
      </c>
    </row>
    <row r="733" spans="1:15" x14ac:dyDescent="0.35">
      <c r="A733">
        <v>2022</v>
      </c>
      <c r="B733">
        <v>5</v>
      </c>
      <c r="C733" t="s">
        <v>32</v>
      </c>
      <c r="D733" t="s">
        <v>15</v>
      </c>
      <c r="E733" t="s">
        <v>20</v>
      </c>
      <c r="F733" t="s">
        <v>27</v>
      </c>
      <c r="G733" s="1">
        <v>88051</v>
      </c>
      <c r="H733" s="1">
        <v>175549</v>
      </c>
      <c r="I733">
        <v>48</v>
      </c>
      <c r="J733">
        <v>0.97</v>
      </c>
      <c r="K733">
        <v>6.29</v>
      </c>
      <c r="L733">
        <v>1.2</v>
      </c>
      <c r="M733">
        <v>8</v>
      </c>
      <c r="N733" s="1">
        <f>bmw_global_sales_dataset[[#This Row],[units_sold]]*bmw_global_sales_dataset[[#This Row],[price_usd]]</f>
        <v>18402659</v>
      </c>
      <c r="O733">
        <v>209</v>
      </c>
    </row>
    <row r="734" spans="1:15" x14ac:dyDescent="0.35">
      <c r="A734">
        <v>2022</v>
      </c>
      <c r="B734">
        <v>1</v>
      </c>
      <c r="C734" t="s">
        <v>35</v>
      </c>
      <c r="D734" t="s">
        <v>29</v>
      </c>
      <c r="E734" t="s">
        <v>19</v>
      </c>
      <c r="F734" t="s">
        <v>20</v>
      </c>
      <c r="G734" s="1">
        <v>68073</v>
      </c>
      <c r="H734" s="1">
        <v>283996</v>
      </c>
      <c r="I734">
        <v>342</v>
      </c>
      <c r="J734">
        <v>0.97</v>
      </c>
      <c r="K734">
        <v>6.29</v>
      </c>
      <c r="L734">
        <v>1.2</v>
      </c>
      <c r="M734">
        <v>3</v>
      </c>
      <c r="N734" s="1">
        <f>bmw_global_sales_dataset[[#This Row],[units_sold]]*bmw_global_sales_dataset[[#This Row],[price_usd]]</f>
        <v>63784401</v>
      </c>
      <c r="O734">
        <v>937</v>
      </c>
    </row>
    <row r="735" spans="1:15" x14ac:dyDescent="0.35">
      <c r="A735">
        <v>2022</v>
      </c>
      <c r="B735">
        <v>11</v>
      </c>
      <c r="C735" t="s">
        <v>28</v>
      </c>
      <c r="D735" t="s">
        <v>15</v>
      </c>
      <c r="E735" t="s">
        <v>19</v>
      </c>
      <c r="F735" t="s">
        <v>20</v>
      </c>
      <c r="G735" s="1">
        <v>61299</v>
      </c>
      <c r="H735" s="1">
        <v>307831</v>
      </c>
      <c r="I735">
        <v>10</v>
      </c>
      <c r="J735">
        <v>0.97</v>
      </c>
      <c r="K735">
        <v>6.29</v>
      </c>
      <c r="L735">
        <v>1.2</v>
      </c>
      <c r="M735">
        <v>2</v>
      </c>
      <c r="N735" s="1">
        <f>bmw_global_sales_dataset[[#This Row],[units_sold]]*bmw_global_sales_dataset[[#This Row],[price_usd]]</f>
        <v>28871829</v>
      </c>
      <c r="O735">
        <v>471</v>
      </c>
    </row>
    <row r="736" spans="1:15" x14ac:dyDescent="0.35">
      <c r="A736">
        <v>2022</v>
      </c>
      <c r="B736">
        <v>10</v>
      </c>
      <c r="C736" t="s">
        <v>36</v>
      </c>
      <c r="D736" t="s">
        <v>24</v>
      </c>
      <c r="E736" t="s">
        <v>16</v>
      </c>
      <c r="F736" t="s">
        <v>17</v>
      </c>
      <c r="G736" s="1">
        <v>85971</v>
      </c>
      <c r="H736" s="1">
        <v>306139</v>
      </c>
      <c r="I736">
        <v>334</v>
      </c>
      <c r="J736">
        <v>0.97</v>
      </c>
      <c r="K736">
        <v>6.29</v>
      </c>
      <c r="L736">
        <v>1.2</v>
      </c>
      <c r="M736">
        <v>8</v>
      </c>
      <c r="N736" s="1">
        <f>bmw_global_sales_dataset[[#This Row],[units_sold]]*bmw_global_sales_dataset[[#This Row],[price_usd]]</f>
        <v>87776391</v>
      </c>
      <c r="O736">
        <v>1021</v>
      </c>
    </row>
    <row r="737" spans="1:15" x14ac:dyDescent="0.35">
      <c r="A737">
        <v>2022</v>
      </c>
      <c r="B737">
        <v>9</v>
      </c>
      <c r="C737" t="s">
        <v>36</v>
      </c>
      <c r="D737" t="s">
        <v>26</v>
      </c>
      <c r="E737" t="s">
        <v>20</v>
      </c>
      <c r="F737" t="s">
        <v>20</v>
      </c>
      <c r="G737" s="1">
        <v>102567</v>
      </c>
      <c r="H737" s="1">
        <v>249271</v>
      </c>
      <c r="I737">
        <v>178</v>
      </c>
      <c r="J737">
        <v>0.97</v>
      </c>
      <c r="K737">
        <v>6.29</v>
      </c>
      <c r="L737">
        <v>1.2</v>
      </c>
      <c r="M737">
        <v>2</v>
      </c>
      <c r="N737" s="1">
        <f>bmw_global_sales_dataset[[#This Row],[units_sold]]*bmw_global_sales_dataset[[#This Row],[price_usd]]</f>
        <v>56822118</v>
      </c>
      <c r="O737">
        <v>554</v>
      </c>
    </row>
    <row r="738" spans="1:15" x14ac:dyDescent="0.35">
      <c r="A738">
        <v>2022</v>
      </c>
      <c r="B738">
        <v>3</v>
      </c>
      <c r="C738" t="s">
        <v>32</v>
      </c>
      <c r="D738" t="s">
        <v>15</v>
      </c>
      <c r="E738" t="s">
        <v>16</v>
      </c>
      <c r="F738" t="s">
        <v>27</v>
      </c>
      <c r="G738" s="1">
        <v>104322</v>
      </c>
      <c r="H738" s="1">
        <v>252630</v>
      </c>
      <c r="I738">
        <v>197</v>
      </c>
      <c r="J738">
        <v>0.97</v>
      </c>
      <c r="K738">
        <v>6.29</v>
      </c>
      <c r="L738">
        <v>1.2</v>
      </c>
      <c r="M738">
        <v>9</v>
      </c>
      <c r="N738" s="1">
        <f>bmw_global_sales_dataset[[#This Row],[units_sold]]*bmw_global_sales_dataset[[#This Row],[price_usd]]</f>
        <v>63532098</v>
      </c>
      <c r="O738">
        <v>609</v>
      </c>
    </row>
    <row r="739" spans="1:15" x14ac:dyDescent="0.35">
      <c r="A739">
        <v>2022</v>
      </c>
      <c r="B739">
        <v>6</v>
      </c>
      <c r="C739" t="s">
        <v>36</v>
      </c>
      <c r="D739" t="s">
        <v>26</v>
      </c>
      <c r="E739" t="s">
        <v>20</v>
      </c>
      <c r="F739" t="s">
        <v>27</v>
      </c>
      <c r="G739" s="1">
        <v>56650</v>
      </c>
      <c r="H739" s="1">
        <v>357481</v>
      </c>
      <c r="I739">
        <v>168</v>
      </c>
      <c r="J739">
        <v>0.97</v>
      </c>
      <c r="K739">
        <v>6.29</v>
      </c>
      <c r="L739">
        <v>1.2</v>
      </c>
      <c r="M739">
        <v>3</v>
      </c>
      <c r="N739" s="1">
        <f>bmw_global_sales_dataset[[#This Row],[units_sold]]*bmw_global_sales_dataset[[#This Row],[price_usd]]</f>
        <v>42657450</v>
      </c>
      <c r="O739">
        <v>753</v>
      </c>
    </row>
    <row r="740" spans="1:15" x14ac:dyDescent="0.35">
      <c r="A740">
        <v>2022</v>
      </c>
      <c r="B740">
        <v>1</v>
      </c>
      <c r="C740" t="s">
        <v>37</v>
      </c>
      <c r="D740" t="s">
        <v>33</v>
      </c>
      <c r="E740" t="s">
        <v>19</v>
      </c>
      <c r="F740" t="s">
        <v>27</v>
      </c>
      <c r="G740" s="1">
        <v>78240</v>
      </c>
      <c r="H740" s="1">
        <v>355934</v>
      </c>
      <c r="I740">
        <v>68</v>
      </c>
      <c r="J740">
        <v>0.97</v>
      </c>
      <c r="K740">
        <v>6.29</v>
      </c>
      <c r="L740">
        <v>1.2</v>
      </c>
      <c r="M740">
        <v>2</v>
      </c>
      <c r="N740" s="1">
        <f>bmw_global_sales_dataset[[#This Row],[units_sold]]*bmw_global_sales_dataset[[#This Row],[price_usd]]</f>
        <v>40684800</v>
      </c>
      <c r="O740">
        <v>520</v>
      </c>
    </row>
    <row r="741" spans="1:15" x14ac:dyDescent="0.35">
      <c r="A741">
        <v>2022</v>
      </c>
      <c r="B741">
        <v>7</v>
      </c>
      <c r="C741" t="s">
        <v>36</v>
      </c>
      <c r="D741" t="s">
        <v>18</v>
      </c>
      <c r="E741" t="s">
        <v>20</v>
      </c>
      <c r="F741" t="s">
        <v>20</v>
      </c>
      <c r="G741" s="1">
        <v>118232</v>
      </c>
      <c r="H741" s="1">
        <v>67143</v>
      </c>
      <c r="I741">
        <v>153</v>
      </c>
      <c r="J741">
        <v>0.97</v>
      </c>
      <c r="K741">
        <v>6.29</v>
      </c>
      <c r="L741">
        <v>1.2</v>
      </c>
      <c r="M741">
        <v>1</v>
      </c>
      <c r="N741" s="1">
        <f>bmw_global_sales_dataset[[#This Row],[units_sold]]*bmw_global_sales_dataset[[#This Row],[price_usd]]</f>
        <v>58761304</v>
      </c>
      <c r="O741">
        <v>497</v>
      </c>
    </row>
    <row r="742" spans="1:15" x14ac:dyDescent="0.35">
      <c r="A742">
        <v>2022</v>
      </c>
      <c r="B742">
        <v>9</v>
      </c>
      <c r="C742" t="s">
        <v>32</v>
      </c>
      <c r="D742" t="s">
        <v>33</v>
      </c>
      <c r="E742" t="s">
        <v>16</v>
      </c>
      <c r="F742" t="s">
        <v>23</v>
      </c>
      <c r="G742" s="1">
        <v>49745</v>
      </c>
      <c r="H742" s="1">
        <v>320590</v>
      </c>
      <c r="I742">
        <v>364</v>
      </c>
      <c r="J742">
        <v>0.97</v>
      </c>
      <c r="K742">
        <v>6.29</v>
      </c>
      <c r="L742">
        <v>1.2</v>
      </c>
      <c r="M742">
        <v>3</v>
      </c>
      <c r="N742" s="1">
        <f>bmw_global_sales_dataset[[#This Row],[units_sold]]*bmw_global_sales_dataset[[#This Row],[price_usd]]</f>
        <v>47655710</v>
      </c>
      <c r="O742">
        <v>958</v>
      </c>
    </row>
    <row r="743" spans="1:15" x14ac:dyDescent="0.35">
      <c r="A743">
        <v>2022</v>
      </c>
      <c r="B743">
        <v>11</v>
      </c>
      <c r="C743" t="s">
        <v>38</v>
      </c>
      <c r="D743" t="s">
        <v>22</v>
      </c>
      <c r="E743" t="s">
        <v>19</v>
      </c>
      <c r="F743" t="s">
        <v>27</v>
      </c>
      <c r="G743" s="1">
        <v>63756</v>
      </c>
      <c r="H743" s="1">
        <v>237535</v>
      </c>
      <c r="I743">
        <v>399</v>
      </c>
      <c r="J743">
        <v>0.97</v>
      </c>
      <c r="K743">
        <v>6.29</v>
      </c>
      <c r="L743">
        <v>1.2</v>
      </c>
      <c r="M743">
        <v>8</v>
      </c>
      <c r="N743" s="1">
        <f>bmw_global_sales_dataset[[#This Row],[units_sold]]*bmw_global_sales_dataset[[#This Row],[price_usd]]</f>
        <v>72490572</v>
      </c>
      <c r="O743">
        <v>1137</v>
      </c>
    </row>
    <row r="744" spans="1:15" x14ac:dyDescent="0.35">
      <c r="A744">
        <v>2022</v>
      </c>
      <c r="B744">
        <v>7</v>
      </c>
      <c r="C744" t="s">
        <v>37</v>
      </c>
      <c r="D744" t="s">
        <v>15</v>
      </c>
      <c r="E744" t="s">
        <v>19</v>
      </c>
      <c r="F744" t="s">
        <v>20</v>
      </c>
      <c r="G744" s="1">
        <v>36375</v>
      </c>
      <c r="H744" s="1">
        <v>156379</v>
      </c>
      <c r="I744">
        <v>181</v>
      </c>
      <c r="J744">
        <v>0.97</v>
      </c>
      <c r="K744">
        <v>6.29</v>
      </c>
      <c r="L744">
        <v>1.2</v>
      </c>
      <c r="M744">
        <v>10</v>
      </c>
      <c r="N744" s="1">
        <f>bmw_global_sales_dataset[[#This Row],[units_sold]]*bmw_global_sales_dataset[[#This Row],[price_usd]]</f>
        <v>22116000</v>
      </c>
      <c r="O744">
        <v>608</v>
      </c>
    </row>
    <row r="745" spans="1:15" x14ac:dyDescent="0.35">
      <c r="A745">
        <v>2022</v>
      </c>
      <c r="B745">
        <v>2</v>
      </c>
      <c r="C745" t="s">
        <v>14</v>
      </c>
      <c r="D745" t="s">
        <v>18</v>
      </c>
      <c r="E745" t="s">
        <v>19</v>
      </c>
      <c r="F745" t="s">
        <v>27</v>
      </c>
      <c r="G745" s="1">
        <v>56398</v>
      </c>
      <c r="H745" s="1">
        <v>191835</v>
      </c>
      <c r="I745">
        <v>123</v>
      </c>
      <c r="J745">
        <v>0.97</v>
      </c>
      <c r="K745">
        <v>6.29</v>
      </c>
      <c r="L745">
        <v>1.2</v>
      </c>
      <c r="M745">
        <v>9</v>
      </c>
      <c r="N745" s="1">
        <f>bmw_global_sales_dataset[[#This Row],[units_sold]]*bmw_global_sales_dataset[[#This Row],[price_usd]]</f>
        <v>13873908</v>
      </c>
      <c r="O745">
        <v>246</v>
      </c>
    </row>
    <row r="746" spans="1:15" x14ac:dyDescent="0.35">
      <c r="A746">
        <v>2022</v>
      </c>
      <c r="B746">
        <v>12</v>
      </c>
      <c r="C746" t="s">
        <v>32</v>
      </c>
      <c r="D746" t="s">
        <v>26</v>
      </c>
      <c r="E746" t="s">
        <v>19</v>
      </c>
      <c r="F746" t="s">
        <v>23</v>
      </c>
      <c r="G746" s="1">
        <v>83940</v>
      </c>
      <c r="H746" s="1">
        <v>52637</v>
      </c>
      <c r="I746">
        <v>17</v>
      </c>
      <c r="J746">
        <v>0.97</v>
      </c>
      <c r="K746">
        <v>6.29</v>
      </c>
      <c r="L746">
        <v>1.2</v>
      </c>
      <c r="M746">
        <v>5</v>
      </c>
      <c r="N746" s="1">
        <f>bmw_global_sales_dataset[[#This Row],[units_sold]]*bmw_global_sales_dataset[[#This Row],[price_usd]]</f>
        <v>32400840</v>
      </c>
      <c r="O746">
        <v>386</v>
      </c>
    </row>
    <row r="747" spans="1:15" x14ac:dyDescent="0.35">
      <c r="A747">
        <v>2022</v>
      </c>
      <c r="B747">
        <v>1</v>
      </c>
      <c r="C747" t="s">
        <v>30</v>
      </c>
      <c r="D747" t="s">
        <v>39</v>
      </c>
      <c r="E747" t="s">
        <v>19</v>
      </c>
      <c r="F747" t="s">
        <v>20</v>
      </c>
      <c r="G747" s="1">
        <v>100756</v>
      </c>
      <c r="H747" s="1">
        <v>223364</v>
      </c>
      <c r="I747">
        <v>73</v>
      </c>
      <c r="J747">
        <v>0.97</v>
      </c>
      <c r="K747">
        <v>6.29</v>
      </c>
      <c r="L747">
        <v>1.2</v>
      </c>
      <c r="M747">
        <v>1</v>
      </c>
      <c r="N747" s="1">
        <f>bmw_global_sales_dataset[[#This Row],[units_sold]]*bmw_global_sales_dataset[[#This Row],[price_usd]]</f>
        <v>52090852</v>
      </c>
      <c r="O747">
        <v>517</v>
      </c>
    </row>
    <row r="748" spans="1:15" x14ac:dyDescent="0.35">
      <c r="A748">
        <v>2022</v>
      </c>
      <c r="B748">
        <v>4</v>
      </c>
      <c r="C748" t="s">
        <v>38</v>
      </c>
      <c r="D748" t="s">
        <v>18</v>
      </c>
      <c r="E748" t="s">
        <v>20</v>
      </c>
      <c r="F748" t="s">
        <v>23</v>
      </c>
      <c r="G748" s="1">
        <v>105354</v>
      </c>
      <c r="H748" s="1">
        <v>448845</v>
      </c>
      <c r="I748">
        <v>139</v>
      </c>
      <c r="J748">
        <v>0.97</v>
      </c>
      <c r="K748">
        <v>6.29</v>
      </c>
      <c r="L748">
        <v>1.2</v>
      </c>
      <c r="M748">
        <v>1</v>
      </c>
      <c r="N748" s="1">
        <f>bmw_global_sales_dataset[[#This Row],[units_sold]]*bmw_global_sales_dataset[[#This Row],[price_usd]]</f>
        <v>49411026</v>
      </c>
      <c r="O748">
        <v>469</v>
      </c>
    </row>
    <row r="749" spans="1:15" x14ac:dyDescent="0.35">
      <c r="A749">
        <v>2022</v>
      </c>
      <c r="B749">
        <v>5</v>
      </c>
      <c r="C749" t="s">
        <v>38</v>
      </c>
      <c r="D749" t="s">
        <v>22</v>
      </c>
      <c r="E749" t="s">
        <v>20</v>
      </c>
      <c r="F749" t="s">
        <v>17</v>
      </c>
      <c r="G749" s="1">
        <v>62464</v>
      </c>
      <c r="H749" s="1">
        <v>431032</v>
      </c>
      <c r="I749">
        <v>67</v>
      </c>
      <c r="J749">
        <v>0.97</v>
      </c>
      <c r="K749">
        <v>6.29</v>
      </c>
      <c r="L749">
        <v>1.2</v>
      </c>
      <c r="M749">
        <v>1</v>
      </c>
      <c r="N749" s="1">
        <f>bmw_global_sales_dataset[[#This Row],[units_sold]]*bmw_global_sales_dataset[[#This Row],[price_usd]]</f>
        <v>39727104</v>
      </c>
      <c r="O749">
        <v>636</v>
      </c>
    </row>
    <row r="750" spans="1:15" x14ac:dyDescent="0.35">
      <c r="A750">
        <v>2022</v>
      </c>
      <c r="B750">
        <v>7</v>
      </c>
      <c r="C750" t="s">
        <v>14</v>
      </c>
      <c r="D750" t="s">
        <v>22</v>
      </c>
      <c r="E750" t="s">
        <v>16</v>
      </c>
      <c r="F750" t="s">
        <v>23</v>
      </c>
      <c r="G750" s="1">
        <v>106289</v>
      </c>
      <c r="H750" s="1">
        <v>61332</v>
      </c>
      <c r="I750">
        <v>80</v>
      </c>
      <c r="J750">
        <v>0.97</v>
      </c>
      <c r="K750">
        <v>6.29</v>
      </c>
      <c r="L750">
        <v>1.2</v>
      </c>
      <c r="M750">
        <v>7</v>
      </c>
      <c r="N750" s="1">
        <f>bmw_global_sales_dataset[[#This Row],[units_sold]]*bmw_global_sales_dataset[[#This Row],[price_usd]]</f>
        <v>45916848</v>
      </c>
      <c r="O750">
        <v>432</v>
      </c>
    </row>
    <row r="751" spans="1:15" x14ac:dyDescent="0.35">
      <c r="A751">
        <v>2022</v>
      </c>
      <c r="B751">
        <v>10</v>
      </c>
      <c r="C751" t="s">
        <v>32</v>
      </c>
      <c r="D751" t="s">
        <v>39</v>
      </c>
      <c r="E751" t="s">
        <v>19</v>
      </c>
      <c r="F751" t="s">
        <v>23</v>
      </c>
      <c r="G751" s="1">
        <v>94123</v>
      </c>
      <c r="H751" s="1">
        <v>427082</v>
      </c>
      <c r="I751">
        <v>62</v>
      </c>
      <c r="J751">
        <v>0.97</v>
      </c>
      <c r="K751">
        <v>6.29</v>
      </c>
      <c r="L751">
        <v>1.2</v>
      </c>
      <c r="M751">
        <v>5</v>
      </c>
      <c r="N751" s="1">
        <f>bmw_global_sales_dataset[[#This Row],[units_sold]]*bmw_global_sales_dataset[[#This Row],[price_usd]]</f>
        <v>23907242</v>
      </c>
      <c r="O751">
        <v>254</v>
      </c>
    </row>
    <row r="752" spans="1:15" x14ac:dyDescent="0.35">
      <c r="A752">
        <v>2022</v>
      </c>
      <c r="B752">
        <v>5</v>
      </c>
      <c r="C752" t="s">
        <v>36</v>
      </c>
      <c r="D752" t="s">
        <v>24</v>
      </c>
      <c r="E752" t="s">
        <v>20</v>
      </c>
      <c r="F752" t="s">
        <v>23</v>
      </c>
      <c r="G752" s="1">
        <v>41008</v>
      </c>
      <c r="H752" s="1">
        <v>75494</v>
      </c>
      <c r="I752">
        <v>94</v>
      </c>
      <c r="J752">
        <v>0.97</v>
      </c>
      <c r="K752">
        <v>6.29</v>
      </c>
      <c r="L752">
        <v>1.2</v>
      </c>
      <c r="M752">
        <v>8</v>
      </c>
      <c r="N752" s="1">
        <f>bmw_global_sales_dataset[[#This Row],[units_sold]]*bmw_global_sales_dataset[[#This Row],[price_usd]]</f>
        <v>16321184</v>
      </c>
      <c r="O752">
        <v>398</v>
      </c>
    </row>
    <row r="753" spans="1:15" x14ac:dyDescent="0.35">
      <c r="A753">
        <v>2022</v>
      </c>
      <c r="B753">
        <v>11</v>
      </c>
      <c r="C753" t="s">
        <v>38</v>
      </c>
      <c r="D753" t="s">
        <v>33</v>
      </c>
      <c r="E753" t="s">
        <v>19</v>
      </c>
      <c r="F753" t="s">
        <v>23</v>
      </c>
      <c r="G753" s="1">
        <v>70340</v>
      </c>
      <c r="H753" s="1">
        <v>127360</v>
      </c>
      <c r="I753">
        <v>264</v>
      </c>
      <c r="J753">
        <v>0.97</v>
      </c>
      <c r="K753">
        <v>6.29</v>
      </c>
      <c r="L753">
        <v>1.2</v>
      </c>
      <c r="M753">
        <v>6</v>
      </c>
      <c r="N753" s="1">
        <f>bmw_global_sales_dataset[[#This Row],[units_sold]]*bmw_global_sales_dataset[[#This Row],[price_usd]]</f>
        <v>63446680</v>
      </c>
      <c r="O753">
        <v>902</v>
      </c>
    </row>
    <row r="754" spans="1:15" x14ac:dyDescent="0.35">
      <c r="A754">
        <v>2022</v>
      </c>
      <c r="B754">
        <v>3</v>
      </c>
      <c r="C754" t="s">
        <v>32</v>
      </c>
      <c r="D754" t="s">
        <v>39</v>
      </c>
      <c r="E754" t="s">
        <v>20</v>
      </c>
      <c r="F754" t="s">
        <v>23</v>
      </c>
      <c r="G754" s="1">
        <v>105152</v>
      </c>
      <c r="H754" s="1">
        <v>422078</v>
      </c>
      <c r="I754">
        <v>338</v>
      </c>
      <c r="J754">
        <v>0.97</v>
      </c>
      <c r="K754">
        <v>6.29</v>
      </c>
      <c r="L754">
        <v>1.2</v>
      </c>
      <c r="M754">
        <v>9</v>
      </c>
      <c r="N754" s="1">
        <f>bmw_global_sales_dataset[[#This Row],[units_sold]]*bmw_global_sales_dataset[[#This Row],[price_usd]]</f>
        <v>75393984</v>
      </c>
      <c r="O754">
        <v>717</v>
      </c>
    </row>
    <row r="755" spans="1:15" x14ac:dyDescent="0.35">
      <c r="A755">
        <v>2022</v>
      </c>
      <c r="B755">
        <v>11</v>
      </c>
      <c r="C755" t="s">
        <v>30</v>
      </c>
      <c r="D755" t="s">
        <v>18</v>
      </c>
      <c r="E755" t="s">
        <v>20</v>
      </c>
      <c r="F755" t="s">
        <v>20</v>
      </c>
      <c r="G755" s="1">
        <v>55863</v>
      </c>
      <c r="H755" s="1">
        <v>349340</v>
      </c>
      <c r="I755">
        <v>295</v>
      </c>
      <c r="J755">
        <v>0.97</v>
      </c>
      <c r="K755">
        <v>6.29</v>
      </c>
      <c r="L755">
        <v>1.2</v>
      </c>
      <c r="M755">
        <v>7</v>
      </c>
      <c r="N755" s="1">
        <f>bmw_global_sales_dataset[[#This Row],[units_sold]]*bmw_global_sales_dataset[[#This Row],[price_usd]]</f>
        <v>57594753</v>
      </c>
      <c r="O755">
        <v>1031</v>
      </c>
    </row>
    <row r="756" spans="1:15" x14ac:dyDescent="0.35">
      <c r="A756">
        <v>2022</v>
      </c>
      <c r="B756">
        <v>9</v>
      </c>
      <c r="C756" t="s">
        <v>14</v>
      </c>
      <c r="D756" t="s">
        <v>26</v>
      </c>
      <c r="E756" t="s">
        <v>16</v>
      </c>
      <c r="F756" t="s">
        <v>27</v>
      </c>
      <c r="G756" s="1">
        <v>118087</v>
      </c>
      <c r="H756" s="1">
        <v>130691</v>
      </c>
      <c r="I756">
        <v>143</v>
      </c>
      <c r="J756">
        <v>0.97</v>
      </c>
      <c r="K756">
        <v>6.29</v>
      </c>
      <c r="L756">
        <v>1.2</v>
      </c>
      <c r="M756">
        <v>7</v>
      </c>
      <c r="N756" s="1">
        <f>bmw_global_sales_dataset[[#This Row],[units_sold]]*bmw_global_sales_dataset[[#This Row],[price_usd]]</f>
        <v>36725057</v>
      </c>
      <c r="O756">
        <v>311</v>
      </c>
    </row>
    <row r="757" spans="1:15" x14ac:dyDescent="0.35">
      <c r="A757">
        <v>2022</v>
      </c>
      <c r="B757">
        <v>2</v>
      </c>
      <c r="C757" t="s">
        <v>35</v>
      </c>
      <c r="D757" t="s">
        <v>33</v>
      </c>
      <c r="E757" t="s">
        <v>19</v>
      </c>
      <c r="F757" t="s">
        <v>27</v>
      </c>
      <c r="G757" s="1">
        <v>99173</v>
      </c>
      <c r="H757" s="1">
        <v>336100</v>
      </c>
      <c r="I757">
        <v>160</v>
      </c>
      <c r="J757">
        <v>0.97</v>
      </c>
      <c r="K757">
        <v>6.29</v>
      </c>
      <c r="L757">
        <v>1.2</v>
      </c>
      <c r="M757">
        <v>2</v>
      </c>
      <c r="N757" s="1">
        <f>bmw_global_sales_dataset[[#This Row],[units_sold]]*bmw_global_sales_dataset[[#This Row],[price_usd]]</f>
        <v>42743563</v>
      </c>
      <c r="O757">
        <v>431</v>
      </c>
    </row>
    <row r="758" spans="1:15" x14ac:dyDescent="0.35">
      <c r="A758">
        <v>2022</v>
      </c>
      <c r="B758">
        <v>9</v>
      </c>
      <c r="C758" t="s">
        <v>28</v>
      </c>
      <c r="D758" t="s">
        <v>24</v>
      </c>
      <c r="E758" t="s">
        <v>16</v>
      </c>
      <c r="F758" t="s">
        <v>23</v>
      </c>
      <c r="G758" s="1">
        <v>89460</v>
      </c>
      <c r="H758" s="1">
        <v>357268</v>
      </c>
      <c r="I758">
        <v>18</v>
      </c>
      <c r="J758">
        <v>0.97</v>
      </c>
      <c r="K758">
        <v>6.29</v>
      </c>
      <c r="L758">
        <v>1.2</v>
      </c>
      <c r="M758">
        <v>5</v>
      </c>
      <c r="N758" s="1">
        <f>bmw_global_sales_dataset[[#This Row],[units_sold]]*bmw_global_sales_dataset[[#This Row],[price_usd]]</f>
        <v>9930060</v>
      </c>
      <c r="O758">
        <v>111</v>
      </c>
    </row>
    <row r="759" spans="1:15" x14ac:dyDescent="0.35">
      <c r="A759">
        <v>2022</v>
      </c>
      <c r="B759">
        <v>1</v>
      </c>
      <c r="C759" t="s">
        <v>25</v>
      </c>
      <c r="D759" t="s">
        <v>24</v>
      </c>
      <c r="E759" t="s">
        <v>16</v>
      </c>
      <c r="F759" t="s">
        <v>23</v>
      </c>
      <c r="G759" s="1">
        <v>55008</v>
      </c>
      <c r="H759" s="1">
        <v>273032</v>
      </c>
      <c r="I759">
        <v>138</v>
      </c>
      <c r="J759">
        <v>0.97</v>
      </c>
      <c r="K759">
        <v>6.29</v>
      </c>
      <c r="L759">
        <v>1.2</v>
      </c>
      <c r="M759">
        <v>10</v>
      </c>
      <c r="N759" s="1">
        <f>bmw_global_sales_dataset[[#This Row],[units_sold]]*bmw_global_sales_dataset[[#This Row],[price_usd]]</f>
        <v>28659168</v>
      </c>
      <c r="O759">
        <v>521</v>
      </c>
    </row>
    <row r="760" spans="1:15" x14ac:dyDescent="0.35">
      <c r="A760">
        <v>2022</v>
      </c>
      <c r="B760">
        <v>6</v>
      </c>
      <c r="C760" t="s">
        <v>21</v>
      </c>
      <c r="D760" t="s">
        <v>15</v>
      </c>
      <c r="E760" t="s">
        <v>19</v>
      </c>
      <c r="F760" t="s">
        <v>17</v>
      </c>
      <c r="G760" s="1">
        <v>73185</v>
      </c>
      <c r="H760" s="1">
        <v>194454</v>
      </c>
      <c r="I760">
        <v>101</v>
      </c>
      <c r="J760">
        <v>0.97</v>
      </c>
      <c r="K760">
        <v>6.29</v>
      </c>
      <c r="L760">
        <v>1.2</v>
      </c>
      <c r="M760">
        <v>6</v>
      </c>
      <c r="N760" s="1">
        <f>bmw_global_sales_dataset[[#This Row],[units_sold]]*bmw_global_sales_dataset[[#This Row],[price_usd]]</f>
        <v>29713110</v>
      </c>
      <c r="O760">
        <v>406</v>
      </c>
    </row>
    <row r="761" spans="1:15" x14ac:dyDescent="0.35">
      <c r="A761">
        <v>2022</v>
      </c>
      <c r="B761">
        <v>6</v>
      </c>
      <c r="C761" t="s">
        <v>38</v>
      </c>
      <c r="D761" t="s">
        <v>15</v>
      </c>
      <c r="E761" t="s">
        <v>16</v>
      </c>
      <c r="F761" t="s">
        <v>23</v>
      </c>
      <c r="G761" s="1">
        <v>106139</v>
      </c>
      <c r="H761" s="1">
        <v>486442</v>
      </c>
      <c r="I761">
        <v>38</v>
      </c>
      <c r="J761">
        <v>0.97</v>
      </c>
      <c r="K761">
        <v>6.29</v>
      </c>
      <c r="L761">
        <v>1.2</v>
      </c>
      <c r="M761">
        <v>1</v>
      </c>
      <c r="N761" s="1">
        <f>bmw_global_sales_dataset[[#This Row],[units_sold]]*bmw_global_sales_dataset[[#This Row],[price_usd]]</f>
        <v>43198573</v>
      </c>
      <c r="O761">
        <v>407</v>
      </c>
    </row>
    <row r="762" spans="1:15" x14ac:dyDescent="0.35">
      <c r="A762">
        <v>2022</v>
      </c>
      <c r="B762">
        <v>2</v>
      </c>
      <c r="C762" t="s">
        <v>32</v>
      </c>
      <c r="D762" t="s">
        <v>31</v>
      </c>
      <c r="E762" t="s">
        <v>16</v>
      </c>
      <c r="F762" t="s">
        <v>23</v>
      </c>
      <c r="G762" s="1">
        <v>51766</v>
      </c>
      <c r="H762" s="1">
        <v>146055</v>
      </c>
      <c r="I762">
        <v>306</v>
      </c>
      <c r="J762">
        <v>0.97</v>
      </c>
      <c r="K762">
        <v>6.29</v>
      </c>
      <c r="L762">
        <v>1.2</v>
      </c>
      <c r="M762">
        <v>1</v>
      </c>
      <c r="N762" s="1">
        <f>bmw_global_sales_dataset[[#This Row],[units_sold]]*bmw_global_sales_dataset[[#This Row],[price_usd]]</f>
        <v>53163682</v>
      </c>
      <c r="O762">
        <v>1027</v>
      </c>
    </row>
    <row r="763" spans="1:15" x14ac:dyDescent="0.35">
      <c r="A763">
        <v>2022</v>
      </c>
      <c r="B763">
        <v>1</v>
      </c>
      <c r="C763" t="s">
        <v>28</v>
      </c>
      <c r="D763" t="s">
        <v>18</v>
      </c>
      <c r="E763" t="s">
        <v>16</v>
      </c>
      <c r="F763" t="s">
        <v>23</v>
      </c>
      <c r="G763" s="1">
        <v>72425</v>
      </c>
      <c r="H763" s="1">
        <v>267364</v>
      </c>
      <c r="I763">
        <v>169</v>
      </c>
      <c r="J763">
        <v>0.97</v>
      </c>
      <c r="K763">
        <v>6.29</v>
      </c>
      <c r="L763">
        <v>1.2</v>
      </c>
      <c r="M763">
        <v>7</v>
      </c>
      <c r="N763" s="1">
        <f>bmw_global_sales_dataset[[#This Row],[units_sold]]*bmw_global_sales_dataset[[#This Row],[price_usd]]</f>
        <v>52073575</v>
      </c>
      <c r="O763">
        <v>719</v>
      </c>
    </row>
    <row r="764" spans="1:15" x14ac:dyDescent="0.35">
      <c r="A764">
        <v>2022</v>
      </c>
      <c r="B764">
        <v>7</v>
      </c>
      <c r="C764" t="s">
        <v>21</v>
      </c>
      <c r="D764" t="s">
        <v>24</v>
      </c>
      <c r="E764" t="s">
        <v>20</v>
      </c>
      <c r="F764" t="s">
        <v>17</v>
      </c>
      <c r="G764" s="1">
        <v>110452</v>
      </c>
      <c r="H764" s="1">
        <v>487570</v>
      </c>
      <c r="I764">
        <v>161</v>
      </c>
      <c r="J764">
        <v>0.97</v>
      </c>
      <c r="K764">
        <v>6.29</v>
      </c>
      <c r="L764">
        <v>1.2</v>
      </c>
      <c r="M764">
        <v>6</v>
      </c>
      <c r="N764" s="1">
        <f>bmw_global_sales_dataset[[#This Row],[units_sold]]*bmw_global_sales_dataset[[#This Row],[price_usd]]</f>
        <v>45837580</v>
      </c>
      <c r="O764">
        <v>415</v>
      </c>
    </row>
    <row r="765" spans="1:15" x14ac:dyDescent="0.35">
      <c r="A765">
        <v>2022</v>
      </c>
      <c r="B765">
        <v>5</v>
      </c>
      <c r="C765" t="s">
        <v>37</v>
      </c>
      <c r="D765" t="s">
        <v>26</v>
      </c>
      <c r="E765" t="s">
        <v>20</v>
      </c>
      <c r="F765" t="s">
        <v>20</v>
      </c>
      <c r="G765" s="1">
        <v>111368</v>
      </c>
      <c r="H765" s="1">
        <v>101962</v>
      </c>
      <c r="I765">
        <v>223</v>
      </c>
      <c r="J765">
        <v>0.97</v>
      </c>
      <c r="K765">
        <v>6.29</v>
      </c>
      <c r="L765">
        <v>1.2</v>
      </c>
      <c r="M765">
        <v>8</v>
      </c>
      <c r="N765" s="1">
        <f>bmw_global_sales_dataset[[#This Row],[units_sold]]*bmw_global_sales_dataset[[#This Row],[price_usd]]</f>
        <v>57131784</v>
      </c>
      <c r="O765">
        <v>513</v>
      </c>
    </row>
    <row r="766" spans="1:15" x14ac:dyDescent="0.35">
      <c r="A766">
        <v>2022</v>
      </c>
      <c r="B766">
        <v>11</v>
      </c>
      <c r="C766" t="s">
        <v>28</v>
      </c>
      <c r="D766" t="s">
        <v>22</v>
      </c>
      <c r="E766" t="s">
        <v>20</v>
      </c>
      <c r="F766" t="s">
        <v>27</v>
      </c>
      <c r="G766" s="1">
        <v>84112</v>
      </c>
      <c r="H766" s="1">
        <v>252278</v>
      </c>
      <c r="I766">
        <v>167</v>
      </c>
      <c r="J766">
        <v>0.97</v>
      </c>
      <c r="K766">
        <v>6.29</v>
      </c>
      <c r="L766">
        <v>1.2</v>
      </c>
      <c r="M766">
        <v>5</v>
      </c>
      <c r="N766" s="1">
        <f>bmw_global_sales_dataset[[#This Row],[units_sold]]*bmw_global_sales_dataset[[#This Row],[price_usd]]</f>
        <v>57112048</v>
      </c>
      <c r="O766">
        <v>679</v>
      </c>
    </row>
    <row r="767" spans="1:15" x14ac:dyDescent="0.35">
      <c r="A767">
        <v>2022</v>
      </c>
      <c r="B767">
        <v>5</v>
      </c>
      <c r="C767" t="s">
        <v>14</v>
      </c>
      <c r="D767" t="s">
        <v>22</v>
      </c>
      <c r="E767" t="s">
        <v>16</v>
      </c>
      <c r="F767" t="s">
        <v>23</v>
      </c>
      <c r="G767" s="1">
        <v>39897</v>
      </c>
      <c r="H767" s="1">
        <v>143448</v>
      </c>
      <c r="I767">
        <v>264</v>
      </c>
      <c r="J767">
        <v>0.97</v>
      </c>
      <c r="K767">
        <v>6.29</v>
      </c>
      <c r="L767">
        <v>1.2</v>
      </c>
      <c r="M767">
        <v>7</v>
      </c>
      <c r="N767" s="1">
        <f>bmw_global_sales_dataset[[#This Row],[units_sold]]*bmw_global_sales_dataset[[#This Row],[price_usd]]</f>
        <v>25175007</v>
      </c>
      <c r="O767">
        <v>631</v>
      </c>
    </row>
    <row r="768" spans="1:15" x14ac:dyDescent="0.35">
      <c r="A768">
        <v>2022</v>
      </c>
      <c r="B768">
        <v>6</v>
      </c>
      <c r="C768" t="s">
        <v>21</v>
      </c>
      <c r="D768" t="s">
        <v>31</v>
      </c>
      <c r="E768" t="s">
        <v>20</v>
      </c>
      <c r="F768" t="s">
        <v>27</v>
      </c>
      <c r="G768" s="1">
        <v>117214</v>
      </c>
      <c r="H768" s="1">
        <v>110186</v>
      </c>
      <c r="I768">
        <v>178</v>
      </c>
      <c r="J768">
        <v>0.97</v>
      </c>
      <c r="K768">
        <v>6.29</v>
      </c>
      <c r="L768">
        <v>1.2</v>
      </c>
      <c r="M768">
        <v>2</v>
      </c>
      <c r="N768" s="1">
        <f>bmw_global_sales_dataset[[#This Row],[units_sold]]*bmw_global_sales_dataset[[#This Row],[price_usd]]</f>
        <v>59896354</v>
      </c>
      <c r="O768">
        <v>511</v>
      </c>
    </row>
    <row r="769" spans="1:15" x14ac:dyDescent="0.35">
      <c r="A769">
        <v>2022</v>
      </c>
      <c r="B769">
        <v>3</v>
      </c>
      <c r="C769" t="s">
        <v>28</v>
      </c>
      <c r="D769" t="s">
        <v>26</v>
      </c>
      <c r="E769" t="s">
        <v>19</v>
      </c>
      <c r="F769" t="s">
        <v>20</v>
      </c>
      <c r="G769" s="1">
        <v>111981</v>
      </c>
      <c r="H769" s="1">
        <v>86160</v>
      </c>
      <c r="I769">
        <v>270</v>
      </c>
      <c r="J769">
        <v>0.97</v>
      </c>
      <c r="K769">
        <v>6.29</v>
      </c>
      <c r="L769">
        <v>1.2</v>
      </c>
      <c r="M769">
        <v>5</v>
      </c>
      <c r="N769" s="1">
        <f>bmw_global_sales_dataset[[#This Row],[units_sold]]*bmw_global_sales_dataset[[#This Row],[price_usd]]</f>
        <v>64165113</v>
      </c>
      <c r="O769">
        <v>573</v>
      </c>
    </row>
    <row r="770" spans="1:15" x14ac:dyDescent="0.35">
      <c r="A770">
        <v>2022</v>
      </c>
      <c r="B770">
        <v>10</v>
      </c>
      <c r="C770" t="s">
        <v>36</v>
      </c>
      <c r="D770" t="s">
        <v>22</v>
      </c>
      <c r="E770" t="s">
        <v>16</v>
      </c>
      <c r="F770" t="s">
        <v>17</v>
      </c>
      <c r="G770" s="1">
        <v>74405</v>
      </c>
      <c r="H770" s="1">
        <v>115439</v>
      </c>
      <c r="I770">
        <v>214</v>
      </c>
      <c r="J770">
        <v>0.97</v>
      </c>
      <c r="K770">
        <v>6.29</v>
      </c>
      <c r="L770">
        <v>1.2</v>
      </c>
      <c r="M770">
        <v>5</v>
      </c>
      <c r="N770" s="1">
        <f>bmw_global_sales_dataset[[#This Row],[units_sold]]*bmw_global_sales_dataset[[#This Row],[price_usd]]</f>
        <v>44419785</v>
      </c>
      <c r="O770">
        <v>597</v>
      </c>
    </row>
    <row r="771" spans="1:15" x14ac:dyDescent="0.35">
      <c r="A771">
        <v>2022</v>
      </c>
      <c r="B771">
        <v>2</v>
      </c>
      <c r="C771" t="s">
        <v>30</v>
      </c>
      <c r="D771" t="s">
        <v>18</v>
      </c>
      <c r="E771" t="s">
        <v>20</v>
      </c>
      <c r="F771" t="s">
        <v>23</v>
      </c>
      <c r="G771" s="1">
        <v>66601</v>
      </c>
      <c r="H771" s="1">
        <v>252459</v>
      </c>
      <c r="I771">
        <v>184</v>
      </c>
      <c r="J771">
        <v>0.97</v>
      </c>
      <c r="K771">
        <v>6.29</v>
      </c>
      <c r="L771">
        <v>1.2</v>
      </c>
      <c r="M771">
        <v>10</v>
      </c>
      <c r="N771" s="1">
        <f>bmw_global_sales_dataset[[#This Row],[units_sold]]*bmw_global_sales_dataset[[#This Row],[price_usd]]</f>
        <v>28305425</v>
      </c>
      <c r="O771">
        <v>425</v>
      </c>
    </row>
    <row r="772" spans="1:15" x14ac:dyDescent="0.35">
      <c r="A772">
        <v>2022</v>
      </c>
      <c r="B772">
        <v>1</v>
      </c>
      <c r="C772" t="s">
        <v>35</v>
      </c>
      <c r="D772" t="s">
        <v>34</v>
      </c>
      <c r="E772" t="s">
        <v>20</v>
      </c>
      <c r="F772" t="s">
        <v>23</v>
      </c>
      <c r="G772" s="1">
        <v>102356</v>
      </c>
      <c r="H772" s="1">
        <v>262986</v>
      </c>
      <c r="I772">
        <v>389</v>
      </c>
      <c r="J772">
        <v>0.97</v>
      </c>
      <c r="K772">
        <v>6.29</v>
      </c>
      <c r="L772">
        <v>1.2</v>
      </c>
      <c r="M772">
        <v>7</v>
      </c>
      <c r="N772" s="1">
        <f>bmw_global_sales_dataset[[#This Row],[units_sold]]*bmw_global_sales_dataset[[#This Row],[price_usd]]</f>
        <v>109213852</v>
      </c>
      <c r="O772">
        <v>1067</v>
      </c>
    </row>
    <row r="773" spans="1:15" x14ac:dyDescent="0.35">
      <c r="A773">
        <v>2022</v>
      </c>
      <c r="B773">
        <v>6</v>
      </c>
      <c r="C773" t="s">
        <v>21</v>
      </c>
      <c r="D773" t="s">
        <v>15</v>
      </c>
      <c r="E773" t="s">
        <v>20</v>
      </c>
      <c r="F773" t="s">
        <v>17</v>
      </c>
      <c r="G773" s="1">
        <v>107104</v>
      </c>
      <c r="H773" s="1">
        <v>255827</v>
      </c>
      <c r="I773">
        <v>24</v>
      </c>
      <c r="J773">
        <v>0.97</v>
      </c>
      <c r="K773">
        <v>6.29</v>
      </c>
      <c r="L773">
        <v>1.2</v>
      </c>
      <c r="M773">
        <v>3</v>
      </c>
      <c r="N773" s="1">
        <f>bmw_global_sales_dataset[[#This Row],[units_sold]]*bmw_global_sales_dataset[[#This Row],[price_usd]]</f>
        <v>19814240</v>
      </c>
      <c r="O773">
        <v>185</v>
      </c>
    </row>
    <row r="774" spans="1:15" x14ac:dyDescent="0.35">
      <c r="A774">
        <v>2022</v>
      </c>
      <c r="B774">
        <v>12</v>
      </c>
      <c r="C774" t="s">
        <v>36</v>
      </c>
      <c r="D774" t="s">
        <v>22</v>
      </c>
      <c r="E774" t="s">
        <v>19</v>
      </c>
      <c r="F774" t="s">
        <v>23</v>
      </c>
      <c r="G774" s="1">
        <v>62025</v>
      </c>
      <c r="H774" s="1">
        <v>368667</v>
      </c>
      <c r="I774">
        <v>217</v>
      </c>
      <c r="J774">
        <v>0.97</v>
      </c>
      <c r="K774">
        <v>6.29</v>
      </c>
      <c r="L774">
        <v>1.2</v>
      </c>
      <c r="M774">
        <v>5</v>
      </c>
      <c r="N774" s="1">
        <f>bmw_global_sales_dataset[[#This Row],[units_sold]]*bmw_global_sales_dataset[[#This Row],[price_usd]]</f>
        <v>54582000</v>
      </c>
      <c r="O774">
        <v>880</v>
      </c>
    </row>
    <row r="775" spans="1:15" x14ac:dyDescent="0.35">
      <c r="A775">
        <v>2022</v>
      </c>
      <c r="B775">
        <v>12</v>
      </c>
      <c r="C775" t="s">
        <v>32</v>
      </c>
      <c r="D775" t="s">
        <v>15</v>
      </c>
      <c r="E775" t="s">
        <v>19</v>
      </c>
      <c r="F775" t="s">
        <v>17</v>
      </c>
      <c r="G775" s="1">
        <v>62094</v>
      </c>
      <c r="H775" s="1">
        <v>258030</v>
      </c>
      <c r="I775">
        <v>314</v>
      </c>
      <c r="J775">
        <v>0.97</v>
      </c>
      <c r="K775">
        <v>6.29</v>
      </c>
      <c r="L775">
        <v>1.2</v>
      </c>
      <c r="M775">
        <v>1</v>
      </c>
      <c r="N775" s="1">
        <f>bmw_global_sales_dataset[[#This Row],[units_sold]]*bmw_global_sales_dataset[[#This Row],[price_usd]]</f>
        <v>62839128</v>
      </c>
      <c r="O775">
        <v>1012</v>
      </c>
    </row>
    <row r="776" spans="1:15" x14ac:dyDescent="0.35">
      <c r="A776">
        <v>2022</v>
      </c>
      <c r="B776">
        <v>11</v>
      </c>
      <c r="C776" t="s">
        <v>36</v>
      </c>
      <c r="D776" t="s">
        <v>24</v>
      </c>
      <c r="E776" t="s">
        <v>19</v>
      </c>
      <c r="F776" t="s">
        <v>27</v>
      </c>
      <c r="G776" s="1">
        <v>58991</v>
      </c>
      <c r="H776" s="1">
        <v>456396</v>
      </c>
      <c r="I776">
        <v>99</v>
      </c>
      <c r="J776">
        <v>0.97</v>
      </c>
      <c r="K776">
        <v>6.29</v>
      </c>
      <c r="L776">
        <v>1.2</v>
      </c>
      <c r="M776">
        <v>5</v>
      </c>
      <c r="N776" s="1">
        <f>bmw_global_sales_dataset[[#This Row],[units_sold]]*bmw_global_sales_dataset[[#This Row],[price_usd]]</f>
        <v>26958887</v>
      </c>
      <c r="O776">
        <v>457</v>
      </c>
    </row>
    <row r="777" spans="1:15" x14ac:dyDescent="0.35">
      <c r="A777">
        <v>2022</v>
      </c>
      <c r="B777">
        <v>6</v>
      </c>
      <c r="C777" t="s">
        <v>30</v>
      </c>
      <c r="D777" t="s">
        <v>39</v>
      </c>
      <c r="E777" t="s">
        <v>19</v>
      </c>
      <c r="F777" t="s">
        <v>27</v>
      </c>
      <c r="G777" s="1">
        <v>116463</v>
      </c>
      <c r="H777" s="1">
        <v>480147</v>
      </c>
      <c r="I777">
        <v>25</v>
      </c>
      <c r="J777">
        <v>0.97</v>
      </c>
      <c r="K777">
        <v>6.29</v>
      </c>
      <c r="L777">
        <v>1.2</v>
      </c>
      <c r="M777">
        <v>4</v>
      </c>
      <c r="N777" s="1">
        <f>bmw_global_sales_dataset[[#This Row],[units_sold]]*bmw_global_sales_dataset[[#This Row],[price_usd]]</f>
        <v>28416972</v>
      </c>
      <c r="O777">
        <v>244</v>
      </c>
    </row>
    <row r="778" spans="1:15" x14ac:dyDescent="0.35">
      <c r="A778">
        <v>2022</v>
      </c>
      <c r="B778">
        <v>8</v>
      </c>
      <c r="C778" t="s">
        <v>21</v>
      </c>
      <c r="D778" t="s">
        <v>29</v>
      </c>
      <c r="E778" t="s">
        <v>19</v>
      </c>
      <c r="F778" t="s">
        <v>27</v>
      </c>
      <c r="G778" s="1">
        <v>74725</v>
      </c>
      <c r="H778" s="1">
        <v>382278</v>
      </c>
      <c r="I778">
        <v>110</v>
      </c>
      <c r="J778">
        <v>0.97</v>
      </c>
      <c r="K778">
        <v>6.29</v>
      </c>
      <c r="L778">
        <v>1.2</v>
      </c>
      <c r="M778">
        <v>2</v>
      </c>
      <c r="N778" s="1">
        <f>bmw_global_sales_dataset[[#This Row],[units_sold]]*bmw_global_sales_dataset[[#This Row],[price_usd]]</f>
        <v>22641675</v>
      </c>
      <c r="O778">
        <v>303</v>
      </c>
    </row>
    <row r="779" spans="1:15" x14ac:dyDescent="0.35">
      <c r="A779">
        <v>2022</v>
      </c>
      <c r="B779">
        <v>9</v>
      </c>
      <c r="C779" t="s">
        <v>35</v>
      </c>
      <c r="D779" t="s">
        <v>24</v>
      </c>
      <c r="E779" t="s">
        <v>16</v>
      </c>
      <c r="F779" t="s">
        <v>20</v>
      </c>
      <c r="G779" s="1">
        <v>44196</v>
      </c>
      <c r="H779" s="1">
        <v>355126</v>
      </c>
      <c r="I779">
        <v>43</v>
      </c>
      <c r="J779">
        <v>0.97</v>
      </c>
      <c r="K779">
        <v>6.29</v>
      </c>
      <c r="L779">
        <v>1.2</v>
      </c>
      <c r="M779">
        <v>9</v>
      </c>
      <c r="N779" s="1">
        <f>bmw_global_sales_dataset[[#This Row],[units_sold]]*bmw_global_sales_dataset[[#This Row],[price_usd]]</f>
        <v>10916412</v>
      </c>
      <c r="O779">
        <v>247</v>
      </c>
    </row>
    <row r="780" spans="1:15" x14ac:dyDescent="0.35">
      <c r="A780">
        <v>2022</v>
      </c>
      <c r="B780">
        <v>12</v>
      </c>
      <c r="C780" t="s">
        <v>32</v>
      </c>
      <c r="D780" t="s">
        <v>22</v>
      </c>
      <c r="E780" t="s">
        <v>20</v>
      </c>
      <c r="F780" t="s">
        <v>20</v>
      </c>
      <c r="G780" s="1">
        <v>84589</v>
      </c>
      <c r="H780" s="1">
        <v>347515</v>
      </c>
      <c r="I780">
        <v>262</v>
      </c>
      <c r="J780">
        <v>0.97</v>
      </c>
      <c r="K780">
        <v>6.29</v>
      </c>
      <c r="L780">
        <v>1.2</v>
      </c>
      <c r="M780">
        <v>6</v>
      </c>
      <c r="N780" s="1">
        <f>bmw_global_sales_dataset[[#This Row],[units_sold]]*bmw_global_sales_dataset[[#This Row],[price_usd]]</f>
        <v>69362980</v>
      </c>
      <c r="O780">
        <v>820</v>
      </c>
    </row>
    <row r="781" spans="1:15" x14ac:dyDescent="0.35">
      <c r="A781">
        <v>2022</v>
      </c>
      <c r="B781">
        <v>8</v>
      </c>
      <c r="C781" t="s">
        <v>25</v>
      </c>
      <c r="D781" t="s">
        <v>15</v>
      </c>
      <c r="E781" t="s">
        <v>19</v>
      </c>
      <c r="F781" t="s">
        <v>27</v>
      </c>
      <c r="G781" s="1">
        <v>117987</v>
      </c>
      <c r="H781" s="1">
        <v>61826</v>
      </c>
      <c r="I781">
        <v>30</v>
      </c>
      <c r="J781">
        <v>0.97</v>
      </c>
      <c r="K781">
        <v>6.29</v>
      </c>
      <c r="L781">
        <v>1.2</v>
      </c>
      <c r="M781">
        <v>10</v>
      </c>
      <c r="N781" s="1">
        <f>bmw_global_sales_dataset[[#This Row],[units_sold]]*bmw_global_sales_dataset[[#This Row],[price_usd]]</f>
        <v>9438960</v>
      </c>
      <c r="O781">
        <v>80</v>
      </c>
    </row>
    <row r="782" spans="1:15" x14ac:dyDescent="0.35">
      <c r="A782">
        <v>2022</v>
      </c>
      <c r="B782">
        <v>10</v>
      </c>
      <c r="C782" t="s">
        <v>36</v>
      </c>
      <c r="D782" t="s">
        <v>24</v>
      </c>
      <c r="E782" t="s">
        <v>19</v>
      </c>
      <c r="F782" t="s">
        <v>23</v>
      </c>
      <c r="G782" s="1">
        <v>60279</v>
      </c>
      <c r="H782" s="1">
        <v>55495</v>
      </c>
      <c r="I782">
        <v>143</v>
      </c>
      <c r="J782">
        <v>0.97</v>
      </c>
      <c r="K782">
        <v>6.29</v>
      </c>
      <c r="L782">
        <v>1.2</v>
      </c>
      <c r="M782">
        <v>10</v>
      </c>
      <c r="N782" s="1">
        <f>bmw_global_sales_dataset[[#This Row],[units_sold]]*bmw_global_sales_dataset[[#This Row],[price_usd]]</f>
        <v>18807048</v>
      </c>
      <c r="O782">
        <v>312</v>
      </c>
    </row>
    <row r="783" spans="1:15" x14ac:dyDescent="0.35">
      <c r="A783">
        <v>2022</v>
      </c>
      <c r="B783">
        <v>4</v>
      </c>
      <c r="C783" t="s">
        <v>30</v>
      </c>
      <c r="D783" t="s">
        <v>34</v>
      </c>
      <c r="E783" t="s">
        <v>20</v>
      </c>
      <c r="F783" t="s">
        <v>20</v>
      </c>
      <c r="G783" s="1">
        <v>75544</v>
      </c>
      <c r="H783" s="1">
        <v>430041</v>
      </c>
      <c r="I783">
        <v>75</v>
      </c>
      <c r="J783">
        <v>0.97</v>
      </c>
      <c r="K783">
        <v>6.29</v>
      </c>
      <c r="L783">
        <v>1.2</v>
      </c>
      <c r="M783">
        <v>7</v>
      </c>
      <c r="N783" s="1">
        <f>bmw_global_sales_dataset[[#This Row],[units_sold]]*bmw_global_sales_dataset[[#This Row],[price_usd]]</f>
        <v>43891064</v>
      </c>
      <c r="O783">
        <v>581</v>
      </c>
    </row>
    <row r="784" spans="1:15" x14ac:dyDescent="0.35">
      <c r="A784">
        <v>2022</v>
      </c>
      <c r="B784">
        <v>3</v>
      </c>
      <c r="C784" t="s">
        <v>32</v>
      </c>
      <c r="D784" t="s">
        <v>15</v>
      </c>
      <c r="E784" t="s">
        <v>19</v>
      </c>
      <c r="F784" t="s">
        <v>27</v>
      </c>
      <c r="G784" s="1">
        <v>111290</v>
      </c>
      <c r="H784" s="1">
        <v>273177</v>
      </c>
      <c r="I784">
        <v>110</v>
      </c>
      <c r="J784">
        <v>0.97</v>
      </c>
      <c r="K784">
        <v>6.29</v>
      </c>
      <c r="L784">
        <v>1.2</v>
      </c>
      <c r="M784">
        <v>6</v>
      </c>
      <c r="N784" s="1">
        <f>bmw_global_sales_dataset[[#This Row],[units_sold]]*bmw_global_sales_dataset[[#This Row],[price_usd]]</f>
        <v>30827330</v>
      </c>
      <c r="O784">
        <v>277</v>
      </c>
    </row>
    <row r="785" spans="1:15" x14ac:dyDescent="0.35">
      <c r="A785">
        <v>2022</v>
      </c>
      <c r="B785">
        <v>2</v>
      </c>
      <c r="C785" t="s">
        <v>30</v>
      </c>
      <c r="D785" t="s">
        <v>26</v>
      </c>
      <c r="E785" t="s">
        <v>19</v>
      </c>
      <c r="F785" t="s">
        <v>27</v>
      </c>
      <c r="G785" s="1">
        <v>61502</v>
      </c>
      <c r="H785" s="1">
        <v>210020</v>
      </c>
      <c r="I785">
        <v>35</v>
      </c>
      <c r="J785">
        <v>0.97</v>
      </c>
      <c r="K785">
        <v>6.29</v>
      </c>
      <c r="L785">
        <v>1.2</v>
      </c>
      <c r="M785">
        <v>6</v>
      </c>
      <c r="N785" s="1">
        <f>bmw_global_sales_dataset[[#This Row],[units_sold]]*bmw_global_sales_dataset[[#This Row],[price_usd]]</f>
        <v>16605540</v>
      </c>
      <c r="O785">
        <v>270</v>
      </c>
    </row>
    <row r="786" spans="1:15" x14ac:dyDescent="0.35">
      <c r="A786">
        <v>2022</v>
      </c>
      <c r="B786">
        <v>4</v>
      </c>
      <c r="C786" t="s">
        <v>30</v>
      </c>
      <c r="D786" t="s">
        <v>29</v>
      </c>
      <c r="E786" t="s">
        <v>20</v>
      </c>
      <c r="F786" t="s">
        <v>20</v>
      </c>
      <c r="G786" s="1">
        <v>47861</v>
      </c>
      <c r="H786" s="1">
        <v>140925</v>
      </c>
      <c r="I786">
        <v>125</v>
      </c>
      <c r="J786">
        <v>0.97</v>
      </c>
      <c r="K786">
        <v>6.29</v>
      </c>
      <c r="L786">
        <v>1.2</v>
      </c>
      <c r="M786">
        <v>1</v>
      </c>
      <c r="N786" s="1">
        <f>bmw_global_sales_dataset[[#This Row],[units_sold]]*bmw_global_sales_dataset[[#This Row],[price_usd]]</f>
        <v>32019009</v>
      </c>
      <c r="O786">
        <v>669</v>
      </c>
    </row>
    <row r="787" spans="1:15" x14ac:dyDescent="0.35">
      <c r="A787">
        <v>2022</v>
      </c>
      <c r="B787">
        <v>9</v>
      </c>
      <c r="C787" t="s">
        <v>30</v>
      </c>
      <c r="D787" t="s">
        <v>39</v>
      </c>
      <c r="E787" t="s">
        <v>16</v>
      </c>
      <c r="F787" t="s">
        <v>17</v>
      </c>
      <c r="G787" s="1">
        <v>85617</v>
      </c>
      <c r="H787" s="1">
        <v>63731</v>
      </c>
      <c r="I787">
        <v>236</v>
      </c>
      <c r="J787">
        <v>0.97</v>
      </c>
      <c r="K787">
        <v>6.29</v>
      </c>
      <c r="L787">
        <v>1.2</v>
      </c>
      <c r="M787">
        <v>2</v>
      </c>
      <c r="N787" s="1">
        <f>bmw_global_sales_dataset[[#This Row],[units_sold]]*bmw_global_sales_dataset[[#This Row],[price_usd]]</f>
        <v>57705858</v>
      </c>
      <c r="O787">
        <v>674</v>
      </c>
    </row>
    <row r="788" spans="1:15" x14ac:dyDescent="0.35">
      <c r="A788">
        <v>2022</v>
      </c>
      <c r="B788">
        <v>8</v>
      </c>
      <c r="C788" t="s">
        <v>30</v>
      </c>
      <c r="D788" t="s">
        <v>34</v>
      </c>
      <c r="E788" t="s">
        <v>19</v>
      </c>
      <c r="F788" t="s">
        <v>23</v>
      </c>
      <c r="G788" s="1">
        <v>83639</v>
      </c>
      <c r="H788" s="1">
        <v>62467</v>
      </c>
      <c r="I788">
        <v>364</v>
      </c>
      <c r="J788">
        <v>0.97</v>
      </c>
      <c r="K788">
        <v>6.29</v>
      </c>
      <c r="L788">
        <v>1.2</v>
      </c>
      <c r="M788">
        <v>1</v>
      </c>
      <c r="N788" s="1">
        <f>bmw_global_sales_dataset[[#This Row],[units_sold]]*bmw_global_sales_dataset[[#This Row],[price_usd]]</f>
        <v>68834897</v>
      </c>
      <c r="O788">
        <v>823</v>
      </c>
    </row>
    <row r="789" spans="1:15" x14ac:dyDescent="0.35">
      <c r="A789">
        <v>2022</v>
      </c>
      <c r="B789">
        <v>6</v>
      </c>
      <c r="C789" t="s">
        <v>28</v>
      </c>
      <c r="D789" t="s">
        <v>24</v>
      </c>
      <c r="E789" t="s">
        <v>16</v>
      </c>
      <c r="F789" t="s">
        <v>17</v>
      </c>
      <c r="G789" s="1">
        <v>86375</v>
      </c>
      <c r="H789" s="1">
        <v>436154</v>
      </c>
      <c r="I789">
        <v>174</v>
      </c>
      <c r="J789">
        <v>0.97</v>
      </c>
      <c r="K789">
        <v>6.29</v>
      </c>
      <c r="L789">
        <v>1.2</v>
      </c>
      <c r="M789">
        <v>3</v>
      </c>
      <c r="N789" s="1">
        <f>bmw_global_sales_dataset[[#This Row],[units_sold]]*bmw_global_sales_dataset[[#This Row],[price_usd]]</f>
        <v>61412625</v>
      </c>
      <c r="O789">
        <v>711</v>
      </c>
    </row>
    <row r="790" spans="1:15" x14ac:dyDescent="0.35">
      <c r="A790">
        <v>2022</v>
      </c>
      <c r="B790">
        <v>5</v>
      </c>
      <c r="C790" t="s">
        <v>25</v>
      </c>
      <c r="D790" t="s">
        <v>31</v>
      </c>
      <c r="E790" t="s">
        <v>20</v>
      </c>
      <c r="F790" t="s">
        <v>27</v>
      </c>
      <c r="G790" s="1">
        <v>50479</v>
      </c>
      <c r="H790" s="1">
        <v>134363</v>
      </c>
      <c r="I790">
        <v>93</v>
      </c>
      <c r="J790">
        <v>0.97</v>
      </c>
      <c r="K790">
        <v>6.29</v>
      </c>
      <c r="L790">
        <v>1.2</v>
      </c>
      <c r="M790">
        <v>6</v>
      </c>
      <c r="N790" s="1">
        <f>bmw_global_sales_dataset[[#This Row],[units_sold]]*bmw_global_sales_dataset[[#This Row],[price_usd]]</f>
        <v>18778188</v>
      </c>
      <c r="O790">
        <v>372</v>
      </c>
    </row>
    <row r="791" spans="1:15" x14ac:dyDescent="0.35">
      <c r="A791">
        <v>2022</v>
      </c>
      <c r="B791">
        <v>8</v>
      </c>
      <c r="C791" t="s">
        <v>37</v>
      </c>
      <c r="D791" t="s">
        <v>39</v>
      </c>
      <c r="E791" t="s">
        <v>16</v>
      </c>
      <c r="F791" t="s">
        <v>23</v>
      </c>
      <c r="G791" s="1">
        <v>39823</v>
      </c>
      <c r="H791" s="1">
        <v>375188</v>
      </c>
      <c r="I791">
        <v>253</v>
      </c>
      <c r="J791">
        <v>0.97</v>
      </c>
      <c r="K791">
        <v>6.29</v>
      </c>
      <c r="L791">
        <v>1.2</v>
      </c>
      <c r="M791">
        <v>4</v>
      </c>
      <c r="N791" s="1">
        <f>bmw_global_sales_dataset[[#This Row],[units_sold]]*bmw_global_sales_dataset[[#This Row],[price_usd]]</f>
        <v>31619462</v>
      </c>
      <c r="O791">
        <v>794</v>
      </c>
    </row>
    <row r="792" spans="1:15" x14ac:dyDescent="0.35">
      <c r="A792">
        <v>2022</v>
      </c>
      <c r="B792">
        <v>1</v>
      </c>
      <c r="C792" t="s">
        <v>28</v>
      </c>
      <c r="D792" t="s">
        <v>31</v>
      </c>
      <c r="E792" t="s">
        <v>20</v>
      </c>
      <c r="F792" t="s">
        <v>20</v>
      </c>
      <c r="G792" s="1">
        <v>96607</v>
      </c>
      <c r="H792" s="1">
        <v>184479</v>
      </c>
      <c r="I792">
        <v>238</v>
      </c>
      <c r="J792">
        <v>0.97</v>
      </c>
      <c r="K792">
        <v>6.29</v>
      </c>
      <c r="L792">
        <v>1.2</v>
      </c>
      <c r="M792">
        <v>1</v>
      </c>
      <c r="N792" s="1">
        <f>bmw_global_sales_dataset[[#This Row],[units_sold]]*bmw_global_sales_dataset[[#This Row],[price_usd]]</f>
        <v>55935453</v>
      </c>
      <c r="O792">
        <v>579</v>
      </c>
    </row>
    <row r="793" spans="1:15" x14ac:dyDescent="0.35">
      <c r="A793">
        <v>2022</v>
      </c>
      <c r="B793">
        <v>1</v>
      </c>
      <c r="C793" t="s">
        <v>21</v>
      </c>
      <c r="D793" t="s">
        <v>29</v>
      </c>
      <c r="E793" t="s">
        <v>16</v>
      </c>
      <c r="F793" t="s">
        <v>23</v>
      </c>
      <c r="G793" s="1">
        <v>54385</v>
      </c>
      <c r="H793" s="1">
        <v>411087</v>
      </c>
      <c r="I793">
        <v>283</v>
      </c>
      <c r="J793">
        <v>0.97</v>
      </c>
      <c r="K793">
        <v>6.29</v>
      </c>
      <c r="L793">
        <v>1.2</v>
      </c>
      <c r="M793">
        <v>10</v>
      </c>
      <c r="N793" s="1">
        <f>bmw_global_sales_dataset[[#This Row],[units_sold]]*bmw_global_sales_dataset[[#This Row],[price_usd]]</f>
        <v>47913185</v>
      </c>
      <c r="O793">
        <v>881</v>
      </c>
    </row>
    <row r="794" spans="1:15" x14ac:dyDescent="0.35">
      <c r="A794">
        <v>2022</v>
      </c>
      <c r="B794">
        <v>12</v>
      </c>
      <c r="C794" t="s">
        <v>38</v>
      </c>
      <c r="D794" t="s">
        <v>31</v>
      </c>
      <c r="E794" t="s">
        <v>16</v>
      </c>
      <c r="F794" t="s">
        <v>23</v>
      </c>
      <c r="G794" s="1">
        <v>101900</v>
      </c>
      <c r="H794" s="1">
        <v>55666</v>
      </c>
      <c r="I794">
        <v>127</v>
      </c>
      <c r="J794">
        <v>0.97</v>
      </c>
      <c r="K794">
        <v>6.29</v>
      </c>
      <c r="L794">
        <v>1.2</v>
      </c>
      <c r="M794">
        <v>2</v>
      </c>
      <c r="N794" s="1">
        <f>bmw_global_sales_dataset[[#This Row],[units_sold]]*bmw_global_sales_dataset[[#This Row],[price_usd]]</f>
        <v>45855000</v>
      </c>
      <c r="O794">
        <v>450</v>
      </c>
    </row>
    <row r="795" spans="1:15" x14ac:dyDescent="0.35">
      <c r="A795">
        <v>2022</v>
      </c>
      <c r="B795">
        <v>10</v>
      </c>
      <c r="C795" t="s">
        <v>28</v>
      </c>
      <c r="D795" t="s">
        <v>31</v>
      </c>
      <c r="E795" t="s">
        <v>16</v>
      </c>
      <c r="F795" t="s">
        <v>23</v>
      </c>
      <c r="G795" s="1">
        <v>113929</v>
      </c>
      <c r="H795" s="1">
        <v>497603</v>
      </c>
      <c r="I795">
        <v>24</v>
      </c>
      <c r="J795">
        <v>0.97</v>
      </c>
      <c r="K795">
        <v>6.29</v>
      </c>
      <c r="L795">
        <v>1.2</v>
      </c>
      <c r="M795">
        <v>8</v>
      </c>
      <c r="N795" s="1">
        <f>bmw_global_sales_dataset[[#This Row],[units_sold]]*bmw_global_sales_dataset[[#This Row],[price_usd]]</f>
        <v>36912996</v>
      </c>
      <c r="O795">
        <v>324</v>
      </c>
    </row>
    <row r="796" spans="1:15" x14ac:dyDescent="0.35">
      <c r="A796">
        <v>2022</v>
      </c>
      <c r="B796">
        <v>1</v>
      </c>
      <c r="C796" t="s">
        <v>28</v>
      </c>
      <c r="D796" t="s">
        <v>22</v>
      </c>
      <c r="E796" t="s">
        <v>20</v>
      </c>
      <c r="F796" t="s">
        <v>20</v>
      </c>
      <c r="G796" s="1">
        <v>36552</v>
      </c>
      <c r="H796" s="1">
        <v>355313</v>
      </c>
      <c r="I796">
        <v>220</v>
      </c>
      <c r="J796">
        <v>0.97</v>
      </c>
      <c r="K796">
        <v>6.29</v>
      </c>
      <c r="L796">
        <v>1.2</v>
      </c>
      <c r="M796">
        <v>4</v>
      </c>
      <c r="N796" s="1">
        <f>bmw_global_sales_dataset[[#This Row],[units_sold]]*bmw_global_sales_dataset[[#This Row],[price_usd]]</f>
        <v>26463648</v>
      </c>
      <c r="O796">
        <v>724</v>
      </c>
    </row>
    <row r="797" spans="1:15" x14ac:dyDescent="0.35">
      <c r="A797">
        <v>2022</v>
      </c>
      <c r="B797">
        <v>1</v>
      </c>
      <c r="C797" t="s">
        <v>38</v>
      </c>
      <c r="D797" t="s">
        <v>18</v>
      </c>
      <c r="E797" t="s">
        <v>16</v>
      </c>
      <c r="F797" t="s">
        <v>27</v>
      </c>
      <c r="G797" s="1">
        <v>57634</v>
      </c>
      <c r="H797" s="1">
        <v>411541</v>
      </c>
      <c r="I797">
        <v>78</v>
      </c>
      <c r="J797">
        <v>0.97</v>
      </c>
      <c r="K797">
        <v>6.29</v>
      </c>
      <c r="L797">
        <v>1.2</v>
      </c>
      <c r="M797">
        <v>2</v>
      </c>
      <c r="N797" s="1">
        <f>bmw_global_sales_dataset[[#This Row],[units_sold]]*bmw_global_sales_dataset[[#This Row],[price_usd]]</f>
        <v>32102138</v>
      </c>
      <c r="O797">
        <v>557</v>
      </c>
    </row>
    <row r="798" spans="1:15" x14ac:dyDescent="0.35">
      <c r="A798">
        <v>2022</v>
      </c>
      <c r="B798">
        <v>4</v>
      </c>
      <c r="C798" t="s">
        <v>30</v>
      </c>
      <c r="D798" t="s">
        <v>29</v>
      </c>
      <c r="E798" t="s">
        <v>20</v>
      </c>
      <c r="F798" t="s">
        <v>23</v>
      </c>
      <c r="G798" s="1">
        <v>104904</v>
      </c>
      <c r="H798" s="1">
        <v>310464</v>
      </c>
      <c r="I798">
        <v>331</v>
      </c>
      <c r="J798">
        <v>0.97</v>
      </c>
      <c r="K798">
        <v>6.29</v>
      </c>
      <c r="L798">
        <v>1.2</v>
      </c>
      <c r="M798">
        <v>2</v>
      </c>
      <c r="N798" s="1">
        <f>bmw_global_sales_dataset[[#This Row],[units_sold]]*bmw_global_sales_dataset[[#This Row],[price_usd]]</f>
        <v>101547072</v>
      </c>
      <c r="O798">
        <v>968</v>
      </c>
    </row>
    <row r="799" spans="1:15" x14ac:dyDescent="0.35">
      <c r="A799">
        <v>2022</v>
      </c>
      <c r="B799">
        <v>10</v>
      </c>
      <c r="C799" t="s">
        <v>28</v>
      </c>
      <c r="D799" t="s">
        <v>22</v>
      </c>
      <c r="E799" t="s">
        <v>19</v>
      </c>
      <c r="F799" t="s">
        <v>27</v>
      </c>
      <c r="G799" s="1">
        <v>82691</v>
      </c>
      <c r="H799" s="1">
        <v>207255</v>
      </c>
      <c r="I799">
        <v>346</v>
      </c>
      <c r="J799">
        <v>0.97</v>
      </c>
      <c r="K799">
        <v>6.29</v>
      </c>
      <c r="L799">
        <v>1.2</v>
      </c>
      <c r="M799">
        <v>7</v>
      </c>
      <c r="N799" s="1">
        <f>bmw_global_sales_dataset[[#This Row],[units_sold]]*bmw_global_sales_dataset[[#This Row],[price_usd]]</f>
        <v>92944684</v>
      </c>
      <c r="O799">
        <v>1124</v>
      </c>
    </row>
    <row r="800" spans="1:15" x14ac:dyDescent="0.35">
      <c r="A800">
        <v>2022</v>
      </c>
      <c r="B800">
        <v>12</v>
      </c>
      <c r="C800" t="s">
        <v>38</v>
      </c>
      <c r="D800" t="s">
        <v>29</v>
      </c>
      <c r="E800" t="s">
        <v>20</v>
      </c>
      <c r="F800" t="s">
        <v>27</v>
      </c>
      <c r="G800" s="1">
        <v>72040</v>
      </c>
      <c r="H800" s="1">
        <v>406004</v>
      </c>
      <c r="I800">
        <v>144</v>
      </c>
      <c r="J800">
        <v>0.97</v>
      </c>
      <c r="K800">
        <v>6.29</v>
      </c>
      <c r="L800">
        <v>1.2</v>
      </c>
      <c r="M800">
        <v>5</v>
      </c>
      <c r="N800" s="1">
        <f>bmw_global_sales_dataset[[#This Row],[units_sold]]*bmw_global_sales_dataset[[#This Row],[price_usd]]</f>
        <v>50211880</v>
      </c>
      <c r="O800">
        <v>697</v>
      </c>
    </row>
    <row r="801" spans="1:15" x14ac:dyDescent="0.35">
      <c r="A801">
        <v>2022</v>
      </c>
      <c r="B801">
        <v>1</v>
      </c>
      <c r="C801" t="s">
        <v>25</v>
      </c>
      <c r="D801" t="s">
        <v>31</v>
      </c>
      <c r="E801" t="s">
        <v>20</v>
      </c>
      <c r="F801" t="s">
        <v>17</v>
      </c>
      <c r="G801" s="1">
        <v>68980</v>
      </c>
      <c r="H801" s="1">
        <v>457332</v>
      </c>
      <c r="I801">
        <v>238</v>
      </c>
      <c r="J801">
        <v>0.97</v>
      </c>
      <c r="K801">
        <v>6.29</v>
      </c>
      <c r="L801">
        <v>1.2</v>
      </c>
      <c r="M801">
        <v>2</v>
      </c>
      <c r="N801" s="1">
        <f>bmw_global_sales_dataset[[#This Row],[units_sold]]*bmw_global_sales_dataset[[#This Row],[price_usd]]</f>
        <v>48975800</v>
      </c>
      <c r="O801">
        <v>710</v>
      </c>
    </row>
    <row r="802" spans="1:15" x14ac:dyDescent="0.35">
      <c r="A802">
        <v>2022</v>
      </c>
      <c r="B802">
        <v>10</v>
      </c>
      <c r="C802" t="s">
        <v>28</v>
      </c>
      <c r="D802" t="s">
        <v>34</v>
      </c>
      <c r="E802" t="s">
        <v>20</v>
      </c>
      <c r="F802" t="s">
        <v>20</v>
      </c>
      <c r="G802" s="1">
        <v>44344</v>
      </c>
      <c r="H802" s="1">
        <v>275758</v>
      </c>
      <c r="I802">
        <v>367</v>
      </c>
      <c r="J802">
        <v>0.97</v>
      </c>
      <c r="K802">
        <v>6.29</v>
      </c>
      <c r="L802">
        <v>1.2</v>
      </c>
      <c r="M802">
        <v>3</v>
      </c>
      <c r="N802" s="1">
        <f>bmw_global_sales_dataset[[#This Row],[units_sold]]*bmw_global_sales_dataset[[#This Row],[price_usd]]</f>
        <v>34721352</v>
      </c>
      <c r="O802">
        <v>783</v>
      </c>
    </row>
    <row r="803" spans="1:15" x14ac:dyDescent="0.35">
      <c r="A803">
        <v>2022</v>
      </c>
      <c r="B803">
        <v>2</v>
      </c>
      <c r="C803" t="s">
        <v>25</v>
      </c>
      <c r="D803" t="s">
        <v>22</v>
      </c>
      <c r="E803" t="s">
        <v>16</v>
      </c>
      <c r="F803" t="s">
        <v>20</v>
      </c>
      <c r="G803" s="1">
        <v>100679</v>
      </c>
      <c r="H803" s="1">
        <v>65994</v>
      </c>
      <c r="I803">
        <v>212</v>
      </c>
      <c r="J803">
        <v>0.97</v>
      </c>
      <c r="K803">
        <v>6.29</v>
      </c>
      <c r="L803">
        <v>1.2</v>
      </c>
      <c r="M803">
        <v>1</v>
      </c>
      <c r="N803" s="1">
        <f>bmw_global_sales_dataset[[#This Row],[units_sold]]*bmw_global_sales_dataset[[#This Row],[price_usd]]</f>
        <v>61816906</v>
      </c>
      <c r="O803">
        <v>614</v>
      </c>
    </row>
    <row r="804" spans="1:15" x14ac:dyDescent="0.35">
      <c r="A804">
        <v>2023</v>
      </c>
      <c r="B804">
        <v>1</v>
      </c>
      <c r="C804" t="s">
        <v>36</v>
      </c>
      <c r="D804" t="s">
        <v>22</v>
      </c>
      <c r="E804" t="s">
        <v>16</v>
      </c>
      <c r="F804" t="s">
        <v>23</v>
      </c>
      <c r="G804" s="1">
        <v>79950</v>
      </c>
      <c r="H804" s="1">
        <v>308667</v>
      </c>
      <c r="I804">
        <v>137</v>
      </c>
      <c r="J804">
        <v>0.97</v>
      </c>
      <c r="K804">
        <v>6.29</v>
      </c>
      <c r="L804">
        <v>1.2</v>
      </c>
      <c r="M804">
        <v>8</v>
      </c>
      <c r="N804" s="1">
        <f>bmw_global_sales_dataset[[#This Row],[units_sold]]*bmw_global_sales_dataset[[#This Row],[price_usd]]</f>
        <v>53806350</v>
      </c>
      <c r="O804">
        <v>673</v>
      </c>
    </row>
    <row r="805" spans="1:15" x14ac:dyDescent="0.35">
      <c r="A805">
        <v>2023</v>
      </c>
      <c r="B805">
        <v>7</v>
      </c>
      <c r="C805" t="s">
        <v>36</v>
      </c>
      <c r="D805" t="s">
        <v>26</v>
      </c>
      <c r="E805" t="s">
        <v>16</v>
      </c>
      <c r="F805" t="s">
        <v>17</v>
      </c>
      <c r="G805" s="1">
        <v>74346</v>
      </c>
      <c r="H805" s="1">
        <v>70045</v>
      </c>
      <c r="I805">
        <v>235</v>
      </c>
      <c r="J805">
        <v>0.97</v>
      </c>
      <c r="K805">
        <v>6.29</v>
      </c>
      <c r="L805">
        <v>1.2</v>
      </c>
      <c r="M805">
        <v>7</v>
      </c>
      <c r="N805" s="1">
        <f>bmw_global_sales_dataset[[#This Row],[units_sold]]*bmw_global_sales_dataset[[#This Row],[price_usd]]</f>
        <v>57469458</v>
      </c>
      <c r="O805">
        <v>773</v>
      </c>
    </row>
    <row r="806" spans="1:15" x14ac:dyDescent="0.35">
      <c r="A806">
        <v>2023</v>
      </c>
      <c r="B806">
        <v>8</v>
      </c>
      <c r="C806" t="s">
        <v>14</v>
      </c>
      <c r="D806" t="s">
        <v>18</v>
      </c>
      <c r="E806" t="s">
        <v>16</v>
      </c>
      <c r="F806" t="s">
        <v>27</v>
      </c>
      <c r="G806" s="1">
        <v>111441</v>
      </c>
      <c r="H806" s="1">
        <v>279167</v>
      </c>
      <c r="I806">
        <v>156</v>
      </c>
      <c r="J806">
        <v>0.97</v>
      </c>
      <c r="K806">
        <v>6.29</v>
      </c>
      <c r="L806">
        <v>1.2</v>
      </c>
      <c r="M806">
        <v>6</v>
      </c>
      <c r="N806" s="1">
        <f>bmw_global_sales_dataset[[#This Row],[units_sold]]*bmw_global_sales_dataset[[#This Row],[price_usd]]</f>
        <v>78565905</v>
      </c>
      <c r="O806">
        <v>705</v>
      </c>
    </row>
    <row r="807" spans="1:15" x14ac:dyDescent="0.35">
      <c r="A807">
        <v>2023</v>
      </c>
      <c r="B807">
        <v>9</v>
      </c>
      <c r="C807" t="s">
        <v>32</v>
      </c>
      <c r="D807" t="s">
        <v>15</v>
      </c>
      <c r="E807" t="s">
        <v>20</v>
      </c>
      <c r="F807" t="s">
        <v>23</v>
      </c>
      <c r="G807" s="1">
        <v>119577</v>
      </c>
      <c r="H807" s="1">
        <v>269222</v>
      </c>
      <c r="I807">
        <v>134</v>
      </c>
      <c r="J807">
        <v>0.97</v>
      </c>
      <c r="K807">
        <v>6.29</v>
      </c>
      <c r="L807">
        <v>1.2</v>
      </c>
      <c r="M807">
        <v>9</v>
      </c>
      <c r="N807" s="1">
        <f>bmw_global_sales_dataset[[#This Row],[units_sold]]*bmw_global_sales_dataset[[#This Row],[price_usd]]</f>
        <v>45439260</v>
      </c>
      <c r="O807">
        <v>380</v>
      </c>
    </row>
    <row r="808" spans="1:15" x14ac:dyDescent="0.35">
      <c r="A808">
        <v>2023</v>
      </c>
      <c r="B808">
        <v>9</v>
      </c>
      <c r="C808" t="s">
        <v>38</v>
      </c>
      <c r="D808" t="s">
        <v>15</v>
      </c>
      <c r="E808" t="s">
        <v>20</v>
      </c>
      <c r="F808" t="s">
        <v>27</v>
      </c>
      <c r="G808" s="1">
        <v>118163</v>
      </c>
      <c r="H808" s="1">
        <v>491110</v>
      </c>
      <c r="I808">
        <v>269</v>
      </c>
      <c r="J808">
        <v>0.97</v>
      </c>
      <c r="K808">
        <v>6.29</v>
      </c>
      <c r="L808">
        <v>1.2</v>
      </c>
      <c r="M808">
        <v>5</v>
      </c>
      <c r="N808" s="1">
        <f>bmw_global_sales_dataset[[#This Row],[units_sold]]*bmw_global_sales_dataset[[#This Row],[price_usd]]</f>
        <v>78105743</v>
      </c>
      <c r="O808">
        <v>661</v>
      </c>
    </row>
    <row r="809" spans="1:15" x14ac:dyDescent="0.35">
      <c r="A809">
        <v>2023</v>
      </c>
      <c r="B809">
        <v>4</v>
      </c>
      <c r="C809" t="s">
        <v>32</v>
      </c>
      <c r="D809" t="s">
        <v>31</v>
      </c>
      <c r="E809" t="s">
        <v>19</v>
      </c>
      <c r="F809" t="s">
        <v>27</v>
      </c>
      <c r="G809" s="1">
        <v>114481</v>
      </c>
      <c r="H809" s="1">
        <v>410971</v>
      </c>
      <c r="I809">
        <v>394</v>
      </c>
      <c r="J809">
        <v>0.97</v>
      </c>
      <c r="K809">
        <v>6.29</v>
      </c>
      <c r="L809">
        <v>1.2</v>
      </c>
      <c r="M809">
        <v>7</v>
      </c>
      <c r="N809" s="1">
        <f>bmw_global_sales_dataset[[#This Row],[units_sold]]*bmw_global_sales_dataset[[#This Row],[price_usd]]</f>
        <v>136232390</v>
      </c>
      <c r="O809">
        <v>1190</v>
      </c>
    </row>
    <row r="810" spans="1:15" x14ac:dyDescent="0.35">
      <c r="A810">
        <v>2023</v>
      </c>
      <c r="B810">
        <v>6</v>
      </c>
      <c r="C810" t="s">
        <v>38</v>
      </c>
      <c r="D810" t="s">
        <v>18</v>
      </c>
      <c r="E810" t="s">
        <v>16</v>
      </c>
      <c r="F810" t="s">
        <v>20</v>
      </c>
      <c r="G810" s="1">
        <v>39633</v>
      </c>
      <c r="H810" s="1">
        <v>251798</v>
      </c>
      <c r="I810">
        <v>219</v>
      </c>
      <c r="J810">
        <v>0.97</v>
      </c>
      <c r="K810">
        <v>6.29</v>
      </c>
      <c r="L810">
        <v>1.2</v>
      </c>
      <c r="M810">
        <v>1</v>
      </c>
      <c r="N810" s="1">
        <f>bmw_global_sales_dataset[[#This Row],[units_sold]]*bmw_global_sales_dataset[[#This Row],[price_usd]]</f>
        <v>26831541</v>
      </c>
      <c r="O810">
        <v>677</v>
      </c>
    </row>
    <row r="811" spans="1:15" x14ac:dyDescent="0.35">
      <c r="A811">
        <v>2023</v>
      </c>
      <c r="B811">
        <v>10</v>
      </c>
      <c r="C811" t="s">
        <v>32</v>
      </c>
      <c r="D811" t="s">
        <v>31</v>
      </c>
      <c r="E811" t="s">
        <v>19</v>
      </c>
      <c r="F811" t="s">
        <v>20</v>
      </c>
      <c r="G811" s="1">
        <v>52304</v>
      </c>
      <c r="H811" s="1">
        <v>382255</v>
      </c>
      <c r="I811">
        <v>135</v>
      </c>
      <c r="J811">
        <v>0.97</v>
      </c>
      <c r="K811">
        <v>6.29</v>
      </c>
      <c r="L811">
        <v>1.2</v>
      </c>
      <c r="M811">
        <v>10</v>
      </c>
      <c r="N811" s="1">
        <f>bmw_global_sales_dataset[[#This Row],[units_sold]]*bmw_global_sales_dataset[[#This Row],[price_usd]]</f>
        <v>19352480</v>
      </c>
      <c r="O811">
        <v>370</v>
      </c>
    </row>
    <row r="812" spans="1:15" x14ac:dyDescent="0.35">
      <c r="A812">
        <v>2023</v>
      </c>
      <c r="B812">
        <v>2</v>
      </c>
      <c r="C812" t="s">
        <v>28</v>
      </c>
      <c r="D812" t="s">
        <v>31</v>
      </c>
      <c r="E812" t="s">
        <v>16</v>
      </c>
      <c r="F812" t="s">
        <v>27</v>
      </c>
      <c r="G812" s="1">
        <v>42008</v>
      </c>
      <c r="H812" s="1">
        <v>294754</v>
      </c>
      <c r="I812">
        <v>274</v>
      </c>
      <c r="J812">
        <v>0.97</v>
      </c>
      <c r="K812">
        <v>6.29</v>
      </c>
      <c r="L812">
        <v>1.2</v>
      </c>
      <c r="M812">
        <v>6</v>
      </c>
      <c r="N812" s="1">
        <f>bmw_global_sales_dataset[[#This Row],[units_sold]]*bmw_global_sales_dataset[[#This Row],[price_usd]]</f>
        <v>29027528</v>
      </c>
      <c r="O812">
        <v>691</v>
      </c>
    </row>
    <row r="813" spans="1:15" x14ac:dyDescent="0.35">
      <c r="A813">
        <v>2023</v>
      </c>
      <c r="B813">
        <v>1</v>
      </c>
      <c r="C813" t="s">
        <v>28</v>
      </c>
      <c r="D813" t="s">
        <v>18</v>
      </c>
      <c r="E813" t="s">
        <v>20</v>
      </c>
      <c r="F813" t="s">
        <v>27</v>
      </c>
      <c r="G813" s="1">
        <v>62405</v>
      </c>
      <c r="H813" s="1">
        <v>412579</v>
      </c>
      <c r="I813">
        <v>197</v>
      </c>
      <c r="J813">
        <v>0.97</v>
      </c>
      <c r="K813">
        <v>6.29</v>
      </c>
      <c r="L813">
        <v>1.2</v>
      </c>
      <c r="M813">
        <v>5</v>
      </c>
      <c r="N813" s="1">
        <f>bmw_global_sales_dataset[[#This Row],[units_sold]]*bmw_global_sales_dataset[[#This Row],[price_usd]]</f>
        <v>37755025</v>
      </c>
      <c r="O813">
        <v>605</v>
      </c>
    </row>
    <row r="814" spans="1:15" x14ac:dyDescent="0.35">
      <c r="A814">
        <v>2023</v>
      </c>
      <c r="B814">
        <v>3</v>
      </c>
      <c r="C814" t="s">
        <v>28</v>
      </c>
      <c r="D814" t="s">
        <v>24</v>
      </c>
      <c r="E814" t="s">
        <v>20</v>
      </c>
      <c r="F814" t="s">
        <v>27</v>
      </c>
      <c r="G814" s="1">
        <v>50540</v>
      </c>
      <c r="H814" s="1">
        <v>348276</v>
      </c>
      <c r="I814">
        <v>355</v>
      </c>
      <c r="J814">
        <v>0.97</v>
      </c>
      <c r="K814">
        <v>6.29</v>
      </c>
      <c r="L814">
        <v>1.2</v>
      </c>
      <c r="M814">
        <v>5</v>
      </c>
      <c r="N814" s="1">
        <f>bmw_global_sales_dataset[[#This Row],[units_sold]]*bmw_global_sales_dataset[[#This Row],[price_usd]]</f>
        <v>59485580</v>
      </c>
      <c r="O814">
        <v>1177</v>
      </c>
    </row>
    <row r="815" spans="1:15" x14ac:dyDescent="0.35">
      <c r="A815">
        <v>2023</v>
      </c>
      <c r="B815">
        <v>8</v>
      </c>
      <c r="C815" t="s">
        <v>25</v>
      </c>
      <c r="D815" t="s">
        <v>18</v>
      </c>
      <c r="E815" t="s">
        <v>16</v>
      </c>
      <c r="F815" t="s">
        <v>27</v>
      </c>
      <c r="G815" s="1">
        <v>99757</v>
      </c>
      <c r="H815" s="1">
        <v>348254</v>
      </c>
      <c r="I815">
        <v>264</v>
      </c>
      <c r="J815">
        <v>0.97</v>
      </c>
      <c r="K815">
        <v>6.29</v>
      </c>
      <c r="L815">
        <v>1.2</v>
      </c>
      <c r="M815">
        <v>1</v>
      </c>
      <c r="N815" s="1">
        <f>bmw_global_sales_dataset[[#This Row],[units_sold]]*bmw_global_sales_dataset[[#This Row],[price_usd]]</f>
        <v>84294665</v>
      </c>
      <c r="O815">
        <v>845</v>
      </c>
    </row>
    <row r="816" spans="1:15" x14ac:dyDescent="0.35">
      <c r="A816">
        <v>2023</v>
      </c>
      <c r="B816">
        <v>3</v>
      </c>
      <c r="C816" t="s">
        <v>37</v>
      </c>
      <c r="D816" t="s">
        <v>29</v>
      </c>
      <c r="E816" t="s">
        <v>16</v>
      </c>
      <c r="F816" t="s">
        <v>23</v>
      </c>
      <c r="G816" s="1">
        <v>44121</v>
      </c>
      <c r="H816" s="1">
        <v>314080</v>
      </c>
      <c r="I816">
        <v>164</v>
      </c>
      <c r="J816">
        <v>0.97</v>
      </c>
      <c r="K816">
        <v>6.29</v>
      </c>
      <c r="L816">
        <v>1.2</v>
      </c>
      <c r="M816">
        <v>6</v>
      </c>
      <c r="N816" s="1">
        <f>bmw_global_sales_dataset[[#This Row],[units_sold]]*bmw_global_sales_dataset[[#This Row],[price_usd]]</f>
        <v>32737782</v>
      </c>
      <c r="O816">
        <v>742</v>
      </c>
    </row>
    <row r="817" spans="1:15" x14ac:dyDescent="0.35">
      <c r="A817">
        <v>2023</v>
      </c>
      <c r="B817">
        <v>8</v>
      </c>
      <c r="C817" t="s">
        <v>36</v>
      </c>
      <c r="D817" t="s">
        <v>39</v>
      </c>
      <c r="E817" t="s">
        <v>19</v>
      </c>
      <c r="F817" t="s">
        <v>23</v>
      </c>
      <c r="G817" s="1">
        <v>62151</v>
      </c>
      <c r="H817" s="1">
        <v>410466</v>
      </c>
      <c r="I817">
        <v>257</v>
      </c>
      <c r="J817">
        <v>0.97</v>
      </c>
      <c r="K817">
        <v>6.29</v>
      </c>
      <c r="L817">
        <v>1.2</v>
      </c>
      <c r="M817">
        <v>8</v>
      </c>
      <c r="N817" s="1">
        <f>bmw_global_sales_dataset[[#This Row],[units_sold]]*bmw_global_sales_dataset[[#This Row],[price_usd]]</f>
        <v>46986156</v>
      </c>
      <c r="O817">
        <v>756</v>
      </c>
    </row>
    <row r="818" spans="1:15" x14ac:dyDescent="0.35">
      <c r="A818">
        <v>2023</v>
      </c>
      <c r="B818">
        <v>5</v>
      </c>
      <c r="C818" t="s">
        <v>25</v>
      </c>
      <c r="D818" t="s">
        <v>39</v>
      </c>
      <c r="E818" t="s">
        <v>19</v>
      </c>
      <c r="F818" t="s">
        <v>27</v>
      </c>
      <c r="G818" s="1">
        <v>114376</v>
      </c>
      <c r="H818" s="1">
        <v>79063</v>
      </c>
      <c r="I818">
        <v>258</v>
      </c>
      <c r="J818">
        <v>0.97</v>
      </c>
      <c r="K818">
        <v>6.29</v>
      </c>
      <c r="L818">
        <v>1.2</v>
      </c>
      <c r="M818">
        <v>9</v>
      </c>
      <c r="N818" s="1">
        <f>bmw_global_sales_dataset[[#This Row],[units_sold]]*bmw_global_sales_dataset[[#This Row],[price_usd]]</f>
        <v>78347560</v>
      </c>
      <c r="O818">
        <v>685</v>
      </c>
    </row>
    <row r="819" spans="1:15" x14ac:dyDescent="0.35">
      <c r="A819">
        <v>2023</v>
      </c>
      <c r="B819">
        <v>12</v>
      </c>
      <c r="C819" t="s">
        <v>35</v>
      </c>
      <c r="D819" t="s">
        <v>22</v>
      </c>
      <c r="E819" t="s">
        <v>20</v>
      </c>
      <c r="F819" t="s">
        <v>17</v>
      </c>
      <c r="G819" s="1">
        <v>59495</v>
      </c>
      <c r="H819" s="1">
        <v>430350</v>
      </c>
      <c r="I819">
        <v>103</v>
      </c>
      <c r="J819">
        <v>0.97</v>
      </c>
      <c r="K819">
        <v>6.29</v>
      </c>
      <c r="L819">
        <v>1.2</v>
      </c>
      <c r="M819">
        <v>10</v>
      </c>
      <c r="N819" s="1">
        <f>bmw_global_sales_dataset[[#This Row],[units_sold]]*bmw_global_sales_dataset[[#This Row],[price_usd]]</f>
        <v>25285375</v>
      </c>
      <c r="O819">
        <v>425</v>
      </c>
    </row>
    <row r="820" spans="1:15" x14ac:dyDescent="0.35">
      <c r="A820">
        <v>2023</v>
      </c>
      <c r="B820">
        <v>8</v>
      </c>
      <c r="C820" t="s">
        <v>21</v>
      </c>
      <c r="D820" t="s">
        <v>33</v>
      </c>
      <c r="E820" t="s">
        <v>20</v>
      </c>
      <c r="F820" t="s">
        <v>20</v>
      </c>
      <c r="G820" s="1">
        <v>99550</v>
      </c>
      <c r="H820" s="1">
        <v>274126</v>
      </c>
      <c r="I820">
        <v>163</v>
      </c>
      <c r="J820">
        <v>0.97</v>
      </c>
      <c r="K820">
        <v>6.29</v>
      </c>
      <c r="L820">
        <v>1.2</v>
      </c>
      <c r="M820">
        <v>5</v>
      </c>
      <c r="N820" s="1">
        <f>bmw_global_sales_dataset[[#This Row],[units_sold]]*bmw_global_sales_dataset[[#This Row],[price_usd]]</f>
        <v>59331800</v>
      </c>
      <c r="O820">
        <v>596</v>
      </c>
    </row>
    <row r="821" spans="1:15" x14ac:dyDescent="0.35">
      <c r="A821">
        <v>2023</v>
      </c>
      <c r="B821">
        <v>3</v>
      </c>
      <c r="C821" t="s">
        <v>36</v>
      </c>
      <c r="D821" t="s">
        <v>24</v>
      </c>
      <c r="E821" t="s">
        <v>20</v>
      </c>
      <c r="F821" t="s">
        <v>20</v>
      </c>
      <c r="G821" s="1">
        <v>71483</v>
      </c>
      <c r="H821" s="1">
        <v>220824</v>
      </c>
      <c r="I821">
        <v>89</v>
      </c>
      <c r="J821">
        <v>0.97</v>
      </c>
      <c r="K821">
        <v>6.29</v>
      </c>
      <c r="L821">
        <v>1.2</v>
      </c>
      <c r="M821">
        <v>10</v>
      </c>
      <c r="N821" s="1">
        <f>bmw_global_sales_dataset[[#This Row],[units_sold]]*bmw_global_sales_dataset[[#This Row],[price_usd]]</f>
        <v>38815269</v>
      </c>
      <c r="O821">
        <v>543</v>
      </c>
    </row>
    <row r="822" spans="1:15" x14ac:dyDescent="0.35">
      <c r="A822">
        <v>2023</v>
      </c>
      <c r="B822">
        <v>4</v>
      </c>
      <c r="C822" t="s">
        <v>21</v>
      </c>
      <c r="D822" t="s">
        <v>26</v>
      </c>
      <c r="E822" t="s">
        <v>20</v>
      </c>
      <c r="F822" t="s">
        <v>17</v>
      </c>
      <c r="G822" s="1">
        <v>74133</v>
      </c>
      <c r="H822" s="1">
        <v>126411</v>
      </c>
      <c r="I822">
        <v>46</v>
      </c>
      <c r="J822">
        <v>0.97</v>
      </c>
      <c r="K822">
        <v>6.29</v>
      </c>
      <c r="L822">
        <v>1.2</v>
      </c>
      <c r="M822">
        <v>1</v>
      </c>
      <c r="N822" s="1">
        <f>bmw_global_sales_dataset[[#This Row],[units_sold]]*bmw_global_sales_dataset[[#This Row],[price_usd]]</f>
        <v>9044226</v>
      </c>
      <c r="O822">
        <v>122</v>
      </c>
    </row>
    <row r="823" spans="1:15" x14ac:dyDescent="0.35">
      <c r="A823">
        <v>2023</v>
      </c>
      <c r="B823">
        <v>7</v>
      </c>
      <c r="C823" t="s">
        <v>35</v>
      </c>
      <c r="D823" t="s">
        <v>24</v>
      </c>
      <c r="E823" t="s">
        <v>19</v>
      </c>
      <c r="F823" t="s">
        <v>20</v>
      </c>
      <c r="G823" s="1">
        <v>41533</v>
      </c>
      <c r="H823" s="1">
        <v>431387</v>
      </c>
      <c r="I823">
        <v>168</v>
      </c>
      <c r="J823">
        <v>0.97</v>
      </c>
      <c r="K823">
        <v>6.29</v>
      </c>
      <c r="L823">
        <v>1.2</v>
      </c>
      <c r="M823">
        <v>3</v>
      </c>
      <c r="N823" s="1">
        <f>bmw_global_sales_dataset[[#This Row],[units_sold]]*bmw_global_sales_dataset[[#This Row],[price_usd]]</f>
        <v>19312845</v>
      </c>
      <c r="O823">
        <v>465</v>
      </c>
    </row>
    <row r="824" spans="1:15" x14ac:dyDescent="0.35">
      <c r="A824">
        <v>2023</v>
      </c>
      <c r="B824">
        <v>2</v>
      </c>
      <c r="C824" t="s">
        <v>14</v>
      </c>
      <c r="D824" t="s">
        <v>15</v>
      </c>
      <c r="E824" t="s">
        <v>19</v>
      </c>
      <c r="F824" t="s">
        <v>17</v>
      </c>
      <c r="G824" s="1">
        <v>113545</v>
      </c>
      <c r="H824" s="1">
        <v>266916</v>
      </c>
      <c r="I824">
        <v>75</v>
      </c>
      <c r="J824">
        <v>0.97</v>
      </c>
      <c r="K824">
        <v>6.29</v>
      </c>
      <c r="L824">
        <v>1.2</v>
      </c>
      <c r="M824">
        <v>7</v>
      </c>
      <c r="N824" s="1">
        <f>bmw_global_sales_dataset[[#This Row],[units_sold]]*bmw_global_sales_dataset[[#This Row],[price_usd]]</f>
        <v>42579375</v>
      </c>
      <c r="O824">
        <v>375</v>
      </c>
    </row>
    <row r="825" spans="1:15" x14ac:dyDescent="0.35">
      <c r="A825">
        <v>2023</v>
      </c>
      <c r="B825">
        <v>4</v>
      </c>
      <c r="C825" t="s">
        <v>36</v>
      </c>
      <c r="D825" t="s">
        <v>26</v>
      </c>
      <c r="E825" t="s">
        <v>20</v>
      </c>
      <c r="F825" t="s">
        <v>20</v>
      </c>
      <c r="G825" s="1">
        <v>110318</v>
      </c>
      <c r="H825" s="1">
        <v>351407</v>
      </c>
      <c r="I825">
        <v>74</v>
      </c>
      <c r="J825">
        <v>0.97</v>
      </c>
      <c r="K825">
        <v>6.29</v>
      </c>
      <c r="L825">
        <v>1.2</v>
      </c>
      <c r="M825">
        <v>5</v>
      </c>
      <c r="N825" s="1">
        <f>bmw_global_sales_dataset[[#This Row],[units_sold]]*bmw_global_sales_dataset[[#This Row],[price_usd]]</f>
        <v>58689176</v>
      </c>
      <c r="O825">
        <v>532</v>
      </c>
    </row>
    <row r="826" spans="1:15" x14ac:dyDescent="0.35">
      <c r="A826">
        <v>2023</v>
      </c>
      <c r="B826">
        <v>6</v>
      </c>
      <c r="C826" t="s">
        <v>14</v>
      </c>
      <c r="D826" t="s">
        <v>31</v>
      </c>
      <c r="E826" t="s">
        <v>20</v>
      </c>
      <c r="F826" t="s">
        <v>23</v>
      </c>
      <c r="G826" s="1">
        <v>92608</v>
      </c>
      <c r="H826" s="1">
        <v>460616</v>
      </c>
      <c r="I826">
        <v>114</v>
      </c>
      <c r="J826">
        <v>0.97</v>
      </c>
      <c r="K826">
        <v>6.29</v>
      </c>
      <c r="L826">
        <v>1.2</v>
      </c>
      <c r="M826">
        <v>5</v>
      </c>
      <c r="N826" s="1">
        <f>bmw_global_sales_dataset[[#This Row],[units_sold]]*bmw_global_sales_dataset[[#This Row],[price_usd]]</f>
        <v>51027008</v>
      </c>
      <c r="O826">
        <v>551</v>
      </c>
    </row>
    <row r="827" spans="1:15" x14ac:dyDescent="0.35">
      <c r="A827">
        <v>2023</v>
      </c>
      <c r="B827">
        <v>2</v>
      </c>
      <c r="C827" t="s">
        <v>37</v>
      </c>
      <c r="D827" t="s">
        <v>15</v>
      </c>
      <c r="E827" t="s">
        <v>19</v>
      </c>
      <c r="F827" t="s">
        <v>20</v>
      </c>
      <c r="G827" s="1">
        <v>107095</v>
      </c>
      <c r="H827" s="1">
        <v>352259</v>
      </c>
      <c r="I827">
        <v>268</v>
      </c>
      <c r="J827">
        <v>0.97</v>
      </c>
      <c r="K827">
        <v>6.29</v>
      </c>
      <c r="L827">
        <v>1.2</v>
      </c>
      <c r="M827">
        <v>10</v>
      </c>
      <c r="N827" s="1">
        <f>bmw_global_sales_dataset[[#This Row],[units_sold]]*bmw_global_sales_dataset[[#This Row],[price_usd]]</f>
        <v>98955780</v>
      </c>
      <c r="O827">
        <v>924</v>
      </c>
    </row>
    <row r="828" spans="1:15" x14ac:dyDescent="0.35">
      <c r="A828">
        <v>2023</v>
      </c>
      <c r="B828">
        <v>1</v>
      </c>
      <c r="C828" t="s">
        <v>25</v>
      </c>
      <c r="D828" t="s">
        <v>15</v>
      </c>
      <c r="E828" t="s">
        <v>16</v>
      </c>
      <c r="F828" t="s">
        <v>20</v>
      </c>
      <c r="G828" s="1">
        <v>61478</v>
      </c>
      <c r="H828" s="1">
        <v>331366</v>
      </c>
      <c r="I828">
        <v>33</v>
      </c>
      <c r="J828">
        <v>0.97</v>
      </c>
      <c r="K828">
        <v>6.29</v>
      </c>
      <c r="L828">
        <v>1.2</v>
      </c>
      <c r="M828">
        <v>7</v>
      </c>
      <c r="N828" s="1">
        <f>bmw_global_sales_dataset[[#This Row],[units_sold]]*bmw_global_sales_dataset[[#This Row],[price_usd]]</f>
        <v>22132080</v>
      </c>
      <c r="O828">
        <v>360</v>
      </c>
    </row>
    <row r="829" spans="1:15" x14ac:dyDescent="0.35">
      <c r="A829">
        <v>2023</v>
      </c>
      <c r="B829">
        <v>10</v>
      </c>
      <c r="C829" t="s">
        <v>14</v>
      </c>
      <c r="D829" t="s">
        <v>39</v>
      </c>
      <c r="E829" t="s">
        <v>19</v>
      </c>
      <c r="F829" t="s">
        <v>27</v>
      </c>
      <c r="G829" s="1">
        <v>71133</v>
      </c>
      <c r="H829" s="1">
        <v>399982</v>
      </c>
      <c r="I829">
        <v>280</v>
      </c>
      <c r="J829">
        <v>0.97</v>
      </c>
      <c r="K829">
        <v>6.29</v>
      </c>
      <c r="L829">
        <v>1.2</v>
      </c>
      <c r="M829">
        <v>8</v>
      </c>
      <c r="N829" s="1">
        <f>bmw_global_sales_dataset[[#This Row],[units_sold]]*bmw_global_sales_dataset[[#This Row],[price_usd]]</f>
        <v>63948567</v>
      </c>
      <c r="O829">
        <v>899</v>
      </c>
    </row>
    <row r="830" spans="1:15" x14ac:dyDescent="0.35">
      <c r="A830">
        <v>2023</v>
      </c>
      <c r="B830">
        <v>6</v>
      </c>
      <c r="C830" t="s">
        <v>37</v>
      </c>
      <c r="D830" t="s">
        <v>34</v>
      </c>
      <c r="E830" t="s">
        <v>19</v>
      </c>
      <c r="F830" t="s">
        <v>17</v>
      </c>
      <c r="G830" s="1">
        <v>117508</v>
      </c>
      <c r="H830" s="1">
        <v>189718</v>
      </c>
      <c r="I830">
        <v>258</v>
      </c>
      <c r="J830">
        <v>0.97</v>
      </c>
      <c r="K830">
        <v>6.29</v>
      </c>
      <c r="L830">
        <v>1.2</v>
      </c>
      <c r="M830">
        <v>1</v>
      </c>
      <c r="N830" s="1">
        <f>bmw_global_sales_dataset[[#This Row],[units_sold]]*bmw_global_sales_dataset[[#This Row],[price_usd]]</f>
        <v>64629400</v>
      </c>
      <c r="O830">
        <v>550</v>
      </c>
    </row>
    <row r="831" spans="1:15" x14ac:dyDescent="0.35">
      <c r="A831">
        <v>2023</v>
      </c>
      <c r="B831">
        <v>2</v>
      </c>
      <c r="C831" t="s">
        <v>36</v>
      </c>
      <c r="D831" t="s">
        <v>24</v>
      </c>
      <c r="E831" t="s">
        <v>19</v>
      </c>
      <c r="F831" t="s">
        <v>23</v>
      </c>
      <c r="G831" s="1">
        <v>100524</v>
      </c>
      <c r="H831" s="1">
        <v>187799</v>
      </c>
      <c r="I831">
        <v>16</v>
      </c>
      <c r="J831">
        <v>0.97</v>
      </c>
      <c r="K831">
        <v>6.29</v>
      </c>
      <c r="L831">
        <v>1.2</v>
      </c>
      <c r="M831">
        <v>5</v>
      </c>
      <c r="N831" s="1">
        <f>bmw_global_sales_dataset[[#This Row],[units_sold]]*bmw_global_sales_dataset[[#This Row],[price_usd]]</f>
        <v>34580256</v>
      </c>
      <c r="O831">
        <v>344</v>
      </c>
    </row>
    <row r="832" spans="1:15" x14ac:dyDescent="0.35">
      <c r="A832">
        <v>2023</v>
      </c>
      <c r="B832">
        <v>6</v>
      </c>
      <c r="C832" t="s">
        <v>21</v>
      </c>
      <c r="D832" t="s">
        <v>22</v>
      </c>
      <c r="E832" t="s">
        <v>16</v>
      </c>
      <c r="F832" t="s">
        <v>17</v>
      </c>
      <c r="G832" s="1">
        <v>41470</v>
      </c>
      <c r="H832" s="1">
        <v>231789</v>
      </c>
      <c r="I832">
        <v>35</v>
      </c>
      <c r="J832">
        <v>0.97</v>
      </c>
      <c r="K832">
        <v>6.29</v>
      </c>
      <c r="L832">
        <v>1.2</v>
      </c>
      <c r="M832">
        <v>4</v>
      </c>
      <c r="N832" s="1">
        <f>bmw_global_sales_dataset[[#This Row],[units_sold]]*bmw_global_sales_dataset[[#This Row],[price_usd]]</f>
        <v>11653070</v>
      </c>
      <c r="O832">
        <v>281</v>
      </c>
    </row>
    <row r="833" spans="1:15" x14ac:dyDescent="0.35">
      <c r="A833">
        <v>2023</v>
      </c>
      <c r="B833">
        <v>3</v>
      </c>
      <c r="C833" t="s">
        <v>36</v>
      </c>
      <c r="D833" t="s">
        <v>39</v>
      </c>
      <c r="E833" t="s">
        <v>19</v>
      </c>
      <c r="F833" t="s">
        <v>17</v>
      </c>
      <c r="G833" s="1">
        <v>49308</v>
      </c>
      <c r="H833" s="1">
        <v>426970</v>
      </c>
      <c r="I833">
        <v>392</v>
      </c>
      <c r="J833">
        <v>0.97</v>
      </c>
      <c r="K833">
        <v>6.29</v>
      </c>
      <c r="L833">
        <v>1.2</v>
      </c>
      <c r="M833">
        <v>10</v>
      </c>
      <c r="N833" s="1">
        <f>bmw_global_sales_dataset[[#This Row],[units_sold]]*bmw_global_sales_dataset[[#This Row],[price_usd]]</f>
        <v>44229276</v>
      </c>
      <c r="O833">
        <v>897</v>
      </c>
    </row>
    <row r="834" spans="1:15" x14ac:dyDescent="0.35">
      <c r="A834">
        <v>2023</v>
      </c>
      <c r="B834">
        <v>5</v>
      </c>
      <c r="C834" t="s">
        <v>36</v>
      </c>
      <c r="D834" t="s">
        <v>34</v>
      </c>
      <c r="E834" t="s">
        <v>19</v>
      </c>
      <c r="F834" t="s">
        <v>23</v>
      </c>
      <c r="G834" s="1">
        <v>97712</v>
      </c>
      <c r="H834" s="1">
        <v>109164</v>
      </c>
      <c r="I834">
        <v>189</v>
      </c>
      <c r="J834">
        <v>0.97</v>
      </c>
      <c r="K834">
        <v>6.29</v>
      </c>
      <c r="L834">
        <v>1.2</v>
      </c>
      <c r="M834">
        <v>7</v>
      </c>
      <c r="N834" s="1">
        <f>bmw_global_sales_dataset[[#This Row],[units_sold]]*bmw_global_sales_dataset[[#This Row],[price_usd]]</f>
        <v>42211584</v>
      </c>
      <c r="O834">
        <v>432</v>
      </c>
    </row>
    <row r="835" spans="1:15" x14ac:dyDescent="0.35">
      <c r="A835">
        <v>2023</v>
      </c>
      <c r="B835">
        <v>3</v>
      </c>
      <c r="C835" t="s">
        <v>30</v>
      </c>
      <c r="D835" t="s">
        <v>26</v>
      </c>
      <c r="E835" t="s">
        <v>16</v>
      </c>
      <c r="F835" t="s">
        <v>27</v>
      </c>
      <c r="G835" s="1">
        <v>104806</v>
      </c>
      <c r="H835" s="1">
        <v>323365</v>
      </c>
      <c r="I835">
        <v>319</v>
      </c>
      <c r="J835">
        <v>0.97</v>
      </c>
      <c r="K835">
        <v>6.29</v>
      </c>
      <c r="L835">
        <v>1.2</v>
      </c>
      <c r="M835">
        <v>6</v>
      </c>
      <c r="N835" s="1">
        <f>bmw_global_sales_dataset[[#This Row],[units_sold]]*bmw_global_sales_dataset[[#This Row],[price_usd]]</f>
        <v>88770682</v>
      </c>
      <c r="O835">
        <v>847</v>
      </c>
    </row>
    <row r="836" spans="1:15" x14ac:dyDescent="0.35">
      <c r="A836">
        <v>2023</v>
      </c>
      <c r="B836">
        <v>9</v>
      </c>
      <c r="C836" t="s">
        <v>38</v>
      </c>
      <c r="D836" t="s">
        <v>31</v>
      </c>
      <c r="E836" t="s">
        <v>20</v>
      </c>
      <c r="F836" t="s">
        <v>23</v>
      </c>
      <c r="G836" s="1">
        <v>56042</v>
      </c>
      <c r="H836" s="1">
        <v>55636</v>
      </c>
      <c r="I836">
        <v>108</v>
      </c>
      <c r="J836">
        <v>0.97</v>
      </c>
      <c r="K836">
        <v>6.29</v>
      </c>
      <c r="L836">
        <v>1.2</v>
      </c>
      <c r="M836">
        <v>4</v>
      </c>
      <c r="N836" s="1">
        <f>bmw_global_sales_dataset[[#This Row],[units_sold]]*bmw_global_sales_dataset[[#This Row],[price_usd]]</f>
        <v>30935184</v>
      </c>
      <c r="O836">
        <v>552</v>
      </c>
    </row>
    <row r="837" spans="1:15" x14ac:dyDescent="0.35">
      <c r="A837">
        <v>2023</v>
      </c>
      <c r="B837">
        <v>1</v>
      </c>
      <c r="C837" t="s">
        <v>36</v>
      </c>
      <c r="D837" t="s">
        <v>24</v>
      </c>
      <c r="E837" t="s">
        <v>16</v>
      </c>
      <c r="F837" t="s">
        <v>23</v>
      </c>
      <c r="G837" s="1">
        <v>63379</v>
      </c>
      <c r="H837" s="1">
        <v>104633</v>
      </c>
      <c r="I837">
        <v>91</v>
      </c>
      <c r="J837">
        <v>0.97</v>
      </c>
      <c r="K837">
        <v>6.29</v>
      </c>
      <c r="L837">
        <v>1.2</v>
      </c>
      <c r="M837">
        <v>5</v>
      </c>
      <c r="N837" s="1">
        <f>bmw_global_sales_dataset[[#This Row],[units_sold]]*bmw_global_sales_dataset[[#This Row],[price_usd]]</f>
        <v>29534614</v>
      </c>
      <c r="O837">
        <v>466</v>
      </c>
    </row>
    <row r="838" spans="1:15" x14ac:dyDescent="0.35">
      <c r="A838">
        <v>2023</v>
      </c>
      <c r="B838">
        <v>6</v>
      </c>
      <c r="C838" t="s">
        <v>38</v>
      </c>
      <c r="D838" t="s">
        <v>31</v>
      </c>
      <c r="E838" t="s">
        <v>19</v>
      </c>
      <c r="F838" t="s">
        <v>23</v>
      </c>
      <c r="G838" s="1">
        <v>80747</v>
      </c>
      <c r="H838" s="1">
        <v>153463</v>
      </c>
      <c r="I838">
        <v>38</v>
      </c>
      <c r="J838">
        <v>0.97</v>
      </c>
      <c r="K838">
        <v>6.29</v>
      </c>
      <c r="L838">
        <v>1.2</v>
      </c>
      <c r="M838">
        <v>6</v>
      </c>
      <c r="N838" s="1">
        <f>bmw_global_sales_dataset[[#This Row],[units_sold]]*bmw_global_sales_dataset[[#This Row],[price_usd]]</f>
        <v>12758026</v>
      </c>
      <c r="O838">
        <v>158</v>
      </c>
    </row>
    <row r="839" spans="1:15" x14ac:dyDescent="0.35">
      <c r="A839">
        <v>2023</v>
      </c>
      <c r="B839">
        <v>1</v>
      </c>
      <c r="C839" t="s">
        <v>14</v>
      </c>
      <c r="D839" t="s">
        <v>33</v>
      </c>
      <c r="E839" t="s">
        <v>19</v>
      </c>
      <c r="F839" t="s">
        <v>17</v>
      </c>
      <c r="G839" s="1">
        <v>118286</v>
      </c>
      <c r="H839" s="1">
        <v>242537</v>
      </c>
      <c r="I839">
        <v>78</v>
      </c>
      <c r="J839">
        <v>0.97</v>
      </c>
      <c r="K839">
        <v>6.29</v>
      </c>
      <c r="L839">
        <v>1.2</v>
      </c>
      <c r="M839">
        <v>4</v>
      </c>
      <c r="N839" s="1">
        <f>bmw_global_sales_dataset[[#This Row],[units_sold]]*bmw_global_sales_dataset[[#This Row],[price_usd]]</f>
        <v>49798406</v>
      </c>
      <c r="O839">
        <v>421</v>
      </c>
    </row>
    <row r="840" spans="1:15" x14ac:dyDescent="0.35">
      <c r="A840">
        <v>2023</v>
      </c>
      <c r="B840">
        <v>7</v>
      </c>
      <c r="C840" t="s">
        <v>36</v>
      </c>
      <c r="D840" t="s">
        <v>24</v>
      </c>
      <c r="E840" t="s">
        <v>20</v>
      </c>
      <c r="F840" t="s">
        <v>20</v>
      </c>
      <c r="G840" s="1">
        <v>119307</v>
      </c>
      <c r="H840" s="1">
        <v>208177</v>
      </c>
      <c r="I840">
        <v>67</v>
      </c>
      <c r="J840">
        <v>0.97</v>
      </c>
      <c r="K840">
        <v>6.29</v>
      </c>
      <c r="L840">
        <v>1.2</v>
      </c>
      <c r="M840">
        <v>7</v>
      </c>
      <c r="N840" s="1">
        <f>bmw_global_sales_dataset[[#This Row],[units_sold]]*bmw_global_sales_dataset[[#This Row],[price_usd]]</f>
        <v>42115371</v>
      </c>
      <c r="O840">
        <v>353</v>
      </c>
    </row>
    <row r="841" spans="1:15" x14ac:dyDescent="0.35">
      <c r="A841">
        <v>2023</v>
      </c>
      <c r="B841">
        <v>10</v>
      </c>
      <c r="C841" t="s">
        <v>38</v>
      </c>
      <c r="D841" t="s">
        <v>33</v>
      </c>
      <c r="E841" t="s">
        <v>19</v>
      </c>
      <c r="F841" t="s">
        <v>20</v>
      </c>
      <c r="G841" s="1">
        <v>37159</v>
      </c>
      <c r="H841" s="1">
        <v>370057</v>
      </c>
      <c r="I841">
        <v>302</v>
      </c>
      <c r="J841">
        <v>0.97</v>
      </c>
      <c r="K841">
        <v>6.29</v>
      </c>
      <c r="L841">
        <v>1.2</v>
      </c>
      <c r="M841">
        <v>7</v>
      </c>
      <c r="N841" s="1">
        <f>bmw_global_sales_dataset[[#This Row],[units_sold]]*bmw_global_sales_dataset[[#This Row],[price_usd]]</f>
        <v>37753544</v>
      </c>
      <c r="O841">
        <v>1016</v>
      </c>
    </row>
    <row r="842" spans="1:15" x14ac:dyDescent="0.35">
      <c r="A842">
        <v>2023</v>
      </c>
      <c r="B842">
        <v>4</v>
      </c>
      <c r="C842" t="s">
        <v>32</v>
      </c>
      <c r="D842" t="s">
        <v>22</v>
      </c>
      <c r="E842" t="s">
        <v>20</v>
      </c>
      <c r="F842" t="s">
        <v>27</v>
      </c>
      <c r="G842" s="1">
        <v>65232</v>
      </c>
      <c r="H842" s="1">
        <v>400514</v>
      </c>
      <c r="I842">
        <v>135</v>
      </c>
      <c r="J842">
        <v>0.97</v>
      </c>
      <c r="K842">
        <v>6.29</v>
      </c>
      <c r="L842">
        <v>1.2</v>
      </c>
      <c r="M842">
        <v>10</v>
      </c>
      <c r="N842" s="1">
        <f>bmw_global_sales_dataset[[#This Row],[units_sold]]*bmw_global_sales_dataset[[#This Row],[price_usd]]</f>
        <v>20809008</v>
      </c>
      <c r="O842">
        <v>319</v>
      </c>
    </row>
    <row r="843" spans="1:15" x14ac:dyDescent="0.35">
      <c r="A843">
        <v>2023</v>
      </c>
      <c r="B843">
        <v>1</v>
      </c>
      <c r="C843" t="s">
        <v>21</v>
      </c>
      <c r="D843" t="s">
        <v>18</v>
      </c>
      <c r="E843" t="s">
        <v>19</v>
      </c>
      <c r="F843" t="s">
        <v>23</v>
      </c>
      <c r="G843" s="1">
        <v>81216</v>
      </c>
      <c r="H843" s="1">
        <v>426565</v>
      </c>
      <c r="I843">
        <v>307</v>
      </c>
      <c r="J843">
        <v>0.97</v>
      </c>
      <c r="K843">
        <v>6.29</v>
      </c>
      <c r="L843">
        <v>1.2</v>
      </c>
      <c r="M843">
        <v>4</v>
      </c>
      <c r="N843" s="1">
        <f>bmw_global_sales_dataset[[#This Row],[units_sold]]*bmw_global_sales_dataset[[#This Row],[price_usd]]</f>
        <v>63673344</v>
      </c>
      <c r="O843">
        <v>784</v>
      </c>
    </row>
    <row r="844" spans="1:15" x14ac:dyDescent="0.35">
      <c r="A844">
        <v>2023</v>
      </c>
      <c r="B844">
        <v>7</v>
      </c>
      <c r="C844" t="s">
        <v>21</v>
      </c>
      <c r="D844" t="s">
        <v>31</v>
      </c>
      <c r="E844" t="s">
        <v>19</v>
      </c>
      <c r="F844" t="s">
        <v>17</v>
      </c>
      <c r="G844" s="1">
        <v>97532</v>
      </c>
      <c r="H844" s="1">
        <v>438227</v>
      </c>
      <c r="I844">
        <v>113</v>
      </c>
      <c r="J844">
        <v>0.97</v>
      </c>
      <c r="K844">
        <v>6.29</v>
      </c>
      <c r="L844">
        <v>1.2</v>
      </c>
      <c r="M844">
        <v>8</v>
      </c>
      <c r="N844" s="1">
        <f>bmw_global_sales_dataset[[#This Row],[units_sold]]*bmw_global_sales_dataset[[#This Row],[price_usd]]</f>
        <v>50424044</v>
      </c>
      <c r="O844">
        <v>517</v>
      </c>
    </row>
    <row r="845" spans="1:15" x14ac:dyDescent="0.35">
      <c r="A845">
        <v>2023</v>
      </c>
      <c r="B845">
        <v>9</v>
      </c>
      <c r="C845" t="s">
        <v>28</v>
      </c>
      <c r="D845" t="s">
        <v>24</v>
      </c>
      <c r="E845" t="s">
        <v>19</v>
      </c>
      <c r="F845" t="s">
        <v>27</v>
      </c>
      <c r="G845" s="1">
        <v>101323</v>
      </c>
      <c r="H845" s="1">
        <v>424842</v>
      </c>
      <c r="I845">
        <v>53</v>
      </c>
      <c r="J845">
        <v>0.97</v>
      </c>
      <c r="K845">
        <v>6.29</v>
      </c>
      <c r="L845">
        <v>1.2</v>
      </c>
      <c r="M845">
        <v>3</v>
      </c>
      <c r="N845" s="1">
        <f>bmw_global_sales_dataset[[#This Row],[units_sold]]*bmw_global_sales_dataset[[#This Row],[price_usd]]</f>
        <v>31004838</v>
      </c>
      <c r="O845">
        <v>306</v>
      </c>
    </row>
    <row r="846" spans="1:15" x14ac:dyDescent="0.35">
      <c r="A846">
        <v>2023</v>
      </c>
      <c r="B846">
        <v>1</v>
      </c>
      <c r="C846" t="s">
        <v>35</v>
      </c>
      <c r="D846" t="s">
        <v>22</v>
      </c>
      <c r="E846" t="s">
        <v>20</v>
      </c>
      <c r="F846" t="s">
        <v>20</v>
      </c>
      <c r="G846" s="1">
        <v>71444</v>
      </c>
      <c r="H846" s="1">
        <v>173777</v>
      </c>
      <c r="I846">
        <v>123</v>
      </c>
      <c r="J846">
        <v>0.97</v>
      </c>
      <c r="K846">
        <v>6.29</v>
      </c>
      <c r="L846">
        <v>1.2</v>
      </c>
      <c r="M846">
        <v>2</v>
      </c>
      <c r="N846" s="1">
        <f>bmw_global_sales_dataset[[#This Row],[units_sold]]*bmw_global_sales_dataset[[#This Row],[price_usd]]</f>
        <v>49796468</v>
      </c>
      <c r="O846">
        <v>697</v>
      </c>
    </row>
    <row r="847" spans="1:15" x14ac:dyDescent="0.35">
      <c r="A847">
        <v>2023</v>
      </c>
      <c r="B847">
        <v>5</v>
      </c>
      <c r="C847" t="s">
        <v>38</v>
      </c>
      <c r="D847" t="s">
        <v>29</v>
      </c>
      <c r="E847" t="s">
        <v>16</v>
      </c>
      <c r="F847" t="s">
        <v>23</v>
      </c>
      <c r="G847" s="1">
        <v>47940</v>
      </c>
      <c r="H847" s="1">
        <v>127527</v>
      </c>
      <c r="I847">
        <v>340</v>
      </c>
      <c r="J847">
        <v>0.97</v>
      </c>
      <c r="K847">
        <v>6.29</v>
      </c>
      <c r="L847">
        <v>1.2</v>
      </c>
      <c r="M847">
        <v>1</v>
      </c>
      <c r="N847" s="1">
        <f>bmw_global_sales_dataset[[#This Row],[units_sold]]*bmw_global_sales_dataset[[#This Row],[price_usd]]</f>
        <v>53165460</v>
      </c>
      <c r="O847">
        <v>1109</v>
      </c>
    </row>
    <row r="848" spans="1:15" x14ac:dyDescent="0.35">
      <c r="A848">
        <v>2023</v>
      </c>
      <c r="B848">
        <v>11</v>
      </c>
      <c r="C848" t="s">
        <v>25</v>
      </c>
      <c r="D848" t="s">
        <v>29</v>
      </c>
      <c r="E848" t="s">
        <v>16</v>
      </c>
      <c r="F848" t="s">
        <v>20</v>
      </c>
      <c r="G848" s="1">
        <v>91827</v>
      </c>
      <c r="H848" s="1">
        <v>474315</v>
      </c>
      <c r="I848">
        <v>393</v>
      </c>
      <c r="J848">
        <v>0.97</v>
      </c>
      <c r="K848">
        <v>6.29</v>
      </c>
      <c r="L848">
        <v>1.2</v>
      </c>
      <c r="M848">
        <v>1</v>
      </c>
      <c r="N848" s="1">
        <f>bmw_global_sales_dataset[[#This Row],[units_sold]]*bmw_global_sales_dataset[[#This Row],[price_usd]]</f>
        <v>82276992</v>
      </c>
      <c r="O848">
        <v>896</v>
      </c>
    </row>
    <row r="849" spans="1:15" x14ac:dyDescent="0.35">
      <c r="A849">
        <v>2023</v>
      </c>
      <c r="B849">
        <v>11</v>
      </c>
      <c r="C849" t="s">
        <v>36</v>
      </c>
      <c r="D849" t="s">
        <v>31</v>
      </c>
      <c r="E849" t="s">
        <v>20</v>
      </c>
      <c r="F849" t="s">
        <v>20</v>
      </c>
      <c r="G849" s="1">
        <v>62777</v>
      </c>
      <c r="H849" s="1">
        <v>372926</v>
      </c>
      <c r="I849">
        <v>49</v>
      </c>
      <c r="J849">
        <v>0.97</v>
      </c>
      <c r="K849">
        <v>6.29</v>
      </c>
      <c r="L849">
        <v>1.2</v>
      </c>
      <c r="M849">
        <v>4</v>
      </c>
      <c r="N849" s="1">
        <f>bmw_global_sales_dataset[[#This Row],[units_sold]]*bmw_global_sales_dataset[[#This Row],[price_usd]]</f>
        <v>9855989</v>
      </c>
      <c r="O849">
        <v>157</v>
      </c>
    </row>
    <row r="850" spans="1:15" x14ac:dyDescent="0.35">
      <c r="A850">
        <v>2023</v>
      </c>
      <c r="B850">
        <v>2</v>
      </c>
      <c r="C850" t="s">
        <v>30</v>
      </c>
      <c r="D850" t="s">
        <v>24</v>
      </c>
      <c r="E850" t="s">
        <v>20</v>
      </c>
      <c r="F850" t="s">
        <v>23</v>
      </c>
      <c r="G850" s="1">
        <v>48798</v>
      </c>
      <c r="H850" s="1">
        <v>96015</v>
      </c>
      <c r="I850">
        <v>393</v>
      </c>
      <c r="J850">
        <v>0.97</v>
      </c>
      <c r="K850">
        <v>6.29</v>
      </c>
      <c r="L850">
        <v>1.2</v>
      </c>
      <c r="M850">
        <v>10</v>
      </c>
      <c r="N850" s="1">
        <f>bmw_global_sales_dataset[[#This Row],[units_sold]]*bmw_global_sales_dataset[[#This Row],[price_usd]]</f>
        <v>56264094</v>
      </c>
      <c r="O850">
        <v>1153</v>
      </c>
    </row>
    <row r="851" spans="1:15" x14ac:dyDescent="0.35">
      <c r="A851">
        <v>2023</v>
      </c>
      <c r="B851">
        <v>10</v>
      </c>
      <c r="C851" t="s">
        <v>14</v>
      </c>
      <c r="D851" t="s">
        <v>15</v>
      </c>
      <c r="E851" t="s">
        <v>16</v>
      </c>
      <c r="F851" t="s">
        <v>27</v>
      </c>
      <c r="G851" s="1">
        <v>52558</v>
      </c>
      <c r="H851" s="1">
        <v>327483</v>
      </c>
      <c r="I851">
        <v>176</v>
      </c>
      <c r="J851">
        <v>0.97</v>
      </c>
      <c r="K851">
        <v>6.29</v>
      </c>
      <c r="L851">
        <v>1.2</v>
      </c>
      <c r="M851">
        <v>4</v>
      </c>
      <c r="N851" s="1">
        <f>bmw_global_sales_dataset[[#This Row],[units_sold]]*bmw_global_sales_dataset[[#This Row],[price_usd]]</f>
        <v>28644110</v>
      </c>
      <c r="O851">
        <v>545</v>
      </c>
    </row>
    <row r="852" spans="1:15" x14ac:dyDescent="0.35">
      <c r="A852">
        <v>2023</v>
      </c>
      <c r="B852">
        <v>8</v>
      </c>
      <c r="C852" t="s">
        <v>36</v>
      </c>
      <c r="D852" t="s">
        <v>29</v>
      </c>
      <c r="E852" t="s">
        <v>16</v>
      </c>
      <c r="F852" t="s">
        <v>23</v>
      </c>
      <c r="G852" s="1">
        <v>42601</v>
      </c>
      <c r="H852" s="1">
        <v>481739</v>
      </c>
      <c r="I852">
        <v>288</v>
      </c>
      <c r="J852">
        <v>0.97</v>
      </c>
      <c r="K852">
        <v>6.29</v>
      </c>
      <c r="L852">
        <v>1.2</v>
      </c>
      <c r="M852">
        <v>1</v>
      </c>
      <c r="N852" s="1">
        <f>bmw_global_sales_dataset[[#This Row],[units_sold]]*bmw_global_sales_dataset[[#This Row],[price_usd]]</f>
        <v>30289311</v>
      </c>
      <c r="O852">
        <v>711</v>
      </c>
    </row>
    <row r="853" spans="1:15" x14ac:dyDescent="0.35">
      <c r="A853">
        <v>2023</v>
      </c>
      <c r="B853">
        <v>10</v>
      </c>
      <c r="C853" t="s">
        <v>38</v>
      </c>
      <c r="D853" t="s">
        <v>29</v>
      </c>
      <c r="E853" t="s">
        <v>19</v>
      </c>
      <c r="F853" t="s">
        <v>20</v>
      </c>
      <c r="G853" s="1">
        <v>111646</v>
      </c>
      <c r="H853" s="1">
        <v>351763</v>
      </c>
      <c r="I853">
        <v>142</v>
      </c>
      <c r="J853">
        <v>0.97</v>
      </c>
      <c r="K853">
        <v>6.29</v>
      </c>
      <c r="L853">
        <v>1.2</v>
      </c>
      <c r="M853">
        <v>9</v>
      </c>
      <c r="N853" s="1">
        <f>bmw_global_sales_dataset[[#This Row],[units_sold]]*bmw_global_sales_dataset[[#This Row],[price_usd]]</f>
        <v>79938536</v>
      </c>
      <c r="O853">
        <v>716</v>
      </c>
    </row>
    <row r="854" spans="1:15" x14ac:dyDescent="0.35">
      <c r="A854">
        <v>2023</v>
      </c>
      <c r="B854">
        <v>10</v>
      </c>
      <c r="C854" t="s">
        <v>38</v>
      </c>
      <c r="D854" t="s">
        <v>26</v>
      </c>
      <c r="E854" t="s">
        <v>16</v>
      </c>
      <c r="F854" t="s">
        <v>23</v>
      </c>
      <c r="G854" s="1">
        <v>60791</v>
      </c>
      <c r="H854" s="1">
        <v>490847</v>
      </c>
      <c r="I854">
        <v>288</v>
      </c>
      <c r="J854">
        <v>0.97</v>
      </c>
      <c r="K854">
        <v>6.29</v>
      </c>
      <c r="L854">
        <v>1.2</v>
      </c>
      <c r="M854">
        <v>4</v>
      </c>
      <c r="N854" s="1">
        <f>bmw_global_sales_dataset[[#This Row],[units_sold]]*bmw_global_sales_dataset[[#This Row],[price_usd]]</f>
        <v>37994375</v>
      </c>
      <c r="O854">
        <v>625</v>
      </c>
    </row>
    <row r="855" spans="1:15" x14ac:dyDescent="0.35">
      <c r="A855">
        <v>2023</v>
      </c>
      <c r="B855">
        <v>6</v>
      </c>
      <c r="C855" t="s">
        <v>30</v>
      </c>
      <c r="D855" t="s">
        <v>29</v>
      </c>
      <c r="E855" t="s">
        <v>16</v>
      </c>
      <c r="F855" t="s">
        <v>27</v>
      </c>
      <c r="G855" s="1">
        <v>103968</v>
      </c>
      <c r="H855" s="1">
        <v>451821</v>
      </c>
      <c r="I855">
        <v>153</v>
      </c>
      <c r="J855">
        <v>0.97</v>
      </c>
      <c r="K855">
        <v>6.29</v>
      </c>
      <c r="L855">
        <v>1.2</v>
      </c>
      <c r="M855">
        <v>4</v>
      </c>
      <c r="N855" s="1">
        <f>bmw_global_sales_dataset[[#This Row],[units_sold]]*bmw_global_sales_dataset[[#This Row],[price_usd]]</f>
        <v>62484768</v>
      </c>
      <c r="O855">
        <v>601</v>
      </c>
    </row>
    <row r="856" spans="1:15" x14ac:dyDescent="0.35">
      <c r="A856">
        <v>2023</v>
      </c>
      <c r="B856">
        <v>11</v>
      </c>
      <c r="C856" t="s">
        <v>14</v>
      </c>
      <c r="D856" t="s">
        <v>31</v>
      </c>
      <c r="E856" t="s">
        <v>20</v>
      </c>
      <c r="F856" t="s">
        <v>27</v>
      </c>
      <c r="G856" s="1">
        <v>116395</v>
      </c>
      <c r="H856" s="1">
        <v>89236</v>
      </c>
      <c r="I856">
        <v>155</v>
      </c>
      <c r="J856">
        <v>0.97</v>
      </c>
      <c r="K856">
        <v>6.29</v>
      </c>
      <c r="L856">
        <v>1.2</v>
      </c>
      <c r="M856">
        <v>6</v>
      </c>
      <c r="N856" s="1">
        <f>bmw_global_sales_dataset[[#This Row],[units_sold]]*bmw_global_sales_dataset[[#This Row],[price_usd]]</f>
        <v>64017250</v>
      </c>
      <c r="O856">
        <v>550</v>
      </c>
    </row>
    <row r="857" spans="1:15" x14ac:dyDescent="0.35">
      <c r="A857">
        <v>2023</v>
      </c>
      <c r="B857">
        <v>4</v>
      </c>
      <c r="C857" t="s">
        <v>35</v>
      </c>
      <c r="D857" t="s">
        <v>24</v>
      </c>
      <c r="E857" t="s">
        <v>20</v>
      </c>
      <c r="F857" t="s">
        <v>23</v>
      </c>
      <c r="G857" s="1">
        <v>50511</v>
      </c>
      <c r="H857" s="1">
        <v>113879</v>
      </c>
      <c r="I857">
        <v>113</v>
      </c>
      <c r="J857">
        <v>0.97</v>
      </c>
      <c r="K857">
        <v>6.29</v>
      </c>
      <c r="L857">
        <v>1.2</v>
      </c>
      <c r="M857">
        <v>8</v>
      </c>
      <c r="N857" s="1">
        <f>bmw_global_sales_dataset[[#This Row],[units_sold]]*bmw_global_sales_dataset[[#This Row],[price_usd]]</f>
        <v>15607899</v>
      </c>
      <c r="O857">
        <v>309</v>
      </c>
    </row>
    <row r="858" spans="1:15" x14ac:dyDescent="0.35">
      <c r="A858">
        <v>2023</v>
      </c>
      <c r="B858">
        <v>2</v>
      </c>
      <c r="C858" t="s">
        <v>36</v>
      </c>
      <c r="D858" t="s">
        <v>26</v>
      </c>
      <c r="E858" t="s">
        <v>16</v>
      </c>
      <c r="F858" t="s">
        <v>23</v>
      </c>
      <c r="G858" s="1">
        <v>116010</v>
      </c>
      <c r="H858" s="1">
        <v>467876</v>
      </c>
      <c r="I858">
        <v>242</v>
      </c>
      <c r="J858">
        <v>0.97</v>
      </c>
      <c r="K858">
        <v>6.29</v>
      </c>
      <c r="L858">
        <v>1.2</v>
      </c>
      <c r="M858">
        <v>7</v>
      </c>
      <c r="N858" s="1">
        <f>bmw_global_sales_dataset[[#This Row],[units_sold]]*bmw_global_sales_dataset[[#This Row],[price_usd]]</f>
        <v>102900870</v>
      </c>
      <c r="O858">
        <v>887</v>
      </c>
    </row>
    <row r="859" spans="1:15" x14ac:dyDescent="0.35">
      <c r="A859">
        <v>2023</v>
      </c>
      <c r="B859">
        <v>1</v>
      </c>
      <c r="C859" t="s">
        <v>25</v>
      </c>
      <c r="D859" t="s">
        <v>18</v>
      </c>
      <c r="E859" t="s">
        <v>19</v>
      </c>
      <c r="F859" t="s">
        <v>23</v>
      </c>
      <c r="G859" s="1">
        <v>48386</v>
      </c>
      <c r="H859" s="1">
        <v>313312</v>
      </c>
      <c r="I859">
        <v>260</v>
      </c>
      <c r="J859">
        <v>0.97</v>
      </c>
      <c r="K859">
        <v>6.29</v>
      </c>
      <c r="L859">
        <v>1.2</v>
      </c>
      <c r="M859">
        <v>10</v>
      </c>
      <c r="N859" s="1">
        <f>bmw_global_sales_dataset[[#This Row],[units_sold]]*bmw_global_sales_dataset[[#This Row],[price_usd]]</f>
        <v>29757390</v>
      </c>
      <c r="O859">
        <v>615</v>
      </c>
    </row>
    <row r="860" spans="1:15" x14ac:dyDescent="0.35">
      <c r="A860">
        <v>2023</v>
      </c>
      <c r="B860">
        <v>12</v>
      </c>
      <c r="C860" t="s">
        <v>30</v>
      </c>
      <c r="D860" t="s">
        <v>24</v>
      </c>
      <c r="E860" t="s">
        <v>20</v>
      </c>
      <c r="F860" t="s">
        <v>17</v>
      </c>
      <c r="G860" s="1">
        <v>108717</v>
      </c>
      <c r="H860" s="1">
        <v>115184</v>
      </c>
      <c r="I860">
        <v>256</v>
      </c>
      <c r="J860">
        <v>0.97</v>
      </c>
      <c r="K860">
        <v>6.29</v>
      </c>
      <c r="L860">
        <v>1.2</v>
      </c>
      <c r="M860">
        <v>4</v>
      </c>
      <c r="N860" s="1">
        <f>bmw_global_sales_dataset[[#This Row],[units_sold]]*bmw_global_sales_dataset[[#This Row],[price_usd]]</f>
        <v>57620010</v>
      </c>
      <c r="O860">
        <v>530</v>
      </c>
    </row>
    <row r="861" spans="1:15" x14ac:dyDescent="0.35">
      <c r="A861">
        <v>2023</v>
      </c>
      <c r="B861">
        <v>6</v>
      </c>
      <c r="C861" t="s">
        <v>32</v>
      </c>
      <c r="D861" t="s">
        <v>34</v>
      </c>
      <c r="E861" t="s">
        <v>19</v>
      </c>
      <c r="F861" t="s">
        <v>20</v>
      </c>
      <c r="G861" s="1">
        <v>96826</v>
      </c>
      <c r="H861" s="1">
        <v>87879</v>
      </c>
      <c r="I861">
        <v>332</v>
      </c>
      <c r="J861">
        <v>0.97</v>
      </c>
      <c r="K861">
        <v>6.29</v>
      </c>
      <c r="L861">
        <v>1.2</v>
      </c>
      <c r="M861">
        <v>1</v>
      </c>
      <c r="N861" s="1">
        <f>bmw_global_sales_dataset[[#This Row],[units_sold]]*bmw_global_sales_dataset[[#This Row],[price_usd]]</f>
        <v>87627530</v>
      </c>
      <c r="O861">
        <v>905</v>
      </c>
    </row>
    <row r="862" spans="1:15" x14ac:dyDescent="0.35">
      <c r="A862">
        <v>2023</v>
      </c>
      <c r="B862">
        <v>12</v>
      </c>
      <c r="C862" t="s">
        <v>37</v>
      </c>
      <c r="D862" t="s">
        <v>29</v>
      </c>
      <c r="E862" t="s">
        <v>16</v>
      </c>
      <c r="F862" t="s">
        <v>27</v>
      </c>
      <c r="G862" s="1">
        <v>55651</v>
      </c>
      <c r="H862" s="1">
        <v>105390</v>
      </c>
      <c r="I862">
        <v>130</v>
      </c>
      <c r="J862">
        <v>0.97</v>
      </c>
      <c r="K862">
        <v>6.29</v>
      </c>
      <c r="L862">
        <v>1.2</v>
      </c>
      <c r="M862">
        <v>8</v>
      </c>
      <c r="N862" s="1">
        <f>bmw_global_sales_dataset[[#This Row],[units_sold]]*bmw_global_sales_dataset[[#This Row],[price_usd]]</f>
        <v>28437661</v>
      </c>
      <c r="O862">
        <v>511</v>
      </c>
    </row>
    <row r="863" spans="1:15" x14ac:dyDescent="0.35">
      <c r="A863">
        <v>2023</v>
      </c>
      <c r="B863">
        <v>11</v>
      </c>
      <c r="C863" t="s">
        <v>28</v>
      </c>
      <c r="D863" t="s">
        <v>18</v>
      </c>
      <c r="E863" t="s">
        <v>20</v>
      </c>
      <c r="F863" t="s">
        <v>17</v>
      </c>
      <c r="G863" s="1">
        <v>49559</v>
      </c>
      <c r="H863" s="1">
        <v>333539</v>
      </c>
      <c r="I863">
        <v>217</v>
      </c>
      <c r="J863">
        <v>0.97</v>
      </c>
      <c r="K863">
        <v>6.29</v>
      </c>
      <c r="L863">
        <v>1.2</v>
      </c>
      <c r="M863">
        <v>10</v>
      </c>
      <c r="N863" s="1">
        <f>bmw_global_sales_dataset[[#This Row],[units_sold]]*bmw_global_sales_dataset[[#This Row],[price_usd]]</f>
        <v>33105412</v>
      </c>
      <c r="O863">
        <v>668</v>
      </c>
    </row>
    <row r="864" spans="1:15" x14ac:dyDescent="0.35">
      <c r="A864">
        <v>2023</v>
      </c>
      <c r="B864">
        <v>7</v>
      </c>
      <c r="C864" t="s">
        <v>36</v>
      </c>
      <c r="D864" t="s">
        <v>33</v>
      </c>
      <c r="E864" t="s">
        <v>19</v>
      </c>
      <c r="F864" t="s">
        <v>23</v>
      </c>
      <c r="G864" s="1">
        <v>75205</v>
      </c>
      <c r="H864" s="1">
        <v>91115</v>
      </c>
      <c r="I864">
        <v>148</v>
      </c>
      <c r="J864">
        <v>0.97</v>
      </c>
      <c r="K864">
        <v>6.29</v>
      </c>
      <c r="L864">
        <v>1.2</v>
      </c>
      <c r="M864">
        <v>10</v>
      </c>
      <c r="N864" s="1">
        <f>bmw_global_sales_dataset[[#This Row],[units_sold]]*bmw_global_sales_dataset[[#This Row],[price_usd]]</f>
        <v>23238345</v>
      </c>
      <c r="O864">
        <v>309</v>
      </c>
    </row>
    <row r="865" spans="1:15" x14ac:dyDescent="0.35">
      <c r="A865">
        <v>2023</v>
      </c>
      <c r="B865">
        <v>2</v>
      </c>
      <c r="C865" t="s">
        <v>32</v>
      </c>
      <c r="D865" t="s">
        <v>24</v>
      </c>
      <c r="E865" t="s">
        <v>20</v>
      </c>
      <c r="F865" t="s">
        <v>20</v>
      </c>
      <c r="G865" s="1">
        <v>44265</v>
      </c>
      <c r="H865" s="1">
        <v>490556</v>
      </c>
      <c r="I865">
        <v>217</v>
      </c>
      <c r="J865">
        <v>0.97</v>
      </c>
      <c r="K865">
        <v>6.29</v>
      </c>
      <c r="L865">
        <v>1.2</v>
      </c>
      <c r="M865">
        <v>2</v>
      </c>
      <c r="N865" s="1">
        <f>bmw_global_sales_dataset[[#This Row],[units_sold]]*bmw_global_sales_dataset[[#This Row],[price_usd]]</f>
        <v>36961275</v>
      </c>
      <c r="O865">
        <v>835</v>
      </c>
    </row>
    <row r="866" spans="1:15" x14ac:dyDescent="0.35">
      <c r="A866">
        <v>2023</v>
      </c>
      <c r="B866">
        <v>3</v>
      </c>
      <c r="C866" t="s">
        <v>37</v>
      </c>
      <c r="D866" t="s">
        <v>39</v>
      </c>
      <c r="E866" t="s">
        <v>20</v>
      </c>
      <c r="F866" t="s">
        <v>27</v>
      </c>
      <c r="G866" s="1">
        <v>61957</v>
      </c>
      <c r="H866" s="1">
        <v>277436</v>
      </c>
      <c r="I866">
        <v>38</v>
      </c>
      <c r="J866">
        <v>0.97</v>
      </c>
      <c r="K866">
        <v>6.29</v>
      </c>
      <c r="L866">
        <v>1.2</v>
      </c>
      <c r="M866">
        <v>4</v>
      </c>
      <c r="N866" s="1">
        <f>bmw_global_sales_dataset[[#This Row],[units_sold]]*bmw_global_sales_dataset[[#This Row],[price_usd]]</f>
        <v>34076350</v>
      </c>
      <c r="O866">
        <v>550</v>
      </c>
    </row>
    <row r="867" spans="1:15" x14ac:dyDescent="0.35">
      <c r="A867">
        <v>2023</v>
      </c>
      <c r="B867">
        <v>5</v>
      </c>
      <c r="C867" t="s">
        <v>25</v>
      </c>
      <c r="D867" t="s">
        <v>15</v>
      </c>
      <c r="E867" t="s">
        <v>16</v>
      </c>
      <c r="F867" t="s">
        <v>17</v>
      </c>
      <c r="G867" s="1">
        <v>40596</v>
      </c>
      <c r="H867" s="1">
        <v>423957</v>
      </c>
      <c r="I867">
        <v>313</v>
      </c>
      <c r="J867">
        <v>0.97</v>
      </c>
      <c r="K867">
        <v>6.29</v>
      </c>
      <c r="L867">
        <v>1.2</v>
      </c>
      <c r="M867">
        <v>6</v>
      </c>
      <c r="N867" s="1">
        <f>bmw_global_sales_dataset[[#This Row],[units_sold]]*bmw_global_sales_dataset[[#This Row],[price_usd]]</f>
        <v>40149444</v>
      </c>
      <c r="O867">
        <v>989</v>
      </c>
    </row>
    <row r="868" spans="1:15" x14ac:dyDescent="0.35">
      <c r="A868">
        <v>2023</v>
      </c>
      <c r="B868">
        <v>12</v>
      </c>
      <c r="C868" t="s">
        <v>28</v>
      </c>
      <c r="D868" t="s">
        <v>26</v>
      </c>
      <c r="E868" t="s">
        <v>20</v>
      </c>
      <c r="F868" t="s">
        <v>20</v>
      </c>
      <c r="G868" s="1">
        <v>97287</v>
      </c>
      <c r="H868" s="1">
        <v>227170</v>
      </c>
      <c r="I868">
        <v>396</v>
      </c>
      <c r="J868">
        <v>0.97</v>
      </c>
      <c r="K868">
        <v>6.29</v>
      </c>
      <c r="L868">
        <v>1.2</v>
      </c>
      <c r="M868">
        <v>2</v>
      </c>
      <c r="N868" s="1">
        <f>bmw_global_sales_dataset[[#This Row],[units_sold]]*bmw_global_sales_dataset[[#This Row],[price_usd]]</f>
        <v>93687381</v>
      </c>
      <c r="O868">
        <v>963</v>
      </c>
    </row>
    <row r="869" spans="1:15" x14ac:dyDescent="0.35">
      <c r="A869">
        <v>2023</v>
      </c>
      <c r="B869">
        <v>9</v>
      </c>
      <c r="C869" t="s">
        <v>25</v>
      </c>
      <c r="D869" t="s">
        <v>18</v>
      </c>
      <c r="E869" t="s">
        <v>16</v>
      </c>
      <c r="F869" t="s">
        <v>20</v>
      </c>
      <c r="G869" s="1">
        <v>80212</v>
      </c>
      <c r="H869" s="1">
        <v>437356</v>
      </c>
      <c r="I869">
        <v>124</v>
      </c>
      <c r="J869">
        <v>0.97</v>
      </c>
      <c r="K869">
        <v>6.29</v>
      </c>
      <c r="L869">
        <v>1.2</v>
      </c>
      <c r="M869">
        <v>7</v>
      </c>
      <c r="N869" s="1">
        <f>bmw_global_sales_dataset[[#This Row],[units_sold]]*bmw_global_sales_dataset[[#This Row],[price_usd]]</f>
        <v>41630028</v>
      </c>
      <c r="O869">
        <v>519</v>
      </c>
    </row>
    <row r="870" spans="1:15" x14ac:dyDescent="0.35">
      <c r="A870">
        <v>2023</v>
      </c>
      <c r="B870">
        <v>11</v>
      </c>
      <c r="C870" t="s">
        <v>37</v>
      </c>
      <c r="D870" t="s">
        <v>31</v>
      </c>
      <c r="E870" t="s">
        <v>16</v>
      </c>
      <c r="F870" t="s">
        <v>17</v>
      </c>
      <c r="G870" s="1">
        <v>63899</v>
      </c>
      <c r="H870" s="1">
        <v>200862</v>
      </c>
      <c r="I870">
        <v>350</v>
      </c>
      <c r="J870">
        <v>0.97</v>
      </c>
      <c r="K870">
        <v>6.29</v>
      </c>
      <c r="L870">
        <v>1.2</v>
      </c>
      <c r="M870">
        <v>9</v>
      </c>
      <c r="N870" s="1">
        <f>bmw_global_sales_dataset[[#This Row],[units_sold]]*bmw_global_sales_dataset[[#This Row],[price_usd]]</f>
        <v>65240879</v>
      </c>
      <c r="O870">
        <v>1021</v>
      </c>
    </row>
    <row r="871" spans="1:15" x14ac:dyDescent="0.35">
      <c r="A871">
        <v>2023</v>
      </c>
      <c r="B871">
        <v>6</v>
      </c>
      <c r="C871" t="s">
        <v>25</v>
      </c>
      <c r="D871" t="s">
        <v>34</v>
      </c>
      <c r="E871" t="s">
        <v>19</v>
      </c>
      <c r="F871" t="s">
        <v>20</v>
      </c>
      <c r="G871" s="1">
        <v>100681</v>
      </c>
      <c r="H871" s="1">
        <v>245413</v>
      </c>
      <c r="I871">
        <v>103</v>
      </c>
      <c r="J871">
        <v>0.97</v>
      </c>
      <c r="K871">
        <v>6.29</v>
      </c>
      <c r="L871">
        <v>1.2</v>
      </c>
      <c r="M871">
        <v>3</v>
      </c>
      <c r="N871" s="1">
        <f>bmw_global_sales_dataset[[#This Row],[units_sold]]*bmw_global_sales_dataset[[#This Row],[price_usd]]</f>
        <v>23660035</v>
      </c>
      <c r="O871">
        <v>235</v>
      </c>
    </row>
    <row r="872" spans="1:15" x14ac:dyDescent="0.35">
      <c r="A872">
        <v>2023</v>
      </c>
      <c r="B872">
        <v>2</v>
      </c>
      <c r="C872" t="s">
        <v>32</v>
      </c>
      <c r="D872" t="s">
        <v>24</v>
      </c>
      <c r="E872" t="s">
        <v>19</v>
      </c>
      <c r="F872" t="s">
        <v>27</v>
      </c>
      <c r="G872" s="1">
        <v>87116</v>
      </c>
      <c r="H872" s="1">
        <v>247286</v>
      </c>
      <c r="I872">
        <v>318</v>
      </c>
      <c r="J872">
        <v>0.97</v>
      </c>
      <c r="K872">
        <v>6.29</v>
      </c>
      <c r="L872">
        <v>1.2</v>
      </c>
      <c r="M872">
        <v>2</v>
      </c>
      <c r="N872" s="1">
        <f>bmw_global_sales_dataset[[#This Row],[units_sold]]*bmw_global_sales_dataset[[#This Row],[price_usd]]</f>
        <v>71086656</v>
      </c>
      <c r="O872">
        <v>816</v>
      </c>
    </row>
    <row r="873" spans="1:15" x14ac:dyDescent="0.35">
      <c r="A873">
        <v>2023</v>
      </c>
      <c r="B873">
        <v>10</v>
      </c>
      <c r="C873" t="s">
        <v>37</v>
      </c>
      <c r="D873" t="s">
        <v>15</v>
      </c>
      <c r="E873" t="s">
        <v>20</v>
      </c>
      <c r="F873" t="s">
        <v>20</v>
      </c>
      <c r="G873" s="1">
        <v>67574</v>
      </c>
      <c r="H873" s="1">
        <v>171544</v>
      </c>
      <c r="I873">
        <v>263</v>
      </c>
      <c r="J873">
        <v>0.97</v>
      </c>
      <c r="K873">
        <v>6.29</v>
      </c>
      <c r="L873">
        <v>1.2</v>
      </c>
      <c r="M873">
        <v>4</v>
      </c>
      <c r="N873" s="1">
        <f>bmw_global_sales_dataset[[#This Row],[units_sold]]*bmw_global_sales_dataset[[#This Row],[price_usd]]</f>
        <v>48180262</v>
      </c>
      <c r="O873">
        <v>713</v>
      </c>
    </row>
    <row r="874" spans="1:15" x14ac:dyDescent="0.35">
      <c r="A874">
        <v>2023</v>
      </c>
      <c r="B874">
        <v>11</v>
      </c>
      <c r="C874" t="s">
        <v>36</v>
      </c>
      <c r="D874" t="s">
        <v>29</v>
      </c>
      <c r="E874" t="s">
        <v>16</v>
      </c>
      <c r="F874" t="s">
        <v>23</v>
      </c>
      <c r="G874" s="1">
        <v>113812</v>
      </c>
      <c r="H874" s="1">
        <v>300449</v>
      </c>
      <c r="I874">
        <v>146</v>
      </c>
      <c r="J874">
        <v>0.97</v>
      </c>
      <c r="K874">
        <v>6.29</v>
      </c>
      <c r="L874">
        <v>1.2</v>
      </c>
      <c r="M874">
        <v>7</v>
      </c>
      <c r="N874" s="1">
        <f>bmw_global_sales_dataset[[#This Row],[units_sold]]*bmw_global_sales_dataset[[#This Row],[price_usd]]</f>
        <v>64872840</v>
      </c>
      <c r="O874">
        <v>570</v>
      </c>
    </row>
    <row r="875" spans="1:15" x14ac:dyDescent="0.35">
      <c r="A875">
        <v>2023</v>
      </c>
      <c r="B875">
        <v>11</v>
      </c>
      <c r="C875" t="s">
        <v>25</v>
      </c>
      <c r="D875" t="s">
        <v>31</v>
      </c>
      <c r="E875" t="s">
        <v>16</v>
      </c>
      <c r="F875" t="s">
        <v>27</v>
      </c>
      <c r="G875" s="1">
        <v>53557</v>
      </c>
      <c r="H875" s="1">
        <v>219357</v>
      </c>
      <c r="I875">
        <v>187</v>
      </c>
      <c r="J875">
        <v>0.97</v>
      </c>
      <c r="K875">
        <v>6.29</v>
      </c>
      <c r="L875">
        <v>1.2</v>
      </c>
      <c r="M875">
        <v>1</v>
      </c>
      <c r="N875" s="1">
        <f>bmw_global_sales_dataset[[#This Row],[units_sold]]*bmw_global_sales_dataset[[#This Row],[price_usd]]</f>
        <v>32080643</v>
      </c>
      <c r="O875">
        <v>599</v>
      </c>
    </row>
    <row r="876" spans="1:15" x14ac:dyDescent="0.35">
      <c r="A876">
        <v>2023</v>
      </c>
      <c r="B876">
        <v>6</v>
      </c>
      <c r="C876" t="s">
        <v>38</v>
      </c>
      <c r="D876" t="s">
        <v>22</v>
      </c>
      <c r="E876" t="s">
        <v>16</v>
      </c>
      <c r="F876" t="s">
        <v>23</v>
      </c>
      <c r="G876" s="1">
        <v>63060</v>
      </c>
      <c r="H876" s="1">
        <v>176683</v>
      </c>
      <c r="I876">
        <v>86</v>
      </c>
      <c r="J876">
        <v>0.97</v>
      </c>
      <c r="K876">
        <v>6.29</v>
      </c>
      <c r="L876">
        <v>1.2</v>
      </c>
      <c r="M876">
        <v>2</v>
      </c>
      <c r="N876" s="1">
        <f>bmw_global_sales_dataset[[#This Row],[units_sold]]*bmw_global_sales_dataset[[#This Row],[price_usd]]</f>
        <v>16143360</v>
      </c>
      <c r="O876">
        <v>256</v>
      </c>
    </row>
    <row r="877" spans="1:15" x14ac:dyDescent="0.35">
      <c r="A877">
        <v>2023</v>
      </c>
      <c r="B877">
        <v>6</v>
      </c>
      <c r="C877" t="s">
        <v>38</v>
      </c>
      <c r="D877" t="s">
        <v>33</v>
      </c>
      <c r="E877" t="s">
        <v>16</v>
      </c>
      <c r="F877" t="s">
        <v>17</v>
      </c>
      <c r="G877" s="1">
        <v>70525</v>
      </c>
      <c r="H877" s="1">
        <v>481723</v>
      </c>
      <c r="I877">
        <v>288</v>
      </c>
      <c r="J877">
        <v>0.97</v>
      </c>
      <c r="K877">
        <v>6.29</v>
      </c>
      <c r="L877">
        <v>1.2</v>
      </c>
      <c r="M877">
        <v>10</v>
      </c>
      <c r="N877" s="1">
        <f>bmw_global_sales_dataset[[#This Row],[units_sold]]*bmw_global_sales_dataset[[#This Row],[price_usd]]</f>
        <v>61286225</v>
      </c>
      <c r="O877">
        <v>869</v>
      </c>
    </row>
    <row r="878" spans="1:15" x14ac:dyDescent="0.35">
      <c r="A878">
        <v>2023</v>
      </c>
      <c r="B878">
        <v>3</v>
      </c>
      <c r="C878" t="s">
        <v>28</v>
      </c>
      <c r="D878" t="s">
        <v>33</v>
      </c>
      <c r="E878" t="s">
        <v>16</v>
      </c>
      <c r="F878" t="s">
        <v>23</v>
      </c>
      <c r="G878" s="1">
        <v>109219</v>
      </c>
      <c r="H878" s="1">
        <v>238262</v>
      </c>
      <c r="I878">
        <v>167</v>
      </c>
      <c r="J878">
        <v>0.97</v>
      </c>
      <c r="K878">
        <v>6.29</v>
      </c>
      <c r="L878">
        <v>1.2</v>
      </c>
      <c r="M878">
        <v>2</v>
      </c>
      <c r="N878" s="1">
        <f>bmw_global_sales_dataset[[#This Row],[units_sold]]*bmw_global_sales_dataset[[#This Row],[price_usd]]</f>
        <v>46964170</v>
      </c>
      <c r="O878">
        <v>430</v>
      </c>
    </row>
    <row r="879" spans="1:15" x14ac:dyDescent="0.35">
      <c r="A879">
        <v>2023</v>
      </c>
      <c r="B879">
        <v>8</v>
      </c>
      <c r="C879" t="s">
        <v>37</v>
      </c>
      <c r="D879" t="s">
        <v>18</v>
      </c>
      <c r="E879" t="s">
        <v>20</v>
      </c>
      <c r="F879" t="s">
        <v>27</v>
      </c>
      <c r="G879" s="1">
        <v>58065</v>
      </c>
      <c r="H879" s="1">
        <v>79661</v>
      </c>
      <c r="I879">
        <v>160</v>
      </c>
      <c r="J879">
        <v>0.97</v>
      </c>
      <c r="K879">
        <v>6.29</v>
      </c>
      <c r="L879">
        <v>1.2</v>
      </c>
      <c r="M879">
        <v>2</v>
      </c>
      <c r="N879" s="1">
        <f>bmw_global_sales_dataset[[#This Row],[units_sold]]*bmw_global_sales_dataset[[#This Row],[price_usd]]</f>
        <v>45639090</v>
      </c>
      <c r="O879">
        <v>786</v>
      </c>
    </row>
    <row r="880" spans="1:15" x14ac:dyDescent="0.35">
      <c r="A880">
        <v>2023</v>
      </c>
      <c r="B880">
        <v>7</v>
      </c>
      <c r="C880" t="s">
        <v>14</v>
      </c>
      <c r="D880" t="s">
        <v>15</v>
      </c>
      <c r="E880" t="s">
        <v>19</v>
      </c>
      <c r="F880" t="s">
        <v>27</v>
      </c>
      <c r="G880" s="1">
        <v>47352</v>
      </c>
      <c r="H880" s="1">
        <v>379744</v>
      </c>
      <c r="I880">
        <v>240</v>
      </c>
      <c r="J880">
        <v>0.97</v>
      </c>
      <c r="K880">
        <v>6.29</v>
      </c>
      <c r="L880">
        <v>1.2</v>
      </c>
      <c r="M880">
        <v>10</v>
      </c>
      <c r="N880" s="1">
        <f>bmw_global_sales_dataset[[#This Row],[units_sold]]*bmw_global_sales_dataset[[#This Row],[price_usd]]</f>
        <v>30305280</v>
      </c>
      <c r="O880">
        <v>640</v>
      </c>
    </row>
    <row r="881" spans="1:15" x14ac:dyDescent="0.35">
      <c r="A881">
        <v>2023</v>
      </c>
      <c r="B881">
        <v>6</v>
      </c>
      <c r="C881" t="s">
        <v>36</v>
      </c>
      <c r="D881" t="s">
        <v>22</v>
      </c>
      <c r="E881" t="s">
        <v>20</v>
      </c>
      <c r="F881" t="s">
        <v>20</v>
      </c>
      <c r="G881" s="1">
        <v>46962</v>
      </c>
      <c r="H881" s="1">
        <v>147064</v>
      </c>
      <c r="I881">
        <v>26</v>
      </c>
      <c r="J881">
        <v>0.97</v>
      </c>
      <c r="K881">
        <v>6.29</v>
      </c>
      <c r="L881">
        <v>1.2</v>
      </c>
      <c r="M881">
        <v>6</v>
      </c>
      <c r="N881" s="1">
        <f>bmw_global_sales_dataset[[#This Row],[units_sold]]*bmw_global_sales_dataset[[#This Row],[price_usd]]</f>
        <v>18596952</v>
      </c>
      <c r="O881">
        <v>396</v>
      </c>
    </row>
    <row r="882" spans="1:15" x14ac:dyDescent="0.35">
      <c r="A882">
        <v>2023</v>
      </c>
      <c r="B882">
        <v>10</v>
      </c>
      <c r="C882" t="s">
        <v>38</v>
      </c>
      <c r="D882" t="s">
        <v>34</v>
      </c>
      <c r="E882" t="s">
        <v>19</v>
      </c>
      <c r="F882" t="s">
        <v>27</v>
      </c>
      <c r="G882" s="1">
        <v>59700</v>
      </c>
      <c r="H882" s="1">
        <v>364853</v>
      </c>
      <c r="I882">
        <v>211</v>
      </c>
      <c r="J882">
        <v>0.97</v>
      </c>
      <c r="K882">
        <v>6.29</v>
      </c>
      <c r="L882">
        <v>1.2</v>
      </c>
      <c r="M882">
        <v>10</v>
      </c>
      <c r="N882" s="1">
        <f>bmw_global_sales_dataset[[#This Row],[units_sold]]*bmw_global_sales_dataset[[#This Row],[price_usd]]</f>
        <v>28775400</v>
      </c>
      <c r="O882">
        <v>482</v>
      </c>
    </row>
    <row r="883" spans="1:15" x14ac:dyDescent="0.35">
      <c r="A883">
        <v>2023</v>
      </c>
      <c r="B883">
        <v>10</v>
      </c>
      <c r="C883" t="s">
        <v>35</v>
      </c>
      <c r="D883" t="s">
        <v>39</v>
      </c>
      <c r="E883" t="s">
        <v>20</v>
      </c>
      <c r="F883" t="s">
        <v>20</v>
      </c>
      <c r="G883" s="1">
        <v>93565</v>
      </c>
      <c r="H883" s="1">
        <v>464021</v>
      </c>
      <c r="I883">
        <v>378</v>
      </c>
      <c r="J883">
        <v>0.97</v>
      </c>
      <c r="K883">
        <v>6.29</v>
      </c>
      <c r="L883">
        <v>1.2</v>
      </c>
      <c r="M883">
        <v>7</v>
      </c>
      <c r="N883" s="1">
        <f>bmw_global_sales_dataset[[#This Row],[units_sold]]*bmw_global_sales_dataset[[#This Row],[price_usd]]</f>
        <v>86828320</v>
      </c>
      <c r="O883">
        <v>928</v>
      </c>
    </row>
    <row r="884" spans="1:15" x14ac:dyDescent="0.35">
      <c r="A884">
        <v>2023</v>
      </c>
      <c r="B884">
        <v>1</v>
      </c>
      <c r="C884" t="s">
        <v>36</v>
      </c>
      <c r="D884" t="s">
        <v>34</v>
      </c>
      <c r="E884" t="s">
        <v>20</v>
      </c>
      <c r="F884" t="s">
        <v>17</v>
      </c>
      <c r="G884" s="1">
        <v>41937</v>
      </c>
      <c r="H884" s="1">
        <v>394572</v>
      </c>
      <c r="I884">
        <v>237</v>
      </c>
      <c r="J884">
        <v>0.97</v>
      </c>
      <c r="K884">
        <v>6.29</v>
      </c>
      <c r="L884">
        <v>1.2</v>
      </c>
      <c r="M884">
        <v>6</v>
      </c>
      <c r="N884" s="1">
        <f>bmw_global_sales_dataset[[#This Row],[units_sold]]*bmw_global_sales_dataset[[#This Row],[price_usd]]</f>
        <v>24658956</v>
      </c>
      <c r="O884">
        <v>588</v>
      </c>
    </row>
    <row r="885" spans="1:15" x14ac:dyDescent="0.35">
      <c r="A885">
        <v>2023</v>
      </c>
      <c r="B885">
        <v>12</v>
      </c>
      <c r="C885" t="s">
        <v>37</v>
      </c>
      <c r="D885" t="s">
        <v>26</v>
      </c>
      <c r="E885" t="s">
        <v>20</v>
      </c>
      <c r="F885" t="s">
        <v>20</v>
      </c>
      <c r="G885" s="1">
        <v>78601</v>
      </c>
      <c r="H885" s="1">
        <v>488988</v>
      </c>
      <c r="I885">
        <v>235</v>
      </c>
      <c r="J885">
        <v>0.97</v>
      </c>
      <c r="K885">
        <v>6.29</v>
      </c>
      <c r="L885">
        <v>1.2</v>
      </c>
      <c r="M885">
        <v>9</v>
      </c>
      <c r="N885" s="1">
        <f>bmw_global_sales_dataset[[#This Row],[units_sold]]*bmw_global_sales_dataset[[#This Row],[price_usd]]</f>
        <v>63666810</v>
      </c>
      <c r="O885">
        <v>810</v>
      </c>
    </row>
    <row r="886" spans="1:15" x14ac:dyDescent="0.35">
      <c r="A886">
        <v>2023</v>
      </c>
      <c r="B886">
        <v>5</v>
      </c>
      <c r="C886" t="s">
        <v>14</v>
      </c>
      <c r="D886" t="s">
        <v>15</v>
      </c>
      <c r="E886" t="s">
        <v>20</v>
      </c>
      <c r="F886" t="s">
        <v>20</v>
      </c>
      <c r="G886" s="1">
        <v>42382</v>
      </c>
      <c r="H886" s="1">
        <v>151121</v>
      </c>
      <c r="I886">
        <v>95</v>
      </c>
      <c r="J886">
        <v>0.97</v>
      </c>
      <c r="K886">
        <v>6.29</v>
      </c>
      <c r="L886">
        <v>1.2</v>
      </c>
      <c r="M886">
        <v>3</v>
      </c>
      <c r="N886" s="1">
        <f>bmw_global_sales_dataset[[#This Row],[units_sold]]*bmw_global_sales_dataset[[#This Row],[price_usd]]</f>
        <v>19707630</v>
      </c>
      <c r="O886">
        <v>465</v>
      </c>
    </row>
    <row r="887" spans="1:15" x14ac:dyDescent="0.35">
      <c r="A887">
        <v>2023</v>
      </c>
      <c r="B887">
        <v>1</v>
      </c>
      <c r="C887" t="s">
        <v>37</v>
      </c>
      <c r="D887" t="s">
        <v>34</v>
      </c>
      <c r="E887" t="s">
        <v>20</v>
      </c>
      <c r="F887" t="s">
        <v>20</v>
      </c>
      <c r="G887" s="1">
        <v>116685</v>
      </c>
      <c r="H887" s="1">
        <v>82332</v>
      </c>
      <c r="I887">
        <v>357</v>
      </c>
      <c r="J887">
        <v>0.97</v>
      </c>
      <c r="K887">
        <v>6.29</v>
      </c>
      <c r="L887">
        <v>1.2</v>
      </c>
      <c r="M887">
        <v>6</v>
      </c>
      <c r="N887" s="1">
        <f>bmw_global_sales_dataset[[#This Row],[units_sold]]*bmw_global_sales_dataset[[#This Row],[price_usd]]</f>
        <v>105016500</v>
      </c>
      <c r="O887">
        <v>900</v>
      </c>
    </row>
    <row r="888" spans="1:15" x14ac:dyDescent="0.35">
      <c r="A888">
        <v>2023</v>
      </c>
      <c r="B888">
        <v>10</v>
      </c>
      <c r="C888" t="s">
        <v>36</v>
      </c>
      <c r="D888" t="s">
        <v>18</v>
      </c>
      <c r="E888" t="s">
        <v>20</v>
      </c>
      <c r="F888" t="s">
        <v>17</v>
      </c>
      <c r="G888" s="1">
        <v>54572</v>
      </c>
      <c r="H888" s="1">
        <v>494854</v>
      </c>
      <c r="I888">
        <v>38</v>
      </c>
      <c r="J888">
        <v>0.97</v>
      </c>
      <c r="K888">
        <v>6.29</v>
      </c>
      <c r="L888">
        <v>1.2</v>
      </c>
      <c r="M888">
        <v>5</v>
      </c>
      <c r="N888" s="1">
        <f>bmw_global_sales_dataset[[#This Row],[units_sold]]*bmw_global_sales_dataset[[#This Row],[price_usd]]</f>
        <v>13806716</v>
      </c>
      <c r="O888">
        <v>253</v>
      </c>
    </row>
    <row r="889" spans="1:15" x14ac:dyDescent="0.35">
      <c r="A889">
        <v>2023</v>
      </c>
      <c r="B889">
        <v>11</v>
      </c>
      <c r="C889" t="s">
        <v>21</v>
      </c>
      <c r="D889" t="s">
        <v>29</v>
      </c>
      <c r="E889" t="s">
        <v>19</v>
      </c>
      <c r="F889" t="s">
        <v>20</v>
      </c>
      <c r="G889" s="1">
        <v>105456</v>
      </c>
      <c r="H889" s="1">
        <v>261027</v>
      </c>
      <c r="I889">
        <v>397</v>
      </c>
      <c r="J889">
        <v>0.97</v>
      </c>
      <c r="K889">
        <v>6.29</v>
      </c>
      <c r="L889">
        <v>1.2</v>
      </c>
      <c r="M889">
        <v>4</v>
      </c>
      <c r="N889" s="1">
        <f>bmw_global_sales_dataset[[#This Row],[units_sold]]*bmw_global_sales_dataset[[#This Row],[price_usd]]</f>
        <v>119165280</v>
      </c>
      <c r="O889">
        <v>1130</v>
      </c>
    </row>
    <row r="890" spans="1:15" x14ac:dyDescent="0.35">
      <c r="A890">
        <v>2023</v>
      </c>
      <c r="B890">
        <v>5</v>
      </c>
      <c r="C890" t="s">
        <v>14</v>
      </c>
      <c r="D890" t="s">
        <v>15</v>
      </c>
      <c r="E890" t="s">
        <v>16</v>
      </c>
      <c r="F890" t="s">
        <v>23</v>
      </c>
      <c r="G890" s="1">
        <v>64968</v>
      </c>
      <c r="H890" s="1">
        <v>382745</v>
      </c>
      <c r="I890">
        <v>203</v>
      </c>
      <c r="J890">
        <v>0.97</v>
      </c>
      <c r="K890">
        <v>6.29</v>
      </c>
      <c r="L890">
        <v>1.2</v>
      </c>
      <c r="M890">
        <v>10</v>
      </c>
      <c r="N890" s="1">
        <f>bmw_global_sales_dataset[[#This Row],[units_sold]]*bmw_global_sales_dataset[[#This Row],[price_usd]]</f>
        <v>33913296</v>
      </c>
      <c r="O890">
        <v>522</v>
      </c>
    </row>
    <row r="891" spans="1:15" x14ac:dyDescent="0.35">
      <c r="A891">
        <v>2023</v>
      </c>
      <c r="B891">
        <v>12</v>
      </c>
      <c r="C891" t="s">
        <v>37</v>
      </c>
      <c r="D891" t="s">
        <v>33</v>
      </c>
      <c r="E891" t="s">
        <v>20</v>
      </c>
      <c r="F891" t="s">
        <v>23</v>
      </c>
      <c r="G891" s="1">
        <v>58345</v>
      </c>
      <c r="H891" s="1">
        <v>433015</v>
      </c>
      <c r="I891">
        <v>145</v>
      </c>
      <c r="J891">
        <v>0.97</v>
      </c>
      <c r="K891">
        <v>6.29</v>
      </c>
      <c r="L891">
        <v>1.2</v>
      </c>
      <c r="M891">
        <v>8</v>
      </c>
      <c r="N891" s="1">
        <f>bmw_global_sales_dataset[[#This Row],[units_sold]]*bmw_global_sales_dataset[[#This Row],[price_usd]]</f>
        <v>19487230</v>
      </c>
      <c r="O891">
        <v>334</v>
      </c>
    </row>
    <row r="892" spans="1:15" x14ac:dyDescent="0.35">
      <c r="A892">
        <v>2023</v>
      </c>
      <c r="B892">
        <v>4</v>
      </c>
      <c r="C892" t="s">
        <v>37</v>
      </c>
      <c r="D892" t="s">
        <v>31</v>
      </c>
      <c r="E892" t="s">
        <v>19</v>
      </c>
      <c r="F892" t="s">
        <v>17</v>
      </c>
      <c r="G892" s="1">
        <v>92196</v>
      </c>
      <c r="H892" s="1">
        <v>256717</v>
      </c>
      <c r="I892">
        <v>87</v>
      </c>
      <c r="J892">
        <v>0.97</v>
      </c>
      <c r="K892">
        <v>6.29</v>
      </c>
      <c r="L892">
        <v>1.2</v>
      </c>
      <c r="M892">
        <v>4</v>
      </c>
      <c r="N892" s="1">
        <f>bmw_global_sales_dataset[[#This Row],[units_sold]]*bmw_global_sales_dataset[[#This Row],[price_usd]]</f>
        <v>52182936</v>
      </c>
      <c r="O892">
        <v>566</v>
      </c>
    </row>
    <row r="893" spans="1:15" x14ac:dyDescent="0.35">
      <c r="A893">
        <v>2023</v>
      </c>
      <c r="B893">
        <v>11</v>
      </c>
      <c r="C893" t="s">
        <v>30</v>
      </c>
      <c r="D893" t="s">
        <v>33</v>
      </c>
      <c r="E893" t="s">
        <v>20</v>
      </c>
      <c r="F893" t="s">
        <v>20</v>
      </c>
      <c r="G893" s="1">
        <v>72394</v>
      </c>
      <c r="H893" s="1">
        <v>154843</v>
      </c>
      <c r="I893">
        <v>155</v>
      </c>
      <c r="J893">
        <v>0.97</v>
      </c>
      <c r="K893">
        <v>6.29</v>
      </c>
      <c r="L893">
        <v>1.2</v>
      </c>
      <c r="M893">
        <v>9</v>
      </c>
      <c r="N893" s="1">
        <f>bmw_global_sales_dataset[[#This Row],[units_sold]]*bmw_global_sales_dataset[[#This Row],[price_usd]]</f>
        <v>37717274</v>
      </c>
      <c r="O893">
        <v>521</v>
      </c>
    </row>
    <row r="894" spans="1:15" x14ac:dyDescent="0.35">
      <c r="A894">
        <v>2023</v>
      </c>
      <c r="B894">
        <v>10</v>
      </c>
      <c r="C894" t="s">
        <v>28</v>
      </c>
      <c r="D894" t="s">
        <v>33</v>
      </c>
      <c r="E894" t="s">
        <v>19</v>
      </c>
      <c r="F894" t="s">
        <v>17</v>
      </c>
      <c r="G894" s="1">
        <v>107903</v>
      </c>
      <c r="H894" s="1">
        <v>435105</v>
      </c>
      <c r="I894">
        <v>255</v>
      </c>
      <c r="J894">
        <v>0.97</v>
      </c>
      <c r="K894">
        <v>6.29</v>
      </c>
      <c r="L894">
        <v>1.2</v>
      </c>
      <c r="M894">
        <v>1</v>
      </c>
      <c r="N894" s="1">
        <f>bmw_global_sales_dataset[[#This Row],[units_sold]]*bmw_global_sales_dataset[[#This Row],[price_usd]]</f>
        <v>96141573</v>
      </c>
      <c r="O894">
        <v>891</v>
      </c>
    </row>
    <row r="895" spans="1:15" x14ac:dyDescent="0.35">
      <c r="A895">
        <v>2024</v>
      </c>
      <c r="B895">
        <v>12</v>
      </c>
      <c r="C895" t="s">
        <v>28</v>
      </c>
      <c r="D895" t="s">
        <v>24</v>
      </c>
      <c r="E895" t="s">
        <v>20</v>
      </c>
      <c r="F895" t="s">
        <v>27</v>
      </c>
      <c r="G895" s="1">
        <v>118564</v>
      </c>
      <c r="H895" s="1">
        <v>349155</v>
      </c>
      <c r="I895">
        <v>172</v>
      </c>
      <c r="J895">
        <v>0.97</v>
      </c>
      <c r="K895">
        <v>6.29</v>
      </c>
      <c r="L895">
        <v>1.2</v>
      </c>
      <c r="M895">
        <v>6</v>
      </c>
      <c r="N895" s="1">
        <f>bmw_global_sales_dataset[[#This Row],[units_sold]]*bmw_global_sales_dataset[[#This Row],[price_usd]]</f>
        <v>81453468</v>
      </c>
      <c r="O895">
        <v>687</v>
      </c>
    </row>
    <row r="896" spans="1:15" x14ac:dyDescent="0.35">
      <c r="A896">
        <v>2024</v>
      </c>
      <c r="B896">
        <v>11</v>
      </c>
      <c r="C896" t="s">
        <v>25</v>
      </c>
      <c r="D896" t="s">
        <v>33</v>
      </c>
      <c r="E896" t="s">
        <v>19</v>
      </c>
      <c r="F896" t="s">
        <v>23</v>
      </c>
      <c r="G896" s="1">
        <v>58154</v>
      </c>
      <c r="H896" s="1">
        <v>494874</v>
      </c>
      <c r="I896">
        <v>359</v>
      </c>
      <c r="J896">
        <v>0.97</v>
      </c>
      <c r="K896">
        <v>6.29</v>
      </c>
      <c r="L896">
        <v>1.2</v>
      </c>
      <c r="M896">
        <v>1</v>
      </c>
      <c r="N896" s="1">
        <f>bmw_global_sales_dataset[[#This Row],[units_sold]]*bmw_global_sales_dataset[[#This Row],[price_usd]]</f>
        <v>61701394</v>
      </c>
      <c r="O896">
        <v>1061</v>
      </c>
    </row>
    <row r="897" spans="1:15" x14ac:dyDescent="0.35">
      <c r="A897">
        <v>2024</v>
      </c>
      <c r="B897">
        <v>5</v>
      </c>
      <c r="C897" t="s">
        <v>28</v>
      </c>
      <c r="D897" t="s">
        <v>31</v>
      </c>
      <c r="E897" t="s">
        <v>19</v>
      </c>
      <c r="F897" t="s">
        <v>23</v>
      </c>
      <c r="G897" s="1">
        <v>48331</v>
      </c>
      <c r="H897" s="1">
        <v>75739</v>
      </c>
      <c r="I897">
        <v>56</v>
      </c>
      <c r="J897">
        <v>0.97</v>
      </c>
      <c r="K897">
        <v>6.29</v>
      </c>
      <c r="L897">
        <v>1.2</v>
      </c>
      <c r="M897">
        <v>10</v>
      </c>
      <c r="N897" s="1">
        <f>bmw_global_sales_dataset[[#This Row],[units_sold]]*bmw_global_sales_dataset[[#This Row],[price_usd]]</f>
        <v>5171417</v>
      </c>
      <c r="O897">
        <v>107</v>
      </c>
    </row>
    <row r="898" spans="1:15" x14ac:dyDescent="0.35">
      <c r="A898">
        <v>2024</v>
      </c>
      <c r="B898">
        <v>4</v>
      </c>
      <c r="C898" t="s">
        <v>35</v>
      </c>
      <c r="D898" t="s">
        <v>33</v>
      </c>
      <c r="E898" t="s">
        <v>20</v>
      </c>
      <c r="F898" t="s">
        <v>20</v>
      </c>
      <c r="G898" s="1">
        <v>39837</v>
      </c>
      <c r="H898" s="1">
        <v>233500</v>
      </c>
      <c r="I898">
        <v>48</v>
      </c>
      <c r="J898">
        <v>0.97</v>
      </c>
      <c r="K898">
        <v>6.29</v>
      </c>
      <c r="L898">
        <v>1.2</v>
      </c>
      <c r="M898">
        <v>6</v>
      </c>
      <c r="N898" s="1">
        <f>bmw_global_sales_dataset[[#This Row],[units_sold]]*bmw_global_sales_dataset[[#This Row],[price_usd]]</f>
        <v>17090073</v>
      </c>
      <c r="O898">
        <v>429</v>
      </c>
    </row>
    <row r="899" spans="1:15" x14ac:dyDescent="0.35">
      <c r="A899">
        <v>2024</v>
      </c>
      <c r="B899">
        <v>5</v>
      </c>
      <c r="C899" t="s">
        <v>32</v>
      </c>
      <c r="D899" t="s">
        <v>29</v>
      </c>
      <c r="E899" t="s">
        <v>20</v>
      </c>
      <c r="F899" t="s">
        <v>27</v>
      </c>
      <c r="G899" s="1">
        <v>106232</v>
      </c>
      <c r="H899" s="1">
        <v>318591</v>
      </c>
      <c r="I899">
        <v>391</v>
      </c>
      <c r="J899">
        <v>0.97</v>
      </c>
      <c r="K899">
        <v>6.29</v>
      </c>
      <c r="L899">
        <v>1.2</v>
      </c>
      <c r="M899">
        <v>3</v>
      </c>
      <c r="N899" s="1">
        <f>bmw_global_sales_dataset[[#This Row],[units_sold]]*bmw_global_sales_dataset[[#This Row],[price_usd]]</f>
        <v>106338232</v>
      </c>
      <c r="O899">
        <v>1001</v>
      </c>
    </row>
    <row r="900" spans="1:15" x14ac:dyDescent="0.35">
      <c r="A900">
        <v>2024</v>
      </c>
      <c r="B900">
        <v>1</v>
      </c>
      <c r="C900" t="s">
        <v>32</v>
      </c>
      <c r="D900" t="s">
        <v>26</v>
      </c>
      <c r="E900" t="s">
        <v>20</v>
      </c>
      <c r="F900" t="s">
        <v>23</v>
      </c>
      <c r="G900" s="1">
        <v>68367</v>
      </c>
      <c r="H900" s="1">
        <v>422050</v>
      </c>
      <c r="I900">
        <v>100</v>
      </c>
      <c r="J900">
        <v>0.97</v>
      </c>
      <c r="K900">
        <v>6.29</v>
      </c>
      <c r="L900">
        <v>1.2</v>
      </c>
      <c r="M900">
        <v>9</v>
      </c>
      <c r="N900" s="1">
        <f>bmw_global_sales_dataset[[#This Row],[units_sold]]*bmw_global_sales_dataset[[#This Row],[price_usd]]</f>
        <v>39379392</v>
      </c>
      <c r="O900">
        <v>576</v>
      </c>
    </row>
    <row r="901" spans="1:15" x14ac:dyDescent="0.35">
      <c r="A901">
        <v>2024</v>
      </c>
      <c r="B901">
        <v>11</v>
      </c>
      <c r="C901" t="s">
        <v>37</v>
      </c>
      <c r="D901" t="s">
        <v>31</v>
      </c>
      <c r="E901" t="s">
        <v>16</v>
      </c>
      <c r="F901" t="s">
        <v>27</v>
      </c>
      <c r="G901" s="1">
        <v>71405</v>
      </c>
      <c r="H901" s="1">
        <v>271421</v>
      </c>
      <c r="I901">
        <v>132</v>
      </c>
      <c r="J901">
        <v>0.97</v>
      </c>
      <c r="K901">
        <v>6.29</v>
      </c>
      <c r="L901">
        <v>1.2</v>
      </c>
      <c r="M901">
        <v>10</v>
      </c>
      <c r="N901" s="1">
        <f>bmw_global_sales_dataset[[#This Row],[units_sold]]*bmw_global_sales_dataset[[#This Row],[price_usd]]</f>
        <v>24848940</v>
      </c>
      <c r="O901">
        <v>348</v>
      </c>
    </row>
    <row r="902" spans="1:15" x14ac:dyDescent="0.35">
      <c r="A902">
        <v>2024</v>
      </c>
      <c r="B902">
        <v>6</v>
      </c>
      <c r="C902" t="s">
        <v>35</v>
      </c>
      <c r="D902" t="s">
        <v>39</v>
      </c>
      <c r="E902" t="s">
        <v>20</v>
      </c>
      <c r="F902" t="s">
        <v>20</v>
      </c>
      <c r="G902" s="1">
        <v>63931</v>
      </c>
      <c r="H902" s="1">
        <v>314140</v>
      </c>
      <c r="I902">
        <v>108</v>
      </c>
      <c r="J902">
        <v>0.97</v>
      </c>
      <c r="K902">
        <v>6.29</v>
      </c>
      <c r="L902">
        <v>1.2</v>
      </c>
      <c r="M902">
        <v>4</v>
      </c>
      <c r="N902" s="1">
        <f>bmw_global_sales_dataset[[#This Row],[units_sold]]*bmw_global_sales_dataset[[#This Row],[price_usd]]</f>
        <v>19626817</v>
      </c>
      <c r="O902">
        <v>307</v>
      </c>
    </row>
    <row r="903" spans="1:15" x14ac:dyDescent="0.35">
      <c r="A903">
        <v>2024</v>
      </c>
      <c r="B903">
        <v>11</v>
      </c>
      <c r="C903" t="s">
        <v>38</v>
      </c>
      <c r="D903" t="s">
        <v>15</v>
      </c>
      <c r="E903" t="s">
        <v>20</v>
      </c>
      <c r="F903" t="s">
        <v>20</v>
      </c>
      <c r="G903" s="1">
        <v>92656</v>
      </c>
      <c r="H903" s="1">
        <v>418615</v>
      </c>
      <c r="I903">
        <v>395</v>
      </c>
      <c r="J903">
        <v>0.97</v>
      </c>
      <c r="K903">
        <v>6.29</v>
      </c>
      <c r="L903">
        <v>1.2</v>
      </c>
      <c r="M903">
        <v>5</v>
      </c>
      <c r="N903" s="1">
        <f>bmw_global_sales_dataset[[#This Row],[units_sold]]*bmw_global_sales_dataset[[#This Row],[price_usd]]</f>
        <v>103311440</v>
      </c>
      <c r="O903">
        <v>1115</v>
      </c>
    </row>
    <row r="904" spans="1:15" x14ac:dyDescent="0.35">
      <c r="A904">
        <v>2024</v>
      </c>
      <c r="B904">
        <v>7</v>
      </c>
      <c r="C904" t="s">
        <v>36</v>
      </c>
      <c r="D904" t="s">
        <v>18</v>
      </c>
      <c r="E904" t="s">
        <v>16</v>
      </c>
      <c r="F904" t="s">
        <v>17</v>
      </c>
      <c r="G904" s="1">
        <v>35946</v>
      </c>
      <c r="H904" s="1">
        <v>455881</v>
      </c>
      <c r="I904">
        <v>398</v>
      </c>
      <c r="J904">
        <v>0.97</v>
      </c>
      <c r="K904">
        <v>6.29</v>
      </c>
      <c r="L904">
        <v>1.2</v>
      </c>
      <c r="M904">
        <v>2</v>
      </c>
      <c r="N904" s="1">
        <f>bmw_global_sales_dataset[[#This Row],[units_sold]]*bmw_global_sales_dataset[[#This Row],[price_usd]]</f>
        <v>31308966</v>
      </c>
      <c r="O904">
        <v>871</v>
      </c>
    </row>
    <row r="905" spans="1:15" x14ac:dyDescent="0.35">
      <c r="A905">
        <v>2024</v>
      </c>
      <c r="B905">
        <v>7</v>
      </c>
      <c r="C905" t="s">
        <v>21</v>
      </c>
      <c r="D905" t="s">
        <v>31</v>
      </c>
      <c r="E905" t="s">
        <v>19</v>
      </c>
      <c r="F905" t="s">
        <v>23</v>
      </c>
      <c r="G905" s="1">
        <v>62241</v>
      </c>
      <c r="H905" s="1">
        <v>403972</v>
      </c>
      <c r="I905">
        <v>198</v>
      </c>
      <c r="J905">
        <v>0.97</v>
      </c>
      <c r="K905">
        <v>6.29</v>
      </c>
      <c r="L905">
        <v>1.2</v>
      </c>
      <c r="M905">
        <v>8</v>
      </c>
      <c r="N905" s="1">
        <f>bmw_global_sales_dataset[[#This Row],[units_sold]]*bmw_global_sales_dataset[[#This Row],[price_usd]]</f>
        <v>31618428</v>
      </c>
      <c r="O905">
        <v>508</v>
      </c>
    </row>
    <row r="906" spans="1:15" x14ac:dyDescent="0.35">
      <c r="A906">
        <v>2024</v>
      </c>
      <c r="B906">
        <v>8</v>
      </c>
      <c r="C906" t="s">
        <v>35</v>
      </c>
      <c r="D906" t="s">
        <v>34</v>
      </c>
      <c r="E906" t="s">
        <v>16</v>
      </c>
      <c r="F906" t="s">
        <v>20</v>
      </c>
      <c r="G906" s="1">
        <v>80875</v>
      </c>
      <c r="H906" s="1">
        <v>322502</v>
      </c>
      <c r="I906">
        <v>244</v>
      </c>
      <c r="J906">
        <v>0.97</v>
      </c>
      <c r="K906">
        <v>6.29</v>
      </c>
      <c r="L906">
        <v>1.2</v>
      </c>
      <c r="M906">
        <v>2</v>
      </c>
      <c r="N906" s="1">
        <f>bmw_global_sales_dataset[[#This Row],[units_sold]]*bmw_global_sales_dataset[[#This Row],[price_usd]]</f>
        <v>69309875</v>
      </c>
      <c r="O906">
        <v>857</v>
      </c>
    </row>
    <row r="907" spans="1:15" x14ac:dyDescent="0.35">
      <c r="A907">
        <v>2024</v>
      </c>
      <c r="B907">
        <v>10</v>
      </c>
      <c r="C907" t="s">
        <v>32</v>
      </c>
      <c r="D907" t="s">
        <v>29</v>
      </c>
      <c r="E907" t="s">
        <v>20</v>
      </c>
      <c r="F907" t="s">
        <v>20</v>
      </c>
      <c r="G907" s="1">
        <v>36539</v>
      </c>
      <c r="H907" s="1">
        <v>424416</v>
      </c>
      <c r="I907">
        <v>175</v>
      </c>
      <c r="J907">
        <v>0.97</v>
      </c>
      <c r="K907">
        <v>6.29</v>
      </c>
      <c r="L907">
        <v>1.2</v>
      </c>
      <c r="M907">
        <v>4</v>
      </c>
      <c r="N907" s="1">
        <f>bmw_global_sales_dataset[[#This Row],[units_sold]]*bmw_global_sales_dataset[[#This Row],[price_usd]]</f>
        <v>25065754</v>
      </c>
      <c r="O907">
        <v>686</v>
      </c>
    </row>
    <row r="908" spans="1:15" x14ac:dyDescent="0.35">
      <c r="A908">
        <v>2024</v>
      </c>
      <c r="B908">
        <v>10</v>
      </c>
      <c r="C908" t="s">
        <v>37</v>
      </c>
      <c r="D908" t="s">
        <v>31</v>
      </c>
      <c r="E908" t="s">
        <v>16</v>
      </c>
      <c r="F908" t="s">
        <v>17</v>
      </c>
      <c r="G908" s="1">
        <v>52027</v>
      </c>
      <c r="H908" s="1">
        <v>141074</v>
      </c>
      <c r="I908">
        <v>99</v>
      </c>
      <c r="J908">
        <v>0.97</v>
      </c>
      <c r="K908">
        <v>6.29</v>
      </c>
      <c r="L908">
        <v>1.2</v>
      </c>
      <c r="M908">
        <v>2</v>
      </c>
      <c r="N908" s="1">
        <f>bmw_global_sales_dataset[[#This Row],[units_sold]]*bmw_global_sales_dataset[[#This Row],[price_usd]]</f>
        <v>15556073</v>
      </c>
      <c r="O908">
        <v>299</v>
      </c>
    </row>
    <row r="909" spans="1:15" x14ac:dyDescent="0.35">
      <c r="A909">
        <v>2024</v>
      </c>
      <c r="B909">
        <v>3</v>
      </c>
      <c r="C909" t="s">
        <v>28</v>
      </c>
      <c r="D909" t="s">
        <v>31</v>
      </c>
      <c r="E909" t="s">
        <v>20</v>
      </c>
      <c r="F909" t="s">
        <v>20</v>
      </c>
      <c r="G909" s="1">
        <v>101972</v>
      </c>
      <c r="H909" s="1">
        <v>445460</v>
      </c>
      <c r="I909">
        <v>350</v>
      </c>
      <c r="J909">
        <v>0.97</v>
      </c>
      <c r="K909">
        <v>6.29</v>
      </c>
      <c r="L909">
        <v>1.2</v>
      </c>
      <c r="M909">
        <v>5</v>
      </c>
      <c r="N909" s="1">
        <f>bmw_global_sales_dataset[[#This Row],[units_sold]]*bmw_global_sales_dataset[[#This Row],[price_usd]]</f>
        <v>79538160</v>
      </c>
      <c r="O909">
        <v>780</v>
      </c>
    </row>
    <row r="910" spans="1:15" x14ac:dyDescent="0.35">
      <c r="A910">
        <v>2024</v>
      </c>
      <c r="B910">
        <v>6</v>
      </c>
      <c r="C910" t="s">
        <v>38</v>
      </c>
      <c r="D910" t="s">
        <v>22</v>
      </c>
      <c r="E910" t="s">
        <v>16</v>
      </c>
      <c r="F910" t="s">
        <v>17</v>
      </c>
      <c r="G910" s="1">
        <v>42354</v>
      </c>
      <c r="H910" s="1">
        <v>231089</v>
      </c>
      <c r="I910">
        <v>311</v>
      </c>
      <c r="J910">
        <v>0.97</v>
      </c>
      <c r="K910">
        <v>6.29</v>
      </c>
      <c r="L910">
        <v>1.2</v>
      </c>
      <c r="M910">
        <v>4</v>
      </c>
      <c r="N910" s="1">
        <f>bmw_global_sales_dataset[[#This Row],[units_sold]]*bmw_global_sales_dataset[[#This Row],[price_usd]]</f>
        <v>41888106</v>
      </c>
      <c r="O910">
        <v>989</v>
      </c>
    </row>
    <row r="911" spans="1:15" x14ac:dyDescent="0.35">
      <c r="A911">
        <v>2024</v>
      </c>
      <c r="B911">
        <v>7</v>
      </c>
      <c r="C911" t="s">
        <v>37</v>
      </c>
      <c r="D911" t="s">
        <v>33</v>
      </c>
      <c r="E911" t="s">
        <v>16</v>
      </c>
      <c r="F911" t="s">
        <v>23</v>
      </c>
      <c r="G911" s="1">
        <v>78390</v>
      </c>
      <c r="H911" s="1">
        <v>190399</v>
      </c>
      <c r="I911">
        <v>102</v>
      </c>
      <c r="J911">
        <v>0.97</v>
      </c>
      <c r="K911">
        <v>6.29</v>
      </c>
      <c r="L911">
        <v>1.2</v>
      </c>
      <c r="M911">
        <v>10</v>
      </c>
      <c r="N911" s="1">
        <f>bmw_global_sales_dataset[[#This Row],[units_sold]]*bmw_global_sales_dataset[[#This Row],[price_usd]]</f>
        <v>35118720</v>
      </c>
      <c r="O911">
        <v>448</v>
      </c>
    </row>
    <row r="912" spans="1:15" x14ac:dyDescent="0.35">
      <c r="A912">
        <v>2024</v>
      </c>
      <c r="B912">
        <v>3</v>
      </c>
      <c r="C912" t="s">
        <v>36</v>
      </c>
      <c r="D912" t="s">
        <v>39</v>
      </c>
      <c r="E912" t="s">
        <v>20</v>
      </c>
      <c r="F912" t="s">
        <v>17</v>
      </c>
      <c r="G912" s="1">
        <v>59594</v>
      </c>
      <c r="H912" s="1">
        <v>456965</v>
      </c>
      <c r="I912">
        <v>82</v>
      </c>
      <c r="J912">
        <v>0.97</v>
      </c>
      <c r="K912">
        <v>6.29</v>
      </c>
      <c r="L912">
        <v>1.2</v>
      </c>
      <c r="M912">
        <v>1</v>
      </c>
      <c r="N912" s="1">
        <f>bmw_global_sales_dataset[[#This Row],[units_sold]]*bmw_global_sales_dataset[[#This Row],[price_usd]]</f>
        <v>17163072</v>
      </c>
      <c r="O912">
        <v>288</v>
      </c>
    </row>
    <row r="913" spans="1:15" x14ac:dyDescent="0.35">
      <c r="A913">
        <v>2024</v>
      </c>
      <c r="B913">
        <v>2</v>
      </c>
      <c r="C913" t="s">
        <v>32</v>
      </c>
      <c r="D913" t="s">
        <v>33</v>
      </c>
      <c r="E913" t="s">
        <v>19</v>
      </c>
      <c r="F913" t="s">
        <v>20</v>
      </c>
      <c r="G913" s="1">
        <v>59846</v>
      </c>
      <c r="H913" s="1">
        <v>134523</v>
      </c>
      <c r="I913">
        <v>34</v>
      </c>
      <c r="J913">
        <v>0.97</v>
      </c>
      <c r="K913">
        <v>6.29</v>
      </c>
      <c r="L913">
        <v>1.2</v>
      </c>
      <c r="M913">
        <v>7</v>
      </c>
      <c r="N913" s="1">
        <f>bmw_global_sales_dataset[[#This Row],[units_sold]]*bmw_global_sales_dataset[[#This Row],[price_usd]]</f>
        <v>20407486</v>
      </c>
      <c r="O913">
        <v>341</v>
      </c>
    </row>
    <row r="914" spans="1:15" x14ac:dyDescent="0.35">
      <c r="A914">
        <v>2024</v>
      </c>
      <c r="B914">
        <v>9</v>
      </c>
      <c r="C914" t="s">
        <v>35</v>
      </c>
      <c r="D914" t="s">
        <v>33</v>
      </c>
      <c r="E914" t="s">
        <v>16</v>
      </c>
      <c r="F914" t="s">
        <v>17</v>
      </c>
      <c r="G914" s="1">
        <v>54627</v>
      </c>
      <c r="H914" s="1">
        <v>360714</v>
      </c>
      <c r="I914">
        <v>159</v>
      </c>
      <c r="J914">
        <v>0.97</v>
      </c>
      <c r="K914">
        <v>6.29</v>
      </c>
      <c r="L914">
        <v>1.2</v>
      </c>
      <c r="M914">
        <v>2</v>
      </c>
      <c r="N914" s="1">
        <f>bmw_global_sales_dataset[[#This Row],[units_sold]]*bmw_global_sales_dataset[[#This Row],[price_usd]]</f>
        <v>38075019</v>
      </c>
      <c r="O914">
        <v>697</v>
      </c>
    </row>
    <row r="915" spans="1:15" x14ac:dyDescent="0.35">
      <c r="A915">
        <v>2024</v>
      </c>
      <c r="B915">
        <v>4</v>
      </c>
      <c r="C915" t="s">
        <v>32</v>
      </c>
      <c r="D915" t="s">
        <v>34</v>
      </c>
      <c r="E915" t="s">
        <v>20</v>
      </c>
      <c r="F915" t="s">
        <v>23</v>
      </c>
      <c r="G915" s="1">
        <v>112242</v>
      </c>
      <c r="H915" s="1">
        <v>490041</v>
      </c>
      <c r="I915">
        <v>340</v>
      </c>
      <c r="J915">
        <v>0.97</v>
      </c>
      <c r="K915">
        <v>6.29</v>
      </c>
      <c r="L915">
        <v>1.2</v>
      </c>
      <c r="M915">
        <v>9</v>
      </c>
      <c r="N915" s="1">
        <f>bmw_global_sales_dataset[[#This Row],[units_sold]]*bmw_global_sales_dataset[[#This Row],[price_usd]]</f>
        <v>100344348</v>
      </c>
      <c r="O915">
        <v>894</v>
      </c>
    </row>
    <row r="916" spans="1:15" x14ac:dyDescent="0.35">
      <c r="A916">
        <v>2024</v>
      </c>
      <c r="B916">
        <v>2</v>
      </c>
      <c r="C916" t="s">
        <v>35</v>
      </c>
      <c r="D916" t="s">
        <v>33</v>
      </c>
      <c r="E916" t="s">
        <v>20</v>
      </c>
      <c r="F916" t="s">
        <v>23</v>
      </c>
      <c r="G916" s="1">
        <v>86322</v>
      </c>
      <c r="H916" s="1">
        <v>349850</v>
      </c>
      <c r="I916">
        <v>342</v>
      </c>
      <c r="J916">
        <v>0.97</v>
      </c>
      <c r="K916">
        <v>6.29</v>
      </c>
      <c r="L916">
        <v>1.2</v>
      </c>
      <c r="M916">
        <v>7</v>
      </c>
      <c r="N916" s="1">
        <f>bmw_global_sales_dataset[[#This Row],[units_sold]]*bmw_global_sales_dataset[[#This Row],[price_usd]]</f>
        <v>60857010</v>
      </c>
      <c r="O916">
        <v>705</v>
      </c>
    </row>
    <row r="917" spans="1:15" x14ac:dyDescent="0.35">
      <c r="A917">
        <v>2024</v>
      </c>
      <c r="B917">
        <v>2</v>
      </c>
      <c r="C917" t="s">
        <v>30</v>
      </c>
      <c r="D917" t="s">
        <v>31</v>
      </c>
      <c r="E917" t="s">
        <v>16</v>
      </c>
      <c r="F917" t="s">
        <v>23</v>
      </c>
      <c r="G917" s="1">
        <v>77814</v>
      </c>
      <c r="H917" s="1">
        <v>454427</v>
      </c>
      <c r="I917">
        <v>99</v>
      </c>
      <c r="J917">
        <v>0.97</v>
      </c>
      <c r="K917">
        <v>6.29</v>
      </c>
      <c r="L917">
        <v>1.2</v>
      </c>
      <c r="M917">
        <v>7</v>
      </c>
      <c r="N917" s="1">
        <f>bmw_global_sales_dataset[[#This Row],[units_sold]]*bmw_global_sales_dataset[[#This Row],[price_usd]]</f>
        <v>38751372</v>
      </c>
      <c r="O917">
        <v>498</v>
      </c>
    </row>
    <row r="918" spans="1:15" x14ac:dyDescent="0.35">
      <c r="A918">
        <v>2024</v>
      </c>
      <c r="B918">
        <v>12</v>
      </c>
      <c r="C918" t="s">
        <v>37</v>
      </c>
      <c r="D918" t="s">
        <v>33</v>
      </c>
      <c r="E918" t="s">
        <v>16</v>
      </c>
      <c r="F918" t="s">
        <v>27</v>
      </c>
      <c r="G918" s="1">
        <v>84646</v>
      </c>
      <c r="H918" s="1">
        <v>277966</v>
      </c>
      <c r="I918">
        <v>282</v>
      </c>
      <c r="J918">
        <v>0.97</v>
      </c>
      <c r="K918">
        <v>6.29</v>
      </c>
      <c r="L918">
        <v>1.2</v>
      </c>
      <c r="M918">
        <v>7</v>
      </c>
      <c r="N918" s="1">
        <f>bmw_global_sales_dataset[[#This Row],[units_sold]]*bmw_global_sales_dataset[[#This Row],[price_usd]]</f>
        <v>62299456</v>
      </c>
      <c r="O918">
        <v>736</v>
      </c>
    </row>
    <row r="919" spans="1:15" x14ac:dyDescent="0.35">
      <c r="A919">
        <v>2024</v>
      </c>
      <c r="B919">
        <v>12</v>
      </c>
      <c r="C919" t="s">
        <v>25</v>
      </c>
      <c r="D919" t="s">
        <v>31</v>
      </c>
      <c r="E919" t="s">
        <v>16</v>
      </c>
      <c r="F919" t="s">
        <v>20</v>
      </c>
      <c r="G919" s="1">
        <v>64709</v>
      </c>
      <c r="H919" s="1">
        <v>292599</v>
      </c>
      <c r="I919">
        <v>11</v>
      </c>
      <c r="J919">
        <v>0.97</v>
      </c>
      <c r="K919">
        <v>6.29</v>
      </c>
      <c r="L919">
        <v>1.2</v>
      </c>
      <c r="M919">
        <v>1</v>
      </c>
      <c r="N919" s="1">
        <f>bmw_global_sales_dataset[[#This Row],[units_sold]]*bmw_global_sales_dataset[[#This Row],[price_usd]]</f>
        <v>8412170</v>
      </c>
      <c r="O919">
        <v>130</v>
      </c>
    </row>
    <row r="920" spans="1:15" x14ac:dyDescent="0.35">
      <c r="A920">
        <v>2024</v>
      </c>
      <c r="B920">
        <v>11</v>
      </c>
      <c r="C920" t="s">
        <v>28</v>
      </c>
      <c r="D920" t="s">
        <v>29</v>
      </c>
      <c r="E920" t="s">
        <v>20</v>
      </c>
      <c r="F920" t="s">
        <v>17</v>
      </c>
      <c r="G920" s="1">
        <v>110179</v>
      </c>
      <c r="H920" s="1">
        <v>205976</v>
      </c>
      <c r="I920">
        <v>185</v>
      </c>
      <c r="J920">
        <v>0.97</v>
      </c>
      <c r="K920">
        <v>6.29</v>
      </c>
      <c r="L920">
        <v>1.2</v>
      </c>
      <c r="M920">
        <v>3</v>
      </c>
      <c r="N920" s="1">
        <f>bmw_global_sales_dataset[[#This Row],[units_sold]]*bmw_global_sales_dataset[[#This Row],[price_usd]]</f>
        <v>47376970</v>
      </c>
      <c r="O920">
        <v>430</v>
      </c>
    </row>
    <row r="921" spans="1:15" x14ac:dyDescent="0.35">
      <c r="A921">
        <v>2024</v>
      </c>
      <c r="B921">
        <v>12</v>
      </c>
      <c r="C921" t="s">
        <v>32</v>
      </c>
      <c r="D921" t="s">
        <v>22</v>
      </c>
      <c r="E921" t="s">
        <v>20</v>
      </c>
      <c r="F921" t="s">
        <v>23</v>
      </c>
      <c r="G921" s="1">
        <v>96078</v>
      </c>
      <c r="H921" s="1">
        <v>446108</v>
      </c>
      <c r="I921">
        <v>252</v>
      </c>
      <c r="J921">
        <v>0.97</v>
      </c>
      <c r="K921">
        <v>6.29</v>
      </c>
      <c r="L921">
        <v>1.2</v>
      </c>
      <c r="M921">
        <v>6</v>
      </c>
      <c r="N921" s="1">
        <f>bmw_global_sales_dataset[[#This Row],[units_sold]]*bmw_global_sales_dataset[[#This Row],[price_usd]]</f>
        <v>60529140</v>
      </c>
      <c r="O921">
        <v>630</v>
      </c>
    </row>
    <row r="922" spans="1:15" x14ac:dyDescent="0.35">
      <c r="A922">
        <v>2024</v>
      </c>
      <c r="B922">
        <v>3</v>
      </c>
      <c r="C922" t="s">
        <v>36</v>
      </c>
      <c r="D922" t="s">
        <v>15</v>
      </c>
      <c r="E922" t="s">
        <v>16</v>
      </c>
      <c r="F922" t="s">
        <v>23</v>
      </c>
      <c r="G922" s="1">
        <v>79306</v>
      </c>
      <c r="H922" s="1">
        <v>317956</v>
      </c>
      <c r="I922">
        <v>220</v>
      </c>
      <c r="J922">
        <v>0.97</v>
      </c>
      <c r="K922">
        <v>6.29</v>
      </c>
      <c r="L922">
        <v>1.2</v>
      </c>
      <c r="M922">
        <v>9</v>
      </c>
      <c r="N922" s="1">
        <f>bmw_global_sales_dataset[[#This Row],[units_sold]]*bmw_global_sales_dataset[[#This Row],[price_usd]]</f>
        <v>41635650</v>
      </c>
      <c r="O922">
        <v>525</v>
      </c>
    </row>
    <row r="923" spans="1:15" x14ac:dyDescent="0.35">
      <c r="A923">
        <v>2024</v>
      </c>
      <c r="B923">
        <v>5</v>
      </c>
      <c r="C923" t="s">
        <v>14</v>
      </c>
      <c r="D923" t="s">
        <v>15</v>
      </c>
      <c r="E923" t="s">
        <v>16</v>
      </c>
      <c r="F923" t="s">
        <v>23</v>
      </c>
      <c r="G923" s="1">
        <v>37962</v>
      </c>
      <c r="H923" s="1">
        <v>105934</v>
      </c>
      <c r="I923">
        <v>397</v>
      </c>
      <c r="J923">
        <v>0.97</v>
      </c>
      <c r="K923">
        <v>6.29</v>
      </c>
      <c r="L923">
        <v>1.2</v>
      </c>
      <c r="M923">
        <v>8</v>
      </c>
      <c r="N923" s="1">
        <f>bmw_global_sales_dataset[[#This Row],[units_sold]]*bmw_global_sales_dataset[[#This Row],[price_usd]]</f>
        <v>33900066</v>
      </c>
      <c r="O923">
        <v>893</v>
      </c>
    </row>
    <row r="924" spans="1:15" x14ac:dyDescent="0.35">
      <c r="A924">
        <v>2024</v>
      </c>
      <c r="B924">
        <v>7</v>
      </c>
      <c r="C924" t="s">
        <v>21</v>
      </c>
      <c r="D924" t="s">
        <v>26</v>
      </c>
      <c r="E924" t="s">
        <v>16</v>
      </c>
      <c r="F924" t="s">
        <v>17</v>
      </c>
      <c r="G924" s="1">
        <v>76979</v>
      </c>
      <c r="H924" s="1">
        <v>267508</v>
      </c>
      <c r="I924">
        <v>310</v>
      </c>
      <c r="J924">
        <v>0.97</v>
      </c>
      <c r="K924">
        <v>6.29</v>
      </c>
      <c r="L924">
        <v>1.2</v>
      </c>
      <c r="M924">
        <v>7</v>
      </c>
      <c r="N924" s="1">
        <f>bmw_global_sales_dataset[[#This Row],[units_sold]]*bmw_global_sales_dataset[[#This Row],[price_usd]]</f>
        <v>48496770</v>
      </c>
      <c r="O924">
        <v>630</v>
      </c>
    </row>
    <row r="925" spans="1:15" x14ac:dyDescent="0.35">
      <c r="A925">
        <v>2024</v>
      </c>
      <c r="B925">
        <v>5</v>
      </c>
      <c r="C925" t="s">
        <v>38</v>
      </c>
      <c r="D925" t="s">
        <v>39</v>
      </c>
      <c r="E925" t="s">
        <v>20</v>
      </c>
      <c r="F925" t="s">
        <v>23</v>
      </c>
      <c r="G925" s="1">
        <v>49997</v>
      </c>
      <c r="H925" s="1">
        <v>400036</v>
      </c>
      <c r="I925">
        <v>146</v>
      </c>
      <c r="J925">
        <v>0.97</v>
      </c>
      <c r="K925">
        <v>6.29</v>
      </c>
      <c r="L925">
        <v>1.2</v>
      </c>
      <c r="M925">
        <v>1</v>
      </c>
      <c r="N925" s="1">
        <f>bmw_global_sales_dataset[[#This Row],[units_sold]]*bmw_global_sales_dataset[[#This Row],[price_usd]]</f>
        <v>23248605</v>
      </c>
      <c r="O925">
        <v>465</v>
      </c>
    </row>
    <row r="926" spans="1:15" x14ac:dyDescent="0.35">
      <c r="A926">
        <v>2024</v>
      </c>
      <c r="B926">
        <v>6</v>
      </c>
      <c r="C926" t="s">
        <v>28</v>
      </c>
      <c r="D926" t="s">
        <v>34</v>
      </c>
      <c r="E926" t="s">
        <v>19</v>
      </c>
      <c r="F926" t="s">
        <v>27</v>
      </c>
      <c r="G926" s="1">
        <v>80039</v>
      </c>
      <c r="H926" s="1">
        <v>269631</v>
      </c>
      <c r="I926">
        <v>109</v>
      </c>
      <c r="J926">
        <v>0.97</v>
      </c>
      <c r="K926">
        <v>6.29</v>
      </c>
      <c r="L926">
        <v>1.2</v>
      </c>
      <c r="M926">
        <v>10</v>
      </c>
      <c r="N926" s="1">
        <f>bmw_global_sales_dataset[[#This Row],[units_sold]]*bmw_global_sales_dataset[[#This Row],[price_usd]]</f>
        <v>43381138</v>
      </c>
      <c r="O926">
        <v>542</v>
      </c>
    </row>
    <row r="927" spans="1:15" x14ac:dyDescent="0.35">
      <c r="A927">
        <v>2024</v>
      </c>
      <c r="B927">
        <v>7</v>
      </c>
      <c r="C927" t="s">
        <v>38</v>
      </c>
      <c r="D927" t="s">
        <v>33</v>
      </c>
      <c r="E927" t="s">
        <v>19</v>
      </c>
      <c r="F927" t="s">
        <v>20</v>
      </c>
      <c r="G927" s="1">
        <v>37887</v>
      </c>
      <c r="H927" s="1">
        <v>201770</v>
      </c>
      <c r="I927">
        <v>194</v>
      </c>
      <c r="J927">
        <v>0.97</v>
      </c>
      <c r="K927">
        <v>6.29</v>
      </c>
      <c r="L927">
        <v>1.2</v>
      </c>
      <c r="M927">
        <v>1</v>
      </c>
      <c r="N927" s="1">
        <f>bmw_global_sales_dataset[[#This Row],[units_sold]]*bmw_global_sales_dataset[[#This Row],[price_usd]]</f>
        <v>21633477</v>
      </c>
      <c r="O927">
        <v>571</v>
      </c>
    </row>
    <row r="928" spans="1:15" x14ac:dyDescent="0.35">
      <c r="A928">
        <v>2024</v>
      </c>
      <c r="B928">
        <v>3</v>
      </c>
      <c r="C928" t="s">
        <v>35</v>
      </c>
      <c r="D928" t="s">
        <v>31</v>
      </c>
      <c r="E928" t="s">
        <v>16</v>
      </c>
      <c r="F928" t="s">
        <v>27</v>
      </c>
      <c r="G928" s="1">
        <v>38729</v>
      </c>
      <c r="H928" s="1">
        <v>271439</v>
      </c>
      <c r="I928">
        <v>84</v>
      </c>
      <c r="J928">
        <v>0.97</v>
      </c>
      <c r="K928">
        <v>6.29</v>
      </c>
      <c r="L928">
        <v>1.2</v>
      </c>
      <c r="M928">
        <v>3</v>
      </c>
      <c r="N928" s="1">
        <f>bmw_global_sales_dataset[[#This Row],[units_sold]]*bmw_global_sales_dataset[[#This Row],[price_usd]]</f>
        <v>9953353</v>
      </c>
      <c r="O928">
        <v>257</v>
      </c>
    </row>
    <row r="929" spans="1:15" x14ac:dyDescent="0.35">
      <c r="A929">
        <v>2024</v>
      </c>
      <c r="B929">
        <v>5</v>
      </c>
      <c r="C929" t="s">
        <v>32</v>
      </c>
      <c r="D929" t="s">
        <v>24</v>
      </c>
      <c r="E929" t="s">
        <v>19</v>
      </c>
      <c r="F929" t="s">
        <v>20</v>
      </c>
      <c r="G929" s="1">
        <v>56292</v>
      </c>
      <c r="H929" s="1">
        <v>143109</v>
      </c>
      <c r="I929">
        <v>371</v>
      </c>
      <c r="J929">
        <v>0.97</v>
      </c>
      <c r="K929">
        <v>6.29</v>
      </c>
      <c r="L929">
        <v>1.2</v>
      </c>
      <c r="M929">
        <v>3</v>
      </c>
      <c r="N929" s="1">
        <f>bmw_global_sales_dataset[[#This Row],[units_sold]]*bmw_global_sales_dataset[[#This Row],[price_usd]]</f>
        <v>52407852</v>
      </c>
      <c r="O929">
        <v>931</v>
      </c>
    </row>
    <row r="930" spans="1:15" x14ac:dyDescent="0.35">
      <c r="A930">
        <v>2024</v>
      </c>
      <c r="B930">
        <v>8</v>
      </c>
      <c r="C930" t="s">
        <v>32</v>
      </c>
      <c r="D930" t="s">
        <v>15</v>
      </c>
      <c r="E930" t="s">
        <v>19</v>
      </c>
      <c r="F930" t="s">
        <v>27</v>
      </c>
      <c r="G930" s="1">
        <v>97766</v>
      </c>
      <c r="H930" s="1">
        <v>193029</v>
      </c>
      <c r="I930">
        <v>111</v>
      </c>
      <c r="J930">
        <v>0.97</v>
      </c>
      <c r="K930">
        <v>6.29</v>
      </c>
      <c r="L930">
        <v>1.2</v>
      </c>
      <c r="M930">
        <v>5</v>
      </c>
      <c r="N930" s="1">
        <f>bmw_global_sales_dataset[[#This Row],[units_sold]]*bmw_global_sales_dataset[[#This Row],[price_usd]]</f>
        <v>48785234</v>
      </c>
      <c r="O930">
        <v>499</v>
      </c>
    </row>
    <row r="931" spans="1:15" x14ac:dyDescent="0.35">
      <c r="A931">
        <v>2024</v>
      </c>
      <c r="B931">
        <v>7</v>
      </c>
      <c r="C931" t="s">
        <v>36</v>
      </c>
      <c r="D931" t="s">
        <v>22</v>
      </c>
      <c r="E931" t="s">
        <v>19</v>
      </c>
      <c r="F931" t="s">
        <v>23</v>
      </c>
      <c r="G931" s="1">
        <v>56638</v>
      </c>
      <c r="H931" s="1">
        <v>471175</v>
      </c>
      <c r="I931">
        <v>219</v>
      </c>
      <c r="J931">
        <v>0.97</v>
      </c>
      <c r="K931">
        <v>6.29</v>
      </c>
      <c r="L931">
        <v>1.2</v>
      </c>
      <c r="M931">
        <v>8</v>
      </c>
      <c r="N931" s="1">
        <f>bmw_global_sales_dataset[[#This Row],[units_sold]]*bmw_global_sales_dataset[[#This Row],[price_usd]]</f>
        <v>44744020</v>
      </c>
      <c r="O931">
        <v>790</v>
      </c>
    </row>
    <row r="932" spans="1:15" x14ac:dyDescent="0.35">
      <c r="A932">
        <v>2024</v>
      </c>
      <c r="B932">
        <v>4</v>
      </c>
      <c r="C932" t="s">
        <v>21</v>
      </c>
      <c r="D932" t="s">
        <v>26</v>
      </c>
      <c r="E932" t="s">
        <v>19</v>
      </c>
      <c r="F932" t="s">
        <v>23</v>
      </c>
      <c r="G932" s="1">
        <v>69924</v>
      </c>
      <c r="H932" s="1">
        <v>395932</v>
      </c>
      <c r="I932">
        <v>205</v>
      </c>
      <c r="J932">
        <v>0.97</v>
      </c>
      <c r="K932">
        <v>6.29</v>
      </c>
      <c r="L932">
        <v>1.2</v>
      </c>
      <c r="M932">
        <v>9</v>
      </c>
      <c r="N932" s="1">
        <f>bmw_global_sales_dataset[[#This Row],[units_sold]]*bmw_global_sales_dataset[[#This Row],[price_usd]]</f>
        <v>46639308</v>
      </c>
      <c r="O932">
        <v>667</v>
      </c>
    </row>
    <row r="933" spans="1:15" x14ac:dyDescent="0.35">
      <c r="A933">
        <v>2024</v>
      </c>
      <c r="B933">
        <v>6</v>
      </c>
      <c r="C933" t="s">
        <v>30</v>
      </c>
      <c r="D933" t="s">
        <v>33</v>
      </c>
      <c r="E933" t="s">
        <v>20</v>
      </c>
      <c r="F933" t="s">
        <v>17</v>
      </c>
      <c r="G933" s="1">
        <v>116720</v>
      </c>
      <c r="H933" s="1">
        <v>409014</v>
      </c>
      <c r="I933">
        <v>384</v>
      </c>
      <c r="J933">
        <v>0.97</v>
      </c>
      <c r="K933">
        <v>6.29</v>
      </c>
      <c r="L933">
        <v>1.2</v>
      </c>
      <c r="M933">
        <v>2</v>
      </c>
      <c r="N933" s="1">
        <f>bmw_global_sales_dataset[[#This Row],[units_sold]]*bmw_global_sales_dataset[[#This Row],[price_usd]]</f>
        <v>101312960</v>
      </c>
      <c r="O933">
        <v>868</v>
      </c>
    </row>
    <row r="934" spans="1:15" x14ac:dyDescent="0.35">
      <c r="A934">
        <v>2024</v>
      </c>
      <c r="B934">
        <v>2</v>
      </c>
      <c r="C934" t="s">
        <v>25</v>
      </c>
      <c r="D934" t="s">
        <v>22</v>
      </c>
      <c r="E934" t="s">
        <v>19</v>
      </c>
      <c r="F934" t="s">
        <v>20</v>
      </c>
      <c r="G934" s="1">
        <v>102163</v>
      </c>
      <c r="H934" s="1">
        <v>163768</v>
      </c>
      <c r="I934">
        <v>146</v>
      </c>
      <c r="J934">
        <v>0.97</v>
      </c>
      <c r="K934">
        <v>6.29</v>
      </c>
      <c r="L934">
        <v>1.2</v>
      </c>
      <c r="M934">
        <v>2</v>
      </c>
      <c r="N934" s="1">
        <f>bmw_global_sales_dataset[[#This Row],[units_sold]]*bmw_global_sales_dataset[[#This Row],[price_usd]]</f>
        <v>56802628</v>
      </c>
      <c r="O934">
        <v>556</v>
      </c>
    </row>
    <row r="935" spans="1:15" x14ac:dyDescent="0.35">
      <c r="A935">
        <v>2024</v>
      </c>
      <c r="B935">
        <v>8</v>
      </c>
      <c r="C935" t="s">
        <v>14</v>
      </c>
      <c r="D935" t="s">
        <v>18</v>
      </c>
      <c r="E935" t="s">
        <v>20</v>
      </c>
      <c r="F935" t="s">
        <v>17</v>
      </c>
      <c r="G935" s="1">
        <v>35901</v>
      </c>
      <c r="H935" s="1">
        <v>68830</v>
      </c>
      <c r="I935">
        <v>38</v>
      </c>
      <c r="J935">
        <v>0.97</v>
      </c>
      <c r="K935">
        <v>6.29</v>
      </c>
      <c r="L935">
        <v>1.2</v>
      </c>
      <c r="M935">
        <v>6</v>
      </c>
      <c r="N935" s="1">
        <f>bmw_global_sales_dataset[[#This Row],[units_sold]]*bmw_global_sales_dataset[[#This Row],[price_usd]]</f>
        <v>7431507</v>
      </c>
      <c r="O935">
        <v>207</v>
      </c>
    </row>
    <row r="936" spans="1:15" x14ac:dyDescent="0.35">
      <c r="A936">
        <v>2024</v>
      </c>
      <c r="B936">
        <v>12</v>
      </c>
      <c r="C936" t="s">
        <v>25</v>
      </c>
      <c r="D936" t="s">
        <v>29</v>
      </c>
      <c r="E936" t="s">
        <v>20</v>
      </c>
      <c r="F936" t="s">
        <v>23</v>
      </c>
      <c r="G936" s="1">
        <v>118597</v>
      </c>
      <c r="H936" s="1">
        <v>367188</v>
      </c>
      <c r="I936">
        <v>140</v>
      </c>
      <c r="J936">
        <v>0.97</v>
      </c>
      <c r="K936">
        <v>6.29</v>
      </c>
      <c r="L936">
        <v>1.2</v>
      </c>
      <c r="M936">
        <v>7</v>
      </c>
      <c r="N936" s="1">
        <f>bmw_global_sales_dataset[[#This Row],[units_sold]]*bmw_global_sales_dataset[[#This Row],[price_usd]]</f>
        <v>33325757</v>
      </c>
      <c r="O936">
        <v>281</v>
      </c>
    </row>
    <row r="937" spans="1:15" x14ac:dyDescent="0.35">
      <c r="A937">
        <v>2024</v>
      </c>
      <c r="B937">
        <v>1</v>
      </c>
      <c r="C937" t="s">
        <v>35</v>
      </c>
      <c r="D937" t="s">
        <v>24</v>
      </c>
      <c r="E937" t="s">
        <v>20</v>
      </c>
      <c r="F937" t="s">
        <v>17</v>
      </c>
      <c r="G937" s="1">
        <v>80201</v>
      </c>
      <c r="H937" s="1">
        <v>207699</v>
      </c>
      <c r="I937">
        <v>77</v>
      </c>
      <c r="J937">
        <v>0.97</v>
      </c>
      <c r="K937">
        <v>6.29</v>
      </c>
      <c r="L937">
        <v>1.2</v>
      </c>
      <c r="M937">
        <v>9</v>
      </c>
      <c r="N937" s="1">
        <f>bmw_global_sales_dataset[[#This Row],[units_sold]]*bmw_global_sales_dataset[[#This Row],[price_usd]]</f>
        <v>42105525</v>
      </c>
      <c r="O937">
        <v>525</v>
      </c>
    </row>
    <row r="938" spans="1:15" x14ac:dyDescent="0.35">
      <c r="A938">
        <v>2024</v>
      </c>
      <c r="B938">
        <v>1</v>
      </c>
      <c r="C938" t="s">
        <v>14</v>
      </c>
      <c r="D938" t="s">
        <v>34</v>
      </c>
      <c r="E938" t="s">
        <v>16</v>
      </c>
      <c r="F938" t="s">
        <v>27</v>
      </c>
      <c r="G938" s="1">
        <v>94251</v>
      </c>
      <c r="H938" s="1">
        <v>327342</v>
      </c>
      <c r="I938">
        <v>34</v>
      </c>
      <c r="J938">
        <v>0.97</v>
      </c>
      <c r="K938">
        <v>6.29</v>
      </c>
      <c r="L938">
        <v>1.2</v>
      </c>
      <c r="M938">
        <v>5</v>
      </c>
      <c r="N938" s="1">
        <f>bmw_global_sales_dataset[[#This Row],[units_sold]]*bmw_global_sales_dataset[[#This Row],[price_usd]]</f>
        <v>42507201</v>
      </c>
      <c r="O938">
        <v>451</v>
      </c>
    </row>
    <row r="939" spans="1:15" x14ac:dyDescent="0.35">
      <c r="A939">
        <v>2024</v>
      </c>
      <c r="B939">
        <v>5</v>
      </c>
      <c r="C939" t="s">
        <v>14</v>
      </c>
      <c r="D939" t="s">
        <v>24</v>
      </c>
      <c r="E939" t="s">
        <v>19</v>
      </c>
      <c r="F939" t="s">
        <v>20</v>
      </c>
      <c r="G939" s="1">
        <v>86628</v>
      </c>
      <c r="H939" s="1">
        <v>53681</v>
      </c>
      <c r="I939">
        <v>320</v>
      </c>
      <c r="J939">
        <v>0.97</v>
      </c>
      <c r="K939">
        <v>6.29</v>
      </c>
      <c r="L939">
        <v>1.2</v>
      </c>
      <c r="M939">
        <v>3</v>
      </c>
      <c r="N939" s="1">
        <f>bmw_global_sales_dataset[[#This Row],[units_sold]]*bmw_global_sales_dataset[[#This Row],[price_usd]]</f>
        <v>55268664</v>
      </c>
      <c r="O939">
        <v>638</v>
      </c>
    </row>
    <row r="940" spans="1:15" x14ac:dyDescent="0.35">
      <c r="A940">
        <v>2024</v>
      </c>
      <c r="B940">
        <v>9</v>
      </c>
      <c r="C940" t="s">
        <v>21</v>
      </c>
      <c r="D940" t="s">
        <v>26</v>
      </c>
      <c r="E940" t="s">
        <v>19</v>
      </c>
      <c r="F940" t="s">
        <v>20</v>
      </c>
      <c r="G940" s="1">
        <v>96360</v>
      </c>
      <c r="H940" s="1">
        <v>403699</v>
      </c>
      <c r="I940">
        <v>139</v>
      </c>
      <c r="J940">
        <v>0.97</v>
      </c>
      <c r="K940">
        <v>6.29</v>
      </c>
      <c r="L940">
        <v>1.2</v>
      </c>
      <c r="M940">
        <v>6</v>
      </c>
      <c r="N940" s="1">
        <f>bmw_global_sales_dataset[[#This Row],[units_sold]]*bmw_global_sales_dataset[[#This Row],[price_usd]]</f>
        <v>30160680</v>
      </c>
      <c r="O940">
        <v>313</v>
      </c>
    </row>
    <row r="941" spans="1:15" x14ac:dyDescent="0.35">
      <c r="A941">
        <v>2024</v>
      </c>
      <c r="B941">
        <v>5</v>
      </c>
      <c r="C941" t="s">
        <v>38</v>
      </c>
      <c r="D941" t="s">
        <v>29</v>
      </c>
      <c r="E941" t="s">
        <v>16</v>
      </c>
      <c r="F941" t="s">
        <v>23</v>
      </c>
      <c r="G941" s="1">
        <v>47632</v>
      </c>
      <c r="H941" s="1">
        <v>405266</v>
      </c>
      <c r="I941">
        <v>306</v>
      </c>
      <c r="J941">
        <v>0.97</v>
      </c>
      <c r="K941">
        <v>6.29</v>
      </c>
      <c r="L941">
        <v>1.2</v>
      </c>
      <c r="M941">
        <v>10</v>
      </c>
      <c r="N941" s="1">
        <f>bmw_global_sales_dataset[[#This Row],[units_sold]]*bmw_global_sales_dataset[[#This Row],[price_usd]]</f>
        <v>45107504</v>
      </c>
      <c r="O941">
        <v>947</v>
      </c>
    </row>
    <row r="942" spans="1:15" x14ac:dyDescent="0.35">
      <c r="A942">
        <v>2024</v>
      </c>
      <c r="B942">
        <v>4</v>
      </c>
      <c r="C942" t="s">
        <v>35</v>
      </c>
      <c r="D942" t="s">
        <v>22</v>
      </c>
      <c r="E942" t="s">
        <v>20</v>
      </c>
      <c r="F942" t="s">
        <v>23</v>
      </c>
      <c r="G942" s="1">
        <v>49175</v>
      </c>
      <c r="H942" s="1">
        <v>304817</v>
      </c>
      <c r="I942">
        <v>264</v>
      </c>
      <c r="J942">
        <v>0.97</v>
      </c>
      <c r="K942">
        <v>6.29</v>
      </c>
      <c r="L942">
        <v>1.2</v>
      </c>
      <c r="M942">
        <v>6</v>
      </c>
      <c r="N942" s="1">
        <f>bmw_global_sales_dataset[[#This Row],[units_sold]]*bmw_global_sales_dataset[[#This Row],[price_usd]]</f>
        <v>45142650</v>
      </c>
      <c r="O942">
        <v>918</v>
      </c>
    </row>
    <row r="943" spans="1:15" x14ac:dyDescent="0.35">
      <c r="A943">
        <v>2024</v>
      </c>
      <c r="B943">
        <v>3</v>
      </c>
      <c r="C943" t="s">
        <v>35</v>
      </c>
      <c r="D943" t="s">
        <v>39</v>
      </c>
      <c r="E943" t="s">
        <v>19</v>
      </c>
      <c r="F943" t="s">
        <v>17</v>
      </c>
      <c r="G943" s="1">
        <v>58283</v>
      </c>
      <c r="H943" s="1">
        <v>396479</v>
      </c>
      <c r="I943">
        <v>135</v>
      </c>
      <c r="J943">
        <v>0.97</v>
      </c>
      <c r="K943">
        <v>6.29</v>
      </c>
      <c r="L943">
        <v>1.2</v>
      </c>
      <c r="M943">
        <v>6</v>
      </c>
      <c r="N943" s="1">
        <f>bmw_global_sales_dataset[[#This Row],[units_sold]]*bmw_global_sales_dataset[[#This Row],[price_usd]]</f>
        <v>20690465</v>
      </c>
      <c r="O943">
        <v>355</v>
      </c>
    </row>
    <row r="944" spans="1:15" x14ac:dyDescent="0.35">
      <c r="A944">
        <v>2024</v>
      </c>
      <c r="B944">
        <v>11</v>
      </c>
      <c r="C944" t="s">
        <v>32</v>
      </c>
      <c r="D944" t="s">
        <v>22</v>
      </c>
      <c r="E944" t="s">
        <v>20</v>
      </c>
      <c r="F944" t="s">
        <v>17</v>
      </c>
      <c r="G944" s="1">
        <v>65024</v>
      </c>
      <c r="H944" s="1">
        <v>130730</v>
      </c>
      <c r="I944">
        <v>207</v>
      </c>
      <c r="J944">
        <v>0.97</v>
      </c>
      <c r="K944">
        <v>6.29</v>
      </c>
      <c r="L944">
        <v>1.2</v>
      </c>
      <c r="M944">
        <v>7</v>
      </c>
      <c r="N944" s="1">
        <f>bmw_global_sales_dataset[[#This Row],[units_sold]]*bmw_global_sales_dataset[[#This Row],[price_usd]]</f>
        <v>40705024</v>
      </c>
      <c r="O944">
        <v>626</v>
      </c>
    </row>
    <row r="945" spans="1:15" x14ac:dyDescent="0.35">
      <c r="A945">
        <v>2024</v>
      </c>
      <c r="B945">
        <v>2</v>
      </c>
      <c r="C945" t="s">
        <v>37</v>
      </c>
      <c r="D945" t="s">
        <v>26</v>
      </c>
      <c r="E945" t="s">
        <v>16</v>
      </c>
      <c r="F945" t="s">
        <v>20</v>
      </c>
      <c r="G945" s="1">
        <v>84630</v>
      </c>
      <c r="H945" s="1">
        <v>448167</v>
      </c>
      <c r="I945">
        <v>308</v>
      </c>
      <c r="J945">
        <v>0.97</v>
      </c>
      <c r="K945">
        <v>6.29</v>
      </c>
      <c r="L945">
        <v>1.2</v>
      </c>
      <c r="M945">
        <v>9</v>
      </c>
      <c r="N945" s="1">
        <f>bmw_global_sales_dataset[[#This Row],[units_sold]]*bmw_global_sales_dataset[[#This Row],[price_usd]]</f>
        <v>72951060</v>
      </c>
      <c r="O945">
        <v>862</v>
      </c>
    </row>
    <row r="946" spans="1:15" x14ac:dyDescent="0.35">
      <c r="A946">
        <v>2024</v>
      </c>
      <c r="B946">
        <v>9</v>
      </c>
      <c r="C946" t="s">
        <v>14</v>
      </c>
      <c r="D946" t="s">
        <v>26</v>
      </c>
      <c r="E946" t="s">
        <v>19</v>
      </c>
      <c r="F946" t="s">
        <v>27</v>
      </c>
      <c r="G946" s="1">
        <v>65734</v>
      </c>
      <c r="H946" s="1">
        <v>287474</v>
      </c>
      <c r="I946">
        <v>197</v>
      </c>
      <c r="J946">
        <v>0.97</v>
      </c>
      <c r="K946">
        <v>6.29</v>
      </c>
      <c r="L946">
        <v>1.2</v>
      </c>
      <c r="M946">
        <v>10</v>
      </c>
      <c r="N946" s="1">
        <f>bmw_global_sales_dataset[[#This Row],[units_sold]]*bmw_global_sales_dataset[[#This Row],[price_usd]]</f>
        <v>26885206</v>
      </c>
      <c r="O946">
        <v>409</v>
      </c>
    </row>
    <row r="947" spans="1:15" x14ac:dyDescent="0.35">
      <c r="A947">
        <v>2024</v>
      </c>
      <c r="B947">
        <v>8</v>
      </c>
      <c r="C947" t="s">
        <v>25</v>
      </c>
      <c r="D947" t="s">
        <v>24</v>
      </c>
      <c r="E947" t="s">
        <v>19</v>
      </c>
      <c r="F947" t="s">
        <v>20</v>
      </c>
      <c r="G947" s="1">
        <v>62856</v>
      </c>
      <c r="H947" s="1">
        <v>177536</v>
      </c>
      <c r="I947">
        <v>368</v>
      </c>
      <c r="J947">
        <v>0.97</v>
      </c>
      <c r="K947">
        <v>6.29</v>
      </c>
      <c r="L947">
        <v>1.2</v>
      </c>
      <c r="M947">
        <v>4</v>
      </c>
      <c r="N947" s="1">
        <f>bmw_global_sales_dataset[[#This Row],[units_sold]]*bmw_global_sales_dataset[[#This Row],[price_usd]]</f>
        <v>54621864</v>
      </c>
      <c r="O947">
        <v>869</v>
      </c>
    </row>
    <row r="948" spans="1:15" x14ac:dyDescent="0.35">
      <c r="A948">
        <v>2024</v>
      </c>
      <c r="B948">
        <v>4</v>
      </c>
      <c r="C948" t="s">
        <v>25</v>
      </c>
      <c r="D948" t="s">
        <v>15</v>
      </c>
      <c r="E948" t="s">
        <v>19</v>
      </c>
      <c r="F948" t="s">
        <v>17</v>
      </c>
      <c r="G948" s="1">
        <v>44873</v>
      </c>
      <c r="H948" s="1">
        <v>444051</v>
      </c>
      <c r="I948">
        <v>190</v>
      </c>
      <c r="J948">
        <v>0.97</v>
      </c>
      <c r="K948">
        <v>6.29</v>
      </c>
      <c r="L948">
        <v>1.2</v>
      </c>
      <c r="M948">
        <v>3</v>
      </c>
      <c r="N948" s="1">
        <f>bmw_global_sales_dataset[[#This Row],[units_sold]]*bmw_global_sales_dataset[[#This Row],[price_usd]]</f>
        <v>36122765</v>
      </c>
      <c r="O948">
        <v>805</v>
      </c>
    </row>
    <row r="949" spans="1:15" x14ac:dyDescent="0.35">
      <c r="A949">
        <v>2024</v>
      </c>
      <c r="B949">
        <v>5</v>
      </c>
      <c r="C949" t="s">
        <v>38</v>
      </c>
      <c r="D949" t="s">
        <v>39</v>
      </c>
      <c r="E949" t="s">
        <v>20</v>
      </c>
      <c r="F949" t="s">
        <v>27</v>
      </c>
      <c r="G949" s="1">
        <v>35178</v>
      </c>
      <c r="H949" s="1">
        <v>196800</v>
      </c>
      <c r="I949">
        <v>238</v>
      </c>
      <c r="J949">
        <v>0.97</v>
      </c>
      <c r="K949">
        <v>6.29</v>
      </c>
      <c r="L949">
        <v>1.2</v>
      </c>
      <c r="M949">
        <v>10</v>
      </c>
      <c r="N949" s="1">
        <f>bmw_global_sales_dataset[[#This Row],[units_sold]]*bmw_global_sales_dataset[[#This Row],[price_usd]]</f>
        <v>28318290</v>
      </c>
      <c r="O949">
        <v>805</v>
      </c>
    </row>
    <row r="950" spans="1:15" x14ac:dyDescent="0.35">
      <c r="A950">
        <v>2024</v>
      </c>
      <c r="B950">
        <v>5</v>
      </c>
      <c r="C950" t="s">
        <v>25</v>
      </c>
      <c r="D950" t="s">
        <v>34</v>
      </c>
      <c r="E950" t="s">
        <v>19</v>
      </c>
      <c r="F950" t="s">
        <v>23</v>
      </c>
      <c r="G950" s="1">
        <v>63022</v>
      </c>
      <c r="H950" s="1">
        <v>90633</v>
      </c>
      <c r="I950">
        <v>382</v>
      </c>
      <c r="J950">
        <v>0.97</v>
      </c>
      <c r="K950">
        <v>6.29</v>
      </c>
      <c r="L950">
        <v>1.2</v>
      </c>
      <c r="M950">
        <v>3</v>
      </c>
      <c r="N950" s="1">
        <f>bmw_global_sales_dataset[[#This Row],[units_sold]]*bmw_global_sales_dataset[[#This Row],[price_usd]]</f>
        <v>58925570</v>
      </c>
      <c r="O950">
        <v>935</v>
      </c>
    </row>
    <row r="951" spans="1:15" x14ac:dyDescent="0.35">
      <c r="A951">
        <v>2024</v>
      </c>
      <c r="B951">
        <v>12</v>
      </c>
      <c r="C951" t="s">
        <v>37</v>
      </c>
      <c r="D951" t="s">
        <v>15</v>
      </c>
      <c r="E951" t="s">
        <v>20</v>
      </c>
      <c r="F951" t="s">
        <v>23</v>
      </c>
      <c r="G951" s="1">
        <v>36605</v>
      </c>
      <c r="H951" s="1">
        <v>258726</v>
      </c>
      <c r="I951">
        <v>186</v>
      </c>
      <c r="J951">
        <v>0.97</v>
      </c>
      <c r="K951">
        <v>6.29</v>
      </c>
      <c r="L951">
        <v>1.2</v>
      </c>
      <c r="M951">
        <v>8</v>
      </c>
      <c r="N951" s="1">
        <f>bmw_global_sales_dataset[[#This Row],[units_sold]]*bmw_global_sales_dataset[[#This Row],[price_usd]]</f>
        <v>22768310</v>
      </c>
      <c r="O951">
        <v>622</v>
      </c>
    </row>
    <row r="952" spans="1:15" x14ac:dyDescent="0.35">
      <c r="A952">
        <v>2024</v>
      </c>
      <c r="B952">
        <v>5</v>
      </c>
      <c r="C952" t="s">
        <v>36</v>
      </c>
      <c r="D952" t="s">
        <v>24</v>
      </c>
      <c r="E952" t="s">
        <v>16</v>
      </c>
      <c r="F952" t="s">
        <v>17</v>
      </c>
      <c r="G952" s="1">
        <v>79130</v>
      </c>
      <c r="H952" s="1">
        <v>357124</v>
      </c>
      <c r="I952">
        <v>142</v>
      </c>
      <c r="J952">
        <v>0.97</v>
      </c>
      <c r="K952">
        <v>6.29</v>
      </c>
      <c r="L952">
        <v>1.2</v>
      </c>
      <c r="M952">
        <v>6</v>
      </c>
      <c r="N952" s="1">
        <f>bmw_global_sales_dataset[[#This Row],[units_sold]]*bmw_global_sales_dataset[[#This Row],[price_usd]]</f>
        <v>27537240</v>
      </c>
      <c r="O952">
        <v>348</v>
      </c>
    </row>
    <row r="953" spans="1:15" x14ac:dyDescent="0.35">
      <c r="A953">
        <v>2024</v>
      </c>
      <c r="B953">
        <v>3</v>
      </c>
      <c r="C953" t="s">
        <v>14</v>
      </c>
      <c r="D953" t="s">
        <v>31</v>
      </c>
      <c r="E953" t="s">
        <v>19</v>
      </c>
      <c r="F953" t="s">
        <v>17</v>
      </c>
      <c r="G953" s="1">
        <v>105610</v>
      </c>
      <c r="H953" s="1">
        <v>230388</v>
      </c>
      <c r="I953">
        <v>362</v>
      </c>
      <c r="J953">
        <v>0.97</v>
      </c>
      <c r="K953">
        <v>6.29</v>
      </c>
      <c r="L953">
        <v>1.2</v>
      </c>
      <c r="M953">
        <v>10</v>
      </c>
      <c r="N953" s="1">
        <f>bmw_global_sales_dataset[[#This Row],[units_sold]]*bmw_global_sales_dataset[[#This Row],[price_usd]]</f>
        <v>107933420</v>
      </c>
      <c r="O953">
        <v>1022</v>
      </c>
    </row>
    <row r="954" spans="1:15" x14ac:dyDescent="0.35">
      <c r="A954">
        <v>2024</v>
      </c>
      <c r="B954">
        <v>8</v>
      </c>
      <c r="C954" t="s">
        <v>37</v>
      </c>
      <c r="D954" t="s">
        <v>15</v>
      </c>
      <c r="E954" t="s">
        <v>19</v>
      </c>
      <c r="F954" t="s">
        <v>20</v>
      </c>
      <c r="G954" s="1">
        <v>74867</v>
      </c>
      <c r="H954" s="1">
        <v>417508</v>
      </c>
      <c r="I954">
        <v>244</v>
      </c>
      <c r="J954">
        <v>0.97</v>
      </c>
      <c r="K954">
        <v>6.29</v>
      </c>
      <c r="L954">
        <v>1.2</v>
      </c>
      <c r="M954">
        <v>6</v>
      </c>
      <c r="N954" s="1">
        <f>bmw_global_sales_dataset[[#This Row],[units_sold]]*bmw_global_sales_dataset[[#This Row],[price_usd]]</f>
        <v>71198517</v>
      </c>
      <c r="O954">
        <v>951</v>
      </c>
    </row>
    <row r="955" spans="1:15" x14ac:dyDescent="0.35">
      <c r="A955">
        <v>2024</v>
      </c>
      <c r="B955">
        <v>1</v>
      </c>
      <c r="C955" t="s">
        <v>37</v>
      </c>
      <c r="D955" t="s">
        <v>18</v>
      </c>
      <c r="E955" t="s">
        <v>20</v>
      </c>
      <c r="F955" t="s">
        <v>17</v>
      </c>
      <c r="G955" s="1">
        <v>86415</v>
      </c>
      <c r="H955" s="1">
        <v>378082</v>
      </c>
      <c r="I955">
        <v>291</v>
      </c>
      <c r="J955">
        <v>0.97</v>
      </c>
      <c r="K955">
        <v>6.29</v>
      </c>
      <c r="L955">
        <v>1.2</v>
      </c>
      <c r="M955">
        <v>4</v>
      </c>
      <c r="N955" s="1">
        <f>bmw_global_sales_dataset[[#This Row],[units_sold]]*bmw_global_sales_dataset[[#This Row],[price_usd]]</f>
        <v>57552390</v>
      </c>
      <c r="O955">
        <v>666</v>
      </c>
    </row>
    <row r="956" spans="1:15" x14ac:dyDescent="0.35">
      <c r="A956">
        <v>2024</v>
      </c>
      <c r="B956">
        <v>3</v>
      </c>
      <c r="C956" t="s">
        <v>38</v>
      </c>
      <c r="D956" t="s">
        <v>22</v>
      </c>
      <c r="E956" t="s">
        <v>20</v>
      </c>
      <c r="F956" t="s">
        <v>27</v>
      </c>
      <c r="G956" s="1">
        <v>36515</v>
      </c>
      <c r="H956" s="1">
        <v>262369</v>
      </c>
      <c r="I956">
        <v>48</v>
      </c>
      <c r="J956">
        <v>0.97</v>
      </c>
      <c r="K956">
        <v>6.29</v>
      </c>
      <c r="L956">
        <v>1.2</v>
      </c>
      <c r="M956">
        <v>2</v>
      </c>
      <c r="N956" s="1">
        <f>bmw_global_sales_dataset[[#This Row],[units_sold]]*bmw_global_sales_dataset[[#This Row],[price_usd]]</f>
        <v>17308110</v>
      </c>
      <c r="O956">
        <v>474</v>
      </c>
    </row>
    <row r="957" spans="1:15" x14ac:dyDescent="0.35">
      <c r="A957">
        <v>2024</v>
      </c>
      <c r="B957">
        <v>9</v>
      </c>
      <c r="C957" t="s">
        <v>38</v>
      </c>
      <c r="D957" t="s">
        <v>34</v>
      </c>
      <c r="E957" t="s">
        <v>19</v>
      </c>
      <c r="F957" t="s">
        <v>27</v>
      </c>
      <c r="G957" s="1">
        <v>96957</v>
      </c>
      <c r="H957" s="1">
        <v>165140</v>
      </c>
      <c r="I957">
        <v>159</v>
      </c>
      <c r="J957">
        <v>0.97</v>
      </c>
      <c r="K957">
        <v>6.29</v>
      </c>
      <c r="L957">
        <v>1.2</v>
      </c>
      <c r="M957">
        <v>2</v>
      </c>
      <c r="N957" s="1">
        <f>bmw_global_sales_dataset[[#This Row],[units_sold]]*bmw_global_sales_dataset[[#This Row],[price_usd]]</f>
        <v>58658985</v>
      </c>
      <c r="O957">
        <v>605</v>
      </c>
    </row>
    <row r="958" spans="1:15" x14ac:dyDescent="0.35">
      <c r="A958">
        <v>2024</v>
      </c>
      <c r="B958">
        <v>3</v>
      </c>
      <c r="C958" t="s">
        <v>36</v>
      </c>
      <c r="D958" t="s">
        <v>26</v>
      </c>
      <c r="E958" t="s">
        <v>16</v>
      </c>
      <c r="F958" t="s">
        <v>20</v>
      </c>
      <c r="G958" s="1">
        <v>100431</v>
      </c>
      <c r="H958" s="1">
        <v>225993</v>
      </c>
      <c r="I958">
        <v>255</v>
      </c>
      <c r="J958">
        <v>0.97</v>
      </c>
      <c r="K958">
        <v>6.29</v>
      </c>
      <c r="L958">
        <v>1.2</v>
      </c>
      <c r="M958">
        <v>2</v>
      </c>
      <c r="N958" s="1">
        <f>bmw_global_sales_dataset[[#This Row],[units_sold]]*bmw_global_sales_dataset[[#This Row],[price_usd]]</f>
        <v>64878426</v>
      </c>
      <c r="O958">
        <v>646</v>
      </c>
    </row>
    <row r="959" spans="1:15" x14ac:dyDescent="0.35">
      <c r="A959">
        <v>2024</v>
      </c>
      <c r="B959">
        <v>5</v>
      </c>
      <c r="C959" t="s">
        <v>37</v>
      </c>
      <c r="D959" t="s">
        <v>15</v>
      </c>
      <c r="E959" t="s">
        <v>20</v>
      </c>
      <c r="F959" t="s">
        <v>27</v>
      </c>
      <c r="G959" s="1">
        <v>90192</v>
      </c>
      <c r="H959" s="1">
        <v>260047</v>
      </c>
      <c r="I959">
        <v>287</v>
      </c>
      <c r="J959">
        <v>0.97</v>
      </c>
      <c r="K959">
        <v>6.29</v>
      </c>
      <c r="L959">
        <v>1.2</v>
      </c>
      <c r="M959">
        <v>9</v>
      </c>
      <c r="N959" s="1">
        <f>bmw_global_sales_dataset[[#This Row],[units_sold]]*bmw_global_sales_dataset[[#This Row],[price_usd]]</f>
        <v>70710528</v>
      </c>
      <c r="O959">
        <v>784</v>
      </c>
    </row>
    <row r="960" spans="1:15" x14ac:dyDescent="0.35">
      <c r="A960">
        <v>2024</v>
      </c>
      <c r="B960">
        <v>8</v>
      </c>
      <c r="C960" t="s">
        <v>30</v>
      </c>
      <c r="D960" t="s">
        <v>31</v>
      </c>
      <c r="E960" t="s">
        <v>19</v>
      </c>
      <c r="F960" t="s">
        <v>20</v>
      </c>
      <c r="G960" s="1">
        <v>57706</v>
      </c>
      <c r="H960" s="1">
        <v>487043</v>
      </c>
      <c r="I960">
        <v>235</v>
      </c>
      <c r="J960">
        <v>0.97</v>
      </c>
      <c r="K960">
        <v>6.29</v>
      </c>
      <c r="L960">
        <v>1.2</v>
      </c>
      <c r="M960">
        <v>3</v>
      </c>
      <c r="N960" s="1">
        <f>bmw_global_sales_dataset[[#This Row],[units_sold]]*bmw_global_sales_dataset[[#This Row],[price_usd]]</f>
        <v>42529322</v>
      </c>
      <c r="O960">
        <v>737</v>
      </c>
    </row>
    <row r="961" spans="1:15" x14ac:dyDescent="0.35">
      <c r="A961">
        <v>2024</v>
      </c>
      <c r="B961">
        <v>6</v>
      </c>
      <c r="C961" t="s">
        <v>28</v>
      </c>
      <c r="D961" t="s">
        <v>15</v>
      </c>
      <c r="E961" t="s">
        <v>20</v>
      </c>
      <c r="F961" t="s">
        <v>17</v>
      </c>
      <c r="G961" s="1">
        <v>103694</v>
      </c>
      <c r="H961" s="1">
        <v>459861</v>
      </c>
      <c r="I961">
        <v>103</v>
      </c>
      <c r="J961">
        <v>0.97</v>
      </c>
      <c r="K961">
        <v>6.29</v>
      </c>
      <c r="L961">
        <v>1.2</v>
      </c>
      <c r="M961">
        <v>6</v>
      </c>
      <c r="N961" s="1">
        <f>bmw_global_sales_dataset[[#This Row],[units_sold]]*bmw_global_sales_dataset[[#This Row],[price_usd]]</f>
        <v>54646738</v>
      </c>
      <c r="O961">
        <v>527</v>
      </c>
    </row>
    <row r="962" spans="1:15" x14ac:dyDescent="0.35">
      <c r="A962">
        <v>2024</v>
      </c>
      <c r="B962">
        <v>10</v>
      </c>
      <c r="C962" t="s">
        <v>28</v>
      </c>
      <c r="D962" t="s">
        <v>33</v>
      </c>
      <c r="E962" t="s">
        <v>16</v>
      </c>
      <c r="F962" t="s">
        <v>20</v>
      </c>
      <c r="G962" s="1">
        <v>69980</v>
      </c>
      <c r="H962" s="1">
        <v>391524</v>
      </c>
      <c r="I962">
        <v>219</v>
      </c>
      <c r="J962">
        <v>0.97</v>
      </c>
      <c r="K962">
        <v>6.29</v>
      </c>
      <c r="L962">
        <v>1.2</v>
      </c>
      <c r="M962">
        <v>3</v>
      </c>
      <c r="N962" s="1">
        <f>bmw_global_sales_dataset[[#This Row],[units_sold]]*bmw_global_sales_dataset[[#This Row],[price_usd]]</f>
        <v>63961720</v>
      </c>
      <c r="O962">
        <v>914</v>
      </c>
    </row>
    <row r="963" spans="1:15" x14ac:dyDescent="0.35">
      <c r="A963">
        <v>2024</v>
      </c>
      <c r="B963">
        <v>11</v>
      </c>
      <c r="C963" t="s">
        <v>14</v>
      </c>
      <c r="D963" t="s">
        <v>18</v>
      </c>
      <c r="E963" t="s">
        <v>16</v>
      </c>
      <c r="F963" t="s">
        <v>27</v>
      </c>
      <c r="G963" s="1">
        <v>89970</v>
      </c>
      <c r="H963" s="1">
        <v>168910</v>
      </c>
      <c r="I963">
        <v>342</v>
      </c>
      <c r="J963">
        <v>0.97</v>
      </c>
      <c r="K963">
        <v>6.29</v>
      </c>
      <c r="L963">
        <v>1.2</v>
      </c>
      <c r="M963">
        <v>5</v>
      </c>
      <c r="N963" s="1">
        <f>bmw_global_sales_dataset[[#This Row],[units_sold]]*bmw_global_sales_dataset[[#This Row],[price_usd]]</f>
        <v>71796060</v>
      </c>
      <c r="O963">
        <v>798</v>
      </c>
    </row>
    <row r="964" spans="1:15" x14ac:dyDescent="0.35">
      <c r="A964">
        <v>2024</v>
      </c>
      <c r="B964">
        <v>2</v>
      </c>
      <c r="C964" t="s">
        <v>35</v>
      </c>
      <c r="D964" t="s">
        <v>29</v>
      </c>
      <c r="E964" t="s">
        <v>19</v>
      </c>
      <c r="F964" t="s">
        <v>17</v>
      </c>
      <c r="G964" s="1">
        <v>46695</v>
      </c>
      <c r="H964" s="1">
        <v>438333</v>
      </c>
      <c r="I964">
        <v>139</v>
      </c>
      <c r="J964">
        <v>0.97</v>
      </c>
      <c r="K964">
        <v>6.29</v>
      </c>
      <c r="L964">
        <v>1.2</v>
      </c>
      <c r="M964">
        <v>10</v>
      </c>
      <c r="N964" s="1">
        <f>bmw_global_sales_dataset[[#This Row],[units_sold]]*bmw_global_sales_dataset[[#This Row],[price_usd]]</f>
        <v>14662230</v>
      </c>
      <c r="O964">
        <v>314</v>
      </c>
    </row>
    <row r="965" spans="1:15" x14ac:dyDescent="0.35">
      <c r="A965">
        <v>2024</v>
      </c>
      <c r="B965">
        <v>4</v>
      </c>
      <c r="C965" t="s">
        <v>30</v>
      </c>
      <c r="D965" t="s">
        <v>34</v>
      </c>
      <c r="E965" t="s">
        <v>16</v>
      </c>
      <c r="F965" t="s">
        <v>23</v>
      </c>
      <c r="G965" s="1">
        <v>50386</v>
      </c>
      <c r="H965" s="1">
        <v>200953</v>
      </c>
      <c r="I965">
        <v>201</v>
      </c>
      <c r="J965">
        <v>0.97</v>
      </c>
      <c r="K965">
        <v>6.29</v>
      </c>
      <c r="L965">
        <v>1.2</v>
      </c>
      <c r="M965">
        <v>8</v>
      </c>
      <c r="N965" s="1">
        <f>bmw_global_sales_dataset[[#This Row],[units_sold]]*bmw_global_sales_dataset[[#This Row],[price_usd]]</f>
        <v>41064590</v>
      </c>
      <c r="O965">
        <v>815</v>
      </c>
    </row>
    <row r="966" spans="1:15" x14ac:dyDescent="0.35">
      <c r="A966">
        <v>2024</v>
      </c>
      <c r="B966">
        <v>11</v>
      </c>
      <c r="C966" t="s">
        <v>21</v>
      </c>
      <c r="D966" t="s">
        <v>24</v>
      </c>
      <c r="E966" t="s">
        <v>20</v>
      </c>
      <c r="F966" t="s">
        <v>20</v>
      </c>
      <c r="G966" s="1">
        <v>97699</v>
      </c>
      <c r="H966" s="1">
        <v>77307</v>
      </c>
      <c r="I966">
        <v>291</v>
      </c>
      <c r="J966">
        <v>0.97</v>
      </c>
      <c r="K966">
        <v>6.29</v>
      </c>
      <c r="L966">
        <v>1.2</v>
      </c>
      <c r="M966">
        <v>3</v>
      </c>
      <c r="N966" s="1">
        <f>bmw_global_sales_dataset[[#This Row],[units_sold]]*bmw_global_sales_dataset[[#This Row],[price_usd]]</f>
        <v>71320270</v>
      </c>
      <c r="O966">
        <v>730</v>
      </c>
    </row>
    <row r="967" spans="1:15" x14ac:dyDescent="0.35">
      <c r="A967">
        <v>2024</v>
      </c>
      <c r="B967">
        <v>1</v>
      </c>
      <c r="C967" t="s">
        <v>30</v>
      </c>
      <c r="D967" t="s">
        <v>24</v>
      </c>
      <c r="E967" t="s">
        <v>19</v>
      </c>
      <c r="F967" t="s">
        <v>23</v>
      </c>
      <c r="G967" s="1">
        <v>63132</v>
      </c>
      <c r="H967" s="1">
        <v>327267</v>
      </c>
      <c r="I967">
        <v>26</v>
      </c>
      <c r="J967">
        <v>0.97</v>
      </c>
      <c r="K967">
        <v>6.29</v>
      </c>
      <c r="L967">
        <v>1.2</v>
      </c>
      <c r="M967">
        <v>1</v>
      </c>
      <c r="N967" s="1">
        <f>bmw_global_sales_dataset[[#This Row],[units_sold]]*bmw_global_sales_dataset[[#This Row],[price_usd]]</f>
        <v>16856244</v>
      </c>
      <c r="O967">
        <v>267</v>
      </c>
    </row>
    <row r="968" spans="1:15" x14ac:dyDescent="0.35">
      <c r="A968">
        <v>2024</v>
      </c>
      <c r="B968">
        <v>9</v>
      </c>
      <c r="C968" t="s">
        <v>35</v>
      </c>
      <c r="D968" t="s">
        <v>18</v>
      </c>
      <c r="E968" t="s">
        <v>19</v>
      </c>
      <c r="F968" t="s">
        <v>23</v>
      </c>
      <c r="G968" s="1">
        <v>42951</v>
      </c>
      <c r="H968" s="1">
        <v>206688</v>
      </c>
      <c r="I968">
        <v>136</v>
      </c>
      <c r="J968">
        <v>0.97</v>
      </c>
      <c r="K968">
        <v>6.29</v>
      </c>
      <c r="L968">
        <v>1.2</v>
      </c>
      <c r="M968">
        <v>10</v>
      </c>
      <c r="N968" s="1">
        <f>bmw_global_sales_dataset[[#This Row],[units_sold]]*bmw_global_sales_dataset[[#This Row],[price_usd]]</f>
        <v>20401725</v>
      </c>
      <c r="O968">
        <v>475</v>
      </c>
    </row>
    <row r="969" spans="1:15" x14ac:dyDescent="0.35">
      <c r="A969">
        <v>2024</v>
      </c>
      <c r="B969">
        <v>4</v>
      </c>
      <c r="C969" t="s">
        <v>38</v>
      </c>
      <c r="D969" t="s">
        <v>33</v>
      </c>
      <c r="E969" t="s">
        <v>20</v>
      </c>
      <c r="F969" t="s">
        <v>17</v>
      </c>
      <c r="G969" s="1">
        <v>102087</v>
      </c>
      <c r="H969" s="1">
        <v>285943</v>
      </c>
      <c r="I969">
        <v>94</v>
      </c>
      <c r="J969">
        <v>0.97</v>
      </c>
      <c r="K969">
        <v>6.29</v>
      </c>
      <c r="L969">
        <v>1.2</v>
      </c>
      <c r="M969">
        <v>9</v>
      </c>
      <c r="N969" s="1">
        <f>bmw_global_sales_dataset[[#This Row],[units_sold]]*bmw_global_sales_dataset[[#This Row],[price_usd]]</f>
        <v>26134272</v>
      </c>
      <c r="O969">
        <v>256</v>
      </c>
    </row>
    <row r="970" spans="1:15" x14ac:dyDescent="0.35">
      <c r="A970">
        <v>2024</v>
      </c>
      <c r="B970">
        <v>7</v>
      </c>
      <c r="C970" t="s">
        <v>36</v>
      </c>
      <c r="D970" t="s">
        <v>26</v>
      </c>
      <c r="E970" t="s">
        <v>16</v>
      </c>
      <c r="F970" t="s">
        <v>20</v>
      </c>
      <c r="G970" s="1">
        <v>82922</v>
      </c>
      <c r="H970" s="1">
        <v>455932</v>
      </c>
      <c r="I970">
        <v>276</v>
      </c>
      <c r="J970">
        <v>0.97</v>
      </c>
      <c r="K970">
        <v>6.29</v>
      </c>
      <c r="L970">
        <v>1.2</v>
      </c>
      <c r="M970">
        <v>2</v>
      </c>
      <c r="N970" s="1">
        <f>bmw_global_sales_dataset[[#This Row],[units_sold]]*bmw_global_sales_dataset[[#This Row],[price_usd]]</f>
        <v>70732466</v>
      </c>
      <c r="O970">
        <v>853</v>
      </c>
    </row>
    <row r="971" spans="1:15" x14ac:dyDescent="0.35">
      <c r="A971">
        <v>2024</v>
      </c>
      <c r="B971">
        <v>2</v>
      </c>
      <c r="C971" t="s">
        <v>36</v>
      </c>
      <c r="D971" t="s">
        <v>18</v>
      </c>
      <c r="E971" t="s">
        <v>20</v>
      </c>
      <c r="F971" t="s">
        <v>20</v>
      </c>
      <c r="G971" s="1">
        <v>39567</v>
      </c>
      <c r="H971" s="1">
        <v>223979</v>
      </c>
      <c r="I971">
        <v>47</v>
      </c>
      <c r="J971">
        <v>0.97</v>
      </c>
      <c r="K971">
        <v>6.29</v>
      </c>
      <c r="L971">
        <v>1.2</v>
      </c>
      <c r="M971">
        <v>9</v>
      </c>
      <c r="N971" s="1">
        <f>bmw_global_sales_dataset[[#This Row],[units_sold]]*bmw_global_sales_dataset[[#This Row],[price_usd]]</f>
        <v>4866741</v>
      </c>
      <c r="O971">
        <v>123</v>
      </c>
    </row>
    <row r="972" spans="1:15" x14ac:dyDescent="0.35">
      <c r="A972">
        <v>2024</v>
      </c>
      <c r="B972">
        <v>12</v>
      </c>
      <c r="C972" t="s">
        <v>36</v>
      </c>
      <c r="D972" t="s">
        <v>29</v>
      </c>
      <c r="E972" t="s">
        <v>19</v>
      </c>
      <c r="F972" t="s">
        <v>27</v>
      </c>
      <c r="G972" s="1">
        <v>35228</v>
      </c>
      <c r="H972" s="1">
        <v>363045</v>
      </c>
      <c r="I972">
        <v>35</v>
      </c>
      <c r="J972">
        <v>0.97</v>
      </c>
      <c r="K972">
        <v>6.29</v>
      </c>
      <c r="L972">
        <v>1.2</v>
      </c>
      <c r="M972">
        <v>5</v>
      </c>
      <c r="N972" s="1">
        <f>bmw_global_sales_dataset[[#This Row],[units_sold]]*bmw_global_sales_dataset[[#This Row],[price_usd]]</f>
        <v>6023988</v>
      </c>
      <c r="O972">
        <v>171</v>
      </c>
    </row>
    <row r="973" spans="1:15" x14ac:dyDescent="0.35">
      <c r="A973">
        <v>2024</v>
      </c>
      <c r="B973">
        <v>8</v>
      </c>
      <c r="C973" t="s">
        <v>37</v>
      </c>
      <c r="D973" t="s">
        <v>18</v>
      </c>
      <c r="E973" t="s">
        <v>16</v>
      </c>
      <c r="F973" t="s">
        <v>20</v>
      </c>
      <c r="G973" s="1">
        <v>92769</v>
      </c>
      <c r="H973" s="1">
        <v>440508</v>
      </c>
      <c r="I973">
        <v>234</v>
      </c>
      <c r="J973">
        <v>0.97</v>
      </c>
      <c r="K973">
        <v>6.29</v>
      </c>
      <c r="L973">
        <v>1.2</v>
      </c>
      <c r="M973">
        <v>10</v>
      </c>
      <c r="N973" s="1">
        <f>bmw_global_sales_dataset[[#This Row],[units_sold]]*bmw_global_sales_dataset[[#This Row],[price_usd]]</f>
        <v>72174282</v>
      </c>
      <c r="O973">
        <v>778</v>
      </c>
    </row>
    <row r="974" spans="1:15" x14ac:dyDescent="0.35">
      <c r="A974">
        <v>2024</v>
      </c>
      <c r="B974">
        <v>1</v>
      </c>
      <c r="C974" t="s">
        <v>30</v>
      </c>
      <c r="D974" t="s">
        <v>24</v>
      </c>
      <c r="E974" t="s">
        <v>16</v>
      </c>
      <c r="F974" t="s">
        <v>17</v>
      </c>
      <c r="G974" s="1">
        <v>91754</v>
      </c>
      <c r="H974" s="1">
        <v>207255</v>
      </c>
      <c r="I974">
        <v>170</v>
      </c>
      <c r="J974">
        <v>0.97</v>
      </c>
      <c r="K974">
        <v>6.29</v>
      </c>
      <c r="L974">
        <v>1.2</v>
      </c>
      <c r="M974">
        <v>1</v>
      </c>
      <c r="N974" s="1">
        <f>bmw_global_sales_dataset[[#This Row],[units_sold]]*bmw_global_sales_dataset[[#This Row],[price_usd]]</f>
        <v>62667982</v>
      </c>
      <c r="O974">
        <v>683</v>
      </c>
    </row>
    <row r="975" spans="1:15" x14ac:dyDescent="0.35">
      <c r="A975">
        <v>2024</v>
      </c>
      <c r="B975">
        <v>6</v>
      </c>
      <c r="C975" t="s">
        <v>36</v>
      </c>
      <c r="D975" t="s">
        <v>31</v>
      </c>
      <c r="E975" t="s">
        <v>19</v>
      </c>
      <c r="F975" t="s">
        <v>20</v>
      </c>
      <c r="G975" s="1">
        <v>83821</v>
      </c>
      <c r="H975" s="1">
        <v>231649</v>
      </c>
      <c r="I975">
        <v>341</v>
      </c>
      <c r="J975">
        <v>0.97</v>
      </c>
      <c r="K975">
        <v>6.29</v>
      </c>
      <c r="L975">
        <v>1.2</v>
      </c>
      <c r="M975">
        <v>2</v>
      </c>
      <c r="N975" s="1">
        <f>bmw_global_sales_dataset[[#This Row],[units_sold]]*bmw_global_sales_dataset[[#This Row],[price_usd]]</f>
        <v>74013943</v>
      </c>
      <c r="O975">
        <v>883</v>
      </c>
    </row>
    <row r="976" spans="1:15" x14ac:dyDescent="0.35">
      <c r="A976">
        <v>2024</v>
      </c>
      <c r="B976">
        <v>7</v>
      </c>
      <c r="C976" t="s">
        <v>38</v>
      </c>
      <c r="D976" t="s">
        <v>34</v>
      </c>
      <c r="E976" t="s">
        <v>16</v>
      </c>
      <c r="F976" t="s">
        <v>20</v>
      </c>
      <c r="G976" s="1">
        <v>76910</v>
      </c>
      <c r="H976" s="1">
        <v>474429</v>
      </c>
      <c r="I976">
        <v>225</v>
      </c>
      <c r="J976">
        <v>0.97</v>
      </c>
      <c r="K976">
        <v>6.29</v>
      </c>
      <c r="L976">
        <v>1.2</v>
      </c>
      <c r="M976">
        <v>1</v>
      </c>
      <c r="N976" s="1">
        <f>bmw_global_sales_dataset[[#This Row],[units_sold]]*bmw_global_sales_dataset[[#This Row],[price_usd]]</f>
        <v>52760260</v>
      </c>
      <c r="O976">
        <v>686</v>
      </c>
    </row>
    <row r="977" spans="1:15" x14ac:dyDescent="0.35">
      <c r="A977">
        <v>2024</v>
      </c>
      <c r="B977">
        <v>8</v>
      </c>
      <c r="C977" t="s">
        <v>14</v>
      </c>
      <c r="D977" t="s">
        <v>31</v>
      </c>
      <c r="E977" t="s">
        <v>16</v>
      </c>
      <c r="F977" t="s">
        <v>27</v>
      </c>
      <c r="G977" s="1">
        <v>57813</v>
      </c>
      <c r="H977" s="1">
        <v>85362</v>
      </c>
      <c r="I977">
        <v>181</v>
      </c>
      <c r="J977">
        <v>0.97</v>
      </c>
      <c r="K977">
        <v>6.29</v>
      </c>
      <c r="L977">
        <v>1.2</v>
      </c>
      <c r="M977">
        <v>1</v>
      </c>
      <c r="N977" s="1">
        <f>bmw_global_sales_dataset[[#This Row],[units_sold]]*bmw_global_sales_dataset[[#This Row],[price_usd]]</f>
        <v>29715882</v>
      </c>
      <c r="O977">
        <v>514</v>
      </c>
    </row>
    <row r="978" spans="1:15" x14ac:dyDescent="0.35">
      <c r="A978">
        <v>2024</v>
      </c>
      <c r="B978">
        <v>3</v>
      </c>
      <c r="C978" t="s">
        <v>35</v>
      </c>
      <c r="D978" t="s">
        <v>39</v>
      </c>
      <c r="E978" t="s">
        <v>20</v>
      </c>
      <c r="F978" t="s">
        <v>20</v>
      </c>
      <c r="G978" s="1">
        <v>113282</v>
      </c>
      <c r="H978" s="1">
        <v>363732</v>
      </c>
      <c r="I978">
        <v>393</v>
      </c>
      <c r="J978">
        <v>0.97</v>
      </c>
      <c r="K978">
        <v>6.29</v>
      </c>
      <c r="L978">
        <v>1.2</v>
      </c>
      <c r="M978">
        <v>1</v>
      </c>
      <c r="N978" s="1">
        <f>bmw_global_sales_dataset[[#This Row],[units_sold]]*bmw_global_sales_dataset[[#This Row],[price_usd]]</f>
        <v>127895378</v>
      </c>
      <c r="O978">
        <v>1129</v>
      </c>
    </row>
    <row r="979" spans="1:15" x14ac:dyDescent="0.35">
      <c r="A979">
        <v>2024</v>
      </c>
      <c r="B979">
        <v>7</v>
      </c>
      <c r="C979" t="s">
        <v>36</v>
      </c>
      <c r="D979" t="s">
        <v>22</v>
      </c>
      <c r="E979" t="s">
        <v>20</v>
      </c>
      <c r="F979" t="s">
        <v>20</v>
      </c>
      <c r="G979" s="1">
        <v>41080</v>
      </c>
      <c r="H979" s="1">
        <v>348451</v>
      </c>
      <c r="I979">
        <v>328</v>
      </c>
      <c r="J979">
        <v>0.97</v>
      </c>
      <c r="K979">
        <v>6.29</v>
      </c>
      <c r="L979">
        <v>1.2</v>
      </c>
      <c r="M979">
        <v>9</v>
      </c>
      <c r="N979" s="1">
        <f>bmw_global_sales_dataset[[#This Row],[units_sold]]*bmw_global_sales_dataset[[#This Row],[price_usd]]</f>
        <v>39724360</v>
      </c>
      <c r="O979">
        <v>967</v>
      </c>
    </row>
    <row r="980" spans="1:15" x14ac:dyDescent="0.35">
      <c r="A980">
        <v>2024</v>
      </c>
      <c r="B980">
        <v>11</v>
      </c>
      <c r="C980" t="s">
        <v>37</v>
      </c>
      <c r="D980" t="s">
        <v>29</v>
      </c>
      <c r="E980" t="s">
        <v>16</v>
      </c>
      <c r="F980" t="s">
        <v>27</v>
      </c>
      <c r="G980" s="1">
        <v>101766</v>
      </c>
      <c r="H980" s="1">
        <v>153215</v>
      </c>
      <c r="I980">
        <v>272</v>
      </c>
      <c r="J980">
        <v>0.97</v>
      </c>
      <c r="K980">
        <v>6.29</v>
      </c>
      <c r="L980">
        <v>1.2</v>
      </c>
      <c r="M980">
        <v>9</v>
      </c>
      <c r="N980" s="1">
        <f>bmw_global_sales_dataset[[#This Row],[units_sold]]*bmw_global_sales_dataset[[#This Row],[price_usd]]</f>
        <v>76629798</v>
      </c>
      <c r="O980">
        <v>753</v>
      </c>
    </row>
    <row r="981" spans="1:15" x14ac:dyDescent="0.35">
      <c r="A981">
        <v>2024</v>
      </c>
      <c r="B981">
        <v>4</v>
      </c>
      <c r="C981" t="s">
        <v>36</v>
      </c>
      <c r="D981" t="s">
        <v>34</v>
      </c>
      <c r="E981" t="s">
        <v>19</v>
      </c>
      <c r="F981" t="s">
        <v>20</v>
      </c>
      <c r="G981" s="1">
        <v>63610</v>
      </c>
      <c r="H981" s="1">
        <v>430214</v>
      </c>
      <c r="I981">
        <v>320</v>
      </c>
      <c r="J981">
        <v>0.97</v>
      </c>
      <c r="K981">
        <v>6.29</v>
      </c>
      <c r="L981">
        <v>1.2</v>
      </c>
      <c r="M981">
        <v>4</v>
      </c>
      <c r="N981" s="1">
        <f>bmw_global_sales_dataset[[#This Row],[units_sold]]*bmw_global_sales_dataset[[#This Row],[price_usd]]</f>
        <v>69080460</v>
      </c>
      <c r="O981">
        <v>1086</v>
      </c>
    </row>
    <row r="982" spans="1:15" x14ac:dyDescent="0.35">
      <c r="A982">
        <v>2024</v>
      </c>
      <c r="B982">
        <v>12</v>
      </c>
      <c r="C982" t="s">
        <v>35</v>
      </c>
      <c r="D982" t="s">
        <v>24</v>
      </c>
      <c r="E982" t="s">
        <v>20</v>
      </c>
      <c r="F982" t="s">
        <v>20</v>
      </c>
      <c r="G982" s="1">
        <v>59354</v>
      </c>
      <c r="H982" s="1">
        <v>317614</v>
      </c>
      <c r="I982">
        <v>88</v>
      </c>
      <c r="J982">
        <v>0.97</v>
      </c>
      <c r="K982">
        <v>6.29</v>
      </c>
      <c r="L982">
        <v>1.2</v>
      </c>
      <c r="M982">
        <v>6</v>
      </c>
      <c r="N982" s="1">
        <f>bmw_global_sales_dataset[[#This Row],[units_sold]]*bmw_global_sales_dataset[[#This Row],[price_usd]]</f>
        <v>25284804</v>
      </c>
      <c r="O982">
        <v>426</v>
      </c>
    </row>
    <row r="983" spans="1:15" x14ac:dyDescent="0.35">
      <c r="A983">
        <v>2024</v>
      </c>
      <c r="B983">
        <v>12</v>
      </c>
      <c r="C983" t="s">
        <v>35</v>
      </c>
      <c r="D983" t="s">
        <v>39</v>
      </c>
      <c r="E983" t="s">
        <v>20</v>
      </c>
      <c r="F983" t="s">
        <v>27</v>
      </c>
      <c r="G983" s="1">
        <v>51562</v>
      </c>
      <c r="H983" s="1">
        <v>318667</v>
      </c>
      <c r="I983">
        <v>102</v>
      </c>
      <c r="J983">
        <v>0.97</v>
      </c>
      <c r="K983">
        <v>6.29</v>
      </c>
      <c r="L983">
        <v>1.2</v>
      </c>
      <c r="M983">
        <v>2</v>
      </c>
      <c r="N983" s="1">
        <f>bmw_global_sales_dataset[[#This Row],[units_sold]]*bmw_global_sales_dataset[[#This Row],[price_usd]]</f>
        <v>24543512</v>
      </c>
      <c r="O983">
        <v>476</v>
      </c>
    </row>
    <row r="984" spans="1:15" x14ac:dyDescent="0.35">
      <c r="A984">
        <v>2024</v>
      </c>
      <c r="B984">
        <v>4</v>
      </c>
      <c r="C984" t="s">
        <v>32</v>
      </c>
      <c r="D984" t="s">
        <v>39</v>
      </c>
      <c r="E984" t="s">
        <v>16</v>
      </c>
      <c r="F984" t="s">
        <v>17</v>
      </c>
      <c r="G984" s="1">
        <v>98143</v>
      </c>
      <c r="H984" s="1">
        <v>204062</v>
      </c>
      <c r="I984">
        <v>86</v>
      </c>
      <c r="J984">
        <v>0.97</v>
      </c>
      <c r="K984">
        <v>6.29</v>
      </c>
      <c r="L984">
        <v>1.2</v>
      </c>
      <c r="M984">
        <v>8</v>
      </c>
      <c r="N984" s="1">
        <f>bmw_global_sales_dataset[[#This Row],[units_sold]]*bmw_global_sales_dataset[[#This Row],[price_usd]]</f>
        <v>45930924</v>
      </c>
      <c r="O984">
        <v>468</v>
      </c>
    </row>
    <row r="985" spans="1:15" x14ac:dyDescent="0.35">
      <c r="A985">
        <v>2024</v>
      </c>
      <c r="B985">
        <v>12</v>
      </c>
      <c r="C985" t="s">
        <v>35</v>
      </c>
      <c r="D985" t="s">
        <v>39</v>
      </c>
      <c r="E985" t="s">
        <v>20</v>
      </c>
      <c r="F985" t="s">
        <v>23</v>
      </c>
      <c r="G985" s="1">
        <v>67016</v>
      </c>
      <c r="H985" s="1">
        <v>388246</v>
      </c>
      <c r="I985">
        <v>82</v>
      </c>
      <c r="J985">
        <v>0.97</v>
      </c>
      <c r="K985">
        <v>6.29</v>
      </c>
      <c r="L985">
        <v>1.2</v>
      </c>
      <c r="M985">
        <v>2</v>
      </c>
      <c r="N985" s="1">
        <f>bmw_global_sales_dataset[[#This Row],[units_sold]]*bmw_global_sales_dataset[[#This Row],[price_usd]]</f>
        <v>42957256</v>
      </c>
      <c r="O985">
        <v>641</v>
      </c>
    </row>
    <row r="986" spans="1:15" x14ac:dyDescent="0.35">
      <c r="A986">
        <v>2024</v>
      </c>
      <c r="B986">
        <v>12</v>
      </c>
      <c r="C986" t="s">
        <v>37</v>
      </c>
      <c r="D986" t="s">
        <v>33</v>
      </c>
      <c r="E986" t="s">
        <v>19</v>
      </c>
      <c r="F986" t="s">
        <v>20</v>
      </c>
      <c r="G986" s="1">
        <v>67769</v>
      </c>
      <c r="H986" s="1">
        <v>164161</v>
      </c>
      <c r="I986">
        <v>339</v>
      </c>
      <c r="J986">
        <v>0.97</v>
      </c>
      <c r="K986">
        <v>6.29</v>
      </c>
      <c r="L986">
        <v>1.2</v>
      </c>
      <c r="M986">
        <v>2</v>
      </c>
      <c r="N986" s="1">
        <f>bmw_global_sales_dataset[[#This Row],[units_sold]]*bmw_global_sales_dataset[[#This Row],[price_usd]]</f>
        <v>74207055</v>
      </c>
      <c r="O986">
        <v>1095</v>
      </c>
    </row>
    <row r="987" spans="1:15" x14ac:dyDescent="0.35">
      <c r="A987">
        <v>2024</v>
      </c>
      <c r="B987">
        <v>1</v>
      </c>
      <c r="C987" t="s">
        <v>36</v>
      </c>
      <c r="D987" t="s">
        <v>18</v>
      </c>
      <c r="E987" t="s">
        <v>20</v>
      </c>
      <c r="F987" t="s">
        <v>17</v>
      </c>
      <c r="G987" s="1">
        <v>78880</v>
      </c>
      <c r="H987" s="1">
        <v>189133</v>
      </c>
      <c r="I987">
        <v>356</v>
      </c>
      <c r="J987">
        <v>0.97</v>
      </c>
      <c r="K987">
        <v>6.29</v>
      </c>
      <c r="L987">
        <v>1.2</v>
      </c>
      <c r="M987">
        <v>7</v>
      </c>
      <c r="N987" s="1">
        <f>bmw_global_sales_dataset[[#This Row],[units_sold]]*bmw_global_sales_dataset[[#This Row],[price_usd]]</f>
        <v>88503360</v>
      </c>
      <c r="O987">
        <v>1122</v>
      </c>
    </row>
    <row r="988" spans="1:15" x14ac:dyDescent="0.35">
      <c r="A988">
        <v>2024</v>
      </c>
      <c r="B988">
        <v>8</v>
      </c>
      <c r="C988" t="s">
        <v>25</v>
      </c>
      <c r="D988" t="s">
        <v>33</v>
      </c>
      <c r="E988" t="s">
        <v>16</v>
      </c>
      <c r="F988" t="s">
        <v>20</v>
      </c>
      <c r="G988" s="1">
        <v>84768</v>
      </c>
      <c r="H988" s="1">
        <v>257383</v>
      </c>
      <c r="I988">
        <v>130</v>
      </c>
      <c r="J988">
        <v>0.97</v>
      </c>
      <c r="K988">
        <v>6.29</v>
      </c>
      <c r="L988">
        <v>1.2</v>
      </c>
      <c r="M988">
        <v>6</v>
      </c>
      <c r="N988" s="1">
        <f>bmw_global_sales_dataset[[#This Row],[units_sold]]*bmw_global_sales_dataset[[#This Row],[price_usd]]</f>
        <v>38230368</v>
      </c>
      <c r="O988">
        <v>451</v>
      </c>
    </row>
    <row r="989" spans="1:15" x14ac:dyDescent="0.35">
      <c r="A989">
        <v>2024</v>
      </c>
      <c r="B989">
        <v>10</v>
      </c>
      <c r="C989" t="s">
        <v>32</v>
      </c>
      <c r="D989" t="s">
        <v>29</v>
      </c>
      <c r="E989" t="s">
        <v>20</v>
      </c>
      <c r="F989" t="s">
        <v>20</v>
      </c>
      <c r="G989" s="1">
        <v>118123</v>
      </c>
      <c r="H989" s="1">
        <v>378634</v>
      </c>
      <c r="I989">
        <v>264</v>
      </c>
      <c r="J989">
        <v>0.97</v>
      </c>
      <c r="K989">
        <v>6.29</v>
      </c>
      <c r="L989">
        <v>1.2</v>
      </c>
      <c r="M989">
        <v>9</v>
      </c>
      <c r="N989" s="1">
        <f>bmw_global_sales_dataset[[#This Row],[units_sold]]*bmw_global_sales_dataset[[#This Row],[price_usd]]</f>
        <v>107728176</v>
      </c>
      <c r="O989">
        <v>912</v>
      </c>
    </row>
    <row r="990" spans="1:15" x14ac:dyDescent="0.35">
      <c r="A990">
        <v>2024</v>
      </c>
      <c r="B990">
        <v>5</v>
      </c>
      <c r="C990" t="s">
        <v>30</v>
      </c>
      <c r="D990" t="s">
        <v>29</v>
      </c>
      <c r="E990" t="s">
        <v>20</v>
      </c>
      <c r="F990" t="s">
        <v>17</v>
      </c>
      <c r="G990" s="1">
        <v>46360</v>
      </c>
      <c r="H990" s="1">
        <v>130674</v>
      </c>
      <c r="I990">
        <v>265</v>
      </c>
      <c r="J990">
        <v>0.97</v>
      </c>
      <c r="K990">
        <v>6.29</v>
      </c>
      <c r="L990">
        <v>1.2</v>
      </c>
      <c r="M990">
        <v>1</v>
      </c>
      <c r="N990" s="1">
        <f>bmw_global_sales_dataset[[#This Row],[units_sold]]*bmw_global_sales_dataset[[#This Row],[price_usd]]</f>
        <v>32220200</v>
      </c>
      <c r="O990">
        <v>695</v>
      </c>
    </row>
    <row r="991" spans="1:15" x14ac:dyDescent="0.35">
      <c r="A991">
        <v>2024</v>
      </c>
      <c r="B991">
        <v>2</v>
      </c>
      <c r="C991" t="s">
        <v>25</v>
      </c>
      <c r="D991" t="s">
        <v>39</v>
      </c>
      <c r="E991" t="s">
        <v>16</v>
      </c>
      <c r="F991" t="s">
        <v>27</v>
      </c>
      <c r="G991" s="1">
        <v>117203</v>
      </c>
      <c r="H991" s="1">
        <v>116381</v>
      </c>
      <c r="I991">
        <v>347</v>
      </c>
      <c r="J991">
        <v>0.97</v>
      </c>
      <c r="K991">
        <v>6.29</v>
      </c>
      <c r="L991">
        <v>1.2</v>
      </c>
      <c r="M991">
        <v>6</v>
      </c>
      <c r="N991" s="1">
        <f>bmw_global_sales_dataset[[#This Row],[units_sold]]*bmw_global_sales_dataset[[#This Row],[price_usd]]</f>
        <v>108529978</v>
      </c>
      <c r="O991">
        <v>926</v>
      </c>
    </row>
    <row r="992" spans="1:15" x14ac:dyDescent="0.35">
      <c r="A992">
        <v>2024</v>
      </c>
      <c r="B992">
        <v>1</v>
      </c>
      <c r="C992" t="s">
        <v>36</v>
      </c>
      <c r="D992" t="s">
        <v>24</v>
      </c>
      <c r="E992" t="s">
        <v>16</v>
      </c>
      <c r="F992" t="s">
        <v>23</v>
      </c>
      <c r="G992" s="1">
        <v>104101</v>
      </c>
      <c r="H992" s="1">
        <v>375893</v>
      </c>
      <c r="I992">
        <v>291</v>
      </c>
      <c r="J992">
        <v>0.97</v>
      </c>
      <c r="K992">
        <v>6.29</v>
      </c>
      <c r="L992">
        <v>1.2</v>
      </c>
      <c r="M992">
        <v>10</v>
      </c>
      <c r="N992" s="1">
        <f>bmw_global_sales_dataset[[#This Row],[units_sold]]*bmw_global_sales_dataset[[#This Row],[price_usd]]</f>
        <v>75681427</v>
      </c>
      <c r="O992">
        <v>727</v>
      </c>
    </row>
    <row r="993" spans="1:15" x14ac:dyDescent="0.35">
      <c r="A993">
        <v>2024</v>
      </c>
      <c r="B993">
        <v>9</v>
      </c>
      <c r="C993" t="s">
        <v>30</v>
      </c>
      <c r="D993" t="s">
        <v>26</v>
      </c>
      <c r="E993" t="s">
        <v>19</v>
      </c>
      <c r="F993" t="s">
        <v>17</v>
      </c>
      <c r="G993" s="1">
        <v>54267</v>
      </c>
      <c r="H993" s="1">
        <v>319579</v>
      </c>
      <c r="I993">
        <v>380</v>
      </c>
      <c r="J993">
        <v>0.97</v>
      </c>
      <c r="K993">
        <v>6.29</v>
      </c>
      <c r="L993">
        <v>1.2</v>
      </c>
      <c r="M993">
        <v>10</v>
      </c>
      <c r="N993" s="1">
        <f>bmw_global_sales_dataset[[#This Row],[units_sold]]*bmw_global_sales_dataset[[#This Row],[price_usd]]</f>
        <v>62352783</v>
      </c>
      <c r="O993">
        <v>1149</v>
      </c>
    </row>
    <row r="994" spans="1:15" x14ac:dyDescent="0.35">
      <c r="A994">
        <v>2024</v>
      </c>
      <c r="B994">
        <v>5</v>
      </c>
      <c r="C994" t="s">
        <v>38</v>
      </c>
      <c r="D994" t="s">
        <v>34</v>
      </c>
      <c r="E994" t="s">
        <v>16</v>
      </c>
      <c r="F994" t="s">
        <v>20</v>
      </c>
      <c r="G994" s="1">
        <v>88364</v>
      </c>
      <c r="H994" s="1">
        <v>311176</v>
      </c>
      <c r="I994">
        <v>132</v>
      </c>
      <c r="J994">
        <v>0.97</v>
      </c>
      <c r="K994">
        <v>6.29</v>
      </c>
      <c r="L994">
        <v>1.2</v>
      </c>
      <c r="M994">
        <v>3</v>
      </c>
      <c r="N994" s="1">
        <f>bmw_global_sales_dataset[[#This Row],[units_sold]]*bmw_global_sales_dataset[[#This Row],[price_usd]]</f>
        <v>36317604</v>
      </c>
      <c r="O994">
        <v>411</v>
      </c>
    </row>
    <row r="995" spans="1:15" x14ac:dyDescent="0.35">
      <c r="A995">
        <v>2024</v>
      </c>
      <c r="B995">
        <v>3</v>
      </c>
      <c r="C995" t="s">
        <v>36</v>
      </c>
      <c r="D995" t="s">
        <v>33</v>
      </c>
      <c r="E995" t="s">
        <v>19</v>
      </c>
      <c r="F995" t="s">
        <v>23</v>
      </c>
      <c r="G995" s="1">
        <v>67363</v>
      </c>
      <c r="H995" s="1">
        <v>53880</v>
      </c>
      <c r="I995">
        <v>269</v>
      </c>
      <c r="J995">
        <v>0.97</v>
      </c>
      <c r="K995">
        <v>6.29</v>
      </c>
      <c r="L995">
        <v>1.2</v>
      </c>
      <c r="M995">
        <v>7</v>
      </c>
      <c r="N995" s="1">
        <f>bmw_global_sales_dataset[[#This Row],[units_sold]]*bmw_global_sales_dataset[[#This Row],[price_usd]]</f>
        <v>40889341</v>
      </c>
      <c r="O995">
        <v>607</v>
      </c>
    </row>
    <row r="996" spans="1:15" x14ac:dyDescent="0.35">
      <c r="A996">
        <v>2024</v>
      </c>
      <c r="B996">
        <v>11</v>
      </c>
      <c r="C996" t="s">
        <v>38</v>
      </c>
      <c r="D996" t="s">
        <v>26</v>
      </c>
      <c r="E996" t="s">
        <v>19</v>
      </c>
      <c r="F996" t="s">
        <v>23</v>
      </c>
      <c r="G996" s="1">
        <v>47379</v>
      </c>
      <c r="H996" s="1">
        <v>103997</v>
      </c>
      <c r="I996">
        <v>15</v>
      </c>
      <c r="J996">
        <v>0.97</v>
      </c>
      <c r="K996">
        <v>6.29</v>
      </c>
      <c r="L996">
        <v>1.2</v>
      </c>
      <c r="M996">
        <v>2</v>
      </c>
      <c r="N996" s="1">
        <f>bmw_global_sales_dataset[[#This Row],[units_sold]]*bmw_global_sales_dataset[[#This Row],[price_usd]]</f>
        <v>2795361</v>
      </c>
      <c r="O996">
        <v>59</v>
      </c>
    </row>
    <row r="997" spans="1:15" x14ac:dyDescent="0.35">
      <c r="A997">
        <v>2024</v>
      </c>
      <c r="B997">
        <v>7</v>
      </c>
      <c r="C997" t="s">
        <v>25</v>
      </c>
      <c r="D997" t="s">
        <v>24</v>
      </c>
      <c r="E997" t="s">
        <v>19</v>
      </c>
      <c r="F997" t="s">
        <v>23</v>
      </c>
      <c r="G997" s="1">
        <v>73367</v>
      </c>
      <c r="H997" s="1">
        <v>462289</v>
      </c>
      <c r="I997">
        <v>215</v>
      </c>
      <c r="J997">
        <v>0.97</v>
      </c>
      <c r="K997">
        <v>6.29</v>
      </c>
      <c r="L997">
        <v>1.2</v>
      </c>
      <c r="M997">
        <v>4</v>
      </c>
      <c r="N997" s="1">
        <f>bmw_global_sales_dataset[[#This Row],[units_sold]]*bmw_global_sales_dataset[[#This Row],[price_usd]]</f>
        <v>43726732</v>
      </c>
      <c r="O997">
        <v>596</v>
      </c>
    </row>
    <row r="998" spans="1:15" x14ac:dyDescent="0.35">
      <c r="A998">
        <v>2024</v>
      </c>
      <c r="B998">
        <v>6</v>
      </c>
      <c r="C998" t="s">
        <v>32</v>
      </c>
      <c r="D998" t="s">
        <v>34</v>
      </c>
      <c r="E998" t="s">
        <v>19</v>
      </c>
      <c r="F998" t="s">
        <v>27</v>
      </c>
      <c r="G998" s="1">
        <v>109797</v>
      </c>
      <c r="H998" s="1">
        <v>118369</v>
      </c>
      <c r="I998">
        <v>271</v>
      </c>
      <c r="J998">
        <v>0.97</v>
      </c>
      <c r="K998">
        <v>6.29</v>
      </c>
      <c r="L998">
        <v>1.2</v>
      </c>
      <c r="M998">
        <v>3</v>
      </c>
      <c r="N998" s="1">
        <f>bmw_global_sales_dataset[[#This Row],[units_sold]]*bmw_global_sales_dataset[[#This Row],[price_usd]]</f>
        <v>79053840</v>
      </c>
      <c r="O998">
        <v>720</v>
      </c>
    </row>
    <row r="999" spans="1:15" x14ac:dyDescent="0.35">
      <c r="A999">
        <v>2024</v>
      </c>
      <c r="B999">
        <v>2</v>
      </c>
      <c r="C999" t="s">
        <v>21</v>
      </c>
      <c r="D999" t="s">
        <v>26</v>
      </c>
      <c r="E999" t="s">
        <v>16</v>
      </c>
      <c r="F999" t="s">
        <v>17</v>
      </c>
      <c r="G999" s="1">
        <v>91207</v>
      </c>
      <c r="H999" s="1">
        <v>163012</v>
      </c>
      <c r="I999">
        <v>353</v>
      </c>
      <c r="J999">
        <v>0.97</v>
      </c>
      <c r="K999">
        <v>6.29</v>
      </c>
      <c r="L999">
        <v>1.2</v>
      </c>
      <c r="M999">
        <v>4</v>
      </c>
      <c r="N999" s="1">
        <f>bmw_global_sales_dataset[[#This Row],[units_sold]]*bmw_global_sales_dataset[[#This Row],[price_usd]]</f>
        <v>74880947</v>
      </c>
      <c r="O999">
        <v>821</v>
      </c>
    </row>
    <row r="1000" spans="1:15" x14ac:dyDescent="0.35">
      <c r="A1000">
        <v>2024</v>
      </c>
      <c r="B1000">
        <v>10</v>
      </c>
      <c r="C1000" t="s">
        <v>32</v>
      </c>
      <c r="D1000" t="s">
        <v>18</v>
      </c>
      <c r="E1000" t="s">
        <v>19</v>
      </c>
      <c r="F1000" t="s">
        <v>20</v>
      </c>
      <c r="G1000" s="1">
        <v>64813</v>
      </c>
      <c r="H1000" s="1">
        <v>126425</v>
      </c>
      <c r="I1000">
        <v>177</v>
      </c>
      <c r="J1000">
        <v>0.97</v>
      </c>
      <c r="K1000">
        <v>6.29</v>
      </c>
      <c r="L1000">
        <v>1.2</v>
      </c>
      <c r="M1000">
        <v>1</v>
      </c>
      <c r="N1000" s="1">
        <f>bmw_global_sales_dataset[[#This Row],[units_sold]]*bmw_global_sales_dataset[[#This Row],[price_usd]]</f>
        <v>36943410</v>
      </c>
      <c r="O1000">
        <v>570</v>
      </c>
    </row>
    <row r="1001" spans="1:15" x14ac:dyDescent="0.35">
      <c r="A1001">
        <v>2024</v>
      </c>
      <c r="B1001">
        <v>2</v>
      </c>
      <c r="C1001" t="s">
        <v>30</v>
      </c>
      <c r="D1001" t="s">
        <v>31</v>
      </c>
      <c r="E1001" t="s">
        <v>19</v>
      </c>
      <c r="F1001" t="s">
        <v>17</v>
      </c>
      <c r="G1001" s="1">
        <v>119431</v>
      </c>
      <c r="H1001" s="1">
        <v>473502</v>
      </c>
      <c r="I1001">
        <v>56</v>
      </c>
      <c r="J1001">
        <v>0.97</v>
      </c>
      <c r="K1001">
        <v>6.29</v>
      </c>
      <c r="L1001">
        <v>1.2</v>
      </c>
      <c r="M1001">
        <v>7</v>
      </c>
      <c r="N1001" s="1">
        <f>bmw_global_sales_dataset[[#This Row],[units_sold]]*bmw_global_sales_dataset[[#This Row],[price_usd]]</f>
        <v>51713623</v>
      </c>
      <c r="O1001">
        <v>433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0C42-FA1E-4F5D-806B-C6265FF45502}">
  <dimension ref="A1:N1001"/>
  <sheetViews>
    <sheetView workbookViewId="0">
      <selection activeCell="D17" sqref="D17"/>
    </sheetView>
  </sheetViews>
  <sheetFormatPr defaultRowHeight="14.5" x14ac:dyDescent="0.35"/>
  <cols>
    <col min="1" max="1" width="6.7265625" bestFit="1" customWidth="1"/>
    <col min="3" max="3" width="9.54296875" bestFit="1" customWidth="1"/>
    <col min="4" max="4" width="8.36328125" bestFit="1" customWidth="1"/>
    <col min="5" max="5" width="10.26953125" bestFit="1" customWidth="1"/>
    <col min="6" max="6" width="13.36328125" bestFit="1" customWidth="1"/>
    <col min="7" max="7" width="11.1796875" bestFit="1" customWidth="1"/>
    <col min="8" max="8" width="21.90625" bestFit="1" customWidth="1"/>
    <col min="9" max="9" width="17.7265625" bestFit="1" customWidth="1"/>
    <col min="10" max="10" width="15.453125" bestFit="1" customWidth="1"/>
    <col min="11" max="11" width="20.81640625" bestFit="1" customWidth="1"/>
    <col min="12" max="12" width="21.7265625" bestFit="1" customWidth="1"/>
    <col min="13" max="13" width="18.90625" bestFit="1" customWidth="1"/>
    <col min="14" max="14" width="11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2021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>
        <v>82234</v>
      </c>
      <c r="H2">
        <v>315372</v>
      </c>
      <c r="I2">
        <v>96</v>
      </c>
      <c r="J2">
        <v>0.97</v>
      </c>
      <c r="K2">
        <v>6.29</v>
      </c>
      <c r="L2">
        <v>1.2</v>
      </c>
      <c r="M2">
        <v>8</v>
      </c>
      <c r="N2">
        <v>324</v>
      </c>
    </row>
    <row r="3" spans="1:14" x14ac:dyDescent="0.35">
      <c r="A3">
        <v>2018</v>
      </c>
      <c r="B3">
        <v>8</v>
      </c>
      <c r="C3" t="s">
        <v>14</v>
      </c>
      <c r="D3" t="s">
        <v>18</v>
      </c>
      <c r="E3" t="s">
        <v>19</v>
      </c>
      <c r="F3" t="s">
        <v>20</v>
      </c>
      <c r="G3">
        <v>82291</v>
      </c>
      <c r="H3">
        <v>447798</v>
      </c>
      <c r="I3">
        <v>234</v>
      </c>
      <c r="J3">
        <v>0.97</v>
      </c>
      <c r="K3">
        <v>6.29</v>
      </c>
      <c r="L3">
        <v>1.2</v>
      </c>
      <c r="M3">
        <v>7</v>
      </c>
      <c r="N3">
        <v>556</v>
      </c>
    </row>
    <row r="4" spans="1:14" x14ac:dyDescent="0.35">
      <c r="A4">
        <v>2022</v>
      </c>
      <c r="B4">
        <v>12</v>
      </c>
      <c r="C4" t="s">
        <v>21</v>
      </c>
      <c r="D4" t="s">
        <v>22</v>
      </c>
      <c r="E4" t="s">
        <v>20</v>
      </c>
      <c r="F4" t="s">
        <v>23</v>
      </c>
      <c r="G4">
        <v>40594</v>
      </c>
      <c r="H4">
        <v>259755</v>
      </c>
      <c r="I4">
        <v>25</v>
      </c>
      <c r="J4">
        <v>0.97</v>
      </c>
      <c r="K4">
        <v>6.29</v>
      </c>
      <c r="L4">
        <v>1.2</v>
      </c>
      <c r="M4">
        <v>7</v>
      </c>
      <c r="N4">
        <v>152</v>
      </c>
    </row>
    <row r="5" spans="1:14" x14ac:dyDescent="0.35">
      <c r="A5">
        <v>2019</v>
      </c>
      <c r="B5">
        <v>11</v>
      </c>
      <c r="C5" t="s">
        <v>14</v>
      </c>
      <c r="D5" t="s">
        <v>24</v>
      </c>
      <c r="E5" t="s">
        <v>16</v>
      </c>
      <c r="F5" t="s">
        <v>20</v>
      </c>
      <c r="G5">
        <v>42371</v>
      </c>
      <c r="H5">
        <v>323541</v>
      </c>
      <c r="I5">
        <v>319</v>
      </c>
      <c r="J5">
        <v>0.97</v>
      </c>
      <c r="K5">
        <v>6.29</v>
      </c>
      <c r="L5">
        <v>1.2</v>
      </c>
      <c r="M5">
        <v>5</v>
      </c>
      <c r="N5">
        <v>730</v>
      </c>
    </row>
    <row r="6" spans="1:14" x14ac:dyDescent="0.35">
      <c r="A6">
        <v>2021</v>
      </c>
      <c r="B6">
        <v>12</v>
      </c>
      <c r="C6" t="s">
        <v>25</v>
      </c>
      <c r="D6" t="s">
        <v>26</v>
      </c>
      <c r="E6" t="s">
        <v>16</v>
      </c>
      <c r="F6" t="s">
        <v>27</v>
      </c>
      <c r="G6">
        <v>82315</v>
      </c>
      <c r="H6">
        <v>482015</v>
      </c>
      <c r="I6">
        <v>367</v>
      </c>
      <c r="J6">
        <v>0.97</v>
      </c>
      <c r="K6">
        <v>6.29</v>
      </c>
      <c r="L6">
        <v>1.2</v>
      </c>
      <c r="M6">
        <v>2</v>
      </c>
      <c r="N6">
        <v>1156</v>
      </c>
    </row>
    <row r="7" spans="1:14" x14ac:dyDescent="0.35">
      <c r="A7">
        <v>2024</v>
      </c>
      <c r="B7">
        <v>12</v>
      </c>
      <c r="C7" t="s">
        <v>28</v>
      </c>
      <c r="D7" t="s">
        <v>24</v>
      </c>
      <c r="E7" t="s">
        <v>20</v>
      </c>
      <c r="F7" t="s">
        <v>27</v>
      </c>
      <c r="G7">
        <v>118564</v>
      </c>
      <c r="H7">
        <v>349155</v>
      </c>
      <c r="I7">
        <v>172</v>
      </c>
      <c r="J7">
        <v>0.97</v>
      </c>
      <c r="K7">
        <v>6.29</v>
      </c>
      <c r="L7">
        <v>1.2</v>
      </c>
      <c r="M7">
        <v>6</v>
      </c>
      <c r="N7">
        <v>687</v>
      </c>
    </row>
    <row r="8" spans="1:14" x14ac:dyDescent="0.35">
      <c r="A8">
        <v>2017</v>
      </c>
      <c r="B8">
        <v>4</v>
      </c>
      <c r="C8" t="s">
        <v>21</v>
      </c>
      <c r="D8" t="s">
        <v>18</v>
      </c>
      <c r="E8" t="s">
        <v>20</v>
      </c>
      <c r="F8" t="s">
        <v>27</v>
      </c>
      <c r="G8">
        <v>114526</v>
      </c>
      <c r="H8">
        <v>129183</v>
      </c>
      <c r="I8">
        <v>107</v>
      </c>
      <c r="J8">
        <v>0.97</v>
      </c>
      <c r="K8">
        <v>6.29</v>
      </c>
      <c r="L8">
        <v>1.2</v>
      </c>
      <c r="M8">
        <v>10</v>
      </c>
      <c r="N8">
        <v>439</v>
      </c>
    </row>
    <row r="9" spans="1:14" x14ac:dyDescent="0.35">
      <c r="A9">
        <v>2021</v>
      </c>
      <c r="B9">
        <v>4</v>
      </c>
      <c r="C9" t="s">
        <v>21</v>
      </c>
      <c r="D9" t="s">
        <v>29</v>
      </c>
      <c r="E9" t="s">
        <v>19</v>
      </c>
      <c r="F9" t="s">
        <v>27</v>
      </c>
      <c r="G9">
        <v>51626</v>
      </c>
      <c r="H9">
        <v>405398</v>
      </c>
      <c r="I9">
        <v>165</v>
      </c>
      <c r="J9">
        <v>0.97</v>
      </c>
      <c r="K9">
        <v>6.29</v>
      </c>
      <c r="L9">
        <v>1.2</v>
      </c>
      <c r="M9">
        <v>3</v>
      </c>
      <c r="N9">
        <v>489</v>
      </c>
    </row>
    <row r="10" spans="1:14" x14ac:dyDescent="0.35">
      <c r="A10">
        <v>2022</v>
      </c>
      <c r="B10">
        <v>5</v>
      </c>
      <c r="C10" t="s">
        <v>30</v>
      </c>
      <c r="D10" t="s">
        <v>31</v>
      </c>
      <c r="E10" t="s">
        <v>19</v>
      </c>
      <c r="F10" t="s">
        <v>17</v>
      </c>
      <c r="G10">
        <v>42130</v>
      </c>
      <c r="H10">
        <v>487480</v>
      </c>
      <c r="I10">
        <v>11</v>
      </c>
      <c r="J10">
        <v>0.97</v>
      </c>
      <c r="K10">
        <v>6.29</v>
      </c>
      <c r="L10">
        <v>1.2</v>
      </c>
      <c r="M10">
        <v>4</v>
      </c>
      <c r="N10">
        <v>435</v>
      </c>
    </row>
    <row r="11" spans="1:14" x14ac:dyDescent="0.35">
      <c r="A11">
        <v>2019</v>
      </c>
      <c r="B11">
        <v>8</v>
      </c>
      <c r="C11" t="s">
        <v>32</v>
      </c>
      <c r="D11" t="s">
        <v>33</v>
      </c>
      <c r="E11" t="s">
        <v>16</v>
      </c>
      <c r="F11" t="s">
        <v>17</v>
      </c>
      <c r="G11">
        <v>41828</v>
      </c>
      <c r="H11">
        <v>92317</v>
      </c>
      <c r="I11">
        <v>359</v>
      </c>
      <c r="J11">
        <v>0.97</v>
      </c>
      <c r="K11">
        <v>6.29</v>
      </c>
      <c r="L11">
        <v>1.2</v>
      </c>
      <c r="M11">
        <v>10</v>
      </c>
      <c r="N11">
        <v>1080</v>
      </c>
    </row>
    <row r="12" spans="1:14" x14ac:dyDescent="0.35">
      <c r="A12">
        <v>2018</v>
      </c>
      <c r="B12">
        <v>5</v>
      </c>
      <c r="C12" t="s">
        <v>32</v>
      </c>
      <c r="D12" t="s">
        <v>22</v>
      </c>
      <c r="E12" t="s">
        <v>20</v>
      </c>
      <c r="F12" t="s">
        <v>20</v>
      </c>
      <c r="G12">
        <v>92514</v>
      </c>
      <c r="H12">
        <v>228986</v>
      </c>
      <c r="I12">
        <v>178</v>
      </c>
      <c r="J12">
        <v>0.97</v>
      </c>
      <c r="K12">
        <v>6.29</v>
      </c>
      <c r="L12">
        <v>1.2</v>
      </c>
      <c r="M12">
        <v>2</v>
      </c>
      <c r="N12">
        <v>447</v>
      </c>
    </row>
    <row r="13" spans="1:14" x14ac:dyDescent="0.35">
      <c r="A13">
        <v>2022</v>
      </c>
      <c r="B13">
        <v>8</v>
      </c>
      <c r="C13" t="s">
        <v>25</v>
      </c>
      <c r="D13" t="s">
        <v>34</v>
      </c>
      <c r="E13" t="s">
        <v>20</v>
      </c>
      <c r="F13" t="s">
        <v>23</v>
      </c>
      <c r="G13">
        <v>87664</v>
      </c>
      <c r="H13">
        <v>265705</v>
      </c>
      <c r="I13">
        <v>324</v>
      </c>
      <c r="J13">
        <v>0.97</v>
      </c>
      <c r="K13">
        <v>6.29</v>
      </c>
      <c r="L13">
        <v>1.2</v>
      </c>
      <c r="M13">
        <v>2</v>
      </c>
      <c r="N13">
        <v>827</v>
      </c>
    </row>
    <row r="14" spans="1:14" x14ac:dyDescent="0.35">
      <c r="A14">
        <v>2022</v>
      </c>
      <c r="B14">
        <v>10</v>
      </c>
      <c r="C14" t="s">
        <v>35</v>
      </c>
      <c r="D14" t="s">
        <v>34</v>
      </c>
      <c r="E14" t="s">
        <v>20</v>
      </c>
      <c r="F14" t="s">
        <v>27</v>
      </c>
      <c r="G14">
        <v>52883</v>
      </c>
      <c r="H14">
        <v>414633</v>
      </c>
      <c r="I14">
        <v>334</v>
      </c>
      <c r="J14">
        <v>0.97</v>
      </c>
      <c r="K14">
        <v>6.29</v>
      </c>
      <c r="L14">
        <v>1.2</v>
      </c>
      <c r="M14">
        <v>8</v>
      </c>
      <c r="N14">
        <v>712</v>
      </c>
    </row>
    <row r="15" spans="1:14" x14ac:dyDescent="0.35">
      <c r="A15">
        <v>2017</v>
      </c>
      <c r="B15">
        <v>1</v>
      </c>
      <c r="C15" t="s">
        <v>36</v>
      </c>
      <c r="D15" t="s">
        <v>34</v>
      </c>
      <c r="E15" t="s">
        <v>16</v>
      </c>
      <c r="F15" t="s">
        <v>20</v>
      </c>
      <c r="G15">
        <v>78059</v>
      </c>
      <c r="H15">
        <v>226326</v>
      </c>
      <c r="I15">
        <v>384</v>
      </c>
      <c r="J15">
        <v>0.97</v>
      </c>
      <c r="K15">
        <v>6.29</v>
      </c>
      <c r="L15">
        <v>1.2</v>
      </c>
      <c r="M15">
        <v>8</v>
      </c>
      <c r="N15">
        <v>1181</v>
      </c>
    </row>
    <row r="16" spans="1:14" x14ac:dyDescent="0.35">
      <c r="A16">
        <v>2020</v>
      </c>
      <c r="B16">
        <v>12</v>
      </c>
      <c r="C16" t="s">
        <v>36</v>
      </c>
      <c r="D16" t="s">
        <v>15</v>
      </c>
      <c r="E16" t="s">
        <v>20</v>
      </c>
      <c r="F16" t="s">
        <v>17</v>
      </c>
      <c r="G16">
        <v>119078</v>
      </c>
      <c r="H16">
        <v>352240</v>
      </c>
      <c r="I16">
        <v>101</v>
      </c>
      <c r="J16">
        <v>0.97</v>
      </c>
      <c r="K16">
        <v>6.29</v>
      </c>
      <c r="L16">
        <v>1.2</v>
      </c>
      <c r="M16">
        <v>10</v>
      </c>
      <c r="N16">
        <v>307</v>
      </c>
    </row>
    <row r="17" spans="1:14" x14ac:dyDescent="0.35">
      <c r="A17">
        <v>2019</v>
      </c>
      <c r="B17">
        <v>10</v>
      </c>
      <c r="C17" t="s">
        <v>37</v>
      </c>
      <c r="D17" t="s">
        <v>34</v>
      </c>
      <c r="E17" t="s">
        <v>20</v>
      </c>
      <c r="F17" t="s">
        <v>17</v>
      </c>
      <c r="G17">
        <v>77932</v>
      </c>
      <c r="H17">
        <v>365929</v>
      </c>
      <c r="I17">
        <v>190</v>
      </c>
      <c r="J17">
        <v>0.97</v>
      </c>
      <c r="K17">
        <v>6.29</v>
      </c>
      <c r="L17">
        <v>1.2</v>
      </c>
      <c r="M17">
        <v>6</v>
      </c>
      <c r="N17">
        <v>725</v>
      </c>
    </row>
    <row r="18" spans="1:14" x14ac:dyDescent="0.35">
      <c r="A18">
        <v>2016</v>
      </c>
      <c r="B18">
        <v>9</v>
      </c>
      <c r="C18" t="s">
        <v>25</v>
      </c>
      <c r="D18" t="s">
        <v>33</v>
      </c>
      <c r="E18" t="s">
        <v>16</v>
      </c>
      <c r="F18" t="s">
        <v>23</v>
      </c>
      <c r="G18">
        <v>96269</v>
      </c>
      <c r="H18">
        <v>102344</v>
      </c>
      <c r="I18">
        <v>240</v>
      </c>
      <c r="J18">
        <v>0.97</v>
      </c>
      <c r="K18">
        <v>6.29</v>
      </c>
      <c r="L18">
        <v>1.2</v>
      </c>
      <c r="M18">
        <v>5</v>
      </c>
      <c r="N18">
        <v>588</v>
      </c>
    </row>
    <row r="19" spans="1:14" x14ac:dyDescent="0.35">
      <c r="A19">
        <v>2022</v>
      </c>
      <c r="B19">
        <v>6</v>
      </c>
      <c r="C19" t="s">
        <v>21</v>
      </c>
      <c r="D19" t="s">
        <v>31</v>
      </c>
      <c r="E19" t="s">
        <v>19</v>
      </c>
      <c r="F19" t="s">
        <v>23</v>
      </c>
      <c r="G19">
        <v>110986</v>
      </c>
      <c r="H19">
        <v>296060</v>
      </c>
      <c r="I19">
        <v>310</v>
      </c>
      <c r="J19">
        <v>0.97</v>
      </c>
      <c r="K19">
        <v>6.29</v>
      </c>
      <c r="L19">
        <v>1.2</v>
      </c>
      <c r="M19">
        <v>8</v>
      </c>
      <c r="N19">
        <v>644</v>
      </c>
    </row>
    <row r="20" spans="1:14" x14ac:dyDescent="0.35">
      <c r="A20">
        <v>2020</v>
      </c>
      <c r="B20">
        <v>3</v>
      </c>
      <c r="C20" t="s">
        <v>25</v>
      </c>
      <c r="D20" t="s">
        <v>34</v>
      </c>
      <c r="E20" t="s">
        <v>19</v>
      </c>
      <c r="F20" t="s">
        <v>23</v>
      </c>
      <c r="G20">
        <v>37035</v>
      </c>
      <c r="H20">
        <v>432526</v>
      </c>
      <c r="I20">
        <v>157</v>
      </c>
      <c r="J20">
        <v>0.97</v>
      </c>
      <c r="K20">
        <v>6.29</v>
      </c>
      <c r="L20">
        <v>1.2</v>
      </c>
      <c r="M20">
        <v>4</v>
      </c>
      <c r="N20">
        <v>534</v>
      </c>
    </row>
    <row r="21" spans="1:14" x14ac:dyDescent="0.35">
      <c r="A21">
        <v>2016</v>
      </c>
      <c r="B21">
        <v>8</v>
      </c>
      <c r="C21" t="s">
        <v>25</v>
      </c>
      <c r="D21" t="s">
        <v>24</v>
      </c>
      <c r="E21" t="s">
        <v>16</v>
      </c>
      <c r="F21" t="s">
        <v>20</v>
      </c>
      <c r="G21">
        <v>75745</v>
      </c>
      <c r="H21">
        <v>249618</v>
      </c>
      <c r="I21">
        <v>289</v>
      </c>
      <c r="J21">
        <v>0.97</v>
      </c>
      <c r="K21">
        <v>6.29</v>
      </c>
      <c r="L21">
        <v>1.2</v>
      </c>
      <c r="M21">
        <v>4</v>
      </c>
      <c r="N21">
        <v>1004</v>
      </c>
    </row>
    <row r="22" spans="1:14" x14ac:dyDescent="0.35">
      <c r="A22">
        <v>2019</v>
      </c>
      <c r="B22">
        <v>9</v>
      </c>
      <c r="C22" t="s">
        <v>25</v>
      </c>
      <c r="D22" t="s">
        <v>24</v>
      </c>
      <c r="E22" t="s">
        <v>20</v>
      </c>
      <c r="F22" t="s">
        <v>17</v>
      </c>
      <c r="G22">
        <v>52241</v>
      </c>
      <c r="H22">
        <v>209484</v>
      </c>
      <c r="I22">
        <v>198</v>
      </c>
      <c r="J22">
        <v>0.97</v>
      </c>
      <c r="K22">
        <v>6.29</v>
      </c>
      <c r="L22">
        <v>1.2</v>
      </c>
      <c r="M22">
        <v>5</v>
      </c>
      <c r="N22">
        <v>544</v>
      </c>
    </row>
    <row r="23" spans="1:14" x14ac:dyDescent="0.35">
      <c r="A23">
        <v>2015</v>
      </c>
      <c r="B23">
        <v>6</v>
      </c>
      <c r="C23" t="s">
        <v>32</v>
      </c>
      <c r="D23" t="s">
        <v>15</v>
      </c>
      <c r="E23" t="s">
        <v>16</v>
      </c>
      <c r="F23" t="s">
        <v>17</v>
      </c>
      <c r="G23">
        <v>87975</v>
      </c>
      <c r="H23">
        <v>160489</v>
      </c>
      <c r="I23">
        <v>356</v>
      </c>
      <c r="J23">
        <v>0.97</v>
      </c>
      <c r="K23">
        <v>6.29</v>
      </c>
      <c r="L23">
        <v>1.2</v>
      </c>
      <c r="M23">
        <v>1</v>
      </c>
      <c r="N23">
        <v>751</v>
      </c>
    </row>
    <row r="24" spans="1:14" x14ac:dyDescent="0.35">
      <c r="A24">
        <v>2024</v>
      </c>
      <c r="B24">
        <v>11</v>
      </c>
      <c r="C24" t="s">
        <v>25</v>
      </c>
      <c r="D24" t="s">
        <v>33</v>
      </c>
      <c r="E24" t="s">
        <v>19</v>
      </c>
      <c r="F24" t="s">
        <v>23</v>
      </c>
      <c r="G24">
        <v>58154</v>
      </c>
      <c r="H24">
        <v>494874</v>
      </c>
      <c r="I24">
        <v>359</v>
      </c>
      <c r="J24">
        <v>0.97</v>
      </c>
      <c r="K24">
        <v>6.29</v>
      </c>
      <c r="L24">
        <v>1.2</v>
      </c>
      <c r="M24">
        <v>1</v>
      </c>
      <c r="N24">
        <v>1061</v>
      </c>
    </row>
    <row r="25" spans="1:14" x14ac:dyDescent="0.35">
      <c r="A25">
        <v>2020</v>
      </c>
      <c r="B25">
        <v>7</v>
      </c>
      <c r="C25" t="s">
        <v>28</v>
      </c>
      <c r="D25" t="s">
        <v>31</v>
      </c>
      <c r="E25" t="s">
        <v>19</v>
      </c>
      <c r="F25" t="s">
        <v>27</v>
      </c>
      <c r="G25">
        <v>60625</v>
      </c>
      <c r="H25">
        <v>492765</v>
      </c>
      <c r="I25">
        <v>323</v>
      </c>
      <c r="J25">
        <v>0.97</v>
      </c>
      <c r="K25">
        <v>6.29</v>
      </c>
      <c r="L25">
        <v>1.2</v>
      </c>
      <c r="M25">
        <v>2</v>
      </c>
      <c r="N25">
        <v>954</v>
      </c>
    </row>
    <row r="26" spans="1:14" x14ac:dyDescent="0.35">
      <c r="A26">
        <v>2023</v>
      </c>
      <c r="B26">
        <v>1</v>
      </c>
      <c r="C26" t="s">
        <v>36</v>
      </c>
      <c r="D26" t="s">
        <v>22</v>
      </c>
      <c r="E26" t="s">
        <v>16</v>
      </c>
      <c r="F26" t="s">
        <v>23</v>
      </c>
      <c r="G26">
        <v>79950</v>
      </c>
      <c r="H26">
        <v>308667</v>
      </c>
      <c r="I26">
        <v>137</v>
      </c>
      <c r="J26">
        <v>0.97</v>
      </c>
      <c r="K26">
        <v>6.29</v>
      </c>
      <c r="L26">
        <v>1.2</v>
      </c>
      <c r="M26">
        <v>8</v>
      </c>
      <c r="N26">
        <v>673</v>
      </c>
    </row>
    <row r="27" spans="1:14" x14ac:dyDescent="0.35">
      <c r="A27">
        <v>2015</v>
      </c>
      <c r="B27">
        <v>5</v>
      </c>
      <c r="C27" t="s">
        <v>37</v>
      </c>
      <c r="D27" t="s">
        <v>18</v>
      </c>
      <c r="E27" t="s">
        <v>16</v>
      </c>
      <c r="F27" t="s">
        <v>20</v>
      </c>
      <c r="G27">
        <v>91396</v>
      </c>
      <c r="H27">
        <v>61549</v>
      </c>
      <c r="I27">
        <v>16</v>
      </c>
      <c r="J27">
        <v>0.97</v>
      </c>
      <c r="K27">
        <v>6.29</v>
      </c>
      <c r="L27">
        <v>1.2</v>
      </c>
      <c r="M27">
        <v>7</v>
      </c>
      <c r="N27">
        <v>15</v>
      </c>
    </row>
    <row r="28" spans="1:14" x14ac:dyDescent="0.35">
      <c r="A28">
        <v>2024</v>
      </c>
      <c r="B28">
        <v>5</v>
      </c>
      <c r="C28" t="s">
        <v>28</v>
      </c>
      <c r="D28" t="s">
        <v>31</v>
      </c>
      <c r="E28" t="s">
        <v>19</v>
      </c>
      <c r="F28" t="s">
        <v>23</v>
      </c>
      <c r="G28">
        <v>48331</v>
      </c>
      <c r="H28">
        <v>75739</v>
      </c>
      <c r="I28">
        <v>56</v>
      </c>
      <c r="J28">
        <v>0.97</v>
      </c>
      <c r="K28">
        <v>6.29</v>
      </c>
      <c r="L28">
        <v>1.2</v>
      </c>
      <c r="M28">
        <v>10</v>
      </c>
      <c r="N28">
        <v>107</v>
      </c>
    </row>
    <row r="29" spans="1:14" x14ac:dyDescent="0.35">
      <c r="A29">
        <v>2017</v>
      </c>
      <c r="B29">
        <v>10</v>
      </c>
      <c r="C29" t="s">
        <v>37</v>
      </c>
      <c r="D29" t="s">
        <v>18</v>
      </c>
      <c r="E29" t="s">
        <v>16</v>
      </c>
      <c r="F29" t="s">
        <v>23</v>
      </c>
      <c r="G29">
        <v>98927</v>
      </c>
      <c r="H29">
        <v>333353</v>
      </c>
      <c r="I29">
        <v>62</v>
      </c>
      <c r="J29">
        <v>0.97</v>
      </c>
      <c r="K29">
        <v>6.29</v>
      </c>
      <c r="L29">
        <v>1.2</v>
      </c>
      <c r="M29">
        <v>9</v>
      </c>
      <c r="N29">
        <v>523</v>
      </c>
    </row>
    <row r="30" spans="1:14" x14ac:dyDescent="0.35">
      <c r="A30">
        <v>2021</v>
      </c>
      <c r="B30">
        <v>4</v>
      </c>
      <c r="C30" t="s">
        <v>30</v>
      </c>
      <c r="D30" t="s">
        <v>29</v>
      </c>
      <c r="E30" t="s">
        <v>19</v>
      </c>
      <c r="F30" t="s">
        <v>20</v>
      </c>
      <c r="G30">
        <v>119719</v>
      </c>
      <c r="H30">
        <v>157051</v>
      </c>
      <c r="I30">
        <v>196</v>
      </c>
      <c r="J30">
        <v>0.97</v>
      </c>
      <c r="K30">
        <v>6.29</v>
      </c>
      <c r="L30">
        <v>1.2</v>
      </c>
      <c r="M30">
        <v>5</v>
      </c>
      <c r="N30">
        <v>782</v>
      </c>
    </row>
    <row r="31" spans="1:14" x14ac:dyDescent="0.35">
      <c r="A31">
        <v>2018</v>
      </c>
      <c r="B31">
        <v>6</v>
      </c>
      <c r="C31" t="s">
        <v>37</v>
      </c>
      <c r="D31" t="s">
        <v>18</v>
      </c>
      <c r="E31" t="s">
        <v>16</v>
      </c>
      <c r="F31" t="s">
        <v>23</v>
      </c>
      <c r="G31">
        <v>98014</v>
      </c>
      <c r="H31">
        <v>65116</v>
      </c>
      <c r="I31">
        <v>47</v>
      </c>
      <c r="J31">
        <v>0.97</v>
      </c>
      <c r="K31">
        <v>6.29</v>
      </c>
      <c r="L31">
        <v>1.2</v>
      </c>
      <c r="M31">
        <v>2</v>
      </c>
      <c r="N31">
        <v>397</v>
      </c>
    </row>
    <row r="32" spans="1:14" x14ac:dyDescent="0.35">
      <c r="A32">
        <v>2023</v>
      </c>
      <c r="B32">
        <v>7</v>
      </c>
      <c r="C32" t="s">
        <v>36</v>
      </c>
      <c r="D32" t="s">
        <v>26</v>
      </c>
      <c r="E32" t="s">
        <v>16</v>
      </c>
      <c r="F32" t="s">
        <v>17</v>
      </c>
      <c r="G32">
        <v>74346</v>
      </c>
      <c r="H32">
        <v>70045</v>
      </c>
      <c r="I32">
        <v>235</v>
      </c>
      <c r="J32">
        <v>0.97</v>
      </c>
      <c r="K32">
        <v>6.29</v>
      </c>
      <c r="L32">
        <v>1.2</v>
      </c>
      <c r="M32">
        <v>7</v>
      </c>
      <c r="N32">
        <v>773</v>
      </c>
    </row>
    <row r="33" spans="1:14" x14ac:dyDescent="0.35">
      <c r="A33">
        <v>2017</v>
      </c>
      <c r="B33">
        <v>9</v>
      </c>
      <c r="C33" t="s">
        <v>36</v>
      </c>
      <c r="D33" t="s">
        <v>24</v>
      </c>
      <c r="E33" t="s">
        <v>16</v>
      </c>
      <c r="F33" t="s">
        <v>27</v>
      </c>
      <c r="G33">
        <v>105411</v>
      </c>
      <c r="H33">
        <v>469543</v>
      </c>
      <c r="I33">
        <v>62</v>
      </c>
      <c r="J33">
        <v>0.97</v>
      </c>
      <c r="K33">
        <v>6.29</v>
      </c>
      <c r="L33">
        <v>1.2</v>
      </c>
      <c r="M33">
        <v>8</v>
      </c>
      <c r="N33">
        <v>179</v>
      </c>
    </row>
    <row r="34" spans="1:14" x14ac:dyDescent="0.35">
      <c r="A34">
        <v>2019</v>
      </c>
      <c r="B34">
        <v>1</v>
      </c>
      <c r="C34" t="s">
        <v>25</v>
      </c>
      <c r="D34" t="s">
        <v>33</v>
      </c>
      <c r="E34" t="s">
        <v>19</v>
      </c>
      <c r="F34" t="s">
        <v>23</v>
      </c>
      <c r="G34">
        <v>89478</v>
      </c>
      <c r="H34">
        <v>85709</v>
      </c>
      <c r="I34">
        <v>233</v>
      </c>
      <c r="J34">
        <v>0.97</v>
      </c>
      <c r="K34">
        <v>6.29</v>
      </c>
      <c r="L34">
        <v>1.2</v>
      </c>
      <c r="M34">
        <v>7</v>
      </c>
      <c r="N34">
        <v>652</v>
      </c>
    </row>
    <row r="35" spans="1:14" x14ac:dyDescent="0.35">
      <c r="A35">
        <v>2017</v>
      </c>
      <c r="B35">
        <v>6</v>
      </c>
      <c r="C35" t="s">
        <v>38</v>
      </c>
      <c r="D35" t="s">
        <v>39</v>
      </c>
      <c r="E35" t="s">
        <v>16</v>
      </c>
      <c r="F35" t="s">
        <v>20</v>
      </c>
      <c r="G35">
        <v>47254</v>
      </c>
      <c r="H35">
        <v>355761</v>
      </c>
      <c r="I35">
        <v>163</v>
      </c>
      <c r="J35">
        <v>0.97</v>
      </c>
      <c r="K35">
        <v>6.29</v>
      </c>
      <c r="L35">
        <v>1.2</v>
      </c>
      <c r="M35">
        <v>7</v>
      </c>
      <c r="N35">
        <v>389</v>
      </c>
    </row>
    <row r="36" spans="1:14" x14ac:dyDescent="0.35">
      <c r="A36">
        <v>2021</v>
      </c>
      <c r="B36">
        <v>7</v>
      </c>
      <c r="C36" t="s">
        <v>30</v>
      </c>
      <c r="D36" t="s">
        <v>15</v>
      </c>
      <c r="E36" t="s">
        <v>19</v>
      </c>
      <c r="F36" t="s">
        <v>27</v>
      </c>
      <c r="G36">
        <v>90734</v>
      </c>
      <c r="H36">
        <v>207977</v>
      </c>
      <c r="I36">
        <v>57</v>
      </c>
      <c r="J36">
        <v>0.97</v>
      </c>
      <c r="K36">
        <v>6.29</v>
      </c>
      <c r="L36">
        <v>1.2</v>
      </c>
      <c r="M36">
        <v>5</v>
      </c>
      <c r="N36">
        <v>213</v>
      </c>
    </row>
    <row r="37" spans="1:14" x14ac:dyDescent="0.35">
      <c r="A37">
        <v>2019</v>
      </c>
      <c r="B37">
        <v>3</v>
      </c>
      <c r="C37" t="s">
        <v>21</v>
      </c>
      <c r="D37" t="s">
        <v>26</v>
      </c>
      <c r="E37" t="s">
        <v>19</v>
      </c>
      <c r="F37" t="s">
        <v>20</v>
      </c>
      <c r="G37">
        <v>63621</v>
      </c>
      <c r="H37">
        <v>253675</v>
      </c>
      <c r="I37">
        <v>360</v>
      </c>
      <c r="J37">
        <v>0.97</v>
      </c>
      <c r="K37">
        <v>6.29</v>
      </c>
      <c r="L37">
        <v>1.2</v>
      </c>
      <c r="M37">
        <v>2</v>
      </c>
      <c r="N37">
        <v>945</v>
      </c>
    </row>
    <row r="38" spans="1:14" x14ac:dyDescent="0.35">
      <c r="A38">
        <v>2023</v>
      </c>
      <c r="B38">
        <v>8</v>
      </c>
      <c r="C38" t="s">
        <v>14</v>
      </c>
      <c r="D38" t="s">
        <v>18</v>
      </c>
      <c r="E38" t="s">
        <v>16</v>
      </c>
      <c r="F38" t="s">
        <v>27</v>
      </c>
      <c r="G38">
        <v>111441</v>
      </c>
      <c r="H38">
        <v>279167</v>
      </c>
      <c r="I38">
        <v>156</v>
      </c>
      <c r="J38">
        <v>0.97</v>
      </c>
      <c r="K38">
        <v>6.29</v>
      </c>
      <c r="L38">
        <v>1.2</v>
      </c>
      <c r="M38">
        <v>6</v>
      </c>
      <c r="N38">
        <v>705</v>
      </c>
    </row>
    <row r="39" spans="1:14" x14ac:dyDescent="0.35">
      <c r="A39">
        <v>2021</v>
      </c>
      <c r="B39">
        <v>5</v>
      </c>
      <c r="C39" t="s">
        <v>37</v>
      </c>
      <c r="D39" t="s">
        <v>34</v>
      </c>
      <c r="E39" t="s">
        <v>16</v>
      </c>
      <c r="F39" t="s">
        <v>27</v>
      </c>
      <c r="G39">
        <v>81121</v>
      </c>
      <c r="H39">
        <v>431923</v>
      </c>
      <c r="I39">
        <v>73</v>
      </c>
      <c r="J39">
        <v>0.97</v>
      </c>
      <c r="K39">
        <v>6.29</v>
      </c>
      <c r="L39">
        <v>1.2</v>
      </c>
      <c r="M39">
        <v>4</v>
      </c>
      <c r="N39">
        <v>368</v>
      </c>
    </row>
    <row r="40" spans="1:14" x14ac:dyDescent="0.35">
      <c r="A40">
        <v>2016</v>
      </c>
      <c r="B40">
        <v>9</v>
      </c>
      <c r="C40" t="s">
        <v>38</v>
      </c>
      <c r="D40" t="s">
        <v>33</v>
      </c>
      <c r="E40" t="s">
        <v>19</v>
      </c>
      <c r="F40" t="s">
        <v>23</v>
      </c>
      <c r="G40">
        <v>116418</v>
      </c>
      <c r="H40">
        <v>355063</v>
      </c>
      <c r="I40">
        <v>358</v>
      </c>
      <c r="J40">
        <v>0.97</v>
      </c>
      <c r="K40">
        <v>6.29</v>
      </c>
      <c r="L40">
        <v>1.2</v>
      </c>
      <c r="M40">
        <v>10</v>
      </c>
      <c r="N40">
        <v>743</v>
      </c>
    </row>
    <row r="41" spans="1:14" x14ac:dyDescent="0.35">
      <c r="A41">
        <v>2018</v>
      </c>
      <c r="B41">
        <v>5</v>
      </c>
      <c r="C41" t="s">
        <v>25</v>
      </c>
      <c r="D41" t="s">
        <v>26</v>
      </c>
      <c r="E41" t="s">
        <v>19</v>
      </c>
      <c r="F41" t="s">
        <v>17</v>
      </c>
      <c r="G41">
        <v>95197</v>
      </c>
      <c r="H41">
        <v>395665</v>
      </c>
      <c r="I41">
        <v>191</v>
      </c>
      <c r="J41">
        <v>0.97</v>
      </c>
      <c r="K41">
        <v>6.29</v>
      </c>
      <c r="L41">
        <v>1.2</v>
      </c>
      <c r="M41">
        <v>2</v>
      </c>
      <c r="N41">
        <v>805</v>
      </c>
    </row>
    <row r="42" spans="1:14" x14ac:dyDescent="0.35">
      <c r="A42">
        <v>2023</v>
      </c>
      <c r="B42">
        <v>9</v>
      </c>
      <c r="C42" t="s">
        <v>32</v>
      </c>
      <c r="D42" t="s">
        <v>15</v>
      </c>
      <c r="E42" t="s">
        <v>20</v>
      </c>
      <c r="F42" t="s">
        <v>23</v>
      </c>
      <c r="G42">
        <v>119577</v>
      </c>
      <c r="H42">
        <v>269222</v>
      </c>
      <c r="I42">
        <v>134</v>
      </c>
      <c r="J42">
        <v>0.97</v>
      </c>
      <c r="K42">
        <v>6.29</v>
      </c>
      <c r="L42">
        <v>1.2</v>
      </c>
      <c r="M42">
        <v>9</v>
      </c>
      <c r="N42">
        <v>380</v>
      </c>
    </row>
    <row r="43" spans="1:14" x14ac:dyDescent="0.35">
      <c r="A43">
        <v>2016</v>
      </c>
      <c r="B43">
        <v>10</v>
      </c>
      <c r="C43" t="s">
        <v>21</v>
      </c>
      <c r="D43" t="s">
        <v>24</v>
      </c>
      <c r="E43" t="s">
        <v>19</v>
      </c>
      <c r="F43" t="s">
        <v>20</v>
      </c>
      <c r="G43">
        <v>77431</v>
      </c>
      <c r="H43">
        <v>239518</v>
      </c>
      <c r="I43">
        <v>188</v>
      </c>
      <c r="J43">
        <v>0.97</v>
      </c>
      <c r="K43">
        <v>6.29</v>
      </c>
      <c r="L43">
        <v>1.2</v>
      </c>
      <c r="M43">
        <v>7</v>
      </c>
      <c r="N43">
        <v>543</v>
      </c>
    </row>
    <row r="44" spans="1:14" x14ac:dyDescent="0.35">
      <c r="A44">
        <v>2024</v>
      </c>
      <c r="B44">
        <v>4</v>
      </c>
      <c r="C44" t="s">
        <v>35</v>
      </c>
      <c r="D44" t="s">
        <v>33</v>
      </c>
      <c r="E44" t="s">
        <v>20</v>
      </c>
      <c r="F44" t="s">
        <v>20</v>
      </c>
      <c r="G44">
        <v>39837</v>
      </c>
      <c r="H44">
        <v>233500</v>
      </c>
      <c r="I44">
        <v>48</v>
      </c>
      <c r="J44">
        <v>0.97</v>
      </c>
      <c r="K44">
        <v>6.29</v>
      </c>
      <c r="L44">
        <v>1.2</v>
      </c>
      <c r="M44">
        <v>6</v>
      </c>
      <c r="N44">
        <v>429</v>
      </c>
    </row>
    <row r="45" spans="1:14" x14ac:dyDescent="0.35">
      <c r="A45">
        <v>2023</v>
      </c>
      <c r="B45">
        <v>9</v>
      </c>
      <c r="C45" t="s">
        <v>38</v>
      </c>
      <c r="D45" t="s">
        <v>15</v>
      </c>
      <c r="E45" t="s">
        <v>20</v>
      </c>
      <c r="F45" t="s">
        <v>27</v>
      </c>
      <c r="G45">
        <v>118163</v>
      </c>
      <c r="H45">
        <v>491110</v>
      </c>
      <c r="I45">
        <v>269</v>
      </c>
      <c r="J45">
        <v>0.97</v>
      </c>
      <c r="K45">
        <v>6.29</v>
      </c>
      <c r="L45">
        <v>1.2</v>
      </c>
      <c r="M45">
        <v>5</v>
      </c>
      <c r="N45">
        <v>661</v>
      </c>
    </row>
    <row r="46" spans="1:14" x14ac:dyDescent="0.35">
      <c r="A46">
        <v>2024</v>
      </c>
      <c r="B46">
        <v>5</v>
      </c>
      <c r="C46" t="s">
        <v>32</v>
      </c>
      <c r="D46" t="s">
        <v>29</v>
      </c>
      <c r="E46" t="s">
        <v>20</v>
      </c>
      <c r="F46" t="s">
        <v>27</v>
      </c>
      <c r="G46">
        <v>106232</v>
      </c>
      <c r="H46">
        <v>318591</v>
      </c>
      <c r="I46">
        <v>391</v>
      </c>
      <c r="J46">
        <v>0.97</v>
      </c>
      <c r="K46">
        <v>6.29</v>
      </c>
      <c r="L46">
        <v>1.2</v>
      </c>
      <c r="M46">
        <v>3</v>
      </c>
      <c r="N46">
        <v>1001</v>
      </c>
    </row>
    <row r="47" spans="1:14" x14ac:dyDescent="0.35">
      <c r="A47">
        <v>2019</v>
      </c>
      <c r="B47">
        <v>10</v>
      </c>
      <c r="C47" t="s">
        <v>30</v>
      </c>
      <c r="D47" t="s">
        <v>29</v>
      </c>
      <c r="E47" t="s">
        <v>16</v>
      </c>
      <c r="F47" t="s">
        <v>17</v>
      </c>
      <c r="G47">
        <v>83994</v>
      </c>
      <c r="H47">
        <v>55499</v>
      </c>
      <c r="I47">
        <v>12</v>
      </c>
      <c r="J47">
        <v>0.97</v>
      </c>
      <c r="K47">
        <v>6.29</v>
      </c>
      <c r="L47">
        <v>1.2</v>
      </c>
      <c r="M47">
        <v>10</v>
      </c>
      <c r="N47">
        <v>413</v>
      </c>
    </row>
    <row r="48" spans="1:14" x14ac:dyDescent="0.35">
      <c r="A48">
        <v>2016</v>
      </c>
      <c r="B48">
        <v>9</v>
      </c>
      <c r="C48" t="s">
        <v>25</v>
      </c>
      <c r="D48" t="s">
        <v>15</v>
      </c>
      <c r="E48" t="s">
        <v>16</v>
      </c>
      <c r="F48" t="s">
        <v>23</v>
      </c>
      <c r="G48">
        <v>114079</v>
      </c>
      <c r="H48">
        <v>89041</v>
      </c>
      <c r="I48">
        <v>73</v>
      </c>
      <c r="J48">
        <v>0.97</v>
      </c>
      <c r="K48">
        <v>6.29</v>
      </c>
      <c r="L48">
        <v>1.2</v>
      </c>
      <c r="M48">
        <v>10</v>
      </c>
      <c r="N48">
        <v>396</v>
      </c>
    </row>
    <row r="49" spans="1:14" x14ac:dyDescent="0.35">
      <c r="A49">
        <v>2018</v>
      </c>
      <c r="B49">
        <v>3</v>
      </c>
      <c r="C49" t="s">
        <v>21</v>
      </c>
      <c r="D49" t="s">
        <v>26</v>
      </c>
      <c r="E49" t="s">
        <v>19</v>
      </c>
      <c r="F49" t="s">
        <v>20</v>
      </c>
      <c r="G49">
        <v>47615</v>
      </c>
      <c r="H49">
        <v>343459</v>
      </c>
      <c r="I49">
        <v>38</v>
      </c>
      <c r="J49">
        <v>0.97</v>
      </c>
      <c r="K49">
        <v>6.29</v>
      </c>
      <c r="L49">
        <v>1.2</v>
      </c>
      <c r="M49">
        <v>4</v>
      </c>
      <c r="N49">
        <v>225</v>
      </c>
    </row>
    <row r="50" spans="1:14" x14ac:dyDescent="0.35">
      <c r="A50">
        <v>2021</v>
      </c>
      <c r="B50">
        <v>4</v>
      </c>
      <c r="C50" t="s">
        <v>21</v>
      </c>
      <c r="D50" t="s">
        <v>33</v>
      </c>
      <c r="E50" t="s">
        <v>20</v>
      </c>
      <c r="F50" t="s">
        <v>27</v>
      </c>
      <c r="G50">
        <v>36466</v>
      </c>
      <c r="H50">
        <v>182371</v>
      </c>
      <c r="I50">
        <v>381</v>
      </c>
      <c r="J50">
        <v>0.97</v>
      </c>
      <c r="K50">
        <v>6.29</v>
      </c>
      <c r="L50">
        <v>1.2</v>
      </c>
      <c r="M50">
        <v>3</v>
      </c>
      <c r="N50">
        <v>992</v>
      </c>
    </row>
    <row r="51" spans="1:14" x14ac:dyDescent="0.35">
      <c r="A51">
        <v>2022</v>
      </c>
      <c r="B51">
        <v>9</v>
      </c>
      <c r="C51" t="s">
        <v>21</v>
      </c>
      <c r="D51" t="s">
        <v>26</v>
      </c>
      <c r="E51" t="s">
        <v>16</v>
      </c>
      <c r="F51" t="s">
        <v>17</v>
      </c>
      <c r="G51">
        <v>65771</v>
      </c>
      <c r="H51">
        <v>432650</v>
      </c>
      <c r="I51">
        <v>20</v>
      </c>
      <c r="J51">
        <v>0.97</v>
      </c>
      <c r="K51">
        <v>6.29</v>
      </c>
      <c r="L51">
        <v>1.2</v>
      </c>
      <c r="M51">
        <v>8</v>
      </c>
      <c r="N51">
        <v>476</v>
      </c>
    </row>
    <row r="52" spans="1:14" x14ac:dyDescent="0.35">
      <c r="A52">
        <v>2017</v>
      </c>
      <c r="B52">
        <v>10</v>
      </c>
      <c r="C52" t="s">
        <v>30</v>
      </c>
      <c r="D52" t="s">
        <v>22</v>
      </c>
      <c r="E52" t="s">
        <v>16</v>
      </c>
      <c r="F52" t="s">
        <v>20</v>
      </c>
      <c r="G52">
        <v>118886</v>
      </c>
      <c r="H52">
        <v>186066</v>
      </c>
      <c r="I52">
        <v>106</v>
      </c>
      <c r="J52">
        <v>0.97</v>
      </c>
      <c r="K52">
        <v>6.29</v>
      </c>
      <c r="L52">
        <v>1.2</v>
      </c>
      <c r="M52">
        <v>3</v>
      </c>
      <c r="N52">
        <v>357</v>
      </c>
    </row>
    <row r="53" spans="1:14" x14ac:dyDescent="0.35">
      <c r="A53">
        <v>2015</v>
      </c>
      <c r="B53">
        <v>11</v>
      </c>
      <c r="C53" t="s">
        <v>37</v>
      </c>
      <c r="D53" t="s">
        <v>18</v>
      </c>
      <c r="E53" t="s">
        <v>16</v>
      </c>
      <c r="F53" t="s">
        <v>27</v>
      </c>
      <c r="G53">
        <v>100911</v>
      </c>
      <c r="H53">
        <v>276486</v>
      </c>
      <c r="I53">
        <v>367</v>
      </c>
      <c r="J53">
        <v>0.97</v>
      </c>
      <c r="K53">
        <v>6.29</v>
      </c>
      <c r="L53">
        <v>1.2</v>
      </c>
      <c r="M53">
        <v>7</v>
      </c>
      <c r="N53">
        <v>1145</v>
      </c>
    </row>
    <row r="54" spans="1:14" x14ac:dyDescent="0.35">
      <c r="A54">
        <v>2018</v>
      </c>
      <c r="B54">
        <v>6</v>
      </c>
      <c r="C54" t="s">
        <v>35</v>
      </c>
      <c r="D54" t="s">
        <v>22</v>
      </c>
      <c r="E54" t="s">
        <v>16</v>
      </c>
      <c r="F54" t="s">
        <v>20</v>
      </c>
      <c r="G54">
        <v>55746</v>
      </c>
      <c r="H54">
        <v>262235</v>
      </c>
      <c r="I54">
        <v>212</v>
      </c>
      <c r="J54">
        <v>0.97</v>
      </c>
      <c r="K54">
        <v>6.29</v>
      </c>
      <c r="L54">
        <v>1.2</v>
      </c>
      <c r="M54">
        <v>7</v>
      </c>
      <c r="N54">
        <v>679</v>
      </c>
    </row>
    <row r="55" spans="1:14" x14ac:dyDescent="0.35">
      <c r="A55">
        <v>2016</v>
      </c>
      <c r="B55">
        <v>2</v>
      </c>
      <c r="C55" t="s">
        <v>30</v>
      </c>
      <c r="D55" t="s">
        <v>29</v>
      </c>
      <c r="E55" t="s">
        <v>16</v>
      </c>
      <c r="F55" t="s">
        <v>17</v>
      </c>
      <c r="G55">
        <v>95739</v>
      </c>
      <c r="H55">
        <v>307831</v>
      </c>
      <c r="I55">
        <v>30</v>
      </c>
      <c r="J55">
        <v>0.97</v>
      </c>
      <c r="K55">
        <v>6.29</v>
      </c>
      <c r="L55">
        <v>1.2</v>
      </c>
      <c r="M55">
        <v>7</v>
      </c>
      <c r="N55">
        <v>184</v>
      </c>
    </row>
    <row r="56" spans="1:14" x14ac:dyDescent="0.35">
      <c r="A56">
        <v>2022</v>
      </c>
      <c r="B56">
        <v>7</v>
      </c>
      <c r="C56" t="s">
        <v>14</v>
      </c>
      <c r="D56" t="s">
        <v>24</v>
      </c>
      <c r="E56" t="s">
        <v>20</v>
      </c>
      <c r="F56" t="s">
        <v>17</v>
      </c>
      <c r="G56">
        <v>108369</v>
      </c>
      <c r="H56">
        <v>450705</v>
      </c>
      <c r="I56">
        <v>48</v>
      </c>
      <c r="J56">
        <v>0.97</v>
      </c>
      <c r="K56">
        <v>6.29</v>
      </c>
      <c r="L56">
        <v>1.2</v>
      </c>
      <c r="M56">
        <v>7</v>
      </c>
      <c r="N56">
        <v>205</v>
      </c>
    </row>
    <row r="57" spans="1:14" x14ac:dyDescent="0.35">
      <c r="A57">
        <v>2018</v>
      </c>
      <c r="B57">
        <v>2</v>
      </c>
      <c r="C57" t="s">
        <v>35</v>
      </c>
      <c r="D57" t="s">
        <v>31</v>
      </c>
      <c r="E57" t="s">
        <v>20</v>
      </c>
      <c r="F57" t="s">
        <v>20</v>
      </c>
      <c r="G57">
        <v>36893</v>
      </c>
      <c r="H57">
        <v>403791</v>
      </c>
      <c r="I57">
        <v>232</v>
      </c>
      <c r="J57">
        <v>0.97</v>
      </c>
      <c r="K57">
        <v>6.29</v>
      </c>
      <c r="L57">
        <v>1.2</v>
      </c>
      <c r="M57">
        <v>2</v>
      </c>
      <c r="N57">
        <v>534</v>
      </c>
    </row>
    <row r="58" spans="1:14" x14ac:dyDescent="0.35">
      <c r="A58">
        <v>2016</v>
      </c>
      <c r="B58">
        <v>11</v>
      </c>
      <c r="C58" t="s">
        <v>36</v>
      </c>
      <c r="D58" t="s">
        <v>18</v>
      </c>
      <c r="E58" t="s">
        <v>20</v>
      </c>
      <c r="F58" t="s">
        <v>23</v>
      </c>
      <c r="G58">
        <v>65573</v>
      </c>
      <c r="H58">
        <v>344499</v>
      </c>
      <c r="I58">
        <v>111</v>
      </c>
      <c r="J58">
        <v>0.97</v>
      </c>
      <c r="K58">
        <v>6.29</v>
      </c>
      <c r="L58">
        <v>1.2</v>
      </c>
      <c r="M58">
        <v>10</v>
      </c>
      <c r="N58">
        <v>578</v>
      </c>
    </row>
    <row r="59" spans="1:14" x14ac:dyDescent="0.35">
      <c r="A59">
        <v>2020</v>
      </c>
      <c r="B59">
        <v>2</v>
      </c>
      <c r="C59" t="s">
        <v>25</v>
      </c>
      <c r="D59" t="s">
        <v>29</v>
      </c>
      <c r="E59" t="s">
        <v>20</v>
      </c>
      <c r="F59" t="s">
        <v>20</v>
      </c>
      <c r="G59">
        <v>75874</v>
      </c>
      <c r="H59">
        <v>385949</v>
      </c>
      <c r="I59">
        <v>55</v>
      </c>
      <c r="J59">
        <v>0.97</v>
      </c>
      <c r="K59">
        <v>6.29</v>
      </c>
      <c r="L59">
        <v>1.2</v>
      </c>
      <c r="M59">
        <v>3</v>
      </c>
      <c r="N59">
        <v>292</v>
      </c>
    </row>
    <row r="60" spans="1:14" x14ac:dyDescent="0.35">
      <c r="A60">
        <v>2020</v>
      </c>
      <c r="B60">
        <v>11</v>
      </c>
      <c r="C60" t="s">
        <v>30</v>
      </c>
      <c r="D60" t="s">
        <v>26</v>
      </c>
      <c r="E60" t="s">
        <v>19</v>
      </c>
      <c r="F60" t="s">
        <v>27</v>
      </c>
      <c r="G60">
        <v>112362</v>
      </c>
      <c r="H60">
        <v>380511</v>
      </c>
      <c r="I60">
        <v>75</v>
      </c>
      <c r="J60">
        <v>0.97</v>
      </c>
      <c r="K60">
        <v>6.29</v>
      </c>
      <c r="L60">
        <v>1.2</v>
      </c>
      <c r="M60">
        <v>10</v>
      </c>
      <c r="N60">
        <v>495</v>
      </c>
    </row>
    <row r="61" spans="1:14" x14ac:dyDescent="0.35">
      <c r="A61">
        <v>2024</v>
      </c>
      <c r="B61">
        <v>1</v>
      </c>
      <c r="C61" t="s">
        <v>32</v>
      </c>
      <c r="D61" t="s">
        <v>26</v>
      </c>
      <c r="E61" t="s">
        <v>20</v>
      </c>
      <c r="F61" t="s">
        <v>23</v>
      </c>
      <c r="G61">
        <v>68367</v>
      </c>
      <c r="H61">
        <v>422050</v>
      </c>
      <c r="I61">
        <v>100</v>
      </c>
      <c r="J61">
        <v>0.97</v>
      </c>
      <c r="K61">
        <v>6.29</v>
      </c>
      <c r="L61">
        <v>1.2</v>
      </c>
      <c r="M61">
        <v>9</v>
      </c>
      <c r="N61">
        <v>576</v>
      </c>
    </row>
    <row r="62" spans="1:14" x14ac:dyDescent="0.35">
      <c r="A62">
        <v>2018</v>
      </c>
      <c r="B62">
        <v>11</v>
      </c>
      <c r="C62" t="s">
        <v>35</v>
      </c>
      <c r="D62" t="s">
        <v>26</v>
      </c>
      <c r="E62" t="s">
        <v>16</v>
      </c>
      <c r="F62" t="s">
        <v>27</v>
      </c>
      <c r="G62">
        <v>56199</v>
      </c>
      <c r="H62">
        <v>429553</v>
      </c>
      <c r="I62">
        <v>173</v>
      </c>
      <c r="J62">
        <v>0.97</v>
      </c>
      <c r="K62">
        <v>6.29</v>
      </c>
      <c r="L62">
        <v>1.2</v>
      </c>
      <c r="M62">
        <v>3</v>
      </c>
      <c r="N62">
        <v>534</v>
      </c>
    </row>
    <row r="63" spans="1:14" x14ac:dyDescent="0.35">
      <c r="A63">
        <v>2020</v>
      </c>
      <c r="B63">
        <v>11</v>
      </c>
      <c r="C63" t="s">
        <v>14</v>
      </c>
      <c r="D63" t="s">
        <v>24</v>
      </c>
      <c r="E63" t="s">
        <v>20</v>
      </c>
      <c r="F63" t="s">
        <v>20</v>
      </c>
      <c r="G63">
        <v>109328</v>
      </c>
      <c r="H63">
        <v>389499</v>
      </c>
      <c r="I63">
        <v>120</v>
      </c>
      <c r="J63">
        <v>0.97</v>
      </c>
      <c r="K63">
        <v>6.29</v>
      </c>
      <c r="L63">
        <v>1.2</v>
      </c>
      <c r="M63">
        <v>2</v>
      </c>
      <c r="N63">
        <v>453</v>
      </c>
    </row>
    <row r="64" spans="1:14" x14ac:dyDescent="0.35">
      <c r="A64">
        <v>2016</v>
      </c>
      <c r="B64">
        <v>12</v>
      </c>
      <c r="C64" t="s">
        <v>36</v>
      </c>
      <c r="D64" t="s">
        <v>22</v>
      </c>
      <c r="E64" t="s">
        <v>19</v>
      </c>
      <c r="F64" t="s">
        <v>23</v>
      </c>
      <c r="G64">
        <v>92724</v>
      </c>
      <c r="H64">
        <v>166220</v>
      </c>
      <c r="I64">
        <v>347</v>
      </c>
      <c r="J64">
        <v>0.97</v>
      </c>
      <c r="K64">
        <v>6.29</v>
      </c>
      <c r="L64">
        <v>1.2</v>
      </c>
      <c r="M64">
        <v>9</v>
      </c>
      <c r="N64">
        <v>1070</v>
      </c>
    </row>
    <row r="65" spans="1:14" x14ac:dyDescent="0.35">
      <c r="A65">
        <v>2024</v>
      </c>
      <c r="B65">
        <v>11</v>
      </c>
      <c r="C65" t="s">
        <v>37</v>
      </c>
      <c r="D65" t="s">
        <v>31</v>
      </c>
      <c r="E65" t="s">
        <v>16</v>
      </c>
      <c r="F65" t="s">
        <v>27</v>
      </c>
      <c r="G65">
        <v>71405</v>
      </c>
      <c r="H65">
        <v>271421</v>
      </c>
      <c r="I65">
        <v>132</v>
      </c>
      <c r="J65">
        <v>0.97</v>
      </c>
      <c r="K65">
        <v>6.29</v>
      </c>
      <c r="L65">
        <v>1.2</v>
      </c>
      <c r="M65">
        <v>10</v>
      </c>
      <c r="N65">
        <v>348</v>
      </c>
    </row>
    <row r="66" spans="1:14" x14ac:dyDescent="0.35">
      <c r="A66">
        <v>2016</v>
      </c>
      <c r="B66">
        <v>3</v>
      </c>
      <c r="C66" t="s">
        <v>32</v>
      </c>
      <c r="D66" t="s">
        <v>26</v>
      </c>
      <c r="E66" t="s">
        <v>20</v>
      </c>
      <c r="F66" t="s">
        <v>20</v>
      </c>
      <c r="G66">
        <v>50989</v>
      </c>
      <c r="H66">
        <v>399317</v>
      </c>
      <c r="I66">
        <v>202</v>
      </c>
      <c r="J66">
        <v>0.97</v>
      </c>
      <c r="K66">
        <v>6.29</v>
      </c>
      <c r="L66">
        <v>1.2</v>
      </c>
      <c r="M66">
        <v>9</v>
      </c>
      <c r="N66">
        <v>651</v>
      </c>
    </row>
    <row r="67" spans="1:14" x14ac:dyDescent="0.35">
      <c r="A67">
        <v>2024</v>
      </c>
      <c r="B67">
        <v>6</v>
      </c>
      <c r="C67" t="s">
        <v>35</v>
      </c>
      <c r="D67" t="s">
        <v>39</v>
      </c>
      <c r="E67" t="s">
        <v>20</v>
      </c>
      <c r="F67" t="s">
        <v>20</v>
      </c>
      <c r="G67">
        <v>63931</v>
      </c>
      <c r="H67">
        <v>314140</v>
      </c>
      <c r="I67">
        <v>108</v>
      </c>
      <c r="J67">
        <v>0.97</v>
      </c>
      <c r="K67">
        <v>6.29</v>
      </c>
      <c r="L67">
        <v>1.2</v>
      </c>
      <c r="M67">
        <v>4</v>
      </c>
      <c r="N67">
        <v>307</v>
      </c>
    </row>
    <row r="68" spans="1:14" x14ac:dyDescent="0.35">
      <c r="A68">
        <v>2018</v>
      </c>
      <c r="B68">
        <v>8</v>
      </c>
      <c r="C68" t="s">
        <v>25</v>
      </c>
      <c r="D68" t="s">
        <v>18</v>
      </c>
      <c r="E68" t="s">
        <v>20</v>
      </c>
      <c r="F68" t="s">
        <v>23</v>
      </c>
      <c r="G68">
        <v>44290</v>
      </c>
      <c r="H68">
        <v>301071</v>
      </c>
      <c r="I68">
        <v>300</v>
      </c>
      <c r="J68">
        <v>0.97</v>
      </c>
      <c r="K68">
        <v>6.29</v>
      </c>
      <c r="L68">
        <v>1.2</v>
      </c>
      <c r="M68">
        <v>9</v>
      </c>
      <c r="N68">
        <v>951</v>
      </c>
    </row>
    <row r="69" spans="1:14" x14ac:dyDescent="0.35">
      <c r="A69">
        <v>2022</v>
      </c>
      <c r="B69">
        <v>9</v>
      </c>
      <c r="C69" t="s">
        <v>32</v>
      </c>
      <c r="D69" t="s">
        <v>33</v>
      </c>
      <c r="E69" t="s">
        <v>16</v>
      </c>
      <c r="F69" t="s">
        <v>20</v>
      </c>
      <c r="G69">
        <v>73367</v>
      </c>
      <c r="H69">
        <v>356531</v>
      </c>
      <c r="I69">
        <v>168</v>
      </c>
      <c r="J69">
        <v>0.97</v>
      </c>
      <c r="K69">
        <v>6.29</v>
      </c>
      <c r="L69">
        <v>1.2</v>
      </c>
      <c r="M69">
        <v>3</v>
      </c>
      <c r="N69">
        <v>393</v>
      </c>
    </row>
    <row r="70" spans="1:14" x14ac:dyDescent="0.35">
      <c r="A70">
        <v>2021</v>
      </c>
      <c r="B70">
        <v>7</v>
      </c>
      <c r="C70" t="s">
        <v>36</v>
      </c>
      <c r="D70" t="s">
        <v>39</v>
      </c>
      <c r="E70" t="s">
        <v>16</v>
      </c>
      <c r="F70" t="s">
        <v>17</v>
      </c>
      <c r="G70">
        <v>114878</v>
      </c>
      <c r="H70">
        <v>53089</v>
      </c>
      <c r="I70">
        <v>112</v>
      </c>
      <c r="J70">
        <v>0.97</v>
      </c>
      <c r="K70">
        <v>6.29</v>
      </c>
      <c r="L70">
        <v>1.2</v>
      </c>
      <c r="M70">
        <v>7</v>
      </c>
      <c r="N70">
        <v>453</v>
      </c>
    </row>
    <row r="71" spans="1:14" x14ac:dyDescent="0.35">
      <c r="A71">
        <v>2023</v>
      </c>
      <c r="B71">
        <v>4</v>
      </c>
      <c r="C71" t="s">
        <v>32</v>
      </c>
      <c r="D71" t="s">
        <v>31</v>
      </c>
      <c r="E71" t="s">
        <v>19</v>
      </c>
      <c r="F71" t="s">
        <v>27</v>
      </c>
      <c r="G71">
        <v>114481</v>
      </c>
      <c r="H71">
        <v>410971</v>
      </c>
      <c r="I71">
        <v>394</v>
      </c>
      <c r="J71">
        <v>0.97</v>
      </c>
      <c r="K71">
        <v>6.29</v>
      </c>
      <c r="L71">
        <v>1.2</v>
      </c>
      <c r="M71">
        <v>7</v>
      </c>
      <c r="N71">
        <v>1190</v>
      </c>
    </row>
    <row r="72" spans="1:14" x14ac:dyDescent="0.35">
      <c r="A72">
        <v>2022</v>
      </c>
      <c r="B72">
        <v>6</v>
      </c>
      <c r="C72" t="s">
        <v>28</v>
      </c>
      <c r="D72" t="s">
        <v>24</v>
      </c>
      <c r="E72" t="s">
        <v>16</v>
      </c>
      <c r="F72" t="s">
        <v>27</v>
      </c>
      <c r="G72">
        <v>111298</v>
      </c>
      <c r="H72">
        <v>332803</v>
      </c>
      <c r="I72">
        <v>290</v>
      </c>
      <c r="J72">
        <v>0.97</v>
      </c>
      <c r="K72">
        <v>6.29</v>
      </c>
      <c r="L72">
        <v>1.2</v>
      </c>
      <c r="M72">
        <v>8</v>
      </c>
      <c r="N72">
        <v>847</v>
      </c>
    </row>
    <row r="73" spans="1:14" x14ac:dyDescent="0.35">
      <c r="A73">
        <v>2019</v>
      </c>
      <c r="B73">
        <v>5</v>
      </c>
      <c r="C73" t="s">
        <v>38</v>
      </c>
      <c r="D73" t="s">
        <v>31</v>
      </c>
      <c r="E73" t="s">
        <v>16</v>
      </c>
      <c r="F73" t="s">
        <v>20</v>
      </c>
      <c r="G73">
        <v>65133</v>
      </c>
      <c r="H73">
        <v>357322</v>
      </c>
      <c r="I73">
        <v>52</v>
      </c>
      <c r="J73">
        <v>0.97</v>
      </c>
      <c r="K73">
        <v>6.29</v>
      </c>
      <c r="L73">
        <v>1.2</v>
      </c>
      <c r="M73">
        <v>10</v>
      </c>
      <c r="N73">
        <v>117</v>
      </c>
    </row>
    <row r="74" spans="1:14" x14ac:dyDescent="0.35">
      <c r="A74">
        <v>2016</v>
      </c>
      <c r="B74">
        <v>8</v>
      </c>
      <c r="C74" t="s">
        <v>37</v>
      </c>
      <c r="D74" t="s">
        <v>33</v>
      </c>
      <c r="E74" t="s">
        <v>20</v>
      </c>
      <c r="F74" t="s">
        <v>20</v>
      </c>
      <c r="G74">
        <v>62052</v>
      </c>
      <c r="H74">
        <v>145965</v>
      </c>
      <c r="I74">
        <v>93</v>
      </c>
      <c r="J74">
        <v>0.97</v>
      </c>
      <c r="K74">
        <v>6.29</v>
      </c>
      <c r="L74">
        <v>1.2</v>
      </c>
      <c r="M74">
        <v>4</v>
      </c>
      <c r="N74">
        <v>518</v>
      </c>
    </row>
    <row r="75" spans="1:14" x14ac:dyDescent="0.35">
      <c r="A75">
        <v>2019</v>
      </c>
      <c r="B75">
        <v>1</v>
      </c>
      <c r="C75" t="s">
        <v>36</v>
      </c>
      <c r="D75" t="s">
        <v>18</v>
      </c>
      <c r="E75" t="s">
        <v>16</v>
      </c>
      <c r="F75" t="s">
        <v>17</v>
      </c>
      <c r="G75">
        <v>75475</v>
      </c>
      <c r="H75">
        <v>131268</v>
      </c>
      <c r="I75">
        <v>200</v>
      </c>
      <c r="J75">
        <v>0.97</v>
      </c>
      <c r="K75">
        <v>6.29</v>
      </c>
      <c r="L75">
        <v>1.2</v>
      </c>
      <c r="M75">
        <v>3</v>
      </c>
      <c r="N75">
        <v>610</v>
      </c>
    </row>
    <row r="76" spans="1:14" x14ac:dyDescent="0.35">
      <c r="A76">
        <v>2022</v>
      </c>
      <c r="B76">
        <v>1</v>
      </c>
      <c r="C76" t="s">
        <v>32</v>
      </c>
      <c r="D76" t="s">
        <v>33</v>
      </c>
      <c r="E76" t="s">
        <v>20</v>
      </c>
      <c r="F76" t="s">
        <v>23</v>
      </c>
      <c r="G76">
        <v>117666</v>
      </c>
      <c r="H76">
        <v>397186</v>
      </c>
      <c r="I76">
        <v>60</v>
      </c>
      <c r="J76">
        <v>0.97</v>
      </c>
      <c r="K76">
        <v>6.29</v>
      </c>
      <c r="L76">
        <v>1.2</v>
      </c>
      <c r="M76">
        <v>3</v>
      </c>
      <c r="N76">
        <v>260</v>
      </c>
    </row>
    <row r="77" spans="1:14" x14ac:dyDescent="0.35">
      <c r="A77">
        <v>2024</v>
      </c>
      <c r="B77">
        <v>11</v>
      </c>
      <c r="C77" t="s">
        <v>38</v>
      </c>
      <c r="D77" t="s">
        <v>15</v>
      </c>
      <c r="E77" t="s">
        <v>20</v>
      </c>
      <c r="F77" t="s">
        <v>20</v>
      </c>
      <c r="G77">
        <v>92656</v>
      </c>
      <c r="H77">
        <v>418615</v>
      </c>
      <c r="I77">
        <v>395</v>
      </c>
      <c r="J77">
        <v>0.97</v>
      </c>
      <c r="K77">
        <v>6.29</v>
      </c>
      <c r="L77">
        <v>1.2</v>
      </c>
      <c r="M77">
        <v>5</v>
      </c>
      <c r="N77">
        <v>1115</v>
      </c>
    </row>
    <row r="78" spans="1:14" x14ac:dyDescent="0.35">
      <c r="A78">
        <v>2023</v>
      </c>
      <c r="B78">
        <v>6</v>
      </c>
      <c r="C78" t="s">
        <v>38</v>
      </c>
      <c r="D78" t="s">
        <v>18</v>
      </c>
      <c r="E78" t="s">
        <v>16</v>
      </c>
      <c r="F78" t="s">
        <v>20</v>
      </c>
      <c r="G78">
        <v>39633</v>
      </c>
      <c r="H78">
        <v>251798</v>
      </c>
      <c r="I78">
        <v>219</v>
      </c>
      <c r="J78">
        <v>0.97</v>
      </c>
      <c r="K78">
        <v>6.29</v>
      </c>
      <c r="L78">
        <v>1.2</v>
      </c>
      <c r="M78">
        <v>1</v>
      </c>
      <c r="N78">
        <v>677</v>
      </c>
    </row>
    <row r="79" spans="1:14" x14ac:dyDescent="0.35">
      <c r="A79">
        <v>2023</v>
      </c>
      <c r="B79">
        <v>10</v>
      </c>
      <c r="C79" t="s">
        <v>32</v>
      </c>
      <c r="D79" t="s">
        <v>31</v>
      </c>
      <c r="E79" t="s">
        <v>19</v>
      </c>
      <c r="F79" t="s">
        <v>20</v>
      </c>
      <c r="G79">
        <v>52304</v>
      </c>
      <c r="H79">
        <v>382255</v>
      </c>
      <c r="I79">
        <v>135</v>
      </c>
      <c r="J79">
        <v>0.97</v>
      </c>
      <c r="K79">
        <v>6.29</v>
      </c>
      <c r="L79">
        <v>1.2</v>
      </c>
      <c r="M79">
        <v>10</v>
      </c>
      <c r="N79">
        <v>370</v>
      </c>
    </row>
    <row r="80" spans="1:14" x14ac:dyDescent="0.35">
      <c r="A80">
        <v>2015</v>
      </c>
      <c r="B80">
        <v>12</v>
      </c>
      <c r="C80" t="s">
        <v>25</v>
      </c>
      <c r="D80" t="s">
        <v>26</v>
      </c>
      <c r="E80" t="s">
        <v>19</v>
      </c>
      <c r="F80" t="s">
        <v>20</v>
      </c>
      <c r="G80">
        <v>81546</v>
      </c>
      <c r="H80">
        <v>287103</v>
      </c>
      <c r="I80">
        <v>78</v>
      </c>
      <c r="J80">
        <v>0.97</v>
      </c>
      <c r="K80">
        <v>6.29</v>
      </c>
      <c r="L80">
        <v>1.2</v>
      </c>
      <c r="M80">
        <v>3</v>
      </c>
      <c r="N80">
        <v>532</v>
      </c>
    </row>
    <row r="81" spans="1:14" x14ac:dyDescent="0.35">
      <c r="A81">
        <v>2023</v>
      </c>
      <c r="B81">
        <v>2</v>
      </c>
      <c r="C81" t="s">
        <v>28</v>
      </c>
      <c r="D81" t="s">
        <v>31</v>
      </c>
      <c r="E81" t="s">
        <v>16</v>
      </c>
      <c r="F81" t="s">
        <v>27</v>
      </c>
      <c r="G81">
        <v>42008</v>
      </c>
      <c r="H81">
        <v>294754</v>
      </c>
      <c r="I81">
        <v>274</v>
      </c>
      <c r="J81">
        <v>0.97</v>
      </c>
      <c r="K81">
        <v>6.29</v>
      </c>
      <c r="L81">
        <v>1.2</v>
      </c>
      <c r="M81">
        <v>6</v>
      </c>
      <c r="N81">
        <v>691</v>
      </c>
    </row>
    <row r="82" spans="1:14" x14ac:dyDescent="0.35">
      <c r="A82">
        <v>2021</v>
      </c>
      <c r="B82">
        <v>5</v>
      </c>
      <c r="C82" t="s">
        <v>30</v>
      </c>
      <c r="D82" t="s">
        <v>31</v>
      </c>
      <c r="E82" t="s">
        <v>19</v>
      </c>
      <c r="F82" t="s">
        <v>20</v>
      </c>
      <c r="G82">
        <v>83291</v>
      </c>
      <c r="H82">
        <v>215637</v>
      </c>
      <c r="I82">
        <v>267</v>
      </c>
      <c r="J82">
        <v>0.97</v>
      </c>
      <c r="K82">
        <v>6.29</v>
      </c>
      <c r="L82">
        <v>1.2</v>
      </c>
      <c r="M82">
        <v>3</v>
      </c>
      <c r="N82">
        <v>899</v>
      </c>
    </row>
    <row r="83" spans="1:14" x14ac:dyDescent="0.35">
      <c r="A83">
        <v>2023</v>
      </c>
      <c r="B83">
        <v>1</v>
      </c>
      <c r="C83" t="s">
        <v>28</v>
      </c>
      <c r="D83" t="s">
        <v>18</v>
      </c>
      <c r="E83" t="s">
        <v>20</v>
      </c>
      <c r="F83" t="s">
        <v>27</v>
      </c>
      <c r="G83">
        <v>62405</v>
      </c>
      <c r="H83">
        <v>412579</v>
      </c>
      <c r="I83">
        <v>197</v>
      </c>
      <c r="J83">
        <v>0.97</v>
      </c>
      <c r="K83">
        <v>6.29</v>
      </c>
      <c r="L83">
        <v>1.2</v>
      </c>
      <c r="M83">
        <v>5</v>
      </c>
      <c r="N83">
        <v>605</v>
      </c>
    </row>
    <row r="84" spans="1:14" x14ac:dyDescent="0.35">
      <c r="A84">
        <v>2022</v>
      </c>
      <c r="B84">
        <v>7</v>
      </c>
      <c r="C84" t="s">
        <v>32</v>
      </c>
      <c r="D84" t="s">
        <v>15</v>
      </c>
      <c r="E84" t="s">
        <v>20</v>
      </c>
      <c r="F84" t="s">
        <v>20</v>
      </c>
      <c r="G84">
        <v>71386</v>
      </c>
      <c r="H84">
        <v>139242</v>
      </c>
      <c r="I84">
        <v>239</v>
      </c>
      <c r="J84">
        <v>0.97</v>
      </c>
      <c r="K84">
        <v>6.29</v>
      </c>
      <c r="L84">
        <v>1.2</v>
      </c>
      <c r="M84">
        <v>9</v>
      </c>
      <c r="N84">
        <v>474</v>
      </c>
    </row>
    <row r="85" spans="1:14" x14ac:dyDescent="0.35">
      <c r="A85">
        <v>2015</v>
      </c>
      <c r="B85">
        <v>1</v>
      </c>
      <c r="C85" t="s">
        <v>37</v>
      </c>
      <c r="D85" t="s">
        <v>31</v>
      </c>
      <c r="E85" t="s">
        <v>16</v>
      </c>
      <c r="F85" t="s">
        <v>23</v>
      </c>
      <c r="G85">
        <v>55827</v>
      </c>
      <c r="H85">
        <v>425348</v>
      </c>
      <c r="I85">
        <v>198</v>
      </c>
      <c r="J85">
        <v>0.97</v>
      </c>
      <c r="K85">
        <v>6.29</v>
      </c>
      <c r="L85">
        <v>1.2</v>
      </c>
      <c r="M85">
        <v>2</v>
      </c>
      <c r="N85">
        <v>706</v>
      </c>
    </row>
    <row r="86" spans="1:14" x14ac:dyDescent="0.35">
      <c r="A86">
        <v>2022</v>
      </c>
      <c r="B86">
        <v>4</v>
      </c>
      <c r="C86" t="s">
        <v>30</v>
      </c>
      <c r="D86" t="s">
        <v>39</v>
      </c>
      <c r="E86" t="s">
        <v>19</v>
      </c>
      <c r="F86" t="s">
        <v>17</v>
      </c>
      <c r="G86">
        <v>68040</v>
      </c>
      <c r="H86">
        <v>203956</v>
      </c>
      <c r="I86">
        <v>19</v>
      </c>
      <c r="J86">
        <v>0.97</v>
      </c>
      <c r="K86">
        <v>6.29</v>
      </c>
      <c r="L86">
        <v>1.2</v>
      </c>
      <c r="M86">
        <v>2</v>
      </c>
      <c r="N86">
        <v>272</v>
      </c>
    </row>
    <row r="87" spans="1:14" x14ac:dyDescent="0.35">
      <c r="A87">
        <v>2022</v>
      </c>
      <c r="B87">
        <v>9</v>
      </c>
      <c r="C87" t="s">
        <v>36</v>
      </c>
      <c r="D87" t="s">
        <v>29</v>
      </c>
      <c r="E87" t="s">
        <v>19</v>
      </c>
      <c r="F87" t="s">
        <v>23</v>
      </c>
      <c r="G87">
        <v>95354</v>
      </c>
      <c r="H87">
        <v>329343</v>
      </c>
      <c r="I87">
        <v>123</v>
      </c>
      <c r="J87">
        <v>0.97</v>
      </c>
      <c r="K87">
        <v>6.29</v>
      </c>
      <c r="L87">
        <v>1.2</v>
      </c>
      <c r="M87">
        <v>6</v>
      </c>
      <c r="N87">
        <v>531</v>
      </c>
    </row>
    <row r="88" spans="1:14" x14ac:dyDescent="0.35">
      <c r="A88">
        <v>2017</v>
      </c>
      <c r="B88">
        <v>1</v>
      </c>
      <c r="C88" t="s">
        <v>28</v>
      </c>
      <c r="D88" t="s">
        <v>34</v>
      </c>
      <c r="E88" t="s">
        <v>20</v>
      </c>
      <c r="F88" t="s">
        <v>20</v>
      </c>
      <c r="G88">
        <v>113543</v>
      </c>
      <c r="H88">
        <v>110038</v>
      </c>
      <c r="I88">
        <v>85</v>
      </c>
      <c r="J88">
        <v>0.97</v>
      </c>
      <c r="K88">
        <v>6.29</v>
      </c>
      <c r="L88">
        <v>1.2</v>
      </c>
      <c r="M88">
        <v>6</v>
      </c>
      <c r="N88">
        <v>586</v>
      </c>
    </row>
    <row r="89" spans="1:14" x14ac:dyDescent="0.35">
      <c r="A89">
        <v>2015</v>
      </c>
      <c r="B89">
        <v>4</v>
      </c>
      <c r="C89" t="s">
        <v>32</v>
      </c>
      <c r="D89" t="s">
        <v>34</v>
      </c>
      <c r="E89" t="s">
        <v>16</v>
      </c>
      <c r="F89" t="s">
        <v>20</v>
      </c>
      <c r="G89">
        <v>53157</v>
      </c>
      <c r="H89">
        <v>107786</v>
      </c>
      <c r="I89">
        <v>173</v>
      </c>
      <c r="J89">
        <v>0.97</v>
      </c>
      <c r="K89">
        <v>6.29</v>
      </c>
      <c r="L89">
        <v>1.2</v>
      </c>
      <c r="M89">
        <v>8</v>
      </c>
      <c r="N89">
        <v>667</v>
      </c>
    </row>
    <row r="90" spans="1:14" x14ac:dyDescent="0.35">
      <c r="A90">
        <v>2022</v>
      </c>
      <c r="B90">
        <v>6</v>
      </c>
      <c r="C90" t="s">
        <v>28</v>
      </c>
      <c r="D90" t="s">
        <v>31</v>
      </c>
      <c r="E90" t="s">
        <v>19</v>
      </c>
      <c r="F90" t="s">
        <v>20</v>
      </c>
      <c r="G90">
        <v>70315</v>
      </c>
      <c r="H90">
        <v>421780</v>
      </c>
      <c r="I90">
        <v>94</v>
      </c>
      <c r="J90">
        <v>0.97</v>
      </c>
      <c r="K90">
        <v>6.29</v>
      </c>
      <c r="L90">
        <v>1.2</v>
      </c>
      <c r="M90">
        <v>2</v>
      </c>
      <c r="N90">
        <v>559</v>
      </c>
    </row>
    <row r="91" spans="1:14" x14ac:dyDescent="0.35">
      <c r="A91">
        <v>2017</v>
      </c>
      <c r="B91">
        <v>6</v>
      </c>
      <c r="C91" t="s">
        <v>30</v>
      </c>
      <c r="D91" t="s">
        <v>39</v>
      </c>
      <c r="E91" t="s">
        <v>16</v>
      </c>
      <c r="F91" t="s">
        <v>23</v>
      </c>
      <c r="G91">
        <v>70932</v>
      </c>
      <c r="H91">
        <v>286042</v>
      </c>
      <c r="I91">
        <v>58</v>
      </c>
      <c r="J91">
        <v>0.97</v>
      </c>
      <c r="K91">
        <v>6.29</v>
      </c>
      <c r="L91">
        <v>1.2</v>
      </c>
      <c r="M91">
        <v>9</v>
      </c>
      <c r="N91">
        <v>502</v>
      </c>
    </row>
    <row r="92" spans="1:14" x14ac:dyDescent="0.35">
      <c r="A92">
        <v>2017</v>
      </c>
      <c r="B92">
        <v>12</v>
      </c>
      <c r="C92" t="s">
        <v>14</v>
      </c>
      <c r="D92" t="s">
        <v>26</v>
      </c>
      <c r="E92" t="s">
        <v>19</v>
      </c>
      <c r="F92" t="s">
        <v>20</v>
      </c>
      <c r="G92">
        <v>56164</v>
      </c>
      <c r="H92">
        <v>361438</v>
      </c>
      <c r="I92">
        <v>335</v>
      </c>
      <c r="J92">
        <v>0.97</v>
      </c>
      <c r="K92">
        <v>6.29</v>
      </c>
      <c r="L92">
        <v>1.2</v>
      </c>
      <c r="M92">
        <v>2</v>
      </c>
      <c r="N92">
        <v>822</v>
      </c>
    </row>
    <row r="93" spans="1:14" x14ac:dyDescent="0.35">
      <c r="A93">
        <v>2015</v>
      </c>
      <c r="B93">
        <v>8</v>
      </c>
      <c r="C93" t="s">
        <v>35</v>
      </c>
      <c r="D93" t="s">
        <v>24</v>
      </c>
      <c r="E93" t="s">
        <v>20</v>
      </c>
      <c r="F93" t="s">
        <v>23</v>
      </c>
      <c r="G93">
        <v>49414</v>
      </c>
      <c r="H93">
        <v>259087</v>
      </c>
      <c r="I93">
        <v>186</v>
      </c>
      <c r="J93">
        <v>0.97</v>
      </c>
      <c r="K93">
        <v>6.29</v>
      </c>
      <c r="L93">
        <v>1.2</v>
      </c>
      <c r="M93">
        <v>1</v>
      </c>
      <c r="N93">
        <v>564</v>
      </c>
    </row>
    <row r="94" spans="1:14" x14ac:dyDescent="0.35">
      <c r="A94">
        <v>2019</v>
      </c>
      <c r="B94">
        <v>1</v>
      </c>
      <c r="C94" t="s">
        <v>28</v>
      </c>
      <c r="D94" t="s">
        <v>24</v>
      </c>
      <c r="E94" t="s">
        <v>20</v>
      </c>
      <c r="F94" t="s">
        <v>27</v>
      </c>
      <c r="G94">
        <v>49327</v>
      </c>
      <c r="H94">
        <v>215250</v>
      </c>
      <c r="I94">
        <v>396</v>
      </c>
      <c r="J94">
        <v>0.97</v>
      </c>
      <c r="K94">
        <v>6.29</v>
      </c>
      <c r="L94">
        <v>1.2</v>
      </c>
      <c r="M94">
        <v>10</v>
      </c>
      <c r="N94">
        <v>1066</v>
      </c>
    </row>
    <row r="95" spans="1:14" x14ac:dyDescent="0.35">
      <c r="A95">
        <v>2024</v>
      </c>
      <c r="B95">
        <v>7</v>
      </c>
      <c r="C95" t="s">
        <v>36</v>
      </c>
      <c r="D95" t="s">
        <v>18</v>
      </c>
      <c r="E95" t="s">
        <v>16</v>
      </c>
      <c r="F95" t="s">
        <v>17</v>
      </c>
      <c r="G95">
        <v>35946</v>
      </c>
      <c r="H95">
        <v>455881</v>
      </c>
      <c r="I95">
        <v>398</v>
      </c>
      <c r="J95">
        <v>0.97</v>
      </c>
      <c r="K95">
        <v>6.29</v>
      </c>
      <c r="L95">
        <v>1.2</v>
      </c>
      <c r="M95">
        <v>2</v>
      </c>
      <c r="N95">
        <v>871</v>
      </c>
    </row>
    <row r="96" spans="1:14" x14ac:dyDescent="0.35">
      <c r="A96">
        <v>2021</v>
      </c>
      <c r="B96">
        <v>1</v>
      </c>
      <c r="C96" t="s">
        <v>36</v>
      </c>
      <c r="D96" t="s">
        <v>34</v>
      </c>
      <c r="E96" t="s">
        <v>20</v>
      </c>
      <c r="F96" t="s">
        <v>17</v>
      </c>
      <c r="G96">
        <v>49693</v>
      </c>
      <c r="H96">
        <v>312678</v>
      </c>
      <c r="I96">
        <v>227</v>
      </c>
      <c r="J96">
        <v>0.97</v>
      </c>
      <c r="K96">
        <v>6.29</v>
      </c>
      <c r="L96">
        <v>1.2</v>
      </c>
      <c r="M96">
        <v>7</v>
      </c>
      <c r="N96">
        <v>592</v>
      </c>
    </row>
    <row r="97" spans="1:14" x14ac:dyDescent="0.35">
      <c r="A97">
        <v>2024</v>
      </c>
      <c r="B97">
        <v>7</v>
      </c>
      <c r="C97" t="s">
        <v>21</v>
      </c>
      <c r="D97" t="s">
        <v>31</v>
      </c>
      <c r="E97" t="s">
        <v>19</v>
      </c>
      <c r="F97" t="s">
        <v>23</v>
      </c>
      <c r="G97">
        <v>62241</v>
      </c>
      <c r="H97">
        <v>403972</v>
      </c>
      <c r="I97">
        <v>198</v>
      </c>
      <c r="J97">
        <v>0.97</v>
      </c>
      <c r="K97">
        <v>6.29</v>
      </c>
      <c r="L97">
        <v>1.2</v>
      </c>
      <c r="M97">
        <v>8</v>
      </c>
      <c r="N97">
        <v>508</v>
      </c>
    </row>
    <row r="98" spans="1:14" x14ac:dyDescent="0.35">
      <c r="A98">
        <v>2023</v>
      </c>
      <c r="B98">
        <v>3</v>
      </c>
      <c r="C98" t="s">
        <v>28</v>
      </c>
      <c r="D98" t="s">
        <v>24</v>
      </c>
      <c r="E98" t="s">
        <v>20</v>
      </c>
      <c r="F98" t="s">
        <v>27</v>
      </c>
      <c r="G98">
        <v>50540</v>
      </c>
      <c r="H98">
        <v>348276</v>
      </c>
      <c r="I98">
        <v>355</v>
      </c>
      <c r="J98">
        <v>0.97</v>
      </c>
      <c r="K98">
        <v>6.29</v>
      </c>
      <c r="L98">
        <v>1.2</v>
      </c>
      <c r="M98">
        <v>5</v>
      </c>
      <c r="N98">
        <v>1177</v>
      </c>
    </row>
    <row r="99" spans="1:14" x14ac:dyDescent="0.35">
      <c r="A99">
        <v>2021</v>
      </c>
      <c r="B99">
        <v>11</v>
      </c>
      <c r="C99" t="s">
        <v>35</v>
      </c>
      <c r="D99" t="s">
        <v>31</v>
      </c>
      <c r="E99" t="s">
        <v>16</v>
      </c>
      <c r="F99" t="s">
        <v>23</v>
      </c>
      <c r="G99">
        <v>107255</v>
      </c>
      <c r="H99">
        <v>427864</v>
      </c>
      <c r="I99">
        <v>239</v>
      </c>
      <c r="J99">
        <v>0.97</v>
      </c>
      <c r="K99">
        <v>6.29</v>
      </c>
      <c r="L99">
        <v>1.2</v>
      </c>
      <c r="M99">
        <v>6</v>
      </c>
      <c r="N99">
        <v>630</v>
      </c>
    </row>
    <row r="100" spans="1:14" x14ac:dyDescent="0.35">
      <c r="A100">
        <v>2023</v>
      </c>
      <c r="B100">
        <v>8</v>
      </c>
      <c r="C100" t="s">
        <v>25</v>
      </c>
      <c r="D100" t="s">
        <v>18</v>
      </c>
      <c r="E100" t="s">
        <v>16</v>
      </c>
      <c r="F100" t="s">
        <v>27</v>
      </c>
      <c r="G100">
        <v>99757</v>
      </c>
      <c r="H100">
        <v>348254</v>
      </c>
      <c r="I100">
        <v>264</v>
      </c>
      <c r="J100">
        <v>0.97</v>
      </c>
      <c r="K100">
        <v>6.29</v>
      </c>
      <c r="L100">
        <v>1.2</v>
      </c>
      <c r="M100">
        <v>1</v>
      </c>
      <c r="N100">
        <v>845</v>
      </c>
    </row>
    <row r="101" spans="1:14" x14ac:dyDescent="0.35">
      <c r="A101">
        <v>2022</v>
      </c>
      <c r="B101">
        <v>3</v>
      </c>
      <c r="C101" t="s">
        <v>38</v>
      </c>
      <c r="D101" t="s">
        <v>34</v>
      </c>
      <c r="E101" t="s">
        <v>16</v>
      </c>
      <c r="F101" t="s">
        <v>20</v>
      </c>
      <c r="G101">
        <v>76203</v>
      </c>
      <c r="H101">
        <v>239826</v>
      </c>
      <c r="I101">
        <v>245</v>
      </c>
      <c r="J101">
        <v>0.97</v>
      </c>
      <c r="K101">
        <v>6.29</v>
      </c>
      <c r="L101">
        <v>1.2</v>
      </c>
      <c r="M101">
        <v>6</v>
      </c>
      <c r="N101">
        <v>880</v>
      </c>
    </row>
    <row r="102" spans="1:14" x14ac:dyDescent="0.35">
      <c r="A102">
        <v>2016</v>
      </c>
      <c r="B102">
        <v>1</v>
      </c>
      <c r="C102" t="s">
        <v>35</v>
      </c>
      <c r="D102" t="s">
        <v>33</v>
      </c>
      <c r="E102" t="s">
        <v>19</v>
      </c>
      <c r="F102" t="s">
        <v>27</v>
      </c>
      <c r="G102">
        <v>60081</v>
      </c>
      <c r="H102">
        <v>375724</v>
      </c>
      <c r="I102">
        <v>35</v>
      </c>
      <c r="J102">
        <v>0.97</v>
      </c>
      <c r="K102">
        <v>6.29</v>
      </c>
      <c r="L102">
        <v>1.2</v>
      </c>
      <c r="M102">
        <v>8</v>
      </c>
      <c r="N102">
        <v>100</v>
      </c>
    </row>
    <row r="103" spans="1:14" x14ac:dyDescent="0.35">
      <c r="A103">
        <v>2015</v>
      </c>
      <c r="B103">
        <v>8</v>
      </c>
      <c r="C103" t="s">
        <v>38</v>
      </c>
      <c r="D103" t="s">
        <v>29</v>
      </c>
      <c r="E103" t="s">
        <v>19</v>
      </c>
      <c r="F103" t="s">
        <v>27</v>
      </c>
      <c r="G103">
        <v>96861</v>
      </c>
      <c r="H103">
        <v>465685</v>
      </c>
      <c r="I103">
        <v>81</v>
      </c>
      <c r="J103">
        <v>0.97</v>
      </c>
      <c r="K103">
        <v>6.29</v>
      </c>
      <c r="L103">
        <v>1.2</v>
      </c>
      <c r="M103">
        <v>3</v>
      </c>
      <c r="N103">
        <v>451</v>
      </c>
    </row>
    <row r="104" spans="1:14" x14ac:dyDescent="0.35">
      <c r="A104">
        <v>2021</v>
      </c>
      <c r="B104">
        <v>3</v>
      </c>
      <c r="C104" t="s">
        <v>38</v>
      </c>
      <c r="D104" t="s">
        <v>29</v>
      </c>
      <c r="E104" t="s">
        <v>19</v>
      </c>
      <c r="F104" t="s">
        <v>27</v>
      </c>
      <c r="G104">
        <v>46350</v>
      </c>
      <c r="H104">
        <v>376160</v>
      </c>
      <c r="I104">
        <v>270</v>
      </c>
      <c r="J104">
        <v>0.97</v>
      </c>
      <c r="K104">
        <v>6.29</v>
      </c>
      <c r="L104">
        <v>1.2</v>
      </c>
      <c r="M104">
        <v>1</v>
      </c>
      <c r="N104">
        <v>944</v>
      </c>
    </row>
    <row r="105" spans="1:14" x14ac:dyDescent="0.35">
      <c r="A105">
        <v>2021</v>
      </c>
      <c r="B105">
        <v>2</v>
      </c>
      <c r="C105" t="s">
        <v>14</v>
      </c>
      <c r="D105" t="s">
        <v>24</v>
      </c>
      <c r="E105" t="s">
        <v>19</v>
      </c>
      <c r="F105" t="s">
        <v>17</v>
      </c>
      <c r="G105">
        <v>90512</v>
      </c>
      <c r="H105">
        <v>96233</v>
      </c>
      <c r="I105">
        <v>263</v>
      </c>
      <c r="J105">
        <v>0.97</v>
      </c>
      <c r="K105">
        <v>6.29</v>
      </c>
      <c r="L105">
        <v>1.2</v>
      </c>
      <c r="M105">
        <v>4</v>
      </c>
      <c r="N105">
        <v>705</v>
      </c>
    </row>
    <row r="106" spans="1:14" x14ac:dyDescent="0.35">
      <c r="A106">
        <v>2022</v>
      </c>
      <c r="B106">
        <v>1</v>
      </c>
      <c r="C106" t="s">
        <v>21</v>
      </c>
      <c r="D106" t="s">
        <v>29</v>
      </c>
      <c r="E106" t="s">
        <v>19</v>
      </c>
      <c r="F106" t="s">
        <v>27</v>
      </c>
      <c r="G106">
        <v>91809</v>
      </c>
      <c r="H106">
        <v>442007</v>
      </c>
      <c r="I106">
        <v>280</v>
      </c>
      <c r="J106">
        <v>0.97</v>
      </c>
      <c r="K106">
        <v>6.29</v>
      </c>
      <c r="L106">
        <v>1.2</v>
      </c>
      <c r="M106">
        <v>1</v>
      </c>
      <c r="N106">
        <v>947</v>
      </c>
    </row>
    <row r="107" spans="1:14" x14ac:dyDescent="0.35">
      <c r="A107">
        <v>2019</v>
      </c>
      <c r="B107">
        <v>3</v>
      </c>
      <c r="C107" t="s">
        <v>35</v>
      </c>
      <c r="D107" t="s">
        <v>33</v>
      </c>
      <c r="E107" t="s">
        <v>20</v>
      </c>
      <c r="F107" t="s">
        <v>20</v>
      </c>
      <c r="G107">
        <v>77832</v>
      </c>
      <c r="H107">
        <v>247780</v>
      </c>
      <c r="I107">
        <v>132</v>
      </c>
      <c r="J107">
        <v>0.97</v>
      </c>
      <c r="K107">
        <v>6.29</v>
      </c>
      <c r="L107">
        <v>1.2</v>
      </c>
      <c r="M107">
        <v>8</v>
      </c>
      <c r="N107">
        <v>658</v>
      </c>
    </row>
    <row r="108" spans="1:14" x14ac:dyDescent="0.35">
      <c r="A108">
        <v>2017</v>
      </c>
      <c r="B108">
        <v>2</v>
      </c>
      <c r="C108" t="s">
        <v>35</v>
      </c>
      <c r="D108" t="s">
        <v>31</v>
      </c>
      <c r="E108" t="s">
        <v>19</v>
      </c>
      <c r="F108" t="s">
        <v>20</v>
      </c>
      <c r="G108">
        <v>63369</v>
      </c>
      <c r="H108">
        <v>274522</v>
      </c>
      <c r="I108">
        <v>153</v>
      </c>
      <c r="J108">
        <v>0.97</v>
      </c>
      <c r="K108">
        <v>6.29</v>
      </c>
      <c r="L108">
        <v>1.2</v>
      </c>
      <c r="M108">
        <v>5</v>
      </c>
      <c r="N108">
        <v>532</v>
      </c>
    </row>
    <row r="109" spans="1:14" x14ac:dyDescent="0.35">
      <c r="A109">
        <v>2022</v>
      </c>
      <c r="B109">
        <v>2</v>
      </c>
      <c r="C109" t="s">
        <v>14</v>
      </c>
      <c r="D109" t="s">
        <v>18</v>
      </c>
      <c r="E109" t="s">
        <v>19</v>
      </c>
      <c r="F109" t="s">
        <v>20</v>
      </c>
      <c r="G109">
        <v>66728</v>
      </c>
      <c r="H109">
        <v>156311</v>
      </c>
      <c r="I109">
        <v>266</v>
      </c>
      <c r="J109">
        <v>0.97</v>
      </c>
      <c r="K109">
        <v>6.29</v>
      </c>
      <c r="L109">
        <v>1.2</v>
      </c>
      <c r="M109">
        <v>1</v>
      </c>
      <c r="N109">
        <v>904</v>
      </c>
    </row>
    <row r="110" spans="1:14" x14ac:dyDescent="0.35">
      <c r="A110">
        <v>2020</v>
      </c>
      <c r="B110">
        <v>6</v>
      </c>
      <c r="C110" t="s">
        <v>28</v>
      </c>
      <c r="D110" t="s">
        <v>33</v>
      </c>
      <c r="E110" t="s">
        <v>20</v>
      </c>
      <c r="F110" t="s">
        <v>27</v>
      </c>
      <c r="G110">
        <v>52576</v>
      </c>
      <c r="H110">
        <v>84409</v>
      </c>
      <c r="I110">
        <v>153</v>
      </c>
      <c r="J110">
        <v>0.97</v>
      </c>
      <c r="K110">
        <v>6.29</v>
      </c>
      <c r="L110">
        <v>1.2</v>
      </c>
      <c r="M110">
        <v>8</v>
      </c>
      <c r="N110">
        <v>728</v>
      </c>
    </row>
    <row r="111" spans="1:14" x14ac:dyDescent="0.35">
      <c r="A111">
        <v>2017</v>
      </c>
      <c r="B111">
        <v>12</v>
      </c>
      <c r="C111" t="s">
        <v>28</v>
      </c>
      <c r="D111" t="s">
        <v>18</v>
      </c>
      <c r="E111" t="s">
        <v>19</v>
      </c>
      <c r="F111" t="s">
        <v>23</v>
      </c>
      <c r="G111">
        <v>64001</v>
      </c>
      <c r="H111">
        <v>296231</v>
      </c>
      <c r="I111">
        <v>268</v>
      </c>
      <c r="J111">
        <v>0.97</v>
      </c>
      <c r="K111">
        <v>6.29</v>
      </c>
      <c r="L111">
        <v>1.2</v>
      </c>
      <c r="M111">
        <v>9</v>
      </c>
      <c r="N111">
        <v>709</v>
      </c>
    </row>
    <row r="112" spans="1:14" x14ac:dyDescent="0.35">
      <c r="A112">
        <v>2015</v>
      </c>
      <c r="B112">
        <v>1</v>
      </c>
      <c r="C112" t="s">
        <v>28</v>
      </c>
      <c r="D112" t="s">
        <v>18</v>
      </c>
      <c r="E112" t="s">
        <v>16</v>
      </c>
      <c r="F112" t="s">
        <v>23</v>
      </c>
      <c r="G112">
        <v>118384</v>
      </c>
      <c r="H112">
        <v>462540</v>
      </c>
      <c r="I112">
        <v>56</v>
      </c>
      <c r="J112">
        <v>0.97</v>
      </c>
      <c r="K112">
        <v>6.29</v>
      </c>
      <c r="L112">
        <v>1.2</v>
      </c>
      <c r="M112">
        <v>10</v>
      </c>
      <c r="N112">
        <v>368</v>
      </c>
    </row>
    <row r="113" spans="1:14" x14ac:dyDescent="0.35">
      <c r="A113">
        <v>2017</v>
      </c>
      <c r="B113">
        <v>2</v>
      </c>
      <c r="C113" t="s">
        <v>37</v>
      </c>
      <c r="D113" t="s">
        <v>34</v>
      </c>
      <c r="E113" t="s">
        <v>19</v>
      </c>
      <c r="F113" t="s">
        <v>20</v>
      </c>
      <c r="G113">
        <v>35390</v>
      </c>
      <c r="H113">
        <v>451954</v>
      </c>
      <c r="I113">
        <v>360</v>
      </c>
      <c r="J113">
        <v>0.97</v>
      </c>
      <c r="K113">
        <v>6.29</v>
      </c>
      <c r="L113">
        <v>1.2</v>
      </c>
      <c r="M113">
        <v>2</v>
      </c>
      <c r="N113">
        <v>1007</v>
      </c>
    </row>
    <row r="114" spans="1:14" x14ac:dyDescent="0.35">
      <c r="A114">
        <v>2019</v>
      </c>
      <c r="B114">
        <v>6</v>
      </c>
      <c r="C114" t="s">
        <v>38</v>
      </c>
      <c r="D114" t="s">
        <v>31</v>
      </c>
      <c r="E114" t="s">
        <v>19</v>
      </c>
      <c r="F114" t="s">
        <v>17</v>
      </c>
      <c r="G114">
        <v>80436</v>
      </c>
      <c r="H114">
        <v>336198</v>
      </c>
      <c r="I114">
        <v>22</v>
      </c>
      <c r="J114">
        <v>0.97</v>
      </c>
      <c r="K114">
        <v>6.29</v>
      </c>
      <c r="L114">
        <v>1.2</v>
      </c>
      <c r="M114">
        <v>9</v>
      </c>
      <c r="N114">
        <v>193</v>
      </c>
    </row>
    <row r="115" spans="1:14" x14ac:dyDescent="0.35">
      <c r="A115">
        <v>2017</v>
      </c>
      <c r="B115">
        <v>3</v>
      </c>
      <c r="C115" t="s">
        <v>37</v>
      </c>
      <c r="D115" t="s">
        <v>39</v>
      </c>
      <c r="E115" t="s">
        <v>16</v>
      </c>
      <c r="F115" t="s">
        <v>23</v>
      </c>
      <c r="G115">
        <v>46569</v>
      </c>
      <c r="H115">
        <v>79709</v>
      </c>
      <c r="I115">
        <v>385</v>
      </c>
      <c r="J115">
        <v>0.97</v>
      </c>
      <c r="K115">
        <v>6.29</v>
      </c>
      <c r="L115">
        <v>1.2</v>
      </c>
      <c r="M115">
        <v>8</v>
      </c>
      <c r="N115">
        <v>874</v>
      </c>
    </row>
    <row r="116" spans="1:14" x14ac:dyDescent="0.35">
      <c r="A116">
        <v>2015</v>
      </c>
      <c r="B116">
        <v>4</v>
      </c>
      <c r="C116" t="s">
        <v>21</v>
      </c>
      <c r="D116" t="s">
        <v>29</v>
      </c>
      <c r="E116" t="s">
        <v>16</v>
      </c>
      <c r="F116" t="s">
        <v>27</v>
      </c>
      <c r="G116">
        <v>48029</v>
      </c>
      <c r="H116">
        <v>159321</v>
      </c>
      <c r="I116">
        <v>217</v>
      </c>
      <c r="J116">
        <v>0.97</v>
      </c>
      <c r="K116">
        <v>6.29</v>
      </c>
      <c r="L116">
        <v>1.2</v>
      </c>
      <c r="M116">
        <v>7</v>
      </c>
      <c r="N116">
        <v>622</v>
      </c>
    </row>
    <row r="117" spans="1:14" x14ac:dyDescent="0.35">
      <c r="A117">
        <v>2019</v>
      </c>
      <c r="B117">
        <v>1</v>
      </c>
      <c r="C117" t="s">
        <v>14</v>
      </c>
      <c r="D117" t="s">
        <v>39</v>
      </c>
      <c r="E117" t="s">
        <v>16</v>
      </c>
      <c r="F117" t="s">
        <v>23</v>
      </c>
      <c r="G117">
        <v>57490</v>
      </c>
      <c r="H117">
        <v>50363</v>
      </c>
      <c r="I117">
        <v>320</v>
      </c>
      <c r="J117">
        <v>0.97</v>
      </c>
      <c r="K117">
        <v>6.29</v>
      </c>
      <c r="L117">
        <v>1.2</v>
      </c>
      <c r="M117">
        <v>3</v>
      </c>
      <c r="N117">
        <v>1049</v>
      </c>
    </row>
    <row r="118" spans="1:14" x14ac:dyDescent="0.35">
      <c r="A118">
        <v>2024</v>
      </c>
      <c r="B118">
        <v>8</v>
      </c>
      <c r="C118" t="s">
        <v>35</v>
      </c>
      <c r="D118" t="s">
        <v>34</v>
      </c>
      <c r="E118" t="s">
        <v>16</v>
      </c>
      <c r="F118" t="s">
        <v>20</v>
      </c>
      <c r="G118">
        <v>80875</v>
      </c>
      <c r="H118">
        <v>322502</v>
      </c>
      <c r="I118">
        <v>244</v>
      </c>
      <c r="J118">
        <v>0.97</v>
      </c>
      <c r="K118">
        <v>6.29</v>
      </c>
      <c r="L118">
        <v>1.2</v>
      </c>
      <c r="M118">
        <v>2</v>
      </c>
      <c r="N118">
        <v>857</v>
      </c>
    </row>
    <row r="119" spans="1:14" x14ac:dyDescent="0.35">
      <c r="A119">
        <v>2021</v>
      </c>
      <c r="B119">
        <v>7</v>
      </c>
      <c r="C119" t="s">
        <v>38</v>
      </c>
      <c r="D119" t="s">
        <v>18</v>
      </c>
      <c r="E119" t="s">
        <v>19</v>
      </c>
      <c r="F119" t="s">
        <v>17</v>
      </c>
      <c r="G119">
        <v>40867</v>
      </c>
      <c r="H119">
        <v>446456</v>
      </c>
      <c r="I119">
        <v>158</v>
      </c>
      <c r="J119">
        <v>0.97</v>
      </c>
      <c r="K119">
        <v>6.29</v>
      </c>
      <c r="L119">
        <v>1.2</v>
      </c>
      <c r="M119">
        <v>7</v>
      </c>
      <c r="N119">
        <v>426</v>
      </c>
    </row>
    <row r="120" spans="1:14" x14ac:dyDescent="0.35">
      <c r="A120">
        <v>2021</v>
      </c>
      <c r="B120">
        <v>7</v>
      </c>
      <c r="C120" t="s">
        <v>37</v>
      </c>
      <c r="D120" t="s">
        <v>24</v>
      </c>
      <c r="E120" t="s">
        <v>16</v>
      </c>
      <c r="F120" t="s">
        <v>23</v>
      </c>
      <c r="G120">
        <v>115820</v>
      </c>
      <c r="H120">
        <v>95689</v>
      </c>
      <c r="I120">
        <v>331</v>
      </c>
      <c r="J120">
        <v>0.97</v>
      </c>
      <c r="K120">
        <v>6.29</v>
      </c>
      <c r="L120">
        <v>1.2</v>
      </c>
      <c r="M120">
        <v>5</v>
      </c>
      <c r="N120">
        <v>1055</v>
      </c>
    </row>
    <row r="121" spans="1:14" x14ac:dyDescent="0.35">
      <c r="A121">
        <v>2023</v>
      </c>
      <c r="B121">
        <v>3</v>
      </c>
      <c r="C121" t="s">
        <v>37</v>
      </c>
      <c r="D121" t="s">
        <v>29</v>
      </c>
      <c r="E121" t="s">
        <v>16</v>
      </c>
      <c r="F121" t="s">
        <v>23</v>
      </c>
      <c r="G121">
        <v>44121</v>
      </c>
      <c r="H121">
        <v>314080</v>
      </c>
      <c r="I121">
        <v>164</v>
      </c>
      <c r="J121">
        <v>0.97</v>
      </c>
      <c r="K121">
        <v>6.29</v>
      </c>
      <c r="L121">
        <v>1.2</v>
      </c>
      <c r="M121">
        <v>6</v>
      </c>
      <c r="N121">
        <v>742</v>
      </c>
    </row>
    <row r="122" spans="1:14" x14ac:dyDescent="0.35">
      <c r="A122">
        <v>2024</v>
      </c>
      <c r="B122">
        <v>10</v>
      </c>
      <c r="C122" t="s">
        <v>32</v>
      </c>
      <c r="D122" t="s">
        <v>29</v>
      </c>
      <c r="E122" t="s">
        <v>20</v>
      </c>
      <c r="F122" t="s">
        <v>20</v>
      </c>
      <c r="G122">
        <v>36539</v>
      </c>
      <c r="H122">
        <v>424416</v>
      </c>
      <c r="I122">
        <v>175</v>
      </c>
      <c r="J122">
        <v>0.97</v>
      </c>
      <c r="K122">
        <v>6.29</v>
      </c>
      <c r="L122">
        <v>1.2</v>
      </c>
      <c r="M122">
        <v>4</v>
      </c>
      <c r="N122">
        <v>686</v>
      </c>
    </row>
    <row r="123" spans="1:14" x14ac:dyDescent="0.35">
      <c r="A123">
        <v>2024</v>
      </c>
      <c r="B123">
        <v>10</v>
      </c>
      <c r="C123" t="s">
        <v>37</v>
      </c>
      <c r="D123" t="s">
        <v>31</v>
      </c>
      <c r="E123" t="s">
        <v>16</v>
      </c>
      <c r="F123" t="s">
        <v>17</v>
      </c>
      <c r="G123">
        <v>52027</v>
      </c>
      <c r="H123">
        <v>141074</v>
      </c>
      <c r="I123">
        <v>99</v>
      </c>
      <c r="J123">
        <v>0.97</v>
      </c>
      <c r="K123">
        <v>6.29</v>
      </c>
      <c r="L123">
        <v>1.2</v>
      </c>
      <c r="M123">
        <v>2</v>
      </c>
      <c r="N123">
        <v>299</v>
      </c>
    </row>
    <row r="124" spans="1:14" x14ac:dyDescent="0.35">
      <c r="A124">
        <v>2017</v>
      </c>
      <c r="B124">
        <v>3</v>
      </c>
      <c r="C124" t="s">
        <v>25</v>
      </c>
      <c r="D124" t="s">
        <v>15</v>
      </c>
      <c r="E124" t="s">
        <v>16</v>
      </c>
      <c r="F124" t="s">
        <v>17</v>
      </c>
      <c r="G124">
        <v>109229</v>
      </c>
      <c r="H124">
        <v>225037</v>
      </c>
      <c r="I124">
        <v>195</v>
      </c>
      <c r="J124">
        <v>0.97</v>
      </c>
      <c r="K124">
        <v>6.29</v>
      </c>
      <c r="L124">
        <v>1.2</v>
      </c>
      <c r="M124">
        <v>9</v>
      </c>
      <c r="N124">
        <v>716</v>
      </c>
    </row>
    <row r="125" spans="1:14" x14ac:dyDescent="0.35">
      <c r="A125">
        <v>2021</v>
      </c>
      <c r="B125">
        <v>2</v>
      </c>
      <c r="C125" t="s">
        <v>35</v>
      </c>
      <c r="D125" t="s">
        <v>22</v>
      </c>
      <c r="E125" t="s">
        <v>20</v>
      </c>
      <c r="F125" t="s">
        <v>20</v>
      </c>
      <c r="G125">
        <v>43921</v>
      </c>
      <c r="H125">
        <v>258606</v>
      </c>
      <c r="I125">
        <v>327</v>
      </c>
      <c r="J125">
        <v>0.97</v>
      </c>
      <c r="K125">
        <v>6.29</v>
      </c>
      <c r="L125">
        <v>1.2</v>
      </c>
      <c r="M125">
        <v>3</v>
      </c>
      <c r="N125">
        <v>906</v>
      </c>
    </row>
    <row r="126" spans="1:14" x14ac:dyDescent="0.35">
      <c r="A126">
        <v>2015</v>
      </c>
      <c r="B126">
        <v>12</v>
      </c>
      <c r="C126" t="s">
        <v>25</v>
      </c>
      <c r="D126" t="s">
        <v>22</v>
      </c>
      <c r="E126" t="s">
        <v>20</v>
      </c>
      <c r="F126" t="s">
        <v>27</v>
      </c>
      <c r="G126">
        <v>85435</v>
      </c>
      <c r="H126">
        <v>50882</v>
      </c>
      <c r="I126">
        <v>367</v>
      </c>
      <c r="J126">
        <v>0.97</v>
      </c>
      <c r="K126">
        <v>6.29</v>
      </c>
      <c r="L126">
        <v>1.2</v>
      </c>
      <c r="M126">
        <v>7</v>
      </c>
      <c r="N126">
        <v>1038</v>
      </c>
    </row>
    <row r="127" spans="1:14" x14ac:dyDescent="0.35">
      <c r="A127">
        <v>2018</v>
      </c>
      <c r="B127">
        <v>1</v>
      </c>
      <c r="C127" t="s">
        <v>35</v>
      </c>
      <c r="D127" t="s">
        <v>22</v>
      </c>
      <c r="E127" t="s">
        <v>19</v>
      </c>
      <c r="F127" t="s">
        <v>23</v>
      </c>
      <c r="G127">
        <v>45310</v>
      </c>
      <c r="H127">
        <v>463440</v>
      </c>
      <c r="I127">
        <v>183</v>
      </c>
      <c r="J127">
        <v>0.97</v>
      </c>
      <c r="K127">
        <v>6.29</v>
      </c>
      <c r="L127">
        <v>1.2</v>
      </c>
      <c r="M127">
        <v>8</v>
      </c>
      <c r="N127">
        <v>421</v>
      </c>
    </row>
    <row r="128" spans="1:14" x14ac:dyDescent="0.35">
      <c r="A128">
        <v>2018</v>
      </c>
      <c r="B128">
        <v>7</v>
      </c>
      <c r="C128" t="s">
        <v>14</v>
      </c>
      <c r="D128" t="s">
        <v>15</v>
      </c>
      <c r="E128" t="s">
        <v>20</v>
      </c>
      <c r="F128" t="s">
        <v>27</v>
      </c>
      <c r="G128">
        <v>98965</v>
      </c>
      <c r="H128">
        <v>417371</v>
      </c>
      <c r="I128">
        <v>226</v>
      </c>
      <c r="J128">
        <v>0.97</v>
      </c>
      <c r="K128">
        <v>6.29</v>
      </c>
      <c r="L128">
        <v>1.2</v>
      </c>
      <c r="M128">
        <v>2</v>
      </c>
      <c r="N128">
        <v>551</v>
      </c>
    </row>
    <row r="129" spans="1:14" x14ac:dyDescent="0.35">
      <c r="A129">
        <v>2019</v>
      </c>
      <c r="B129">
        <v>7</v>
      </c>
      <c r="C129" t="s">
        <v>35</v>
      </c>
      <c r="D129" t="s">
        <v>31</v>
      </c>
      <c r="E129" t="s">
        <v>19</v>
      </c>
      <c r="F129" t="s">
        <v>23</v>
      </c>
      <c r="G129">
        <v>104922</v>
      </c>
      <c r="H129">
        <v>304822</v>
      </c>
      <c r="I129">
        <v>273</v>
      </c>
      <c r="J129">
        <v>0.97</v>
      </c>
      <c r="K129">
        <v>6.29</v>
      </c>
      <c r="L129">
        <v>1.2</v>
      </c>
      <c r="M129">
        <v>6</v>
      </c>
      <c r="N129">
        <v>941</v>
      </c>
    </row>
    <row r="130" spans="1:14" x14ac:dyDescent="0.35">
      <c r="A130">
        <v>2021</v>
      </c>
      <c r="B130">
        <v>12</v>
      </c>
      <c r="C130" t="s">
        <v>25</v>
      </c>
      <c r="D130" t="s">
        <v>15</v>
      </c>
      <c r="E130" t="s">
        <v>20</v>
      </c>
      <c r="F130" t="s">
        <v>23</v>
      </c>
      <c r="G130">
        <v>117839</v>
      </c>
      <c r="H130">
        <v>175865</v>
      </c>
      <c r="I130">
        <v>106</v>
      </c>
      <c r="J130">
        <v>0.97</v>
      </c>
      <c r="K130">
        <v>6.29</v>
      </c>
      <c r="L130">
        <v>1.2</v>
      </c>
      <c r="M130">
        <v>8</v>
      </c>
      <c r="N130">
        <v>626</v>
      </c>
    </row>
    <row r="131" spans="1:14" x14ac:dyDescent="0.35">
      <c r="A131">
        <v>2021</v>
      </c>
      <c r="B131">
        <v>2</v>
      </c>
      <c r="C131" t="s">
        <v>35</v>
      </c>
      <c r="D131" t="s">
        <v>22</v>
      </c>
      <c r="E131" t="s">
        <v>20</v>
      </c>
      <c r="F131" t="s">
        <v>27</v>
      </c>
      <c r="G131">
        <v>47242</v>
      </c>
      <c r="H131">
        <v>173745</v>
      </c>
      <c r="I131">
        <v>126</v>
      </c>
      <c r="J131">
        <v>0.97</v>
      </c>
      <c r="K131">
        <v>6.29</v>
      </c>
      <c r="L131">
        <v>1.2</v>
      </c>
      <c r="M131">
        <v>7</v>
      </c>
      <c r="N131">
        <v>632</v>
      </c>
    </row>
    <row r="132" spans="1:14" x14ac:dyDescent="0.35">
      <c r="A132">
        <v>2018</v>
      </c>
      <c r="B132">
        <v>7</v>
      </c>
      <c r="C132" t="s">
        <v>14</v>
      </c>
      <c r="D132" t="s">
        <v>34</v>
      </c>
      <c r="E132" t="s">
        <v>19</v>
      </c>
      <c r="F132" t="s">
        <v>20</v>
      </c>
      <c r="G132">
        <v>43947</v>
      </c>
      <c r="H132">
        <v>474041</v>
      </c>
      <c r="I132">
        <v>208</v>
      </c>
      <c r="J132">
        <v>0.97</v>
      </c>
      <c r="K132">
        <v>6.29</v>
      </c>
      <c r="L132">
        <v>1.2</v>
      </c>
      <c r="M132">
        <v>3</v>
      </c>
      <c r="N132">
        <v>837</v>
      </c>
    </row>
    <row r="133" spans="1:14" x14ac:dyDescent="0.35">
      <c r="A133">
        <v>2021</v>
      </c>
      <c r="B133">
        <v>8</v>
      </c>
      <c r="C133" t="s">
        <v>14</v>
      </c>
      <c r="D133" t="s">
        <v>33</v>
      </c>
      <c r="E133" t="s">
        <v>20</v>
      </c>
      <c r="F133" t="s">
        <v>20</v>
      </c>
      <c r="G133">
        <v>106466</v>
      </c>
      <c r="H133">
        <v>78885</v>
      </c>
      <c r="I133">
        <v>329</v>
      </c>
      <c r="J133">
        <v>0.97</v>
      </c>
      <c r="K133">
        <v>6.29</v>
      </c>
      <c r="L133">
        <v>1.2</v>
      </c>
      <c r="M133">
        <v>1</v>
      </c>
      <c r="N133">
        <v>749</v>
      </c>
    </row>
    <row r="134" spans="1:14" x14ac:dyDescent="0.35">
      <c r="A134">
        <v>2017</v>
      </c>
      <c r="B134">
        <v>1</v>
      </c>
      <c r="C134" t="s">
        <v>21</v>
      </c>
      <c r="D134" t="s">
        <v>18</v>
      </c>
      <c r="E134" t="s">
        <v>19</v>
      </c>
      <c r="F134" t="s">
        <v>23</v>
      </c>
      <c r="G134">
        <v>96816</v>
      </c>
      <c r="H134">
        <v>221128</v>
      </c>
      <c r="I134">
        <v>30</v>
      </c>
      <c r="J134">
        <v>0.97</v>
      </c>
      <c r="K134">
        <v>6.29</v>
      </c>
      <c r="L134">
        <v>1.2</v>
      </c>
      <c r="M134">
        <v>6</v>
      </c>
      <c r="N134">
        <v>373</v>
      </c>
    </row>
    <row r="135" spans="1:14" x14ac:dyDescent="0.35">
      <c r="A135">
        <v>2020</v>
      </c>
      <c r="B135">
        <v>9</v>
      </c>
      <c r="C135" t="s">
        <v>35</v>
      </c>
      <c r="D135" t="s">
        <v>15</v>
      </c>
      <c r="E135" t="s">
        <v>20</v>
      </c>
      <c r="F135" t="s">
        <v>20</v>
      </c>
      <c r="G135">
        <v>83785</v>
      </c>
      <c r="H135">
        <v>446419</v>
      </c>
      <c r="I135">
        <v>209</v>
      </c>
      <c r="J135">
        <v>0.97</v>
      </c>
      <c r="K135">
        <v>6.29</v>
      </c>
      <c r="L135">
        <v>1.2</v>
      </c>
      <c r="M135">
        <v>8</v>
      </c>
      <c r="N135">
        <v>753</v>
      </c>
    </row>
    <row r="136" spans="1:14" x14ac:dyDescent="0.35">
      <c r="A136">
        <v>2016</v>
      </c>
      <c r="B136">
        <v>7</v>
      </c>
      <c r="C136" t="s">
        <v>32</v>
      </c>
      <c r="D136" t="s">
        <v>31</v>
      </c>
      <c r="E136" t="s">
        <v>16</v>
      </c>
      <c r="F136" t="s">
        <v>23</v>
      </c>
      <c r="G136">
        <v>35507</v>
      </c>
      <c r="H136">
        <v>241313</v>
      </c>
      <c r="I136">
        <v>380</v>
      </c>
      <c r="J136">
        <v>0.97</v>
      </c>
      <c r="K136">
        <v>6.29</v>
      </c>
      <c r="L136">
        <v>1.2</v>
      </c>
      <c r="M136">
        <v>6</v>
      </c>
      <c r="N136">
        <v>1169</v>
      </c>
    </row>
    <row r="137" spans="1:14" x14ac:dyDescent="0.35">
      <c r="A137">
        <v>2024</v>
      </c>
      <c r="B137">
        <v>3</v>
      </c>
      <c r="C137" t="s">
        <v>28</v>
      </c>
      <c r="D137" t="s">
        <v>31</v>
      </c>
      <c r="E137" t="s">
        <v>20</v>
      </c>
      <c r="F137" t="s">
        <v>20</v>
      </c>
      <c r="G137">
        <v>101972</v>
      </c>
      <c r="H137">
        <v>445460</v>
      </c>
      <c r="I137">
        <v>350</v>
      </c>
      <c r="J137">
        <v>0.97</v>
      </c>
      <c r="K137">
        <v>6.29</v>
      </c>
      <c r="L137">
        <v>1.2</v>
      </c>
      <c r="M137">
        <v>5</v>
      </c>
      <c r="N137">
        <v>780</v>
      </c>
    </row>
    <row r="138" spans="1:14" x14ac:dyDescent="0.35">
      <c r="A138">
        <v>2023</v>
      </c>
      <c r="B138">
        <v>8</v>
      </c>
      <c r="C138" t="s">
        <v>36</v>
      </c>
      <c r="D138" t="s">
        <v>39</v>
      </c>
      <c r="E138" t="s">
        <v>19</v>
      </c>
      <c r="F138" t="s">
        <v>23</v>
      </c>
      <c r="G138">
        <v>62151</v>
      </c>
      <c r="H138">
        <v>410466</v>
      </c>
      <c r="I138">
        <v>257</v>
      </c>
      <c r="J138">
        <v>0.97</v>
      </c>
      <c r="K138">
        <v>6.29</v>
      </c>
      <c r="L138">
        <v>1.2</v>
      </c>
      <c r="M138">
        <v>8</v>
      </c>
      <c r="N138">
        <v>756</v>
      </c>
    </row>
    <row r="139" spans="1:14" x14ac:dyDescent="0.35">
      <c r="A139">
        <v>2019</v>
      </c>
      <c r="B139">
        <v>7</v>
      </c>
      <c r="C139" t="s">
        <v>14</v>
      </c>
      <c r="D139" t="s">
        <v>33</v>
      </c>
      <c r="E139" t="s">
        <v>20</v>
      </c>
      <c r="F139" t="s">
        <v>20</v>
      </c>
      <c r="G139">
        <v>46618</v>
      </c>
      <c r="H139">
        <v>380763</v>
      </c>
      <c r="I139">
        <v>285</v>
      </c>
      <c r="J139">
        <v>0.97</v>
      </c>
      <c r="K139">
        <v>6.29</v>
      </c>
      <c r="L139">
        <v>1.2</v>
      </c>
      <c r="M139">
        <v>2</v>
      </c>
      <c r="N139">
        <v>848</v>
      </c>
    </row>
    <row r="140" spans="1:14" x14ac:dyDescent="0.35">
      <c r="A140">
        <v>2020</v>
      </c>
      <c r="B140">
        <v>11</v>
      </c>
      <c r="C140" t="s">
        <v>30</v>
      </c>
      <c r="D140" t="s">
        <v>24</v>
      </c>
      <c r="E140" t="s">
        <v>19</v>
      </c>
      <c r="F140" t="s">
        <v>17</v>
      </c>
      <c r="G140">
        <v>109286</v>
      </c>
      <c r="H140">
        <v>71584</v>
      </c>
      <c r="I140">
        <v>273</v>
      </c>
      <c r="J140">
        <v>0.97</v>
      </c>
      <c r="K140">
        <v>6.29</v>
      </c>
      <c r="L140">
        <v>1.2</v>
      </c>
      <c r="M140">
        <v>1</v>
      </c>
      <c r="N140">
        <v>911</v>
      </c>
    </row>
    <row r="141" spans="1:14" x14ac:dyDescent="0.35">
      <c r="A141">
        <v>2018</v>
      </c>
      <c r="B141">
        <v>8</v>
      </c>
      <c r="C141" t="s">
        <v>28</v>
      </c>
      <c r="D141" t="s">
        <v>29</v>
      </c>
      <c r="E141" t="s">
        <v>19</v>
      </c>
      <c r="F141" t="s">
        <v>27</v>
      </c>
      <c r="G141">
        <v>51122</v>
      </c>
      <c r="H141">
        <v>320665</v>
      </c>
      <c r="I141">
        <v>67</v>
      </c>
      <c r="J141">
        <v>0.97</v>
      </c>
      <c r="K141">
        <v>6.29</v>
      </c>
      <c r="L141">
        <v>1.2</v>
      </c>
      <c r="M141">
        <v>1</v>
      </c>
      <c r="N141">
        <v>530</v>
      </c>
    </row>
    <row r="142" spans="1:14" x14ac:dyDescent="0.35">
      <c r="A142">
        <v>2024</v>
      </c>
      <c r="B142">
        <v>6</v>
      </c>
      <c r="C142" t="s">
        <v>38</v>
      </c>
      <c r="D142" t="s">
        <v>22</v>
      </c>
      <c r="E142" t="s">
        <v>16</v>
      </c>
      <c r="F142" t="s">
        <v>17</v>
      </c>
      <c r="G142">
        <v>42354</v>
      </c>
      <c r="H142">
        <v>231089</v>
      </c>
      <c r="I142">
        <v>311</v>
      </c>
      <c r="J142">
        <v>0.97</v>
      </c>
      <c r="K142">
        <v>6.29</v>
      </c>
      <c r="L142">
        <v>1.2</v>
      </c>
      <c r="M142">
        <v>4</v>
      </c>
      <c r="N142">
        <v>989</v>
      </c>
    </row>
    <row r="143" spans="1:14" x14ac:dyDescent="0.35">
      <c r="A143">
        <v>2021</v>
      </c>
      <c r="B143">
        <v>9</v>
      </c>
      <c r="C143" t="s">
        <v>35</v>
      </c>
      <c r="D143" t="s">
        <v>24</v>
      </c>
      <c r="E143" t="s">
        <v>16</v>
      </c>
      <c r="F143" t="s">
        <v>27</v>
      </c>
      <c r="G143">
        <v>65979</v>
      </c>
      <c r="H143">
        <v>345685</v>
      </c>
      <c r="I143">
        <v>40</v>
      </c>
      <c r="J143">
        <v>0.97</v>
      </c>
      <c r="K143">
        <v>6.29</v>
      </c>
      <c r="L143">
        <v>1.2</v>
      </c>
      <c r="M143">
        <v>6</v>
      </c>
      <c r="N143">
        <v>203</v>
      </c>
    </row>
    <row r="144" spans="1:14" x14ac:dyDescent="0.35">
      <c r="A144">
        <v>2023</v>
      </c>
      <c r="B144">
        <v>5</v>
      </c>
      <c r="C144" t="s">
        <v>25</v>
      </c>
      <c r="D144" t="s">
        <v>39</v>
      </c>
      <c r="E144" t="s">
        <v>19</v>
      </c>
      <c r="F144" t="s">
        <v>27</v>
      </c>
      <c r="G144">
        <v>114376</v>
      </c>
      <c r="H144">
        <v>79063</v>
      </c>
      <c r="I144">
        <v>258</v>
      </c>
      <c r="J144">
        <v>0.97</v>
      </c>
      <c r="K144">
        <v>6.29</v>
      </c>
      <c r="L144">
        <v>1.2</v>
      </c>
      <c r="M144">
        <v>9</v>
      </c>
      <c r="N144">
        <v>685</v>
      </c>
    </row>
    <row r="145" spans="1:14" x14ac:dyDescent="0.35">
      <c r="A145">
        <v>2021</v>
      </c>
      <c r="B145">
        <v>3</v>
      </c>
      <c r="C145" t="s">
        <v>36</v>
      </c>
      <c r="D145" t="s">
        <v>22</v>
      </c>
      <c r="E145" t="s">
        <v>20</v>
      </c>
      <c r="F145" t="s">
        <v>23</v>
      </c>
      <c r="G145">
        <v>87774</v>
      </c>
      <c r="H145">
        <v>120268</v>
      </c>
      <c r="I145">
        <v>102</v>
      </c>
      <c r="J145">
        <v>0.97</v>
      </c>
      <c r="K145">
        <v>6.29</v>
      </c>
      <c r="L145">
        <v>1.2</v>
      </c>
      <c r="M145">
        <v>1</v>
      </c>
      <c r="N145">
        <v>408</v>
      </c>
    </row>
    <row r="146" spans="1:14" x14ac:dyDescent="0.35">
      <c r="A146">
        <v>2015</v>
      </c>
      <c r="B146">
        <v>3</v>
      </c>
      <c r="C146" t="s">
        <v>30</v>
      </c>
      <c r="D146" t="s">
        <v>33</v>
      </c>
      <c r="E146" t="s">
        <v>19</v>
      </c>
      <c r="F146" t="s">
        <v>27</v>
      </c>
      <c r="G146">
        <v>40037</v>
      </c>
      <c r="H146">
        <v>306306</v>
      </c>
      <c r="I146">
        <v>274</v>
      </c>
      <c r="J146">
        <v>0.97</v>
      </c>
      <c r="K146">
        <v>6.29</v>
      </c>
      <c r="L146">
        <v>1.2</v>
      </c>
      <c r="M146">
        <v>1</v>
      </c>
      <c r="N146">
        <v>762</v>
      </c>
    </row>
    <row r="147" spans="1:14" x14ac:dyDescent="0.35">
      <c r="A147">
        <v>2015</v>
      </c>
      <c r="B147">
        <v>1</v>
      </c>
      <c r="C147" t="s">
        <v>28</v>
      </c>
      <c r="D147" t="s">
        <v>39</v>
      </c>
      <c r="E147" t="s">
        <v>19</v>
      </c>
      <c r="F147" t="s">
        <v>17</v>
      </c>
      <c r="G147">
        <v>63633</v>
      </c>
      <c r="H147">
        <v>176218</v>
      </c>
      <c r="I147">
        <v>280</v>
      </c>
      <c r="J147">
        <v>0.97</v>
      </c>
      <c r="K147">
        <v>6.29</v>
      </c>
      <c r="L147">
        <v>1.2</v>
      </c>
      <c r="M147">
        <v>5</v>
      </c>
      <c r="N147">
        <v>941</v>
      </c>
    </row>
    <row r="148" spans="1:14" x14ac:dyDescent="0.35">
      <c r="A148">
        <v>2023</v>
      </c>
      <c r="B148">
        <v>12</v>
      </c>
      <c r="C148" t="s">
        <v>35</v>
      </c>
      <c r="D148" t="s">
        <v>22</v>
      </c>
      <c r="E148" t="s">
        <v>20</v>
      </c>
      <c r="F148" t="s">
        <v>17</v>
      </c>
      <c r="G148">
        <v>59495</v>
      </c>
      <c r="H148">
        <v>430350</v>
      </c>
      <c r="I148">
        <v>103</v>
      </c>
      <c r="J148">
        <v>0.97</v>
      </c>
      <c r="K148">
        <v>6.29</v>
      </c>
      <c r="L148">
        <v>1.2</v>
      </c>
      <c r="M148">
        <v>10</v>
      </c>
      <c r="N148">
        <v>425</v>
      </c>
    </row>
    <row r="149" spans="1:14" x14ac:dyDescent="0.35">
      <c r="A149">
        <v>2023</v>
      </c>
      <c r="B149">
        <v>8</v>
      </c>
      <c r="C149" t="s">
        <v>21</v>
      </c>
      <c r="D149" t="s">
        <v>33</v>
      </c>
      <c r="E149" t="s">
        <v>20</v>
      </c>
      <c r="F149" t="s">
        <v>20</v>
      </c>
      <c r="G149">
        <v>99550</v>
      </c>
      <c r="H149">
        <v>274126</v>
      </c>
      <c r="I149">
        <v>163</v>
      </c>
      <c r="J149">
        <v>0.97</v>
      </c>
      <c r="K149">
        <v>6.29</v>
      </c>
      <c r="L149">
        <v>1.2</v>
      </c>
      <c r="M149">
        <v>5</v>
      </c>
      <c r="N149">
        <v>596</v>
      </c>
    </row>
    <row r="150" spans="1:14" x14ac:dyDescent="0.35">
      <c r="A150">
        <v>2018</v>
      </c>
      <c r="B150">
        <v>2</v>
      </c>
      <c r="C150" t="s">
        <v>38</v>
      </c>
      <c r="D150" t="s">
        <v>26</v>
      </c>
      <c r="E150" t="s">
        <v>20</v>
      </c>
      <c r="F150" t="s">
        <v>17</v>
      </c>
      <c r="G150">
        <v>116384</v>
      </c>
      <c r="H150">
        <v>220635</v>
      </c>
      <c r="I150">
        <v>294</v>
      </c>
      <c r="J150">
        <v>0.97</v>
      </c>
      <c r="K150">
        <v>6.29</v>
      </c>
      <c r="L150">
        <v>1.2</v>
      </c>
      <c r="M150">
        <v>5</v>
      </c>
      <c r="N150">
        <v>769</v>
      </c>
    </row>
    <row r="151" spans="1:14" x14ac:dyDescent="0.35">
      <c r="A151">
        <v>2023</v>
      </c>
      <c r="B151">
        <v>3</v>
      </c>
      <c r="C151" t="s">
        <v>36</v>
      </c>
      <c r="D151" t="s">
        <v>24</v>
      </c>
      <c r="E151" t="s">
        <v>20</v>
      </c>
      <c r="F151" t="s">
        <v>20</v>
      </c>
      <c r="G151">
        <v>71483</v>
      </c>
      <c r="H151">
        <v>220824</v>
      </c>
      <c r="I151">
        <v>89</v>
      </c>
      <c r="J151">
        <v>0.97</v>
      </c>
      <c r="K151">
        <v>6.29</v>
      </c>
      <c r="L151">
        <v>1.2</v>
      </c>
      <c r="M151">
        <v>10</v>
      </c>
      <c r="N151">
        <v>543</v>
      </c>
    </row>
    <row r="152" spans="1:14" x14ac:dyDescent="0.35">
      <c r="A152">
        <v>2017</v>
      </c>
      <c r="B152">
        <v>8</v>
      </c>
      <c r="C152" t="s">
        <v>32</v>
      </c>
      <c r="D152" t="s">
        <v>24</v>
      </c>
      <c r="E152" t="s">
        <v>19</v>
      </c>
      <c r="F152" t="s">
        <v>27</v>
      </c>
      <c r="G152">
        <v>108373</v>
      </c>
      <c r="H152">
        <v>276305</v>
      </c>
      <c r="I152">
        <v>301</v>
      </c>
      <c r="J152">
        <v>0.97</v>
      </c>
      <c r="K152">
        <v>6.29</v>
      </c>
      <c r="L152">
        <v>1.2</v>
      </c>
      <c r="M152">
        <v>6</v>
      </c>
      <c r="N152">
        <v>997</v>
      </c>
    </row>
    <row r="153" spans="1:14" x14ac:dyDescent="0.35">
      <c r="A153">
        <v>2021</v>
      </c>
      <c r="B153">
        <v>8</v>
      </c>
      <c r="C153" t="s">
        <v>21</v>
      </c>
      <c r="D153" t="s">
        <v>29</v>
      </c>
      <c r="E153" t="s">
        <v>19</v>
      </c>
      <c r="F153" t="s">
        <v>17</v>
      </c>
      <c r="G153">
        <v>69069</v>
      </c>
      <c r="H153">
        <v>445783</v>
      </c>
      <c r="I153">
        <v>93</v>
      </c>
      <c r="J153">
        <v>0.97</v>
      </c>
      <c r="K153">
        <v>6.29</v>
      </c>
      <c r="L153">
        <v>1.2</v>
      </c>
      <c r="M153">
        <v>8</v>
      </c>
      <c r="N153">
        <v>357</v>
      </c>
    </row>
    <row r="154" spans="1:14" x14ac:dyDescent="0.35">
      <c r="A154">
        <v>2020</v>
      </c>
      <c r="B154">
        <v>11</v>
      </c>
      <c r="C154" t="s">
        <v>30</v>
      </c>
      <c r="D154" t="s">
        <v>33</v>
      </c>
      <c r="E154" t="s">
        <v>16</v>
      </c>
      <c r="F154" t="s">
        <v>27</v>
      </c>
      <c r="G154">
        <v>42370</v>
      </c>
      <c r="H154">
        <v>459337</v>
      </c>
      <c r="I154">
        <v>374</v>
      </c>
      <c r="J154">
        <v>0.97</v>
      </c>
      <c r="K154">
        <v>6.29</v>
      </c>
      <c r="L154">
        <v>1.2</v>
      </c>
      <c r="M154">
        <v>3</v>
      </c>
      <c r="N154">
        <v>1043</v>
      </c>
    </row>
    <row r="155" spans="1:14" x14ac:dyDescent="0.35">
      <c r="A155">
        <v>2022</v>
      </c>
      <c r="B155">
        <v>4</v>
      </c>
      <c r="C155" t="s">
        <v>36</v>
      </c>
      <c r="D155" t="s">
        <v>15</v>
      </c>
      <c r="E155" t="s">
        <v>19</v>
      </c>
      <c r="F155" t="s">
        <v>17</v>
      </c>
      <c r="G155">
        <v>106947</v>
      </c>
      <c r="H155">
        <v>444890</v>
      </c>
      <c r="I155">
        <v>383</v>
      </c>
      <c r="J155">
        <v>0.97</v>
      </c>
      <c r="K155">
        <v>6.29</v>
      </c>
      <c r="L155">
        <v>1.2</v>
      </c>
      <c r="M155">
        <v>9</v>
      </c>
      <c r="N155">
        <v>849</v>
      </c>
    </row>
    <row r="156" spans="1:14" x14ac:dyDescent="0.35">
      <c r="A156">
        <v>2023</v>
      </c>
      <c r="B156">
        <v>4</v>
      </c>
      <c r="C156" t="s">
        <v>21</v>
      </c>
      <c r="D156" t="s">
        <v>26</v>
      </c>
      <c r="E156" t="s">
        <v>20</v>
      </c>
      <c r="F156" t="s">
        <v>17</v>
      </c>
      <c r="G156">
        <v>74133</v>
      </c>
      <c r="H156">
        <v>126411</v>
      </c>
      <c r="I156">
        <v>46</v>
      </c>
      <c r="J156">
        <v>0.97</v>
      </c>
      <c r="K156">
        <v>6.29</v>
      </c>
      <c r="L156">
        <v>1.2</v>
      </c>
      <c r="M156">
        <v>1</v>
      </c>
      <c r="N156">
        <v>122</v>
      </c>
    </row>
    <row r="157" spans="1:14" x14ac:dyDescent="0.35">
      <c r="A157">
        <v>2019</v>
      </c>
      <c r="B157">
        <v>5</v>
      </c>
      <c r="C157" t="s">
        <v>38</v>
      </c>
      <c r="D157" t="s">
        <v>34</v>
      </c>
      <c r="E157" t="s">
        <v>16</v>
      </c>
      <c r="F157" t="s">
        <v>20</v>
      </c>
      <c r="G157">
        <v>35692</v>
      </c>
      <c r="H157">
        <v>159876</v>
      </c>
      <c r="I157">
        <v>351</v>
      </c>
      <c r="J157">
        <v>0.97</v>
      </c>
      <c r="K157">
        <v>6.29</v>
      </c>
      <c r="L157">
        <v>1.2</v>
      </c>
      <c r="M157">
        <v>4</v>
      </c>
      <c r="N157">
        <v>916</v>
      </c>
    </row>
    <row r="158" spans="1:14" x14ac:dyDescent="0.35">
      <c r="A158">
        <v>2015</v>
      </c>
      <c r="B158">
        <v>6</v>
      </c>
      <c r="C158" t="s">
        <v>32</v>
      </c>
      <c r="D158" t="s">
        <v>22</v>
      </c>
      <c r="E158" t="s">
        <v>20</v>
      </c>
      <c r="F158" t="s">
        <v>27</v>
      </c>
      <c r="G158">
        <v>63926</v>
      </c>
      <c r="H158">
        <v>248153</v>
      </c>
      <c r="I158">
        <v>336</v>
      </c>
      <c r="J158">
        <v>0.97</v>
      </c>
      <c r="K158">
        <v>6.29</v>
      </c>
      <c r="L158">
        <v>1.2</v>
      </c>
      <c r="M158">
        <v>9</v>
      </c>
      <c r="N158">
        <v>882</v>
      </c>
    </row>
    <row r="159" spans="1:14" x14ac:dyDescent="0.35">
      <c r="A159">
        <v>2017</v>
      </c>
      <c r="B159">
        <v>5</v>
      </c>
      <c r="C159" t="s">
        <v>21</v>
      </c>
      <c r="D159" t="s">
        <v>26</v>
      </c>
      <c r="E159" t="s">
        <v>19</v>
      </c>
      <c r="F159" t="s">
        <v>17</v>
      </c>
      <c r="G159">
        <v>108984</v>
      </c>
      <c r="H159">
        <v>210212</v>
      </c>
      <c r="I159">
        <v>241</v>
      </c>
      <c r="J159">
        <v>0.97</v>
      </c>
      <c r="K159">
        <v>6.29</v>
      </c>
      <c r="L159">
        <v>1.2</v>
      </c>
      <c r="M159">
        <v>8</v>
      </c>
      <c r="N159">
        <v>472</v>
      </c>
    </row>
    <row r="160" spans="1:14" x14ac:dyDescent="0.35">
      <c r="A160">
        <v>2024</v>
      </c>
      <c r="B160">
        <v>7</v>
      </c>
      <c r="C160" t="s">
        <v>37</v>
      </c>
      <c r="D160" t="s">
        <v>33</v>
      </c>
      <c r="E160" t="s">
        <v>16</v>
      </c>
      <c r="F160" t="s">
        <v>23</v>
      </c>
      <c r="G160">
        <v>78390</v>
      </c>
      <c r="H160">
        <v>190399</v>
      </c>
      <c r="I160">
        <v>102</v>
      </c>
      <c r="J160">
        <v>0.97</v>
      </c>
      <c r="K160">
        <v>6.29</v>
      </c>
      <c r="L160">
        <v>1.2</v>
      </c>
      <c r="M160">
        <v>10</v>
      </c>
      <c r="N160">
        <v>448</v>
      </c>
    </row>
    <row r="161" spans="1:14" x14ac:dyDescent="0.35">
      <c r="A161">
        <v>2022</v>
      </c>
      <c r="B161">
        <v>2</v>
      </c>
      <c r="C161" t="s">
        <v>32</v>
      </c>
      <c r="D161" t="s">
        <v>18</v>
      </c>
      <c r="E161" t="s">
        <v>20</v>
      </c>
      <c r="F161" t="s">
        <v>27</v>
      </c>
      <c r="G161">
        <v>84593</v>
      </c>
      <c r="H161">
        <v>73331</v>
      </c>
      <c r="I161">
        <v>345</v>
      </c>
      <c r="J161">
        <v>0.97</v>
      </c>
      <c r="K161">
        <v>6.29</v>
      </c>
      <c r="L161">
        <v>1.2</v>
      </c>
      <c r="M161">
        <v>9</v>
      </c>
      <c r="N161">
        <v>956</v>
      </c>
    </row>
    <row r="162" spans="1:14" x14ac:dyDescent="0.35">
      <c r="A162">
        <v>2020</v>
      </c>
      <c r="B162">
        <v>7</v>
      </c>
      <c r="C162" t="s">
        <v>30</v>
      </c>
      <c r="D162" t="s">
        <v>22</v>
      </c>
      <c r="E162" t="s">
        <v>16</v>
      </c>
      <c r="F162" t="s">
        <v>27</v>
      </c>
      <c r="G162">
        <v>110609</v>
      </c>
      <c r="H162">
        <v>73004</v>
      </c>
      <c r="I162">
        <v>111</v>
      </c>
      <c r="J162">
        <v>0.97</v>
      </c>
      <c r="K162">
        <v>6.29</v>
      </c>
      <c r="L162">
        <v>1.2</v>
      </c>
      <c r="M162">
        <v>1</v>
      </c>
      <c r="N162">
        <v>628</v>
      </c>
    </row>
    <row r="163" spans="1:14" x14ac:dyDescent="0.35">
      <c r="A163">
        <v>2022</v>
      </c>
      <c r="B163">
        <v>10</v>
      </c>
      <c r="C163" t="s">
        <v>38</v>
      </c>
      <c r="D163" t="s">
        <v>31</v>
      </c>
      <c r="E163" t="s">
        <v>16</v>
      </c>
      <c r="F163" t="s">
        <v>27</v>
      </c>
      <c r="G163">
        <v>40209</v>
      </c>
      <c r="H163">
        <v>288441</v>
      </c>
      <c r="I163">
        <v>175</v>
      </c>
      <c r="J163">
        <v>0.97</v>
      </c>
      <c r="K163">
        <v>6.29</v>
      </c>
      <c r="L163">
        <v>1.2</v>
      </c>
      <c r="M163">
        <v>9</v>
      </c>
      <c r="N163">
        <v>806</v>
      </c>
    </row>
    <row r="164" spans="1:14" x14ac:dyDescent="0.35">
      <c r="A164">
        <v>2023</v>
      </c>
      <c r="B164">
        <v>7</v>
      </c>
      <c r="C164" t="s">
        <v>35</v>
      </c>
      <c r="D164" t="s">
        <v>24</v>
      </c>
      <c r="E164" t="s">
        <v>19</v>
      </c>
      <c r="F164" t="s">
        <v>20</v>
      </c>
      <c r="G164">
        <v>41533</v>
      </c>
      <c r="H164">
        <v>431387</v>
      </c>
      <c r="I164">
        <v>168</v>
      </c>
      <c r="J164">
        <v>0.97</v>
      </c>
      <c r="K164">
        <v>6.29</v>
      </c>
      <c r="L164">
        <v>1.2</v>
      </c>
      <c r="M164">
        <v>3</v>
      </c>
      <c r="N164">
        <v>465</v>
      </c>
    </row>
    <row r="165" spans="1:14" x14ac:dyDescent="0.35">
      <c r="A165">
        <v>2018</v>
      </c>
      <c r="B165">
        <v>1</v>
      </c>
      <c r="C165" t="s">
        <v>25</v>
      </c>
      <c r="D165" t="s">
        <v>33</v>
      </c>
      <c r="E165" t="s">
        <v>20</v>
      </c>
      <c r="F165" t="s">
        <v>23</v>
      </c>
      <c r="G165">
        <v>42211</v>
      </c>
      <c r="H165">
        <v>453708</v>
      </c>
      <c r="I165">
        <v>23</v>
      </c>
      <c r="J165">
        <v>0.97</v>
      </c>
      <c r="K165">
        <v>6.29</v>
      </c>
      <c r="L165">
        <v>1.2</v>
      </c>
      <c r="M165">
        <v>10</v>
      </c>
      <c r="N165">
        <v>121</v>
      </c>
    </row>
    <row r="166" spans="1:14" x14ac:dyDescent="0.35">
      <c r="A166">
        <v>2015</v>
      </c>
      <c r="B166">
        <v>7</v>
      </c>
      <c r="C166" t="s">
        <v>25</v>
      </c>
      <c r="D166" t="s">
        <v>31</v>
      </c>
      <c r="E166" t="s">
        <v>16</v>
      </c>
      <c r="F166" t="s">
        <v>27</v>
      </c>
      <c r="G166">
        <v>44927</v>
      </c>
      <c r="H166">
        <v>498013</v>
      </c>
      <c r="I166">
        <v>382</v>
      </c>
      <c r="J166">
        <v>0.97</v>
      </c>
      <c r="K166">
        <v>6.29</v>
      </c>
      <c r="L166">
        <v>1.2</v>
      </c>
      <c r="M166">
        <v>9</v>
      </c>
      <c r="N166">
        <v>923</v>
      </c>
    </row>
    <row r="167" spans="1:14" x14ac:dyDescent="0.35">
      <c r="A167">
        <v>2015</v>
      </c>
      <c r="B167">
        <v>5</v>
      </c>
      <c r="C167" t="s">
        <v>25</v>
      </c>
      <c r="D167" t="s">
        <v>29</v>
      </c>
      <c r="E167" t="s">
        <v>16</v>
      </c>
      <c r="F167" t="s">
        <v>17</v>
      </c>
      <c r="G167">
        <v>112463</v>
      </c>
      <c r="H167">
        <v>239167</v>
      </c>
      <c r="I167">
        <v>234</v>
      </c>
      <c r="J167">
        <v>0.97</v>
      </c>
      <c r="K167">
        <v>6.29</v>
      </c>
      <c r="L167">
        <v>1.2</v>
      </c>
      <c r="M167">
        <v>1</v>
      </c>
      <c r="N167">
        <v>507</v>
      </c>
    </row>
    <row r="168" spans="1:14" x14ac:dyDescent="0.35">
      <c r="A168">
        <v>2024</v>
      </c>
      <c r="B168">
        <v>3</v>
      </c>
      <c r="C168" t="s">
        <v>36</v>
      </c>
      <c r="D168" t="s">
        <v>39</v>
      </c>
      <c r="E168" t="s">
        <v>20</v>
      </c>
      <c r="F168" t="s">
        <v>17</v>
      </c>
      <c r="G168">
        <v>59594</v>
      </c>
      <c r="H168">
        <v>456965</v>
      </c>
      <c r="I168">
        <v>82</v>
      </c>
      <c r="J168">
        <v>0.97</v>
      </c>
      <c r="K168">
        <v>6.29</v>
      </c>
      <c r="L168">
        <v>1.2</v>
      </c>
      <c r="M168">
        <v>1</v>
      </c>
      <c r="N168">
        <v>288</v>
      </c>
    </row>
    <row r="169" spans="1:14" x14ac:dyDescent="0.35">
      <c r="A169">
        <v>2018</v>
      </c>
      <c r="B169">
        <v>3</v>
      </c>
      <c r="C169" t="s">
        <v>30</v>
      </c>
      <c r="D169" t="s">
        <v>34</v>
      </c>
      <c r="E169" t="s">
        <v>16</v>
      </c>
      <c r="F169" t="s">
        <v>20</v>
      </c>
      <c r="G169">
        <v>109852</v>
      </c>
      <c r="H169">
        <v>375361</v>
      </c>
      <c r="I169">
        <v>258</v>
      </c>
      <c r="J169">
        <v>0.97</v>
      </c>
      <c r="K169">
        <v>6.29</v>
      </c>
      <c r="L169">
        <v>1.2</v>
      </c>
      <c r="M169">
        <v>9</v>
      </c>
      <c r="N169">
        <v>519</v>
      </c>
    </row>
    <row r="170" spans="1:14" x14ac:dyDescent="0.35">
      <c r="A170">
        <v>2021</v>
      </c>
      <c r="B170">
        <v>4</v>
      </c>
      <c r="C170" t="s">
        <v>38</v>
      </c>
      <c r="D170" t="s">
        <v>34</v>
      </c>
      <c r="E170" t="s">
        <v>16</v>
      </c>
      <c r="F170" t="s">
        <v>17</v>
      </c>
      <c r="G170">
        <v>112713</v>
      </c>
      <c r="H170">
        <v>139044</v>
      </c>
      <c r="I170">
        <v>100</v>
      </c>
      <c r="J170">
        <v>0.97</v>
      </c>
      <c r="K170">
        <v>6.29</v>
      </c>
      <c r="L170">
        <v>1.2</v>
      </c>
      <c r="M170">
        <v>6</v>
      </c>
      <c r="N170">
        <v>527</v>
      </c>
    </row>
    <row r="171" spans="1:14" x14ac:dyDescent="0.35">
      <c r="A171">
        <v>2016</v>
      </c>
      <c r="B171">
        <v>12</v>
      </c>
      <c r="C171" t="s">
        <v>32</v>
      </c>
      <c r="D171" t="s">
        <v>31</v>
      </c>
      <c r="E171" t="s">
        <v>16</v>
      </c>
      <c r="F171" t="s">
        <v>27</v>
      </c>
      <c r="G171">
        <v>111382</v>
      </c>
      <c r="H171">
        <v>321189</v>
      </c>
      <c r="I171">
        <v>225</v>
      </c>
      <c r="J171">
        <v>0.97</v>
      </c>
      <c r="K171">
        <v>6.29</v>
      </c>
      <c r="L171">
        <v>1.2</v>
      </c>
      <c r="M171">
        <v>4</v>
      </c>
      <c r="N171">
        <v>883</v>
      </c>
    </row>
    <row r="172" spans="1:14" x14ac:dyDescent="0.35">
      <c r="A172">
        <v>2017</v>
      </c>
      <c r="B172">
        <v>2</v>
      </c>
      <c r="C172" t="s">
        <v>36</v>
      </c>
      <c r="D172" t="s">
        <v>24</v>
      </c>
      <c r="E172" t="s">
        <v>20</v>
      </c>
      <c r="F172" t="s">
        <v>17</v>
      </c>
      <c r="G172">
        <v>42933</v>
      </c>
      <c r="H172">
        <v>332260</v>
      </c>
      <c r="I172">
        <v>99</v>
      </c>
      <c r="J172">
        <v>0.97</v>
      </c>
      <c r="K172">
        <v>6.29</v>
      </c>
      <c r="L172">
        <v>1.2</v>
      </c>
      <c r="M172">
        <v>7</v>
      </c>
      <c r="N172">
        <v>361</v>
      </c>
    </row>
    <row r="173" spans="1:14" x14ac:dyDescent="0.35">
      <c r="A173">
        <v>2015</v>
      </c>
      <c r="B173">
        <v>2</v>
      </c>
      <c r="C173" t="s">
        <v>30</v>
      </c>
      <c r="D173" t="s">
        <v>29</v>
      </c>
      <c r="E173" t="s">
        <v>20</v>
      </c>
      <c r="F173" t="s">
        <v>27</v>
      </c>
      <c r="G173">
        <v>75696</v>
      </c>
      <c r="H173">
        <v>68667</v>
      </c>
      <c r="I173">
        <v>38</v>
      </c>
      <c r="J173">
        <v>0.97</v>
      </c>
      <c r="K173">
        <v>6.29</v>
      </c>
      <c r="L173">
        <v>1.2</v>
      </c>
      <c r="M173">
        <v>5</v>
      </c>
      <c r="N173">
        <v>388</v>
      </c>
    </row>
    <row r="174" spans="1:14" x14ac:dyDescent="0.35">
      <c r="A174">
        <v>2019</v>
      </c>
      <c r="B174">
        <v>1</v>
      </c>
      <c r="C174" t="s">
        <v>35</v>
      </c>
      <c r="D174" t="s">
        <v>18</v>
      </c>
      <c r="E174" t="s">
        <v>20</v>
      </c>
      <c r="F174" t="s">
        <v>17</v>
      </c>
      <c r="G174">
        <v>100449</v>
      </c>
      <c r="H174">
        <v>387201</v>
      </c>
      <c r="I174">
        <v>314</v>
      </c>
      <c r="J174">
        <v>0.97</v>
      </c>
      <c r="K174">
        <v>6.29</v>
      </c>
      <c r="L174">
        <v>1.2</v>
      </c>
      <c r="M174">
        <v>10</v>
      </c>
      <c r="N174">
        <v>844</v>
      </c>
    </row>
    <row r="175" spans="1:14" x14ac:dyDescent="0.35">
      <c r="A175">
        <v>2015</v>
      </c>
      <c r="B175">
        <v>5</v>
      </c>
      <c r="C175" t="s">
        <v>37</v>
      </c>
      <c r="D175" t="s">
        <v>24</v>
      </c>
      <c r="E175" t="s">
        <v>20</v>
      </c>
      <c r="F175" t="s">
        <v>23</v>
      </c>
      <c r="G175">
        <v>102616</v>
      </c>
      <c r="H175">
        <v>124205</v>
      </c>
      <c r="I175">
        <v>229</v>
      </c>
      <c r="J175">
        <v>0.97</v>
      </c>
      <c r="K175">
        <v>6.29</v>
      </c>
      <c r="L175">
        <v>1.2</v>
      </c>
      <c r="M175">
        <v>7</v>
      </c>
      <c r="N175">
        <v>687</v>
      </c>
    </row>
    <row r="176" spans="1:14" x14ac:dyDescent="0.35">
      <c r="A176">
        <v>2022</v>
      </c>
      <c r="B176">
        <v>4</v>
      </c>
      <c r="C176" t="s">
        <v>38</v>
      </c>
      <c r="D176" t="s">
        <v>26</v>
      </c>
      <c r="E176" t="s">
        <v>19</v>
      </c>
      <c r="F176" t="s">
        <v>20</v>
      </c>
      <c r="G176">
        <v>41089</v>
      </c>
      <c r="H176">
        <v>77302</v>
      </c>
      <c r="I176">
        <v>337</v>
      </c>
      <c r="J176">
        <v>0.97</v>
      </c>
      <c r="K176">
        <v>6.29</v>
      </c>
      <c r="L176">
        <v>1.2</v>
      </c>
      <c r="M176">
        <v>8</v>
      </c>
      <c r="N176">
        <v>880</v>
      </c>
    </row>
    <row r="177" spans="1:14" x14ac:dyDescent="0.35">
      <c r="A177">
        <v>2015</v>
      </c>
      <c r="B177">
        <v>11</v>
      </c>
      <c r="C177" t="s">
        <v>25</v>
      </c>
      <c r="D177" t="s">
        <v>34</v>
      </c>
      <c r="E177" t="s">
        <v>16</v>
      </c>
      <c r="F177" t="s">
        <v>20</v>
      </c>
      <c r="G177">
        <v>91548</v>
      </c>
      <c r="H177">
        <v>454499</v>
      </c>
      <c r="I177">
        <v>224</v>
      </c>
      <c r="J177">
        <v>0.97</v>
      </c>
      <c r="K177">
        <v>6.29</v>
      </c>
      <c r="L177">
        <v>1.2</v>
      </c>
      <c r="M177">
        <v>8</v>
      </c>
      <c r="N177">
        <v>887</v>
      </c>
    </row>
    <row r="178" spans="1:14" x14ac:dyDescent="0.35">
      <c r="A178">
        <v>2015</v>
      </c>
      <c r="B178">
        <v>10</v>
      </c>
      <c r="C178" t="s">
        <v>21</v>
      </c>
      <c r="D178" t="s">
        <v>26</v>
      </c>
      <c r="E178" t="s">
        <v>20</v>
      </c>
      <c r="F178" t="s">
        <v>23</v>
      </c>
      <c r="G178">
        <v>61123</v>
      </c>
      <c r="H178">
        <v>212007</v>
      </c>
      <c r="I178">
        <v>230</v>
      </c>
      <c r="J178">
        <v>0.97</v>
      </c>
      <c r="K178">
        <v>6.29</v>
      </c>
      <c r="L178">
        <v>1.2</v>
      </c>
      <c r="M178">
        <v>1</v>
      </c>
      <c r="N178">
        <v>788</v>
      </c>
    </row>
    <row r="179" spans="1:14" x14ac:dyDescent="0.35">
      <c r="A179">
        <v>2016</v>
      </c>
      <c r="B179">
        <v>2</v>
      </c>
      <c r="C179" t="s">
        <v>38</v>
      </c>
      <c r="D179" t="s">
        <v>22</v>
      </c>
      <c r="E179" t="s">
        <v>16</v>
      </c>
      <c r="F179" t="s">
        <v>23</v>
      </c>
      <c r="G179">
        <v>42797</v>
      </c>
      <c r="H179">
        <v>122534</v>
      </c>
      <c r="I179">
        <v>398</v>
      </c>
      <c r="J179">
        <v>0.97</v>
      </c>
      <c r="K179">
        <v>6.29</v>
      </c>
      <c r="L179">
        <v>1.2</v>
      </c>
      <c r="M179">
        <v>8</v>
      </c>
      <c r="N179">
        <v>1026</v>
      </c>
    </row>
    <row r="180" spans="1:14" x14ac:dyDescent="0.35">
      <c r="A180">
        <v>2016</v>
      </c>
      <c r="B180">
        <v>3</v>
      </c>
      <c r="C180" t="s">
        <v>14</v>
      </c>
      <c r="D180" t="s">
        <v>15</v>
      </c>
      <c r="E180" t="s">
        <v>16</v>
      </c>
      <c r="F180" t="s">
        <v>20</v>
      </c>
      <c r="G180">
        <v>85013</v>
      </c>
      <c r="H180">
        <v>275414</v>
      </c>
      <c r="I180">
        <v>51</v>
      </c>
      <c r="J180">
        <v>0.97</v>
      </c>
      <c r="K180">
        <v>6.29</v>
      </c>
      <c r="L180">
        <v>1.2</v>
      </c>
      <c r="M180">
        <v>6</v>
      </c>
      <c r="N180">
        <v>347</v>
      </c>
    </row>
    <row r="181" spans="1:14" x14ac:dyDescent="0.35">
      <c r="A181">
        <v>2020</v>
      </c>
      <c r="B181">
        <v>7</v>
      </c>
      <c r="C181" t="s">
        <v>30</v>
      </c>
      <c r="D181" t="s">
        <v>33</v>
      </c>
      <c r="E181" t="s">
        <v>19</v>
      </c>
      <c r="F181" t="s">
        <v>23</v>
      </c>
      <c r="G181">
        <v>43346</v>
      </c>
      <c r="H181">
        <v>212696</v>
      </c>
      <c r="I181">
        <v>144</v>
      </c>
      <c r="J181">
        <v>0.97</v>
      </c>
      <c r="K181">
        <v>6.29</v>
      </c>
      <c r="L181">
        <v>1.2</v>
      </c>
      <c r="M181">
        <v>4</v>
      </c>
      <c r="N181">
        <v>386</v>
      </c>
    </row>
    <row r="182" spans="1:14" x14ac:dyDescent="0.35">
      <c r="A182">
        <v>2021</v>
      </c>
      <c r="B182">
        <v>7</v>
      </c>
      <c r="C182" t="s">
        <v>28</v>
      </c>
      <c r="D182" t="s">
        <v>29</v>
      </c>
      <c r="E182" t="s">
        <v>20</v>
      </c>
      <c r="F182" t="s">
        <v>27</v>
      </c>
      <c r="G182">
        <v>68672</v>
      </c>
      <c r="H182">
        <v>63440</v>
      </c>
      <c r="I182">
        <v>51</v>
      </c>
      <c r="J182">
        <v>0.97</v>
      </c>
      <c r="K182">
        <v>6.29</v>
      </c>
      <c r="L182">
        <v>1.2</v>
      </c>
      <c r="M182">
        <v>8</v>
      </c>
      <c r="N182">
        <v>187</v>
      </c>
    </row>
    <row r="183" spans="1:14" x14ac:dyDescent="0.35">
      <c r="A183">
        <v>2019</v>
      </c>
      <c r="B183">
        <v>12</v>
      </c>
      <c r="C183" t="s">
        <v>35</v>
      </c>
      <c r="D183" t="s">
        <v>24</v>
      </c>
      <c r="E183" t="s">
        <v>20</v>
      </c>
      <c r="F183" t="s">
        <v>17</v>
      </c>
      <c r="G183">
        <v>52653</v>
      </c>
      <c r="H183">
        <v>423145</v>
      </c>
      <c r="I183">
        <v>173</v>
      </c>
      <c r="J183">
        <v>0.97</v>
      </c>
      <c r="K183">
        <v>6.29</v>
      </c>
      <c r="L183">
        <v>1.2</v>
      </c>
      <c r="M183">
        <v>3</v>
      </c>
      <c r="N183">
        <v>599</v>
      </c>
    </row>
    <row r="184" spans="1:14" x14ac:dyDescent="0.35">
      <c r="A184">
        <v>2015</v>
      </c>
      <c r="B184">
        <v>4</v>
      </c>
      <c r="C184" t="s">
        <v>37</v>
      </c>
      <c r="D184" t="s">
        <v>34</v>
      </c>
      <c r="E184" t="s">
        <v>16</v>
      </c>
      <c r="F184" t="s">
        <v>20</v>
      </c>
      <c r="G184">
        <v>84556</v>
      </c>
      <c r="H184">
        <v>358645</v>
      </c>
      <c r="I184">
        <v>370</v>
      </c>
      <c r="J184">
        <v>0.97</v>
      </c>
      <c r="K184">
        <v>6.29</v>
      </c>
      <c r="L184">
        <v>1.2</v>
      </c>
      <c r="M184">
        <v>4</v>
      </c>
      <c r="N184">
        <v>815</v>
      </c>
    </row>
    <row r="185" spans="1:14" x14ac:dyDescent="0.35">
      <c r="A185">
        <v>2015</v>
      </c>
      <c r="B185">
        <v>5</v>
      </c>
      <c r="C185" t="s">
        <v>35</v>
      </c>
      <c r="D185" t="s">
        <v>26</v>
      </c>
      <c r="E185" t="s">
        <v>20</v>
      </c>
      <c r="F185" t="s">
        <v>23</v>
      </c>
      <c r="G185">
        <v>61140</v>
      </c>
      <c r="H185">
        <v>444485</v>
      </c>
      <c r="I185">
        <v>292</v>
      </c>
      <c r="J185">
        <v>0.97</v>
      </c>
      <c r="K185">
        <v>6.29</v>
      </c>
      <c r="L185">
        <v>1.2</v>
      </c>
      <c r="M185">
        <v>6</v>
      </c>
      <c r="N185">
        <v>1044</v>
      </c>
    </row>
    <row r="186" spans="1:14" x14ac:dyDescent="0.35">
      <c r="A186">
        <v>2017</v>
      </c>
      <c r="B186">
        <v>5</v>
      </c>
      <c r="C186" t="s">
        <v>38</v>
      </c>
      <c r="D186" t="s">
        <v>39</v>
      </c>
      <c r="E186" t="s">
        <v>16</v>
      </c>
      <c r="F186" t="s">
        <v>27</v>
      </c>
      <c r="G186">
        <v>36184</v>
      </c>
      <c r="H186">
        <v>320012</v>
      </c>
      <c r="I186">
        <v>67</v>
      </c>
      <c r="J186">
        <v>0.97</v>
      </c>
      <c r="K186">
        <v>6.29</v>
      </c>
      <c r="L186">
        <v>1.2</v>
      </c>
      <c r="M186">
        <v>7</v>
      </c>
      <c r="N186">
        <v>536</v>
      </c>
    </row>
    <row r="187" spans="1:14" x14ac:dyDescent="0.35">
      <c r="A187">
        <v>2016</v>
      </c>
      <c r="B187">
        <v>6</v>
      </c>
      <c r="C187" t="s">
        <v>28</v>
      </c>
      <c r="D187" t="s">
        <v>22</v>
      </c>
      <c r="E187" t="s">
        <v>16</v>
      </c>
      <c r="F187" t="s">
        <v>20</v>
      </c>
      <c r="G187">
        <v>69493</v>
      </c>
      <c r="H187">
        <v>211323</v>
      </c>
      <c r="I187">
        <v>311</v>
      </c>
      <c r="J187">
        <v>0.97</v>
      </c>
      <c r="K187">
        <v>6.29</v>
      </c>
      <c r="L187">
        <v>1.2</v>
      </c>
      <c r="M187">
        <v>4</v>
      </c>
      <c r="N187">
        <v>967</v>
      </c>
    </row>
    <row r="188" spans="1:14" x14ac:dyDescent="0.35">
      <c r="A188">
        <v>2019</v>
      </c>
      <c r="B188">
        <v>9</v>
      </c>
      <c r="C188" t="s">
        <v>14</v>
      </c>
      <c r="D188" t="s">
        <v>33</v>
      </c>
      <c r="E188" t="s">
        <v>19</v>
      </c>
      <c r="F188" t="s">
        <v>23</v>
      </c>
      <c r="G188">
        <v>79148</v>
      </c>
      <c r="H188">
        <v>390053</v>
      </c>
      <c r="I188">
        <v>331</v>
      </c>
      <c r="J188">
        <v>0.97</v>
      </c>
      <c r="K188">
        <v>6.29</v>
      </c>
      <c r="L188">
        <v>1.2</v>
      </c>
      <c r="M188">
        <v>4</v>
      </c>
      <c r="N188">
        <v>744</v>
      </c>
    </row>
    <row r="189" spans="1:14" x14ac:dyDescent="0.35">
      <c r="A189">
        <v>2024</v>
      </c>
      <c r="B189">
        <v>2</v>
      </c>
      <c r="C189" t="s">
        <v>32</v>
      </c>
      <c r="D189" t="s">
        <v>33</v>
      </c>
      <c r="E189" t="s">
        <v>19</v>
      </c>
      <c r="F189" t="s">
        <v>20</v>
      </c>
      <c r="G189">
        <v>59846</v>
      </c>
      <c r="H189">
        <v>134523</v>
      </c>
      <c r="I189">
        <v>34</v>
      </c>
      <c r="J189">
        <v>0.97</v>
      </c>
      <c r="K189">
        <v>6.29</v>
      </c>
      <c r="L189">
        <v>1.2</v>
      </c>
      <c r="M189">
        <v>7</v>
      </c>
      <c r="N189">
        <v>341</v>
      </c>
    </row>
    <row r="190" spans="1:14" x14ac:dyDescent="0.35">
      <c r="A190">
        <v>2020</v>
      </c>
      <c r="B190">
        <v>5</v>
      </c>
      <c r="C190" t="s">
        <v>21</v>
      </c>
      <c r="D190" t="s">
        <v>24</v>
      </c>
      <c r="E190" t="s">
        <v>19</v>
      </c>
      <c r="F190" t="s">
        <v>23</v>
      </c>
      <c r="G190">
        <v>57195</v>
      </c>
      <c r="H190">
        <v>219801</v>
      </c>
      <c r="I190">
        <v>82</v>
      </c>
      <c r="J190">
        <v>0.97</v>
      </c>
      <c r="K190">
        <v>6.29</v>
      </c>
      <c r="L190">
        <v>1.2</v>
      </c>
      <c r="M190">
        <v>6</v>
      </c>
      <c r="N190">
        <v>511</v>
      </c>
    </row>
    <row r="191" spans="1:14" x14ac:dyDescent="0.35">
      <c r="A191">
        <v>2021</v>
      </c>
      <c r="B191">
        <v>12</v>
      </c>
      <c r="C191" t="s">
        <v>28</v>
      </c>
      <c r="D191" t="s">
        <v>29</v>
      </c>
      <c r="E191" t="s">
        <v>16</v>
      </c>
      <c r="F191" t="s">
        <v>20</v>
      </c>
      <c r="G191">
        <v>40606</v>
      </c>
      <c r="H191">
        <v>65734</v>
      </c>
      <c r="I191">
        <v>382</v>
      </c>
      <c r="J191">
        <v>0.97</v>
      </c>
      <c r="K191">
        <v>6.29</v>
      </c>
      <c r="L191">
        <v>1.2</v>
      </c>
      <c r="M191">
        <v>8</v>
      </c>
      <c r="N191">
        <v>790</v>
      </c>
    </row>
    <row r="192" spans="1:14" x14ac:dyDescent="0.35">
      <c r="A192">
        <v>2018</v>
      </c>
      <c r="B192">
        <v>3</v>
      </c>
      <c r="C192" t="s">
        <v>30</v>
      </c>
      <c r="D192" t="s">
        <v>18</v>
      </c>
      <c r="E192" t="s">
        <v>20</v>
      </c>
      <c r="F192" t="s">
        <v>27</v>
      </c>
      <c r="G192">
        <v>38956</v>
      </c>
      <c r="H192">
        <v>223501</v>
      </c>
      <c r="I192">
        <v>138</v>
      </c>
      <c r="J192">
        <v>0.97</v>
      </c>
      <c r="K192">
        <v>6.29</v>
      </c>
      <c r="L192">
        <v>1.2</v>
      </c>
      <c r="M192">
        <v>1</v>
      </c>
      <c r="N192">
        <v>457</v>
      </c>
    </row>
    <row r="193" spans="1:14" x14ac:dyDescent="0.35">
      <c r="A193">
        <v>2021</v>
      </c>
      <c r="B193">
        <v>4</v>
      </c>
      <c r="C193" t="s">
        <v>25</v>
      </c>
      <c r="D193" t="s">
        <v>39</v>
      </c>
      <c r="E193" t="s">
        <v>19</v>
      </c>
      <c r="F193" t="s">
        <v>27</v>
      </c>
      <c r="G193">
        <v>51555</v>
      </c>
      <c r="H193">
        <v>222409</v>
      </c>
      <c r="I193">
        <v>96</v>
      </c>
      <c r="J193">
        <v>0.97</v>
      </c>
      <c r="K193">
        <v>6.29</v>
      </c>
      <c r="L193">
        <v>1.2</v>
      </c>
      <c r="M193">
        <v>10</v>
      </c>
      <c r="N193">
        <v>245</v>
      </c>
    </row>
    <row r="194" spans="1:14" x14ac:dyDescent="0.35">
      <c r="A194">
        <v>2022</v>
      </c>
      <c r="B194">
        <v>10</v>
      </c>
      <c r="C194" t="s">
        <v>14</v>
      </c>
      <c r="D194" t="s">
        <v>24</v>
      </c>
      <c r="E194" t="s">
        <v>20</v>
      </c>
      <c r="F194" t="s">
        <v>17</v>
      </c>
      <c r="G194">
        <v>53690</v>
      </c>
      <c r="H194">
        <v>483541</v>
      </c>
      <c r="I194">
        <v>339</v>
      </c>
      <c r="J194">
        <v>0.97</v>
      </c>
      <c r="K194">
        <v>6.29</v>
      </c>
      <c r="L194">
        <v>1.2</v>
      </c>
      <c r="M194">
        <v>7</v>
      </c>
      <c r="N194">
        <v>818</v>
      </c>
    </row>
    <row r="195" spans="1:14" x14ac:dyDescent="0.35">
      <c r="A195">
        <v>2015</v>
      </c>
      <c r="B195">
        <v>6</v>
      </c>
      <c r="C195" t="s">
        <v>21</v>
      </c>
      <c r="D195" t="s">
        <v>26</v>
      </c>
      <c r="E195" t="s">
        <v>19</v>
      </c>
      <c r="F195" t="s">
        <v>20</v>
      </c>
      <c r="G195">
        <v>93502</v>
      </c>
      <c r="H195">
        <v>395744</v>
      </c>
      <c r="I195">
        <v>162</v>
      </c>
      <c r="J195">
        <v>0.97</v>
      </c>
      <c r="K195">
        <v>6.29</v>
      </c>
      <c r="L195">
        <v>1.2</v>
      </c>
      <c r="M195">
        <v>7</v>
      </c>
      <c r="N195">
        <v>596</v>
      </c>
    </row>
    <row r="196" spans="1:14" x14ac:dyDescent="0.35">
      <c r="A196">
        <v>2020</v>
      </c>
      <c r="B196">
        <v>12</v>
      </c>
      <c r="C196" t="s">
        <v>37</v>
      </c>
      <c r="D196" t="s">
        <v>15</v>
      </c>
      <c r="E196" t="s">
        <v>19</v>
      </c>
      <c r="F196" t="s">
        <v>17</v>
      </c>
      <c r="G196">
        <v>83849</v>
      </c>
      <c r="H196">
        <v>320577</v>
      </c>
      <c r="I196">
        <v>191</v>
      </c>
      <c r="J196">
        <v>0.97</v>
      </c>
      <c r="K196">
        <v>6.29</v>
      </c>
      <c r="L196">
        <v>1.2</v>
      </c>
      <c r="M196">
        <v>7</v>
      </c>
      <c r="N196">
        <v>396</v>
      </c>
    </row>
    <row r="197" spans="1:14" x14ac:dyDescent="0.35">
      <c r="A197">
        <v>2022</v>
      </c>
      <c r="B197">
        <v>8</v>
      </c>
      <c r="C197" t="s">
        <v>25</v>
      </c>
      <c r="D197" t="s">
        <v>31</v>
      </c>
      <c r="E197" t="s">
        <v>16</v>
      </c>
      <c r="F197" t="s">
        <v>20</v>
      </c>
      <c r="G197">
        <v>61347</v>
      </c>
      <c r="H197">
        <v>190183</v>
      </c>
      <c r="I197">
        <v>134</v>
      </c>
      <c r="J197">
        <v>0.97</v>
      </c>
      <c r="K197">
        <v>6.29</v>
      </c>
      <c r="L197">
        <v>1.2</v>
      </c>
      <c r="M197">
        <v>7</v>
      </c>
      <c r="N197">
        <v>523</v>
      </c>
    </row>
    <row r="198" spans="1:14" x14ac:dyDescent="0.35">
      <c r="A198">
        <v>2019</v>
      </c>
      <c r="B198">
        <v>1</v>
      </c>
      <c r="C198" t="s">
        <v>38</v>
      </c>
      <c r="D198" t="s">
        <v>18</v>
      </c>
      <c r="E198" t="s">
        <v>19</v>
      </c>
      <c r="F198" t="s">
        <v>23</v>
      </c>
      <c r="G198">
        <v>84056</v>
      </c>
      <c r="H198">
        <v>153986</v>
      </c>
      <c r="I198">
        <v>76</v>
      </c>
      <c r="J198">
        <v>0.97</v>
      </c>
      <c r="K198">
        <v>6.29</v>
      </c>
      <c r="L198">
        <v>1.2</v>
      </c>
      <c r="M198">
        <v>10</v>
      </c>
      <c r="N198">
        <v>419</v>
      </c>
    </row>
    <row r="199" spans="1:14" x14ac:dyDescent="0.35">
      <c r="A199">
        <v>2018</v>
      </c>
      <c r="B199">
        <v>10</v>
      </c>
      <c r="C199" t="s">
        <v>28</v>
      </c>
      <c r="D199" t="s">
        <v>29</v>
      </c>
      <c r="E199" t="s">
        <v>19</v>
      </c>
      <c r="F199" t="s">
        <v>23</v>
      </c>
      <c r="G199">
        <v>98851</v>
      </c>
      <c r="H199">
        <v>375897</v>
      </c>
      <c r="I199">
        <v>15</v>
      </c>
      <c r="J199">
        <v>0.97</v>
      </c>
      <c r="K199">
        <v>6.29</v>
      </c>
      <c r="L199">
        <v>1.2</v>
      </c>
      <c r="M199">
        <v>10</v>
      </c>
      <c r="N199">
        <v>173</v>
      </c>
    </row>
    <row r="200" spans="1:14" x14ac:dyDescent="0.35">
      <c r="A200">
        <v>2016</v>
      </c>
      <c r="B200">
        <v>8</v>
      </c>
      <c r="C200" t="s">
        <v>21</v>
      </c>
      <c r="D200" t="s">
        <v>22</v>
      </c>
      <c r="E200" t="s">
        <v>16</v>
      </c>
      <c r="F200" t="s">
        <v>17</v>
      </c>
      <c r="G200">
        <v>116502</v>
      </c>
      <c r="H200">
        <v>163783</v>
      </c>
      <c r="I200">
        <v>134</v>
      </c>
      <c r="J200">
        <v>0.97</v>
      </c>
      <c r="K200">
        <v>6.29</v>
      </c>
      <c r="L200">
        <v>1.2</v>
      </c>
      <c r="M200">
        <v>8</v>
      </c>
      <c r="N200">
        <v>393</v>
      </c>
    </row>
    <row r="201" spans="1:14" x14ac:dyDescent="0.35">
      <c r="A201">
        <v>2020</v>
      </c>
      <c r="B201">
        <v>11</v>
      </c>
      <c r="C201" t="s">
        <v>36</v>
      </c>
      <c r="D201" t="s">
        <v>18</v>
      </c>
      <c r="E201" t="s">
        <v>20</v>
      </c>
      <c r="F201" t="s">
        <v>20</v>
      </c>
      <c r="G201">
        <v>116418</v>
      </c>
      <c r="H201">
        <v>261655</v>
      </c>
      <c r="I201">
        <v>323</v>
      </c>
      <c r="J201">
        <v>0.97</v>
      </c>
      <c r="K201">
        <v>6.29</v>
      </c>
      <c r="L201">
        <v>1.2</v>
      </c>
      <c r="M201">
        <v>9</v>
      </c>
      <c r="N201">
        <v>654</v>
      </c>
    </row>
    <row r="202" spans="1:14" x14ac:dyDescent="0.35">
      <c r="A202">
        <v>2020</v>
      </c>
      <c r="B202">
        <v>7</v>
      </c>
      <c r="C202" t="s">
        <v>32</v>
      </c>
      <c r="D202" t="s">
        <v>34</v>
      </c>
      <c r="E202" t="s">
        <v>19</v>
      </c>
      <c r="F202" t="s">
        <v>17</v>
      </c>
      <c r="G202">
        <v>105211</v>
      </c>
      <c r="H202">
        <v>333895</v>
      </c>
      <c r="I202">
        <v>335</v>
      </c>
      <c r="J202">
        <v>0.97</v>
      </c>
      <c r="K202">
        <v>6.29</v>
      </c>
      <c r="L202">
        <v>1.2</v>
      </c>
      <c r="M202">
        <v>9</v>
      </c>
      <c r="N202">
        <v>773</v>
      </c>
    </row>
    <row r="203" spans="1:14" x14ac:dyDescent="0.35">
      <c r="A203">
        <v>2015</v>
      </c>
      <c r="B203">
        <v>1</v>
      </c>
      <c r="C203" t="s">
        <v>32</v>
      </c>
      <c r="D203" t="s">
        <v>29</v>
      </c>
      <c r="E203" t="s">
        <v>16</v>
      </c>
      <c r="F203" t="s">
        <v>27</v>
      </c>
      <c r="G203">
        <v>76850</v>
      </c>
      <c r="H203">
        <v>197525</v>
      </c>
      <c r="I203">
        <v>62</v>
      </c>
      <c r="J203">
        <v>0.97</v>
      </c>
      <c r="K203">
        <v>6.29</v>
      </c>
      <c r="L203">
        <v>1.2</v>
      </c>
      <c r="M203">
        <v>2</v>
      </c>
      <c r="N203">
        <v>211</v>
      </c>
    </row>
    <row r="204" spans="1:14" x14ac:dyDescent="0.35">
      <c r="A204">
        <v>2023</v>
      </c>
      <c r="B204">
        <v>2</v>
      </c>
      <c r="C204" t="s">
        <v>14</v>
      </c>
      <c r="D204" t="s">
        <v>15</v>
      </c>
      <c r="E204" t="s">
        <v>19</v>
      </c>
      <c r="F204" t="s">
        <v>17</v>
      </c>
      <c r="G204">
        <v>113545</v>
      </c>
      <c r="H204">
        <v>266916</v>
      </c>
      <c r="I204">
        <v>75</v>
      </c>
      <c r="J204">
        <v>0.97</v>
      </c>
      <c r="K204">
        <v>6.29</v>
      </c>
      <c r="L204">
        <v>1.2</v>
      </c>
      <c r="M204">
        <v>7</v>
      </c>
      <c r="N204">
        <v>375</v>
      </c>
    </row>
    <row r="205" spans="1:14" x14ac:dyDescent="0.35">
      <c r="A205">
        <v>2020</v>
      </c>
      <c r="B205">
        <v>3</v>
      </c>
      <c r="C205" t="s">
        <v>37</v>
      </c>
      <c r="D205" t="s">
        <v>34</v>
      </c>
      <c r="E205" t="s">
        <v>16</v>
      </c>
      <c r="F205" t="s">
        <v>17</v>
      </c>
      <c r="G205">
        <v>62843</v>
      </c>
      <c r="H205">
        <v>482184</v>
      </c>
      <c r="I205">
        <v>323</v>
      </c>
      <c r="J205">
        <v>0.97</v>
      </c>
      <c r="K205">
        <v>6.29</v>
      </c>
      <c r="L205">
        <v>1.2</v>
      </c>
      <c r="M205">
        <v>7</v>
      </c>
      <c r="N205">
        <v>975</v>
      </c>
    </row>
    <row r="206" spans="1:14" x14ac:dyDescent="0.35">
      <c r="A206">
        <v>2017</v>
      </c>
      <c r="B206">
        <v>1</v>
      </c>
      <c r="C206" t="s">
        <v>14</v>
      </c>
      <c r="D206" t="s">
        <v>18</v>
      </c>
      <c r="E206" t="s">
        <v>20</v>
      </c>
      <c r="F206" t="s">
        <v>23</v>
      </c>
      <c r="G206">
        <v>97320</v>
      </c>
      <c r="H206">
        <v>211149</v>
      </c>
      <c r="I206">
        <v>91</v>
      </c>
      <c r="J206">
        <v>0.97</v>
      </c>
      <c r="K206">
        <v>6.29</v>
      </c>
      <c r="L206">
        <v>1.2</v>
      </c>
      <c r="M206">
        <v>4</v>
      </c>
      <c r="N206">
        <v>396</v>
      </c>
    </row>
    <row r="207" spans="1:14" x14ac:dyDescent="0.35">
      <c r="A207">
        <v>2018</v>
      </c>
      <c r="B207">
        <v>9</v>
      </c>
      <c r="C207" t="s">
        <v>36</v>
      </c>
      <c r="D207" t="s">
        <v>31</v>
      </c>
      <c r="E207" t="s">
        <v>20</v>
      </c>
      <c r="F207" t="s">
        <v>17</v>
      </c>
      <c r="G207">
        <v>64793</v>
      </c>
      <c r="H207">
        <v>289654</v>
      </c>
      <c r="I207">
        <v>96</v>
      </c>
      <c r="J207">
        <v>0.97</v>
      </c>
      <c r="K207">
        <v>6.29</v>
      </c>
      <c r="L207">
        <v>1.2</v>
      </c>
      <c r="M207">
        <v>9</v>
      </c>
      <c r="N207">
        <v>500</v>
      </c>
    </row>
    <row r="208" spans="1:14" x14ac:dyDescent="0.35">
      <c r="A208">
        <v>2018</v>
      </c>
      <c r="B208">
        <v>8</v>
      </c>
      <c r="C208" t="s">
        <v>30</v>
      </c>
      <c r="D208" t="s">
        <v>31</v>
      </c>
      <c r="E208" t="s">
        <v>16</v>
      </c>
      <c r="F208" t="s">
        <v>20</v>
      </c>
      <c r="G208">
        <v>74516</v>
      </c>
      <c r="H208">
        <v>477991</v>
      </c>
      <c r="I208">
        <v>11</v>
      </c>
      <c r="J208">
        <v>0.97</v>
      </c>
      <c r="K208">
        <v>6.29</v>
      </c>
      <c r="L208">
        <v>1.2</v>
      </c>
      <c r="M208">
        <v>8</v>
      </c>
      <c r="N208">
        <v>142</v>
      </c>
    </row>
    <row r="209" spans="1:14" x14ac:dyDescent="0.35">
      <c r="A209">
        <v>2017</v>
      </c>
      <c r="B209">
        <v>2</v>
      </c>
      <c r="C209" t="s">
        <v>37</v>
      </c>
      <c r="D209" t="s">
        <v>15</v>
      </c>
      <c r="E209" t="s">
        <v>16</v>
      </c>
      <c r="F209" t="s">
        <v>23</v>
      </c>
      <c r="G209">
        <v>52857</v>
      </c>
      <c r="H209">
        <v>239216</v>
      </c>
      <c r="I209">
        <v>213</v>
      </c>
      <c r="J209">
        <v>0.97</v>
      </c>
      <c r="K209">
        <v>6.29</v>
      </c>
      <c r="L209">
        <v>1.2</v>
      </c>
      <c r="M209">
        <v>1</v>
      </c>
      <c r="N209">
        <v>523</v>
      </c>
    </row>
    <row r="210" spans="1:14" x14ac:dyDescent="0.35">
      <c r="A210">
        <v>2024</v>
      </c>
      <c r="B210">
        <v>9</v>
      </c>
      <c r="C210" t="s">
        <v>35</v>
      </c>
      <c r="D210" t="s">
        <v>33</v>
      </c>
      <c r="E210" t="s">
        <v>16</v>
      </c>
      <c r="F210" t="s">
        <v>17</v>
      </c>
      <c r="G210">
        <v>54627</v>
      </c>
      <c r="H210">
        <v>360714</v>
      </c>
      <c r="I210">
        <v>159</v>
      </c>
      <c r="J210">
        <v>0.97</v>
      </c>
      <c r="K210">
        <v>6.29</v>
      </c>
      <c r="L210">
        <v>1.2</v>
      </c>
      <c r="M210">
        <v>2</v>
      </c>
      <c r="N210">
        <v>697</v>
      </c>
    </row>
    <row r="211" spans="1:14" x14ac:dyDescent="0.35">
      <c r="A211">
        <v>2017</v>
      </c>
      <c r="B211">
        <v>7</v>
      </c>
      <c r="C211" t="s">
        <v>30</v>
      </c>
      <c r="D211" t="s">
        <v>39</v>
      </c>
      <c r="E211" t="s">
        <v>20</v>
      </c>
      <c r="F211" t="s">
        <v>27</v>
      </c>
      <c r="G211">
        <v>96822</v>
      </c>
      <c r="H211">
        <v>227169</v>
      </c>
      <c r="I211">
        <v>302</v>
      </c>
      <c r="J211">
        <v>0.97</v>
      </c>
      <c r="K211">
        <v>6.29</v>
      </c>
      <c r="L211">
        <v>1.2</v>
      </c>
      <c r="M211">
        <v>2</v>
      </c>
      <c r="N211">
        <v>941</v>
      </c>
    </row>
    <row r="212" spans="1:14" x14ac:dyDescent="0.35">
      <c r="A212">
        <v>2017</v>
      </c>
      <c r="B212">
        <v>9</v>
      </c>
      <c r="C212" t="s">
        <v>37</v>
      </c>
      <c r="D212" t="s">
        <v>22</v>
      </c>
      <c r="E212" t="s">
        <v>19</v>
      </c>
      <c r="F212" t="s">
        <v>17</v>
      </c>
      <c r="G212">
        <v>119101</v>
      </c>
      <c r="H212">
        <v>336647</v>
      </c>
      <c r="I212">
        <v>112</v>
      </c>
      <c r="J212">
        <v>0.97</v>
      </c>
      <c r="K212">
        <v>6.29</v>
      </c>
      <c r="L212">
        <v>1.2</v>
      </c>
      <c r="M212">
        <v>8</v>
      </c>
      <c r="N212">
        <v>446</v>
      </c>
    </row>
    <row r="213" spans="1:14" x14ac:dyDescent="0.35">
      <c r="A213">
        <v>2018</v>
      </c>
      <c r="B213">
        <v>6</v>
      </c>
      <c r="C213" t="s">
        <v>37</v>
      </c>
      <c r="D213" t="s">
        <v>33</v>
      </c>
      <c r="E213" t="s">
        <v>20</v>
      </c>
      <c r="F213" t="s">
        <v>17</v>
      </c>
      <c r="G213">
        <v>87248</v>
      </c>
      <c r="H213">
        <v>183851</v>
      </c>
      <c r="I213">
        <v>33</v>
      </c>
      <c r="J213">
        <v>0.97</v>
      </c>
      <c r="K213">
        <v>6.29</v>
      </c>
      <c r="L213">
        <v>1.2</v>
      </c>
      <c r="M213">
        <v>1</v>
      </c>
      <c r="N213">
        <v>477</v>
      </c>
    </row>
    <row r="214" spans="1:14" x14ac:dyDescent="0.35">
      <c r="A214">
        <v>2021</v>
      </c>
      <c r="B214">
        <v>6</v>
      </c>
      <c r="C214" t="s">
        <v>36</v>
      </c>
      <c r="D214" t="s">
        <v>31</v>
      </c>
      <c r="E214" t="s">
        <v>16</v>
      </c>
      <c r="F214" t="s">
        <v>17</v>
      </c>
      <c r="G214">
        <v>90798</v>
      </c>
      <c r="H214">
        <v>398984</v>
      </c>
      <c r="I214">
        <v>377</v>
      </c>
      <c r="J214">
        <v>0.97</v>
      </c>
      <c r="K214">
        <v>6.29</v>
      </c>
      <c r="L214">
        <v>1.2</v>
      </c>
      <c r="M214">
        <v>4</v>
      </c>
      <c r="N214">
        <v>1008</v>
      </c>
    </row>
    <row r="215" spans="1:14" x14ac:dyDescent="0.35">
      <c r="A215">
        <v>2018</v>
      </c>
      <c r="B215">
        <v>11</v>
      </c>
      <c r="C215" t="s">
        <v>38</v>
      </c>
      <c r="D215" t="s">
        <v>31</v>
      </c>
      <c r="E215" t="s">
        <v>16</v>
      </c>
      <c r="F215" t="s">
        <v>23</v>
      </c>
      <c r="G215">
        <v>79116</v>
      </c>
      <c r="H215">
        <v>181827</v>
      </c>
      <c r="I215">
        <v>221</v>
      </c>
      <c r="J215">
        <v>0.97</v>
      </c>
      <c r="K215">
        <v>6.29</v>
      </c>
      <c r="L215">
        <v>1.2</v>
      </c>
      <c r="M215">
        <v>10</v>
      </c>
      <c r="N215">
        <v>781</v>
      </c>
    </row>
    <row r="216" spans="1:14" x14ac:dyDescent="0.35">
      <c r="A216">
        <v>2023</v>
      </c>
      <c r="B216">
        <v>4</v>
      </c>
      <c r="C216" t="s">
        <v>36</v>
      </c>
      <c r="D216" t="s">
        <v>26</v>
      </c>
      <c r="E216" t="s">
        <v>20</v>
      </c>
      <c r="F216" t="s">
        <v>20</v>
      </c>
      <c r="G216">
        <v>110318</v>
      </c>
      <c r="H216">
        <v>351407</v>
      </c>
      <c r="I216">
        <v>74</v>
      </c>
      <c r="J216">
        <v>0.97</v>
      </c>
      <c r="K216">
        <v>6.29</v>
      </c>
      <c r="L216">
        <v>1.2</v>
      </c>
      <c r="M216">
        <v>5</v>
      </c>
      <c r="N216">
        <v>532</v>
      </c>
    </row>
    <row r="217" spans="1:14" x14ac:dyDescent="0.35">
      <c r="A217">
        <v>2015</v>
      </c>
      <c r="B217">
        <v>10</v>
      </c>
      <c r="C217" t="s">
        <v>37</v>
      </c>
      <c r="D217" t="s">
        <v>34</v>
      </c>
      <c r="E217" t="s">
        <v>16</v>
      </c>
      <c r="F217" t="s">
        <v>27</v>
      </c>
      <c r="G217">
        <v>63557</v>
      </c>
      <c r="H217">
        <v>420635</v>
      </c>
      <c r="I217">
        <v>218</v>
      </c>
      <c r="J217">
        <v>0.97</v>
      </c>
      <c r="K217">
        <v>6.29</v>
      </c>
      <c r="L217">
        <v>1.2</v>
      </c>
      <c r="M217">
        <v>9</v>
      </c>
      <c r="N217">
        <v>542</v>
      </c>
    </row>
    <row r="218" spans="1:14" x14ac:dyDescent="0.35">
      <c r="A218">
        <v>2022</v>
      </c>
      <c r="B218">
        <v>10</v>
      </c>
      <c r="C218" t="s">
        <v>21</v>
      </c>
      <c r="D218" t="s">
        <v>18</v>
      </c>
      <c r="E218" t="s">
        <v>20</v>
      </c>
      <c r="F218" t="s">
        <v>17</v>
      </c>
      <c r="G218">
        <v>106334</v>
      </c>
      <c r="H218">
        <v>367231</v>
      </c>
      <c r="I218">
        <v>260</v>
      </c>
      <c r="J218">
        <v>0.97</v>
      </c>
      <c r="K218">
        <v>6.29</v>
      </c>
      <c r="L218">
        <v>1.2</v>
      </c>
      <c r="M218">
        <v>7</v>
      </c>
      <c r="N218">
        <v>796</v>
      </c>
    </row>
    <row r="219" spans="1:14" x14ac:dyDescent="0.35">
      <c r="A219">
        <v>2021</v>
      </c>
      <c r="B219">
        <v>2</v>
      </c>
      <c r="C219" t="s">
        <v>30</v>
      </c>
      <c r="D219" t="s">
        <v>22</v>
      </c>
      <c r="E219" t="s">
        <v>16</v>
      </c>
      <c r="F219" t="s">
        <v>20</v>
      </c>
      <c r="G219">
        <v>110163</v>
      </c>
      <c r="H219">
        <v>485497</v>
      </c>
      <c r="I219">
        <v>394</v>
      </c>
      <c r="J219">
        <v>0.97</v>
      </c>
      <c r="K219">
        <v>6.29</v>
      </c>
      <c r="L219">
        <v>1.2</v>
      </c>
      <c r="M219">
        <v>8</v>
      </c>
      <c r="N219">
        <v>1237</v>
      </c>
    </row>
    <row r="220" spans="1:14" x14ac:dyDescent="0.35">
      <c r="A220">
        <v>2016</v>
      </c>
      <c r="B220">
        <v>7</v>
      </c>
      <c r="C220" t="s">
        <v>36</v>
      </c>
      <c r="D220" t="s">
        <v>15</v>
      </c>
      <c r="E220" t="s">
        <v>19</v>
      </c>
      <c r="F220" t="s">
        <v>20</v>
      </c>
      <c r="G220">
        <v>113002</v>
      </c>
      <c r="H220">
        <v>101482</v>
      </c>
      <c r="I220">
        <v>126</v>
      </c>
      <c r="J220">
        <v>0.97</v>
      </c>
      <c r="K220">
        <v>6.29</v>
      </c>
      <c r="L220">
        <v>1.2</v>
      </c>
      <c r="M220">
        <v>9</v>
      </c>
      <c r="N220">
        <v>318</v>
      </c>
    </row>
    <row r="221" spans="1:14" x14ac:dyDescent="0.35">
      <c r="A221">
        <v>2022</v>
      </c>
      <c r="B221">
        <v>5</v>
      </c>
      <c r="C221" t="s">
        <v>38</v>
      </c>
      <c r="D221" t="s">
        <v>18</v>
      </c>
      <c r="E221" t="s">
        <v>19</v>
      </c>
      <c r="F221" t="s">
        <v>23</v>
      </c>
      <c r="G221">
        <v>77614</v>
      </c>
      <c r="H221">
        <v>498073</v>
      </c>
      <c r="I221">
        <v>125</v>
      </c>
      <c r="J221">
        <v>0.97</v>
      </c>
      <c r="K221">
        <v>6.29</v>
      </c>
      <c r="L221">
        <v>1.2</v>
      </c>
      <c r="M221">
        <v>7</v>
      </c>
      <c r="N221">
        <v>592</v>
      </c>
    </row>
    <row r="222" spans="1:14" x14ac:dyDescent="0.35">
      <c r="A222">
        <v>2015</v>
      </c>
      <c r="B222">
        <v>11</v>
      </c>
      <c r="C222" t="s">
        <v>28</v>
      </c>
      <c r="D222" t="s">
        <v>26</v>
      </c>
      <c r="E222" t="s">
        <v>16</v>
      </c>
      <c r="F222" t="s">
        <v>27</v>
      </c>
      <c r="G222">
        <v>47720</v>
      </c>
      <c r="H222">
        <v>172989</v>
      </c>
      <c r="I222">
        <v>246</v>
      </c>
      <c r="J222">
        <v>0.97</v>
      </c>
      <c r="K222">
        <v>6.29</v>
      </c>
      <c r="L222">
        <v>1.2</v>
      </c>
      <c r="M222">
        <v>5</v>
      </c>
      <c r="N222">
        <v>677</v>
      </c>
    </row>
    <row r="223" spans="1:14" x14ac:dyDescent="0.35">
      <c r="A223">
        <v>2023</v>
      </c>
      <c r="B223">
        <v>6</v>
      </c>
      <c r="C223" t="s">
        <v>14</v>
      </c>
      <c r="D223" t="s">
        <v>31</v>
      </c>
      <c r="E223" t="s">
        <v>20</v>
      </c>
      <c r="F223" t="s">
        <v>23</v>
      </c>
      <c r="G223">
        <v>92608</v>
      </c>
      <c r="H223">
        <v>460616</v>
      </c>
      <c r="I223">
        <v>114</v>
      </c>
      <c r="J223">
        <v>0.97</v>
      </c>
      <c r="K223">
        <v>6.29</v>
      </c>
      <c r="L223">
        <v>1.2</v>
      </c>
      <c r="M223">
        <v>5</v>
      </c>
      <c r="N223">
        <v>551</v>
      </c>
    </row>
    <row r="224" spans="1:14" x14ac:dyDescent="0.35">
      <c r="A224">
        <v>2023</v>
      </c>
      <c r="B224">
        <v>2</v>
      </c>
      <c r="C224" t="s">
        <v>37</v>
      </c>
      <c r="D224" t="s">
        <v>15</v>
      </c>
      <c r="E224" t="s">
        <v>19</v>
      </c>
      <c r="F224" t="s">
        <v>20</v>
      </c>
      <c r="G224">
        <v>107095</v>
      </c>
      <c r="H224">
        <v>352259</v>
      </c>
      <c r="I224">
        <v>268</v>
      </c>
      <c r="J224">
        <v>0.97</v>
      </c>
      <c r="K224">
        <v>6.29</v>
      </c>
      <c r="L224">
        <v>1.2</v>
      </c>
      <c r="M224">
        <v>10</v>
      </c>
      <c r="N224">
        <v>924</v>
      </c>
    </row>
    <row r="225" spans="1:14" x14ac:dyDescent="0.35">
      <c r="A225">
        <v>2016</v>
      </c>
      <c r="B225">
        <v>5</v>
      </c>
      <c r="C225" t="s">
        <v>35</v>
      </c>
      <c r="D225" t="s">
        <v>31</v>
      </c>
      <c r="E225" t="s">
        <v>20</v>
      </c>
      <c r="F225" t="s">
        <v>20</v>
      </c>
      <c r="G225">
        <v>119694</v>
      </c>
      <c r="H225">
        <v>326393</v>
      </c>
      <c r="I225">
        <v>55</v>
      </c>
      <c r="J225">
        <v>0.97</v>
      </c>
      <c r="K225">
        <v>6.29</v>
      </c>
      <c r="L225">
        <v>1.2</v>
      </c>
      <c r="M225">
        <v>6</v>
      </c>
      <c r="N225">
        <v>536</v>
      </c>
    </row>
    <row r="226" spans="1:14" x14ac:dyDescent="0.35">
      <c r="A226">
        <v>2021</v>
      </c>
      <c r="B226">
        <v>10</v>
      </c>
      <c r="C226" t="s">
        <v>28</v>
      </c>
      <c r="D226" t="s">
        <v>22</v>
      </c>
      <c r="E226" t="s">
        <v>16</v>
      </c>
      <c r="F226" t="s">
        <v>20</v>
      </c>
      <c r="G226">
        <v>70892</v>
      </c>
      <c r="H226">
        <v>294255</v>
      </c>
      <c r="I226">
        <v>320</v>
      </c>
      <c r="J226">
        <v>0.97</v>
      </c>
      <c r="K226">
        <v>6.29</v>
      </c>
      <c r="L226">
        <v>1.2</v>
      </c>
      <c r="M226">
        <v>5</v>
      </c>
      <c r="N226">
        <v>1099</v>
      </c>
    </row>
    <row r="227" spans="1:14" x14ac:dyDescent="0.35">
      <c r="A227">
        <v>2024</v>
      </c>
      <c r="B227">
        <v>4</v>
      </c>
      <c r="C227" t="s">
        <v>32</v>
      </c>
      <c r="D227" t="s">
        <v>34</v>
      </c>
      <c r="E227" t="s">
        <v>20</v>
      </c>
      <c r="F227" t="s">
        <v>23</v>
      </c>
      <c r="G227">
        <v>112242</v>
      </c>
      <c r="H227">
        <v>490041</v>
      </c>
      <c r="I227">
        <v>340</v>
      </c>
      <c r="J227">
        <v>0.97</v>
      </c>
      <c r="K227">
        <v>6.29</v>
      </c>
      <c r="L227">
        <v>1.2</v>
      </c>
      <c r="M227">
        <v>9</v>
      </c>
      <c r="N227">
        <v>894</v>
      </c>
    </row>
    <row r="228" spans="1:14" x14ac:dyDescent="0.35">
      <c r="A228">
        <v>2017</v>
      </c>
      <c r="B228">
        <v>9</v>
      </c>
      <c r="C228" t="s">
        <v>25</v>
      </c>
      <c r="D228" t="s">
        <v>18</v>
      </c>
      <c r="E228" t="s">
        <v>19</v>
      </c>
      <c r="F228" t="s">
        <v>27</v>
      </c>
      <c r="G228">
        <v>112606</v>
      </c>
      <c r="H228">
        <v>160361</v>
      </c>
      <c r="I228">
        <v>225</v>
      </c>
      <c r="J228">
        <v>0.97</v>
      </c>
      <c r="K228">
        <v>6.29</v>
      </c>
      <c r="L228">
        <v>1.2</v>
      </c>
      <c r="M228">
        <v>3</v>
      </c>
      <c r="N228">
        <v>665</v>
      </c>
    </row>
    <row r="229" spans="1:14" x14ac:dyDescent="0.35">
      <c r="A229">
        <v>2021</v>
      </c>
      <c r="B229">
        <v>6</v>
      </c>
      <c r="C229" t="s">
        <v>38</v>
      </c>
      <c r="D229" t="s">
        <v>18</v>
      </c>
      <c r="E229" t="s">
        <v>20</v>
      </c>
      <c r="F229" t="s">
        <v>17</v>
      </c>
      <c r="G229">
        <v>35924</v>
      </c>
      <c r="H229">
        <v>336744</v>
      </c>
      <c r="I229">
        <v>310</v>
      </c>
      <c r="J229">
        <v>0.97</v>
      </c>
      <c r="K229">
        <v>6.29</v>
      </c>
      <c r="L229">
        <v>1.2</v>
      </c>
      <c r="M229">
        <v>3</v>
      </c>
      <c r="N229">
        <v>830</v>
      </c>
    </row>
    <row r="230" spans="1:14" x14ac:dyDescent="0.35">
      <c r="A230">
        <v>2024</v>
      </c>
      <c r="B230">
        <v>2</v>
      </c>
      <c r="C230" t="s">
        <v>35</v>
      </c>
      <c r="D230" t="s">
        <v>33</v>
      </c>
      <c r="E230" t="s">
        <v>20</v>
      </c>
      <c r="F230" t="s">
        <v>23</v>
      </c>
      <c r="G230">
        <v>86322</v>
      </c>
      <c r="H230">
        <v>349850</v>
      </c>
      <c r="I230">
        <v>342</v>
      </c>
      <c r="J230">
        <v>0.97</v>
      </c>
      <c r="K230">
        <v>6.29</v>
      </c>
      <c r="L230">
        <v>1.2</v>
      </c>
      <c r="M230">
        <v>7</v>
      </c>
      <c r="N230">
        <v>705</v>
      </c>
    </row>
    <row r="231" spans="1:14" x14ac:dyDescent="0.35">
      <c r="A231">
        <v>2023</v>
      </c>
      <c r="B231">
        <v>1</v>
      </c>
      <c r="C231" t="s">
        <v>25</v>
      </c>
      <c r="D231" t="s">
        <v>15</v>
      </c>
      <c r="E231" t="s">
        <v>16</v>
      </c>
      <c r="F231" t="s">
        <v>20</v>
      </c>
      <c r="G231">
        <v>61478</v>
      </c>
      <c r="H231">
        <v>331366</v>
      </c>
      <c r="I231">
        <v>33</v>
      </c>
      <c r="J231">
        <v>0.97</v>
      </c>
      <c r="K231">
        <v>6.29</v>
      </c>
      <c r="L231">
        <v>1.2</v>
      </c>
      <c r="M231">
        <v>7</v>
      </c>
      <c r="N231">
        <v>360</v>
      </c>
    </row>
    <row r="232" spans="1:14" x14ac:dyDescent="0.35">
      <c r="A232">
        <v>2018</v>
      </c>
      <c r="B232">
        <v>5</v>
      </c>
      <c r="C232" t="s">
        <v>38</v>
      </c>
      <c r="D232" t="s">
        <v>39</v>
      </c>
      <c r="E232" t="s">
        <v>16</v>
      </c>
      <c r="F232" t="s">
        <v>23</v>
      </c>
      <c r="G232">
        <v>106042</v>
      </c>
      <c r="H232">
        <v>411185</v>
      </c>
      <c r="I232">
        <v>44</v>
      </c>
      <c r="J232">
        <v>0.97</v>
      </c>
      <c r="K232">
        <v>6.29</v>
      </c>
      <c r="L232">
        <v>1.2</v>
      </c>
      <c r="M232">
        <v>6</v>
      </c>
      <c r="N232">
        <v>152</v>
      </c>
    </row>
    <row r="233" spans="1:14" x14ac:dyDescent="0.35">
      <c r="A233">
        <v>2015</v>
      </c>
      <c r="B233">
        <v>9</v>
      </c>
      <c r="C233" t="s">
        <v>21</v>
      </c>
      <c r="D233" t="s">
        <v>26</v>
      </c>
      <c r="E233" t="s">
        <v>16</v>
      </c>
      <c r="F233" t="s">
        <v>20</v>
      </c>
      <c r="G233">
        <v>81418</v>
      </c>
      <c r="H233">
        <v>416648</v>
      </c>
      <c r="I233">
        <v>33</v>
      </c>
      <c r="J233">
        <v>0.97</v>
      </c>
      <c r="K233">
        <v>6.29</v>
      </c>
      <c r="L233">
        <v>1.2</v>
      </c>
      <c r="M233">
        <v>3</v>
      </c>
      <c r="N233">
        <v>162</v>
      </c>
    </row>
    <row r="234" spans="1:14" x14ac:dyDescent="0.35">
      <c r="A234">
        <v>2016</v>
      </c>
      <c r="B234">
        <v>6</v>
      </c>
      <c r="C234" t="s">
        <v>14</v>
      </c>
      <c r="D234" t="s">
        <v>39</v>
      </c>
      <c r="E234" t="s">
        <v>19</v>
      </c>
      <c r="F234" t="s">
        <v>17</v>
      </c>
      <c r="G234">
        <v>97217</v>
      </c>
      <c r="H234">
        <v>91139</v>
      </c>
      <c r="I234">
        <v>37</v>
      </c>
      <c r="J234">
        <v>0.97</v>
      </c>
      <c r="K234">
        <v>6.29</v>
      </c>
      <c r="L234">
        <v>1.2</v>
      </c>
      <c r="M234">
        <v>7</v>
      </c>
      <c r="N234">
        <v>411</v>
      </c>
    </row>
    <row r="235" spans="1:14" x14ac:dyDescent="0.35">
      <c r="A235">
        <v>2015</v>
      </c>
      <c r="B235">
        <v>10</v>
      </c>
      <c r="C235" t="s">
        <v>28</v>
      </c>
      <c r="D235" t="s">
        <v>33</v>
      </c>
      <c r="E235" t="s">
        <v>19</v>
      </c>
      <c r="F235" t="s">
        <v>17</v>
      </c>
      <c r="G235">
        <v>115846</v>
      </c>
      <c r="H235">
        <v>164919</v>
      </c>
      <c r="I235">
        <v>25</v>
      </c>
      <c r="J235">
        <v>0.97</v>
      </c>
      <c r="K235">
        <v>6.29</v>
      </c>
      <c r="L235">
        <v>1.2</v>
      </c>
      <c r="M235">
        <v>5</v>
      </c>
      <c r="N235">
        <v>359</v>
      </c>
    </row>
    <row r="236" spans="1:14" x14ac:dyDescent="0.35">
      <c r="A236">
        <v>2019</v>
      </c>
      <c r="B236">
        <v>12</v>
      </c>
      <c r="C236" t="s">
        <v>30</v>
      </c>
      <c r="D236" t="s">
        <v>22</v>
      </c>
      <c r="E236" t="s">
        <v>16</v>
      </c>
      <c r="F236" t="s">
        <v>27</v>
      </c>
      <c r="G236">
        <v>108762</v>
      </c>
      <c r="H236">
        <v>297677</v>
      </c>
      <c r="I236">
        <v>68</v>
      </c>
      <c r="J236">
        <v>0.97</v>
      </c>
      <c r="K236">
        <v>6.29</v>
      </c>
      <c r="L236">
        <v>1.2</v>
      </c>
      <c r="M236">
        <v>7</v>
      </c>
      <c r="N236">
        <v>367</v>
      </c>
    </row>
    <row r="237" spans="1:14" x14ac:dyDescent="0.35">
      <c r="A237">
        <v>2019</v>
      </c>
      <c r="B237">
        <v>7</v>
      </c>
      <c r="C237" t="s">
        <v>38</v>
      </c>
      <c r="D237" t="s">
        <v>26</v>
      </c>
      <c r="E237" t="s">
        <v>16</v>
      </c>
      <c r="F237" t="s">
        <v>20</v>
      </c>
      <c r="G237">
        <v>46781</v>
      </c>
      <c r="H237">
        <v>353446</v>
      </c>
      <c r="I237">
        <v>252</v>
      </c>
      <c r="J237">
        <v>0.97</v>
      </c>
      <c r="K237">
        <v>6.29</v>
      </c>
      <c r="L237">
        <v>1.2</v>
      </c>
      <c r="M237">
        <v>2</v>
      </c>
      <c r="N237">
        <v>644</v>
      </c>
    </row>
    <row r="238" spans="1:14" x14ac:dyDescent="0.35">
      <c r="A238">
        <v>2021</v>
      </c>
      <c r="B238">
        <v>5</v>
      </c>
      <c r="C238" t="s">
        <v>30</v>
      </c>
      <c r="D238" t="s">
        <v>34</v>
      </c>
      <c r="E238" t="s">
        <v>19</v>
      </c>
      <c r="F238" t="s">
        <v>27</v>
      </c>
      <c r="G238">
        <v>40515</v>
      </c>
      <c r="H238">
        <v>275756</v>
      </c>
      <c r="I238">
        <v>216</v>
      </c>
      <c r="J238">
        <v>0.97</v>
      </c>
      <c r="K238">
        <v>6.29</v>
      </c>
      <c r="L238">
        <v>1.2</v>
      </c>
      <c r="M238">
        <v>6</v>
      </c>
      <c r="N238">
        <v>530</v>
      </c>
    </row>
    <row r="239" spans="1:14" x14ac:dyDescent="0.35">
      <c r="A239">
        <v>2023</v>
      </c>
      <c r="B239">
        <v>10</v>
      </c>
      <c r="C239" t="s">
        <v>14</v>
      </c>
      <c r="D239" t="s">
        <v>39</v>
      </c>
      <c r="E239" t="s">
        <v>19</v>
      </c>
      <c r="F239" t="s">
        <v>27</v>
      </c>
      <c r="G239">
        <v>71133</v>
      </c>
      <c r="H239">
        <v>399982</v>
      </c>
      <c r="I239">
        <v>280</v>
      </c>
      <c r="J239">
        <v>0.97</v>
      </c>
      <c r="K239">
        <v>6.29</v>
      </c>
      <c r="L239">
        <v>1.2</v>
      </c>
      <c r="M239">
        <v>8</v>
      </c>
      <c r="N239">
        <v>899</v>
      </c>
    </row>
    <row r="240" spans="1:14" x14ac:dyDescent="0.35">
      <c r="A240">
        <v>2023</v>
      </c>
      <c r="B240">
        <v>6</v>
      </c>
      <c r="C240" t="s">
        <v>37</v>
      </c>
      <c r="D240" t="s">
        <v>34</v>
      </c>
      <c r="E240" t="s">
        <v>19</v>
      </c>
      <c r="F240" t="s">
        <v>17</v>
      </c>
      <c r="G240">
        <v>117508</v>
      </c>
      <c r="H240">
        <v>189718</v>
      </c>
      <c r="I240">
        <v>258</v>
      </c>
      <c r="J240">
        <v>0.97</v>
      </c>
      <c r="K240">
        <v>6.29</v>
      </c>
      <c r="L240">
        <v>1.2</v>
      </c>
      <c r="M240">
        <v>1</v>
      </c>
      <c r="N240">
        <v>550</v>
      </c>
    </row>
    <row r="241" spans="1:14" x14ac:dyDescent="0.35">
      <c r="A241">
        <v>2017</v>
      </c>
      <c r="B241">
        <v>5</v>
      </c>
      <c r="C241" t="s">
        <v>32</v>
      </c>
      <c r="D241" t="s">
        <v>39</v>
      </c>
      <c r="E241" t="s">
        <v>19</v>
      </c>
      <c r="F241" t="s">
        <v>23</v>
      </c>
      <c r="G241">
        <v>111946</v>
      </c>
      <c r="H241">
        <v>194615</v>
      </c>
      <c r="I241">
        <v>276</v>
      </c>
      <c r="J241">
        <v>0.97</v>
      </c>
      <c r="K241">
        <v>6.29</v>
      </c>
      <c r="L241">
        <v>1.2</v>
      </c>
      <c r="M241">
        <v>4</v>
      </c>
      <c r="N241">
        <v>903</v>
      </c>
    </row>
    <row r="242" spans="1:14" x14ac:dyDescent="0.35">
      <c r="A242">
        <v>2017</v>
      </c>
      <c r="B242">
        <v>11</v>
      </c>
      <c r="C242" t="s">
        <v>28</v>
      </c>
      <c r="D242" t="s">
        <v>34</v>
      </c>
      <c r="E242" t="s">
        <v>16</v>
      </c>
      <c r="F242" t="s">
        <v>23</v>
      </c>
      <c r="G242">
        <v>44095</v>
      </c>
      <c r="H242">
        <v>275568</v>
      </c>
      <c r="I242">
        <v>202</v>
      </c>
      <c r="J242">
        <v>0.97</v>
      </c>
      <c r="K242">
        <v>6.29</v>
      </c>
      <c r="L242">
        <v>1.2</v>
      </c>
      <c r="M242">
        <v>1</v>
      </c>
      <c r="N242">
        <v>860</v>
      </c>
    </row>
    <row r="243" spans="1:14" x14ac:dyDescent="0.35">
      <c r="A243">
        <v>2017</v>
      </c>
      <c r="B243">
        <v>9</v>
      </c>
      <c r="C243" t="s">
        <v>14</v>
      </c>
      <c r="D243" t="s">
        <v>39</v>
      </c>
      <c r="E243" t="s">
        <v>19</v>
      </c>
      <c r="F243" t="s">
        <v>27</v>
      </c>
      <c r="G243">
        <v>55470</v>
      </c>
      <c r="H243">
        <v>203857</v>
      </c>
      <c r="I243">
        <v>344</v>
      </c>
      <c r="J243">
        <v>0.97</v>
      </c>
      <c r="K243">
        <v>6.29</v>
      </c>
      <c r="L243">
        <v>1.2</v>
      </c>
      <c r="M243">
        <v>1</v>
      </c>
      <c r="N243">
        <v>1012</v>
      </c>
    </row>
    <row r="244" spans="1:14" x14ac:dyDescent="0.35">
      <c r="A244">
        <v>2018</v>
      </c>
      <c r="B244">
        <v>6</v>
      </c>
      <c r="C244" t="s">
        <v>14</v>
      </c>
      <c r="D244" t="s">
        <v>34</v>
      </c>
      <c r="E244" t="s">
        <v>16</v>
      </c>
      <c r="F244" t="s">
        <v>17</v>
      </c>
      <c r="G244">
        <v>78129</v>
      </c>
      <c r="H244">
        <v>390497</v>
      </c>
      <c r="I244">
        <v>227</v>
      </c>
      <c r="J244">
        <v>0.97</v>
      </c>
      <c r="K244">
        <v>6.29</v>
      </c>
      <c r="L244">
        <v>1.2</v>
      </c>
      <c r="M244">
        <v>10</v>
      </c>
      <c r="N244">
        <v>538</v>
      </c>
    </row>
    <row r="245" spans="1:14" x14ac:dyDescent="0.35">
      <c r="A245">
        <v>2022</v>
      </c>
      <c r="B245">
        <v>11</v>
      </c>
      <c r="C245" t="s">
        <v>21</v>
      </c>
      <c r="D245" t="s">
        <v>33</v>
      </c>
      <c r="E245" t="s">
        <v>20</v>
      </c>
      <c r="F245" t="s">
        <v>20</v>
      </c>
      <c r="G245">
        <v>43531</v>
      </c>
      <c r="H245">
        <v>474622</v>
      </c>
      <c r="I245">
        <v>124</v>
      </c>
      <c r="J245">
        <v>0.97</v>
      </c>
      <c r="K245">
        <v>6.29</v>
      </c>
      <c r="L245">
        <v>1.2</v>
      </c>
      <c r="M245">
        <v>8</v>
      </c>
      <c r="N245">
        <v>516</v>
      </c>
    </row>
    <row r="246" spans="1:14" x14ac:dyDescent="0.35">
      <c r="A246">
        <v>2020</v>
      </c>
      <c r="B246">
        <v>8</v>
      </c>
      <c r="C246" t="s">
        <v>25</v>
      </c>
      <c r="D246" t="s">
        <v>29</v>
      </c>
      <c r="E246" t="s">
        <v>20</v>
      </c>
      <c r="F246" t="s">
        <v>23</v>
      </c>
      <c r="G246">
        <v>72038</v>
      </c>
      <c r="H246">
        <v>401136</v>
      </c>
      <c r="I246">
        <v>77</v>
      </c>
      <c r="J246">
        <v>0.97</v>
      </c>
      <c r="K246">
        <v>6.29</v>
      </c>
      <c r="L246">
        <v>1.2</v>
      </c>
      <c r="M246">
        <v>7</v>
      </c>
      <c r="N246">
        <v>407</v>
      </c>
    </row>
    <row r="247" spans="1:14" x14ac:dyDescent="0.35">
      <c r="A247">
        <v>2022</v>
      </c>
      <c r="B247">
        <v>2</v>
      </c>
      <c r="C247" t="s">
        <v>32</v>
      </c>
      <c r="D247" t="s">
        <v>26</v>
      </c>
      <c r="E247" t="s">
        <v>19</v>
      </c>
      <c r="F247" t="s">
        <v>27</v>
      </c>
      <c r="G247">
        <v>77674</v>
      </c>
      <c r="H247">
        <v>363572</v>
      </c>
      <c r="I247">
        <v>308</v>
      </c>
      <c r="J247">
        <v>0.97</v>
      </c>
      <c r="K247">
        <v>6.29</v>
      </c>
      <c r="L247">
        <v>1.2</v>
      </c>
      <c r="M247">
        <v>10</v>
      </c>
      <c r="N247">
        <v>925</v>
      </c>
    </row>
    <row r="248" spans="1:14" x14ac:dyDescent="0.35">
      <c r="A248">
        <v>2015</v>
      </c>
      <c r="B248">
        <v>12</v>
      </c>
      <c r="C248" t="s">
        <v>28</v>
      </c>
      <c r="D248" t="s">
        <v>15</v>
      </c>
      <c r="E248" t="s">
        <v>20</v>
      </c>
      <c r="F248" t="s">
        <v>23</v>
      </c>
      <c r="G248">
        <v>117476</v>
      </c>
      <c r="H248">
        <v>73777</v>
      </c>
      <c r="I248">
        <v>334</v>
      </c>
      <c r="J248">
        <v>0.97</v>
      </c>
      <c r="K248">
        <v>6.29</v>
      </c>
      <c r="L248">
        <v>1.2</v>
      </c>
      <c r="M248">
        <v>1</v>
      </c>
      <c r="N248">
        <v>1025</v>
      </c>
    </row>
    <row r="249" spans="1:14" x14ac:dyDescent="0.35">
      <c r="A249">
        <v>2022</v>
      </c>
      <c r="B249">
        <v>9</v>
      </c>
      <c r="C249" t="s">
        <v>37</v>
      </c>
      <c r="D249" t="s">
        <v>22</v>
      </c>
      <c r="E249" t="s">
        <v>20</v>
      </c>
      <c r="F249" t="s">
        <v>23</v>
      </c>
      <c r="G249">
        <v>64831</v>
      </c>
      <c r="H249">
        <v>107939</v>
      </c>
      <c r="I249">
        <v>84</v>
      </c>
      <c r="J249">
        <v>0.97</v>
      </c>
      <c r="K249">
        <v>6.29</v>
      </c>
      <c r="L249">
        <v>1.2</v>
      </c>
      <c r="M249">
        <v>2</v>
      </c>
      <c r="N249">
        <v>450</v>
      </c>
    </row>
    <row r="250" spans="1:14" x14ac:dyDescent="0.35">
      <c r="A250">
        <v>2018</v>
      </c>
      <c r="B250">
        <v>5</v>
      </c>
      <c r="C250" t="s">
        <v>37</v>
      </c>
      <c r="D250" t="s">
        <v>24</v>
      </c>
      <c r="E250" t="s">
        <v>20</v>
      </c>
      <c r="F250" t="s">
        <v>20</v>
      </c>
      <c r="G250">
        <v>92174</v>
      </c>
      <c r="H250">
        <v>496242</v>
      </c>
      <c r="I250">
        <v>112</v>
      </c>
      <c r="J250">
        <v>0.97</v>
      </c>
      <c r="K250">
        <v>6.29</v>
      </c>
      <c r="L250">
        <v>1.2</v>
      </c>
      <c r="M250">
        <v>4</v>
      </c>
      <c r="N250">
        <v>543</v>
      </c>
    </row>
    <row r="251" spans="1:14" x14ac:dyDescent="0.35">
      <c r="A251">
        <v>2015</v>
      </c>
      <c r="B251">
        <v>7</v>
      </c>
      <c r="C251" t="s">
        <v>36</v>
      </c>
      <c r="D251" t="s">
        <v>31</v>
      </c>
      <c r="E251" t="s">
        <v>19</v>
      </c>
      <c r="F251" t="s">
        <v>17</v>
      </c>
      <c r="G251">
        <v>46279</v>
      </c>
      <c r="H251">
        <v>398594</v>
      </c>
      <c r="I251">
        <v>306</v>
      </c>
      <c r="J251">
        <v>0.97</v>
      </c>
      <c r="K251">
        <v>6.29</v>
      </c>
      <c r="L251">
        <v>1.2</v>
      </c>
      <c r="M251">
        <v>1</v>
      </c>
      <c r="N251">
        <v>999</v>
      </c>
    </row>
    <row r="252" spans="1:14" x14ac:dyDescent="0.35">
      <c r="A252">
        <v>2022</v>
      </c>
      <c r="B252">
        <v>10</v>
      </c>
      <c r="C252" t="s">
        <v>14</v>
      </c>
      <c r="D252" t="s">
        <v>15</v>
      </c>
      <c r="E252" t="s">
        <v>19</v>
      </c>
      <c r="F252" t="s">
        <v>20</v>
      </c>
      <c r="G252">
        <v>73220</v>
      </c>
      <c r="H252">
        <v>472769</v>
      </c>
      <c r="I252">
        <v>187</v>
      </c>
      <c r="J252">
        <v>0.97</v>
      </c>
      <c r="K252">
        <v>6.29</v>
      </c>
      <c r="L252">
        <v>1.2</v>
      </c>
      <c r="M252">
        <v>3</v>
      </c>
      <c r="N252">
        <v>811</v>
      </c>
    </row>
    <row r="253" spans="1:14" x14ac:dyDescent="0.35">
      <c r="A253">
        <v>2018</v>
      </c>
      <c r="B253">
        <v>1</v>
      </c>
      <c r="C253" t="s">
        <v>38</v>
      </c>
      <c r="D253" t="s">
        <v>31</v>
      </c>
      <c r="E253" t="s">
        <v>20</v>
      </c>
      <c r="F253" t="s">
        <v>17</v>
      </c>
      <c r="G253">
        <v>95610</v>
      </c>
      <c r="H253">
        <v>73548</v>
      </c>
      <c r="I253">
        <v>224</v>
      </c>
      <c r="J253">
        <v>0.97</v>
      </c>
      <c r="K253">
        <v>6.29</v>
      </c>
      <c r="L253">
        <v>1.2</v>
      </c>
      <c r="M253">
        <v>8</v>
      </c>
      <c r="N253">
        <v>685</v>
      </c>
    </row>
    <row r="254" spans="1:14" x14ac:dyDescent="0.35">
      <c r="A254">
        <v>2020</v>
      </c>
      <c r="B254">
        <v>10</v>
      </c>
      <c r="C254" t="s">
        <v>21</v>
      </c>
      <c r="D254" t="s">
        <v>26</v>
      </c>
      <c r="E254" t="s">
        <v>16</v>
      </c>
      <c r="F254" t="s">
        <v>23</v>
      </c>
      <c r="G254">
        <v>87719</v>
      </c>
      <c r="H254">
        <v>480481</v>
      </c>
      <c r="I254">
        <v>324</v>
      </c>
      <c r="J254">
        <v>0.97</v>
      </c>
      <c r="K254">
        <v>6.29</v>
      </c>
      <c r="L254">
        <v>1.2</v>
      </c>
      <c r="M254">
        <v>8</v>
      </c>
      <c r="N254">
        <v>847</v>
      </c>
    </row>
    <row r="255" spans="1:14" x14ac:dyDescent="0.35">
      <c r="A255">
        <v>2022</v>
      </c>
      <c r="B255">
        <v>5</v>
      </c>
      <c r="C255" t="s">
        <v>32</v>
      </c>
      <c r="D255" t="s">
        <v>15</v>
      </c>
      <c r="E255" t="s">
        <v>20</v>
      </c>
      <c r="F255" t="s">
        <v>27</v>
      </c>
      <c r="G255">
        <v>88051</v>
      </c>
      <c r="H255">
        <v>175549</v>
      </c>
      <c r="I255">
        <v>48</v>
      </c>
      <c r="J255">
        <v>0.97</v>
      </c>
      <c r="K255">
        <v>6.29</v>
      </c>
      <c r="L255">
        <v>1.2</v>
      </c>
      <c r="M255">
        <v>8</v>
      </c>
      <c r="N255">
        <v>209</v>
      </c>
    </row>
    <row r="256" spans="1:14" x14ac:dyDescent="0.35">
      <c r="A256">
        <v>2018</v>
      </c>
      <c r="B256">
        <v>12</v>
      </c>
      <c r="C256" t="s">
        <v>37</v>
      </c>
      <c r="D256" t="s">
        <v>34</v>
      </c>
      <c r="E256" t="s">
        <v>19</v>
      </c>
      <c r="F256" t="s">
        <v>20</v>
      </c>
      <c r="G256">
        <v>107013</v>
      </c>
      <c r="H256">
        <v>483917</v>
      </c>
      <c r="I256">
        <v>268</v>
      </c>
      <c r="J256">
        <v>0.97</v>
      </c>
      <c r="K256">
        <v>6.29</v>
      </c>
      <c r="L256">
        <v>1.2</v>
      </c>
      <c r="M256">
        <v>6</v>
      </c>
      <c r="N256">
        <v>840</v>
      </c>
    </row>
    <row r="257" spans="1:14" x14ac:dyDescent="0.35">
      <c r="A257">
        <v>2017</v>
      </c>
      <c r="B257">
        <v>10</v>
      </c>
      <c r="C257" t="s">
        <v>28</v>
      </c>
      <c r="D257" t="s">
        <v>34</v>
      </c>
      <c r="E257" t="s">
        <v>19</v>
      </c>
      <c r="F257" t="s">
        <v>17</v>
      </c>
      <c r="G257">
        <v>91652</v>
      </c>
      <c r="H257">
        <v>494503</v>
      </c>
      <c r="I257">
        <v>213</v>
      </c>
      <c r="J257">
        <v>0.97</v>
      </c>
      <c r="K257">
        <v>6.29</v>
      </c>
      <c r="L257">
        <v>1.2</v>
      </c>
      <c r="M257">
        <v>6</v>
      </c>
      <c r="N257">
        <v>725</v>
      </c>
    </row>
    <row r="258" spans="1:14" x14ac:dyDescent="0.35">
      <c r="A258">
        <v>2023</v>
      </c>
      <c r="B258">
        <v>2</v>
      </c>
      <c r="C258" t="s">
        <v>36</v>
      </c>
      <c r="D258" t="s">
        <v>24</v>
      </c>
      <c r="E258" t="s">
        <v>19</v>
      </c>
      <c r="F258" t="s">
        <v>23</v>
      </c>
      <c r="G258">
        <v>100524</v>
      </c>
      <c r="H258">
        <v>187799</v>
      </c>
      <c r="I258">
        <v>16</v>
      </c>
      <c r="J258">
        <v>0.97</v>
      </c>
      <c r="K258">
        <v>6.29</v>
      </c>
      <c r="L258">
        <v>1.2</v>
      </c>
      <c r="M258">
        <v>5</v>
      </c>
      <c r="N258">
        <v>344</v>
      </c>
    </row>
    <row r="259" spans="1:14" x14ac:dyDescent="0.35">
      <c r="A259">
        <v>2017</v>
      </c>
      <c r="B259">
        <v>12</v>
      </c>
      <c r="C259" t="s">
        <v>28</v>
      </c>
      <c r="D259" t="s">
        <v>31</v>
      </c>
      <c r="E259" t="s">
        <v>20</v>
      </c>
      <c r="F259" t="s">
        <v>17</v>
      </c>
      <c r="G259">
        <v>117936</v>
      </c>
      <c r="H259">
        <v>291532</v>
      </c>
      <c r="I259">
        <v>58</v>
      </c>
      <c r="J259">
        <v>0.97</v>
      </c>
      <c r="K259">
        <v>6.29</v>
      </c>
      <c r="L259">
        <v>1.2</v>
      </c>
      <c r="M259">
        <v>9</v>
      </c>
      <c r="N259">
        <v>441</v>
      </c>
    </row>
    <row r="260" spans="1:14" x14ac:dyDescent="0.35">
      <c r="A260">
        <v>2023</v>
      </c>
      <c r="B260">
        <v>6</v>
      </c>
      <c r="C260" t="s">
        <v>21</v>
      </c>
      <c r="D260" t="s">
        <v>22</v>
      </c>
      <c r="E260" t="s">
        <v>16</v>
      </c>
      <c r="F260" t="s">
        <v>17</v>
      </c>
      <c r="G260">
        <v>41470</v>
      </c>
      <c r="H260">
        <v>231789</v>
      </c>
      <c r="I260">
        <v>35</v>
      </c>
      <c r="J260">
        <v>0.97</v>
      </c>
      <c r="K260">
        <v>6.29</v>
      </c>
      <c r="L260">
        <v>1.2</v>
      </c>
      <c r="M260">
        <v>4</v>
      </c>
      <c r="N260">
        <v>281</v>
      </c>
    </row>
    <row r="261" spans="1:14" x14ac:dyDescent="0.35">
      <c r="A261">
        <v>2016</v>
      </c>
      <c r="B261">
        <v>11</v>
      </c>
      <c r="C261" t="s">
        <v>38</v>
      </c>
      <c r="D261" t="s">
        <v>26</v>
      </c>
      <c r="E261" t="s">
        <v>19</v>
      </c>
      <c r="F261" t="s">
        <v>17</v>
      </c>
      <c r="G261">
        <v>102598</v>
      </c>
      <c r="H261">
        <v>475643</v>
      </c>
      <c r="I261">
        <v>170</v>
      </c>
      <c r="J261">
        <v>0.97</v>
      </c>
      <c r="K261">
        <v>6.29</v>
      </c>
      <c r="L261">
        <v>1.2</v>
      </c>
      <c r="M261">
        <v>10</v>
      </c>
      <c r="N261">
        <v>625</v>
      </c>
    </row>
    <row r="262" spans="1:14" x14ac:dyDescent="0.35">
      <c r="A262">
        <v>2016</v>
      </c>
      <c r="B262">
        <v>1</v>
      </c>
      <c r="C262" t="s">
        <v>36</v>
      </c>
      <c r="D262" t="s">
        <v>34</v>
      </c>
      <c r="E262" t="s">
        <v>19</v>
      </c>
      <c r="F262" t="s">
        <v>23</v>
      </c>
      <c r="G262">
        <v>76798</v>
      </c>
      <c r="H262">
        <v>197764</v>
      </c>
      <c r="I262">
        <v>366</v>
      </c>
      <c r="J262">
        <v>0.97</v>
      </c>
      <c r="K262">
        <v>6.29</v>
      </c>
      <c r="L262">
        <v>1.2</v>
      </c>
      <c r="M262">
        <v>7</v>
      </c>
      <c r="N262">
        <v>1104</v>
      </c>
    </row>
    <row r="263" spans="1:14" x14ac:dyDescent="0.35">
      <c r="A263">
        <v>2016</v>
      </c>
      <c r="B263">
        <v>3</v>
      </c>
      <c r="C263" t="s">
        <v>36</v>
      </c>
      <c r="D263" t="s">
        <v>29</v>
      </c>
      <c r="E263" t="s">
        <v>20</v>
      </c>
      <c r="F263" t="s">
        <v>27</v>
      </c>
      <c r="G263">
        <v>88473</v>
      </c>
      <c r="H263">
        <v>81625</v>
      </c>
      <c r="I263">
        <v>185</v>
      </c>
      <c r="J263">
        <v>0.97</v>
      </c>
      <c r="K263">
        <v>6.29</v>
      </c>
      <c r="L263">
        <v>1.2</v>
      </c>
      <c r="M263">
        <v>1</v>
      </c>
      <c r="N263">
        <v>540</v>
      </c>
    </row>
    <row r="264" spans="1:14" x14ac:dyDescent="0.35">
      <c r="A264">
        <v>2020</v>
      </c>
      <c r="B264">
        <v>5</v>
      </c>
      <c r="C264" t="s">
        <v>25</v>
      </c>
      <c r="D264" t="s">
        <v>33</v>
      </c>
      <c r="E264" t="s">
        <v>16</v>
      </c>
      <c r="F264" t="s">
        <v>27</v>
      </c>
      <c r="G264">
        <v>54880</v>
      </c>
      <c r="H264">
        <v>337062</v>
      </c>
      <c r="I264">
        <v>88</v>
      </c>
      <c r="J264">
        <v>0.97</v>
      </c>
      <c r="K264">
        <v>6.29</v>
      </c>
      <c r="L264">
        <v>1.2</v>
      </c>
      <c r="M264">
        <v>9</v>
      </c>
      <c r="N264">
        <v>457</v>
      </c>
    </row>
    <row r="265" spans="1:14" x14ac:dyDescent="0.35">
      <c r="A265">
        <v>2017</v>
      </c>
      <c r="B265">
        <v>4</v>
      </c>
      <c r="C265" t="s">
        <v>32</v>
      </c>
      <c r="D265" t="s">
        <v>33</v>
      </c>
      <c r="E265" t="s">
        <v>20</v>
      </c>
      <c r="F265" t="s">
        <v>27</v>
      </c>
      <c r="G265">
        <v>79439</v>
      </c>
      <c r="H265">
        <v>484352</v>
      </c>
      <c r="I265">
        <v>11</v>
      </c>
      <c r="J265">
        <v>0.97</v>
      </c>
      <c r="K265">
        <v>6.29</v>
      </c>
      <c r="L265">
        <v>1.2</v>
      </c>
      <c r="M265">
        <v>7</v>
      </c>
      <c r="N265">
        <v>420</v>
      </c>
    </row>
    <row r="266" spans="1:14" x14ac:dyDescent="0.35">
      <c r="A266">
        <v>2023</v>
      </c>
      <c r="B266">
        <v>3</v>
      </c>
      <c r="C266" t="s">
        <v>36</v>
      </c>
      <c r="D266" t="s">
        <v>39</v>
      </c>
      <c r="E266" t="s">
        <v>19</v>
      </c>
      <c r="F266" t="s">
        <v>17</v>
      </c>
      <c r="G266">
        <v>49308</v>
      </c>
      <c r="H266">
        <v>426970</v>
      </c>
      <c r="I266">
        <v>392</v>
      </c>
      <c r="J266">
        <v>0.97</v>
      </c>
      <c r="K266">
        <v>6.29</v>
      </c>
      <c r="L266">
        <v>1.2</v>
      </c>
      <c r="M266">
        <v>10</v>
      </c>
      <c r="N266">
        <v>897</v>
      </c>
    </row>
    <row r="267" spans="1:14" x14ac:dyDescent="0.35">
      <c r="A267">
        <v>2018</v>
      </c>
      <c r="B267">
        <v>10</v>
      </c>
      <c r="C267" t="s">
        <v>25</v>
      </c>
      <c r="D267" t="s">
        <v>22</v>
      </c>
      <c r="E267" t="s">
        <v>16</v>
      </c>
      <c r="F267" t="s">
        <v>23</v>
      </c>
      <c r="G267">
        <v>70081</v>
      </c>
      <c r="H267">
        <v>164881</v>
      </c>
      <c r="I267">
        <v>141</v>
      </c>
      <c r="J267">
        <v>0.97</v>
      </c>
      <c r="K267">
        <v>6.29</v>
      </c>
      <c r="L267">
        <v>1.2</v>
      </c>
      <c r="M267">
        <v>9</v>
      </c>
      <c r="N267">
        <v>529</v>
      </c>
    </row>
    <row r="268" spans="1:14" x14ac:dyDescent="0.35">
      <c r="A268">
        <v>2015</v>
      </c>
      <c r="B268">
        <v>5</v>
      </c>
      <c r="C268" t="s">
        <v>25</v>
      </c>
      <c r="D268" t="s">
        <v>33</v>
      </c>
      <c r="E268" t="s">
        <v>16</v>
      </c>
      <c r="F268" t="s">
        <v>17</v>
      </c>
      <c r="G268">
        <v>110242</v>
      </c>
      <c r="H268">
        <v>495625</v>
      </c>
      <c r="I268">
        <v>285</v>
      </c>
      <c r="J268">
        <v>0.97</v>
      </c>
      <c r="K268">
        <v>6.29</v>
      </c>
      <c r="L268">
        <v>1.2</v>
      </c>
      <c r="M268">
        <v>7</v>
      </c>
      <c r="N268">
        <v>943</v>
      </c>
    </row>
    <row r="269" spans="1:14" x14ac:dyDescent="0.35">
      <c r="A269">
        <v>2018</v>
      </c>
      <c r="B269">
        <v>11</v>
      </c>
      <c r="C269" t="s">
        <v>21</v>
      </c>
      <c r="D269" t="s">
        <v>39</v>
      </c>
      <c r="E269" t="s">
        <v>19</v>
      </c>
      <c r="F269" t="s">
        <v>27</v>
      </c>
      <c r="G269">
        <v>85383</v>
      </c>
      <c r="H269">
        <v>327721</v>
      </c>
      <c r="I269">
        <v>126</v>
      </c>
      <c r="J269">
        <v>0.97</v>
      </c>
      <c r="K269">
        <v>6.29</v>
      </c>
      <c r="L269">
        <v>1.2</v>
      </c>
      <c r="M269">
        <v>2</v>
      </c>
      <c r="N269">
        <v>634</v>
      </c>
    </row>
    <row r="270" spans="1:14" x14ac:dyDescent="0.35">
      <c r="A270">
        <v>2015</v>
      </c>
      <c r="B270">
        <v>8</v>
      </c>
      <c r="C270" t="s">
        <v>30</v>
      </c>
      <c r="D270" t="s">
        <v>31</v>
      </c>
      <c r="E270" t="s">
        <v>16</v>
      </c>
      <c r="F270" t="s">
        <v>27</v>
      </c>
      <c r="G270">
        <v>44837</v>
      </c>
      <c r="H270">
        <v>397299</v>
      </c>
      <c r="I270">
        <v>173</v>
      </c>
      <c r="J270">
        <v>0.97</v>
      </c>
      <c r="K270">
        <v>6.29</v>
      </c>
      <c r="L270">
        <v>1.2</v>
      </c>
      <c r="M270">
        <v>6</v>
      </c>
      <c r="N270">
        <v>670</v>
      </c>
    </row>
    <row r="271" spans="1:14" x14ac:dyDescent="0.35">
      <c r="A271">
        <v>2019</v>
      </c>
      <c r="B271">
        <v>11</v>
      </c>
      <c r="C271" t="s">
        <v>28</v>
      </c>
      <c r="D271" t="s">
        <v>34</v>
      </c>
      <c r="E271" t="s">
        <v>16</v>
      </c>
      <c r="F271" t="s">
        <v>23</v>
      </c>
      <c r="G271">
        <v>87151</v>
      </c>
      <c r="H271">
        <v>161776</v>
      </c>
      <c r="I271">
        <v>297</v>
      </c>
      <c r="J271">
        <v>0.97</v>
      </c>
      <c r="K271">
        <v>6.29</v>
      </c>
      <c r="L271">
        <v>1.2</v>
      </c>
      <c r="M271">
        <v>10</v>
      </c>
      <c r="N271">
        <v>1001</v>
      </c>
    </row>
    <row r="272" spans="1:14" x14ac:dyDescent="0.35">
      <c r="A272">
        <v>2018</v>
      </c>
      <c r="B272">
        <v>4</v>
      </c>
      <c r="C272" t="s">
        <v>38</v>
      </c>
      <c r="D272" t="s">
        <v>34</v>
      </c>
      <c r="E272" t="s">
        <v>20</v>
      </c>
      <c r="F272" t="s">
        <v>17</v>
      </c>
      <c r="G272">
        <v>71824</v>
      </c>
      <c r="H272">
        <v>411390</v>
      </c>
      <c r="I272">
        <v>37</v>
      </c>
      <c r="J272">
        <v>0.97</v>
      </c>
      <c r="K272">
        <v>6.29</v>
      </c>
      <c r="L272">
        <v>1.2</v>
      </c>
      <c r="M272">
        <v>4</v>
      </c>
      <c r="N272">
        <v>191</v>
      </c>
    </row>
    <row r="273" spans="1:14" x14ac:dyDescent="0.35">
      <c r="A273">
        <v>2022</v>
      </c>
      <c r="B273">
        <v>1</v>
      </c>
      <c r="C273" t="s">
        <v>35</v>
      </c>
      <c r="D273" t="s">
        <v>29</v>
      </c>
      <c r="E273" t="s">
        <v>19</v>
      </c>
      <c r="F273" t="s">
        <v>20</v>
      </c>
      <c r="G273">
        <v>68073</v>
      </c>
      <c r="H273">
        <v>283996</v>
      </c>
      <c r="I273">
        <v>342</v>
      </c>
      <c r="J273">
        <v>0.97</v>
      </c>
      <c r="K273">
        <v>6.29</v>
      </c>
      <c r="L273">
        <v>1.2</v>
      </c>
      <c r="M273">
        <v>3</v>
      </c>
      <c r="N273">
        <v>937</v>
      </c>
    </row>
    <row r="274" spans="1:14" x14ac:dyDescent="0.35">
      <c r="A274">
        <v>2022</v>
      </c>
      <c r="B274">
        <v>11</v>
      </c>
      <c r="C274" t="s">
        <v>28</v>
      </c>
      <c r="D274" t="s">
        <v>15</v>
      </c>
      <c r="E274" t="s">
        <v>19</v>
      </c>
      <c r="F274" t="s">
        <v>20</v>
      </c>
      <c r="G274">
        <v>61299</v>
      </c>
      <c r="H274">
        <v>307831</v>
      </c>
      <c r="I274">
        <v>10</v>
      </c>
      <c r="J274">
        <v>0.97</v>
      </c>
      <c r="K274">
        <v>6.29</v>
      </c>
      <c r="L274">
        <v>1.2</v>
      </c>
      <c r="M274">
        <v>2</v>
      </c>
      <c r="N274">
        <v>471</v>
      </c>
    </row>
    <row r="275" spans="1:14" x14ac:dyDescent="0.35">
      <c r="A275">
        <v>2021</v>
      </c>
      <c r="B275">
        <v>7</v>
      </c>
      <c r="C275" t="s">
        <v>36</v>
      </c>
      <c r="D275" t="s">
        <v>33</v>
      </c>
      <c r="E275" t="s">
        <v>19</v>
      </c>
      <c r="F275" t="s">
        <v>27</v>
      </c>
      <c r="G275">
        <v>93861</v>
      </c>
      <c r="H275">
        <v>262803</v>
      </c>
      <c r="I275">
        <v>197</v>
      </c>
      <c r="J275">
        <v>0.97</v>
      </c>
      <c r="K275">
        <v>6.29</v>
      </c>
      <c r="L275">
        <v>1.2</v>
      </c>
      <c r="M275">
        <v>6</v>
      </c>
      <c r="N275">
        <v>615</v>
      </c>
    </row>
    <row r="276" spans="1:14" x14ac:dyDescent="0.35">
      <c r="A276">
        <v>2017</v>
      </c>
      <c r="B276">
        <v>8</v>
      </c>
      <c r="C276" t="s">
        <v>38</v>
      </c>
      <c r="D276" t="s">
        <v>31</v>
      </c>
      <c r="E276" t="s">
        <v>19</v>
      </c>
      <c r="F276" t="s">
        <v>23</v>
      </c>
      <c r="G276">
        <v>65063</v>
      </c>
      <c r="H276">
        <v>208761</v>
      </c>
      <c r="I276">
        <v>65</v>
      </c>
      <c r="J276">
        <v>0.97</v>
      </c>
      <c r="K276">
        <v>6.29</v>
      </c>
      <c r="L276">
        <v>1.2</v>
      </c>
      <c r="M276">
        <v>8</v>
      </c>
      <c r="N276">
        <v>245</v>
      </c>
    </row>
    <row r="277" spans="1:14" x14ac:dyDescent="0.35">
      <c r="A277">
        <v>2015</v>
      </c>
      <c r="B277">
        <v>3</v>
      </c>
      <c r="C277" t="s">
        <v>37</v>
      </c>
      <c r="D277" t="s">
        <v>18</v>
      </c>
      <c r="E277" t="s">
        <v>19</v>
      </c>
      <c r="F277" t="s">
        <v>17</v>
      </c>
      <c r="G277">
        <v>104453</v>
      </c>
      <c r="H277">
        <v>192226</v>
      </c>
      <c r="I277">
        <v>44</v>
      </c>
      <c r="J277">
        <v>0.97</v>
      </c>
      <c r="K277">
        <v>6.29</v>
      </c>
      <c r="L277">
        <v>1.2</v>
      </c>
      <c r="M277">
        <v>6</v>
      </c>
      <c r="N277">
        <v>265</v>
      </c>
    </row>
    <row r="278" spans="1:14" x14ac:dyDescent="0.35">
      <c r="A278">
        <v>2015</v>
      </c>
      <c r="B278">
        <v>6</v>
      </c>
      <c r="C278" t="s">
        <v>30</v>
      </c>
      <c r="D278" t="s">
        <v>33</v>
      </c>
      <c r="E278" t="s">
        <v>16</v>
      </c>
      <c r="F278" t="s">
        <v>17</v>
      </c>
      <c r="G278">
        <v>103472</v>
      </c>
      <c r="H278">
        <v>407092</v>
      </c>
      <c r="I278">
        <v>121</v>
      </c>
      <c r="J278">
        <v>0.97</v>
      </c>
      <c r="K278">
        <v>6.29</v>
      </c>
      <c r="L278">
        <v>1.2</v>
      </c>
      <c r="M278">
        <v>9</v>
      </c>
      <c r="N278">
        <v>313</v>
      </c>
    </row>
    <row r="279" spans="1:14" x14ac:dyDescent="0.35">
      <c r="A279">
        <v>2017</v>
      </c>
      <c r="B279">
        <v>2</v>
      </c>
      <c r="C279" t="s">
        <v>37</v>
      </c>
      <c r="D279" t="s">
        <v>22</v>
      </c>
      <c r="E279" t="s">
        <v>20</v>
      </c>
      <c r="F279" t="s">
        <v>27</v>
      </c>
      <c r="G279">
        <v>49506</v>
      </c>
      <c r="H279">
        <v>71341</v>
      </c>
      <c r="I279">
        <v>295</v>
      </c>
      <c r="J279">
        <v>0.97</v>
      </c>
      <c r="K279">
        <v>6.29</v>
      </c>
      <c r="L279">
        <v>1.2</v>
      </c>
      <c r="M279">
        <v>5</v>
      </c>
      <c r="N279">
        <v>674</v>
      </c>
    </row>
    <row r="280" spans="1:14" x14ac:dyDescent="0.35">
      <c r="A280">
        <v>2020</v>
      </c>
      <c r="B280">
        <v>7</v>
      </c>
      <c r="C280" t="s">
        <v>37</v>
      </c>
      <c r="D280" t="s">
        <v>15</v>
      </c>
      <c r="E280" t="s">
        <v>19</v>
      </c>
      <c r="F280" t="s">
        <v>27</v>
      </c>
      <c r="G280">
        <v>114854</v>
      </c>
      <c r="H280">
        <v>409698</v>
      </c>
      <c r="I280">
        <v>319</v>
      </c>
      <c r="J280">
        <v>0.97</v>
      </c>
      <c r="K280">
        <v>6.29</v>
      </c>
      <c r="L280">
        <v>1.2</v>
      </c>
      <c r="M280">
        <v>2</v>
      </c>
      <c r="N280">
        <v>807</v>
      </c>
    </row>
    <row r="281" spans="1:14" x14ac:dyDescent="0.35">
      <c r="A281">
        <v>2021</v>
      </c>
      <c r="B281">
        <v>8</v>
      </c>
      <c r="C281" t="s">
        <v>32</v>
      </c>
      <c r="D281" t="s">
        <v>33</v>
      </c>
      <c r="E281" t="s">
        <v>20</v>
      </c>
      <c r="F281" t="s">
        <v>17</v>
      </c>
      <c r="G281">
        <v>61026</v>
      </c>
      <c r="H281">
        <v>255753</v>
      </c>
      <c r="I281">
        <v>45</v>
      </c>
      <c r="J281">
        <v>0.97</v>
      </c>
      <c r="K281">
        <v>6.29</v>
      </c>
      <c r="L281">
        <v>1.2</v>
      </c>
      <c r="M281">
        <v>8</v>
      </c>
      <c r="N281">
        <v>201</v>
      </c>
    </row>
    <row r="282" spans="1:14" x14ac:dyDescent="0.35">
      <c r="A282">
        <v>2020</v>
      </c>
      <c r="B282">
        <v>6</v>
      </c>
      <c r="C282" t="s">
        <v>28</v>
      </c>
      <c r="D282" t="s">
        <v>31</v>
      </c>
      <c r="E282" t="s">
        <v>20</v>
      </c>
      <c r="F282" t="s">
        <v>17</v>
      </c>
      <c r="G282">
        <v>62672</v>
      </c>
      <c r="H282">
        <v>419942</v>
      </c>
      <c r="I282">
        <v>226</v>
      </c>
      <c r="J282">
        <v>0.97</v>
      </c>
      <c r="K282">
        <v>6.29</v>
      </c>
      <c r="L282">
        <v>1.2</v>
      </c>
      <c r="M282">
        <v>9</v>
      </c>
      <c r="N282">
        <v>848</v>
      </c>
    </row>
    <row r="283" spans="1:14" x14ac:dyDescent="0.35">
      <c r="A283">
        <v>2020</v>
      </c>
      <c r="B283">
        <v>6</v>
      </c>
      <c r="C283" t="s">
        <v>35</v>
      </c>
      <c r="D283" t="s">
        <v>33</v>
      </c>
      <c r="E283" t="s">
        <v>16</v>
      </c>
      <c r="F283" t="s">
        <v>27</v>
      </c>
      <c r="G283">
        <v>73417</v>
      </c>
      <c r="H283">
        <v>358474</v>
      </c>
      <c r="I283">
        <v>89</v>
      </c>
      <c r="J283">
        <v>0.97</v>
      </c>
      <c r="K283">
        <v>6.29</v>
      </c>
      <c r="L283">
        <v>1.2</v>
      </c>
      <c r="M283">
        <v>10</v>
      </c>
      <c r="N283">
        <v>447</v>
      </c>
    </row>
    <row r="284" spans="1:14" x14ac:dyDescent="0.35">
      <c r="A284">
        <v>2020</v>
      </c>
      <c r="B284">
        <v>5</v>
      </c>
      <c r="C284" t="s">
        <v>21</v>
      </c>
      <c r="D284" t="s">
        <v>22</v>
      </c>
      <c r="E284" t="s">
        <v>19</v>
      </c>
      <c r="F284" t="s">
        <v>17</v>
      </c>
      <c r="G284">
        <v>87413</v>
      </c>
      <c r="H284">
        <v>299141</v>
      </c>
      <c r="I284">
        <v>323</v>
      </c>
      <c r="J284">
        <v>0.97</v>
      </c>
      <c r="K284">
        <v>6.29</v>
      </c>
      <c r="L284">
        <v>1.2</v>
      </c>
      <c r="M284">
        <v>4</v>
      </c>
      <c r="N284">
        <v>1051</v>
      </c>
    </row>
    <row r="285" spans="1:14" x14ac:dyDescent="0.35">
      <c r="A285">
        <v>2017</v>
      </c>
      <c r="B285">
        <v>8</v>
      </c>
      <c r="C285" t="s">
        <v>35</v>
      </c>
      <c r="D285" t="s">
        <v>18</v>
      </c>
      <c r="E285" t="s">
        <v>16</v>
      </c>
      <c r="F285" t="s">
        <v>20</v>
      </c>
      <c r="G285">
        <v>100066</v>
      </c>
      <c r="H285">
        <v>399903</v>
      </c>
      <c r="I285">
        <v>92</v>
      </c>
      <c r="J285">
        <v>0.97</v>
      </c>
      <c r="K285">
        <v>6.29</v>
      </c>
      <c r="L285">
        <v>1.2</v>
      </c>
      <c r="M285">
        <v>6</v>
      </c>
      <c r="N285">
        <v>436</v>
      </c>
    </row>
    <row r="286" spans="1:14" x14ac:dyDescent="0.35">
      <c r="A286">
        <v>2020</v>
      </c>
      <c r="B286">
        <v>1</v>
      </c>
      <c r="C286" t="s">
        <v>37</v>
      </c>
      <c r="D286" t="s">
        <v>26</v>
      </c>
      <c r="E286" t="s">
        <v>19</v>
      </c>
      <c r="F286" t="s">
        <v>27</v>
      </c>
      <c r="G286">
        <v>94213</v>
      </c>
      <c r="H286">
        <v>249488</v>
      </c>
      <c r="I286">
        <v>74</v>
      </c>
      <c r="J286">
        <v>0.97</v>
      </c>
      <c r="K286">
        <v>6.29</v>
      </c>
      <c r="L286">
        <v>1.2</v>
      </c>
      <c r="M286">
        <v>10</v>
      </c>
      <c r="N286">
        <v>197</v>
      </c>
    </row>
    <row r="287" spans="1:14" x14ac:dyDescent="0.35">
      <c r="A287">
        <v>2022</v>
      </c>
      <c r="B287">
        <v>10</v>
      </c>
      <c r="C287" t="s">
        <v>36</v>
      </c>
      <c r="D287" t="s">
        <v>24</v>
      </c>
      <c r="E287" t="s">
        <v>16</v>
      </c>
      <c r="F287" t="s">
        <v>17</v>
      </c>
      <c r="G287">
        <v>85971</v>
      </c>
      <c r="H287">
        <v>306139</v>
      </c>
      <c r="I287">
        <v>334</v>
      </c>
      <c r="J287">
        <v>0.97</v>
      </c>
      <c r="K287">
        <v>6.29</v>
      </c>
      <c r="L287">
        <v>1.2</v>
      </c>
      <c r="M287">
        <v>8</v>
      </c>
      <c r="N287">
        <v>1021</v>
      </c>
    </row>
    <row r="288" spans="1:14" x14ac:dyDescent="0.35">
      <c r="A288">
        <v>2016</v>
      </c>
      <c r="B288">
        <v>4</v>
      </c>
      <c r="C288" t="s">
        <v>30</v>
      </c>
      <c r="D288" t="s">
        <v>18</v>
      </c>
      <c r="E288" t="s">
        <v>20</v>
      </c>
      <c r="F288" t="s">
        <v>27</v>
      </c>
      <c r="G288">
        <v>62281</v>
      </c>
      <c r="H288">
        <v>398951</v>
      </c>
      <c r="I288">
        <v>137</v>
      </c>
      <c r="J288">
        <v>0.97</v>
      </c>
      <c r="K288">
        <v>6.29</v>
      </c>
      <c r="L288">
        <v>1.2</v>
      </c>
      <c r="M288">
        <v>9</v>
      </c>
      <c r="N288">
        <v>640</v>
      </c>
    </row>
    <row r="289" spans="1:14" x14ac:dyDescent="0.35">
      <c r="A289">
        <v>2019</v>
      </c>
      <c r="B289">
        <v>4</v>
      </c>
      <c r="C289" t="s">
        <v>14</v>
      </c>
      <c r="D289" t="s">
        <v>39</v>
      </c>
      <c r="E289" t="s">
        <v>19</v>
      </c>
      <c r="F289" t="s">
        <v>23</v>
      </c>
      <c r="G289">
        <v>63091</v>
      </c>
      <c r="H289">
        <v>345457</v>
      </c>
      <c r="I289">
        <v>316</v>
      </c>
      <c r="J289">
        <v>0.97</v>
      </c>
      <c r="K289">
        <v>6.29</v>
      </c>
      <c r="L289">
        <v>1.2</v>
      </c>
      <c r="M289">
        <v>5</v>
      </c>
      <c r="N289">
        <v>1081</v>
      </c>
    </row>
    <row r="290" spans="1:14" x14ac:dyDescent="0.35">
      <c r="A290">
        <v>2015</v>
      </c>
      <c r="B290">
        <v>3</v>
      </c>
      <c r="C290" t="s">
        <v>35</v>
      </c>
      <c r="D290" t="s">
        <v>33</v>
      </c>
      <c r="E290" t="s">
        <v>20</v>
      </c>
      <c r="F290" t="s">
        <v>27</v>
      </c>
      <c r="G290">
        <v>85494</v>
      </c>
      <c r="H290">
        <v>359044</v>
      </c>
      <c r="I290">
        <v>31</v>
      </c>
      <c r="J290">
        <v>0.97</v>
      </c>
      <c r="K290">
        <v>6.29</v>
      </c>
      <c r="L290">
        <v>1.2</v>
      </c>
      <c r="M290">
        <v>6</v>
      </c>
      <c r="N290">
        <v>100</v>
      </c>
    </row>
    <row r="291" spans="1:14" x14ac:dyDescent="0.35">
      <c r="A291">
        <v>2015</v>
      </c>
      <c r="B291">
        <v>3</v>
      </c>
      <c r="C291" t="s">
        <v>37</v>
      </c>
      <c r="D291" t="s">
        <v>34</v>
      </c>
      <c r="E291" t="s">
        <v>20</v>
      </c>
      <c r="F291" t="s">
        <v>27</v>
      </c>
      <c r="G291">
        <v>53610</v>
      </c>
      <c r="H291">
        <v>128840</v>
      </c>
      <c r="I291">
        <v>225</v>
      </c>
      <c r="J291">
        <v>0.97</v>
      </c>
      <c r="K291">
        <v>6.29</v>
      </c>
      <c r="L291">
        <v>1.2</v>
      </c>
      <c r="M291">
        <v>4</v>
      </c>
      <c r="N291">
        <v>675</v>
      </c>
    </row>
    <row r="292" spans="1:14" x14ac:dyDescent="0.35">
      <c r="A292">
        <v>2019</v>
      </c>
      <c r="B292">
        <v>4</v>
      </c>
      <c r="C292" t="s">
        <v>30</v>
      </c>
      <c r="D292" t="s">
        <v>29</v>
      </c>
      <c r="E292" t="s">
        <v>16</v>
      </c>
      <c r="F292" t="s">
        <v>23</v>
      </c>
      <c r="G292">
        <v>36079</v>
      </c>
      <c r="H292">
        <v>215767</v>
      </c>
      <c r="I292">
        <v>116</v>
      </c>
      <c r="J292">
        <v>0.97</v>
      </c>
      <c r="K292">
        <v>6.29</v>
      </c>
      <c r="L292">
        <v>1.2</v>
      </c>
      <c r="M292">
        <v>5</v>
      </c>
      <c r="N292">
        <v>351</v>
      </c>
    </row>
    <row r="293" spans="1:14" x14ac:dyDescent="0.35">
      <c r="A293">
        <v>2017</v>
      </c>
      <c r="B293">
        <v>11</v>
      </c>
      <c r="C293" t="s">
        <v>38</v>
      </c>
      <c r="D293" t="s">
        <v>34</v>
      </c>
      <c r="E293" t="s">
        <v>19</v>
      </c>
      <c r="F293" t="s">
        <v>20</v>
      </c>
      <c r="G293">
        <v>81751</v>
      </c>
      <c r="H293">
        <v>211297</v>
      </c>
      <c r="I293">
        <v>118</v>
      </c>
      <c r="J293">
        <v>0.97</v>
      </c>
      <c r="K293">
        <v>6.29</v>
      </c>
      <c r="L293">
        <v>1.2</v>
      </c>
      <c r="M293">
        <v>7</v>
      </c>
      <c r="N293">
        <v>355</v>
      </c>
    </row>
    <row r="294" spans="1:14" x14ac:dyDescent="0.35">
      <c r="A294">
        <v>2018</v>
      </c>
      <c r="B294">
        <v>1</v>
      </c>
      <c r="C294" t="s">
        <v>28</v>
      </c>
      <c r="D294" t="s">
        <v>18</v>
      </c>
      <c r="E294" t="s">
        <v>20</v>
      </c>
      <c r="F294" t="s">
        <v>17</v>
      </c>
      <c r="G294">
        <v>90432</v>
      </c>
      <c r="H294">
        <v>398216</v>
      </c>
      <c r="I294">
        <v>381</v>
      </c>
      <c r="J294">
        <v>0.97</v>
      </c>
      <c r="K294">
        <v>6.29</v>
      </c>
      <c r="L294">
        <v>1.2</v>
      </c>
      <c r="M294">
        <v>9</v>
      </c>
      <c r="N294">
        <v>1195</v>
      </c>
    </row>
    <row r="295" spans="1:14" x14ac:dyDescent="0.35">
      <c r="A295">
        <v>2017</v>
      </c>
      <c r="B295">
        <v>11</v>
      </c>
      <c r="C295" t="s">
        <v>25</v>
      </c>
      <c r="D295" t="s">
        <v>34</v>
      </c>
      <c r="E295" t="s">
        <v>16</v>
      </c>
      <c r="F295" t="s">
        <v>23</v>
      </c>
      <c r="G295">
        <v>65951</v>
      </c>
      <c r="H295">
        <v>408511</v>
      </c>
      <c r="I295">
        <v>366</v>
      </c>
      <c r="J295">
        <v>0.97</v>
      </c>
      <c r="K295">
        <v>6.29</v>
      </c>
      <c r="L295">
        <v>1.2</v>
      </c>
      <c r="M295">
        <v>10</v>
      </c>
      <c r="N295">
        <v>811</v>
      </c>
    </row>
    <row r="296" spans="1:14" x14ac:dyDescent="0.35">
      <c r="A296">
        <v>2015</v>
      </c>
      <c r="B296">
        <v>11</v>
      </c>
      <c r="C296" t="s">
        <v>32</v>
      </c>
      <c r="D296" t="s">
        <v>31</v>
      </c>
      <c r="E296" t="s">
        <v>19</v>
      </c>
      <c r="F296" t="s">
        <v>27</v>
      </c>
      <c r="G296">
        <v>115863</v>
      </c>
      <c r="H296">
        <v>99156</v>
      </c>
      <c r="I296">
        <v>190</v>
      </c>
      <c r="J296">
        <v>0.97</v>
      </c>
      <c r="K296">
        <v>6.29</v>
      </c>
      <c r="L296">
        <v>1.2</v>
      </c>
      <c r="M296">
        <v>6</v>
      </c>
      <c r="N296">
        <v>473</v>
      </c>
    </row>
    <row r="297" spans="1:14" x14ac:dyDescent="0.35">
      <c r="A297">
        <v>2015</v>
      </c>
      <c r="B297">
        <v>2</v>
      </c>
      <c r="C297" t="s">
        <v>30</v>
      </c>
      <c r="D297" t="s">
        <v>34</v>
      </c>
      <c r="E297" t="s">
        <v>19</v>
      </c>
      <c r="F297" t="s">
        <v>17</v>
      </c>
      <c r="G297">
        <v>113291</v>
      </c>
      <c r="H297">
        <v>258281</v>
      </c>
      <c r="I297">
        <v>365</v>
      </c>
      <c r="J297">
        <v>0.97</v>
      </c>
      <c r="K297">
        <v>6.29</v>
      </c>
      <c r="L297">
        <v>1.2</v>
      </c>
      <c r="M297">
        <v>6</v>
      </c>
      <c r="N297">
        <v>1027</v>
      </c>
    </row>
    <row r="298" spans="1:14" x14ac:dyDescent="0.35">
      <c r="A298">
        <v>2019</v>
      </c>
      <c r="B298">
        <v>9</v>
      </c>
      <c r="C298" t="s">
        <v>36</v>
      </c>
      <c r="D298" t="s">
        <v>15</v>
      </c>
      <c r="E298" t="s">
        <v>20</v>
      </c>
      <c r="F298" t="s">
        <v>23</v>
      </c>
      <c r="G298">
        <v>94872</v>
      </c>
      <c r="H298">
        <v>137453</v>
      </c>
      <c r="I298">
        <v>173</v>
      </c>
      <c r="J298">
        <v>0.97</v>
      </c>
      <c r="K298">
        <v>6.29</v>
      </c>
      <c r="L298">
        <v>1.2</v>
      </c>
      <c r="M298">
        <v>8</v>
      </c>
      <c r="N298">
        <v>505</v>
      </c>
    </row>
    <row r="299" spans="1:14" x14ac:dyDescent="0.35">
      <c r="A299">
        <v>2020</v>
      </c>
      <c r="B299">
        <v>10</v>
      </c>
      <c r="C299" t="s">
        <v>36</v>
      </c>
      <c r="D299" t="s">
        <v>26</v>
      </c>
      <c r="E299" t="s">
        <v>19</v>
      </c>
      <c r="F299" t="s">
        <v>17</v>
      </c>
      <c r="G299">
        <v>42235</v>
      </c>
      <c r="H299">
        <v>208901</v>
      </c>
      <c r="I299">
        <v>77</v>
      </c>
      <c r="J299">
        <v>0.97</v>
      </c>
      <c r="K299">
        <v>6.29</v>
      </c>
      <c r="L299">
        <v>1.2</v>
      </c>
      <c r="M299">
        <v>4</v>
      </c>
      <c r="N299">
        <v>369</v>
      </c>
    </row>
    <row r="300" spans="1:14" x14ac:dyDescent="0.35">
      <c r="A300">
        <v>2017</v>
      </c>
      <c r="B300">
        <v>2</v>
      </c>
      <c r="C300" t="s">
        <v>30</v>
      </c>
      <c r="D300" t="s">
        <v>33</v>
      </c>
      <c r="E300" t="s">
        <v>20</v>
      </c>
      <c r="F300" t="s">
        <v>17</v>
      </c>
      <c r="G300">
        <v>117733</v>
      </c>
      <c r="H300">
        <v>75938</v>
      </c>
      <c r="I300">
        <v>301</v>
      </c>
      <c r="J300">
        <v>0.97</v>
      </c>
      <c r="K300">
        <v>6.29</v>
      </c>
      <c r="L300">
        <v>1.2</v>
      </c>
      <c r="M300">
        <v>3</v>
      </c>
      <c r="N300">
        <v>782</v>
      </c>
    </row>
    <row r="301" spans="1:14" x14ac:dyDescent="0.35">
      <c r="A301">
        <v>2023</v>
      </c>
      <c r="B301">
        <v>5</v>
      </c>
      <c r="C301" t="s">
        <v>36</v>
      </c>
      <c r="D301" t="s">
        <v>34</v>
      </c>
      <c r="E301" t="s">
        <v>19</v>
      </c>
      <c r="F301" t="s">
        <v>23</v>
      </c>
      <c r="G301">
        <v>97712</v>
      </c>
      <c r="H301">
        <v>109164</v>
      </c>
      <c r="I301">
        <v>189</v>
      </c>
      <c r="J301">
        <v>0.97</v>
      </c>
      <c r="K301">
        <v>6.29</v>
      </c>
      <c r="L301">
        <v>1.2</v>
      </c>
      <c r="M301">
        <v>7</v>
      </c>
      <c r="N301">
        <v>432</v>
      </c>
    </row>
    <row r="302" spans="1:14" x14ac:dyDescent="0.35">
      <c r="A302">
        <v>2019</v>
      </c>
      <c r="B302">
        <v>9</v>
      </c>
      <c r="C302" t="s">
        <v>28</v>
      </c>
      <c r="D302" t="s">
        <v>22</v>
      </c>
      <c r="E302" t="s">
        <v>16</v>
      </c>
      <c r="F302" t="s">
        <v>17</v>
      </c>
      <c r="G302">
        <v>56473</v>
      </c>
      <c r="H302">
        <v>497746</v>
      </c>
      <c r="I302">
        <v>190</v>
      </c>
      <c r="J302">
        <v>0.97</v>
      </c>
      <c r="K302">
        <v>6.29</v>
      </c>
      <c r="L302">
        <v>1.2</v>
      </c>
      <c r="M302">
        <v>5</v>
      </c>
      <c r="N302">
        <v>773</v>
      </c>
    </row>
    <row r="303" spans="1:14" x14ac:dyDescent="0.35">
      <c r="A303">
        <v>2022</v>
      </c>
      <c r="B303">
        <v>9</v>
      </c>
      <c r="C303" t="s">
        <v>36</v>
      </c>
      <c r="D303" t="s">
        <v>26</v>
      </c>
      <c r="E303" t="s">
        <v>20</v>
      </c>
      <c r="F303" t="s">
        <v>20</v>
      </c>
      <c r="G303">
        <v>102567</v>
      </c>
      <c r="H303">
        <v>249271</v>
      </c>
      <c r="I303">
        <v>178</v>
      </c>
      <c r="J303">
        <v>0.97</v>
      </c>
      <c r="K303">
        <v>6.29</v>
      </c>
      <c r="L303">
        <v>1.2</v>
      </c>
      <c r="M303">
        <v>2</v>
      </c>
      <c r="N303">
        <v>554</v>
      </c>
    </row>
    <row r="304" spans="1:14" x14ac:dyDescent="0.35">
      <c r="A304">
        <v>2015</v>
      </c>
      <c r="B304">
        <v>8</v>
      </c>
      <c r="C304" t="s">
        <v>35</v>
      </c>
      <c r="D304" t="s">
        <v>26</v>
      </c>
      <c r="E304" t="s">
        <v>20</v>
      </c>
      <c r="F304" t="s">
        <v>23</v>
      </c>
      <c r="G304">
        <v>114823</v>
      </c>
      <c r="H304">
        <v>110282</v>
      </c>
      <c r="I304">
        <v>31</v>
      </c>
      <c r="J304">
        <v>0.97</v>
      </c>
      <c r="K304">
        <v>6.29</v>
      </c>
      <c r="L304">
        <v>1.2</v>
      </c>
      <c r="M304">
        <v>2</v>
      </c>
      <c r="N304">
        <v>398</v>
      </c>
    </row>
    <row r="305" spans="1:14" x14ac:dyDescent="0.35">
      <c r="A305">
        <v>2019</v>
      </c>
      <c r="B305">
        <v>1</v>
      </c>
      <c r="C305" t="s">
        <v>25</v>
      </c>
      <c r="D305" t="s">
        <v>34</v>
      </c>
      <c r="E305" t="s">
        <v>19</v>
      </c>
      <c r="F305" t="s">
        <v>20</v>
      </c>
      <c r="G305">
        <v>67230</v>
      </c>
      <c r="H305">
        <v>359945</v>
      </c>
      <c r="I305">
        <v>75</v>
      </c>
      <c r="J305">
        <v>0.97</v>
      </c>
      <c r="K305">
        <v>6.29</v>
      </c>
      <c r="L305">
        <v>1.2</v>
      </c>
      <c r="M305">
        <v>6</v>
      </c>
      <c r="N305">
        <v>424</v>
      </c>
    </row>
    <row r="306" spans="1:14" x14ac:dyDescent="0.35">
      <c r="A306">
        <v>2017</v>
      </c>
      <c r="B306">
        <v>1</v>
      </c>
      <c r="C306" t="s">
        <v>36</v>
      </c>
      <c r="D306" t="s">
        <v>26</v>
      </c>
      <c r="E306" t="s">
        <v>19</v>
      </c>
      <c r="F306" t="s">
        <v>27</v>
      </c>
      <c r="G306">
        <v>119573</v>
      </c>
      <c r="H306">
        <v>452681</v>
      </c>
      <c r="I306">
        <v>30</v>
      </c>
      <c r="J306">
        <v>0.97</v>
      </c>
      <c r="K306">
        <v>6.29</v>
      </c>
      <c r="L306">
        <v>1.2</v>
      </c>
      <c r="M306">
        <v>8</v>
      </c>
      <c r="N306">
        <v>67</v>
      </c>
    </row>
    <row r="307" spans="1:14" x14ac:dyDescent="0.35">
      <c r="A307">
        <v>2015</v>
      </c>
      <c r="B307">
        <v>9</v>
      </c>
      <c r="C307" t="s">
        <v>25</v>
      </c>
      <c r="D307" t="s">
        <v>29</v>
      </c>
      <c r="E307" t="s">
        <v>20</v>
      </c>
      <c r="F307" t="s">
        <v>17</v>
      </c>
      <c r="G307">
        <v>103876</v>
      </c>
      <c r="H307">
        <v>315470</v>
      </c>
      <c r="I307">
        <v>109</v>
      </c>
      <c r="J307">
        <v>0.97</v>
      </c>
      <c r="K307">
        <v>6.29</v>
      </c>
      <c r="L307">
        <v>1.2</v>
      </c>
      <c r="M307">
        <v>1</v>
      </c>
      <c r="N307">
        <v>540</v>
      </c>
    </row>
    <row r="308" spans="1:14" x14ac:dyDescent="0.35">
      <c r="A308">
        <v>2018</v>
      </c>
      <c r="B308">
        <v>11</v>
      </c>
      <c r="C308" t="s">
        <v>37</v>
      </c>
      <c r="D308" t="s">
        <v>34</v>
      </c>
      <c r="E308" t="s">
        <v>19</v>
      </c>
      <c r="F308" t="s">
        <v>27</v>
      </c>
      <c r="G308">
        <v>75644</v>
      </c>
      <c r="H308">
        <v>446875</v>
      </c>
      <c r="I308">
        <v>393</v>
      </c>
      <c r="J308">
        <v>0.97</v>
      </c>
      <c r="K308">
        <v>6.29</v>
      </c>
      <c r="L308">
        <v>1.2</v>
      </c>
      <c r="M308">
        <v>6</v>
      </c>
      <c r="N308">
        <v>887</v>
      </c>
    </row>
    <row r="309" spans="1:14" x14ac:dyDescent="0.35">
      <c r="A309">
        <v>2019</v>
      </c>
      <c r="B309">
        <v>8</v>
      </c>
      <c r="C309" t="s">
        <v>21</v>
      </c>
      <c r="D309" t="s">
        <v>31</v>
      </c>
      <c r="E309" t="s">
        <v>16</v>
      </c>
      <c r="F309" t="s">
        <v>27</v>
      </c>
      <c r="G309">
        <v>83664</v>
      </c>
      <c r="H309">
        <v>208666</v>
      </c>
      <c r="I309">
        <v>309</v>
      </c>
      <c r="J309">
        <v>0.97</v>
      </c>
      <c r="K309">
        <v>6.29</v>
      </c>
      <c r="L309">
        <v>1.2</v>
      </c>
      <c r="M309">
        <v>2</v>
      </c>
      <c r="N309">
        <v>687</v>
      </c>
    </row>
    <row r="310" spans="1:14" x14ac:dyDescent="0.35">
      <c r="A310">
        <v>2021</v>
      </c>
      <c r="B310">
        <v>10</v>
      </c>
      <c r="C310" t="s">
        <v>28</v>
      </c>
      <c r="D310" t="s">
        <v>18</v>
      </c>
      <c r="E310" t="s">
        <v>19</v>
      </c>
      <c r="F310" t="s">
        <v>17</v>
      </c>
      <c r="G310">
        <v>80203</v>
      </c>
      <c r="H310">
        <v>165819</v>
      </c>
      <c r="I310">
        <v>112</v>
      </c>
      <c r="J310">
        <v>0.97</v>
      </c>
      <c r="K310">
        <v>6.29</v>
      </c>
      <c r="L310">
        <v>1.2</v>
      </c>
      <c r="M310">
        <v>2</v>
      </c>
      <c r="N310">
        <v>514</v>
      </c>
    </row>
    <row r="311" spans="1:14" x14ac:dyDescent="0.35">
      <c r="A311">
        <v>2015</v>
      </c>
      <c r="B311">
        <v>9</v>
      </c>
      <c r="C311" t="s">
        <v>21</v>
      </c>
      <c r="D311" t="s">
        <v>15</v>
      </c>
      <c r="E311" t="s">
        <v>16</v>
      </c>
      <c r="F311" t="s">
        <v>23</v>
      </c>
      <c r="G311">
        <v>101677</v>
      </c>
      <c r="H311">
        <v>316907</v>
      </c>
      <c r="I311">
        <v>56</v>
      </c>
      <c r="J311">
        <v>0.97</v>
      </c>
      <c r="K311">
        <v>6.29</v>
      </c>
      <c r="L311">
        <v>1.2</v>
      </c>
      <c r="M311">
        <v>7</v>
      </c>
      <c r="N311">
        <v>255</v>
      </c>
    </row>
    <row r="312" spans="1:14" x14ac:dyDescent="0.35">
      <c r="A312">
        <v>2017</v>
      </c>
      <c r="B312">
        <v>7</v>
      </c>
      <c r="C312" t="s">
        <v>37</v>
      </c>
      <c r="D312" t="s">
        <v>24</v>
      </c>
      <c r="E312" t="s">
        <v>16</v>
      </c>
      <c r="F312" t="s">
        <v>17</v>
      </c>
      <c r="G312">
        <v>60425</v>
      </c>
      <c r="H312">
        <v>191900</v>
      </c>
      <c r="I312">
        <v>48</v>
      </c>
      <c r="J312">
        <v>0.97</v>
      </c>
      <c r="K312">
        <v>6.29</v>
      </c>
      <c r="L312">
        <v>1.2</v>
      </c>
      <c r="M312">
        <v>10</v>
      </c>
      <c r="N312">
        <v>302</v>
      </c>
    </row>
    <row r="313" spans="1:14" x14ac:dyDescent="0.35">
      <c r="A313">
        <v>2016</v>
      </c>
      <c r="B313">
        <v>3</v>
      </c>
      <c r="C313" t="s">
        <v>28</v>
      </c>
      <c r="D313" t="s">
        <v>39</v>
      </c>
      <c r="E313" t="s">
        <v>16</v>
      </c>
      <c r="F313" t="s">
        <v>27</v>
      </c>
      <c r="G313">
        <v>119817</v>
      </c>
      <c r="H313">
        <v>359732</v>
      </c>
      <c r="I313">
        <v>294</v>
      </c>
      <c r="J313">
        <v>0.97</v>
      </c>
      <c r="K313">
        <v>6.29</v>
      </c>
      <c r="L313">
        <v>1.2</v>
      </c>
      <c r="M313">
        <v>1</v>
      </c>
      <c r="N313">
        <v>730</v>
      </c>
    </row>
    <row r="314" spans="1:14" x14ac:dyDescent="0.35">
      <c r="A314">
        <v>2023</v>
      </c>
      <c r="B314">
        <v>3</v>
      </c>
      <c r="C314" t="s">
        <v>30</v>
      </c>
      <c r="D314" t="s">
        <v>26</v>
      </c>
      <c r="E314" t="s">
        <v>16</v>
      </c>
      <c r="F314" t="s">
        <v>27</v>
      </c>
      <c r="G314">
        <v>104806</v>
      </c>
      <c r="H314">
        <v>323365</v>
      </c>
      <c r="I314">
        <v>319</v>
      </c>
      <c r="J314">
        <v>0.97</v>
      </c>
      <c r="K314">
        <v>6.29</v>
      </c>
      <c r="L314">
        <v>1.2</v>
      </c>
      <c r="M314">
        <v>6</v>
      </c>
      <c r="N314">
        <v>847</v>
      </c>
    </row>
    <row r="315" spans="1:14" x14ac:dyDescent="0.35">
      <c r="A315">
        <v>2024</v>
      </c>
      <c r="B315">
        <v>2</v>
      </c>
      <c r="C315" t="s">
        <v>30</v>
      </c>
      <c r="D315" t="s">
        <v>31</v>
      </c>
      <c r="E315" t="s">
        <v>16</v>
      </c>
      <c r="F315" t="s">
        <v>23</v>
      </c>
      <c r="G315">
        <v>77814</v>
      </c>
      <c r="H315">
        <v>454427</v>
      </c>
      <c r="I315">
        <v>99</v>
      </c>
      <c r="J315">
        <v>0.97</v>
      </c>
      <c r="K315">
        <v>6.29</v>
      </c>
      <c r="L315">
        <v>1.2</v>
      </c>
      <c r="M315">
        <v>7</v>
      </c>
      <c r="N315">
        <v>498</v>
      </c>
    </row>
    <row r="316" spans="1:14" x14ac:dyDescent="0.35">
      <c r="A316">
        <v>2020</v>
      </c>
      <c r="B316">
        <v>5</v>
      </c>
      <c r="C316" t="s">
        <v>25</v>
      </c>
      <c r="D316" t="s">
        <v>33</v>
      </c>
      <c r="E316" t="s">
        <v>19</v>
      </c>
      <c r="F316" t="s">
        <v>17</v>
      </c>
      <c r="G316">
        <v>105219</v>
      </c>
      <c r="H316">
        <v>63569</v>
      </c>
      <c r="I316">
        <v>94</v>
      </c>
      <c r="J316">
        <v>0.97</v>
      </c>
      <c r="K316">
        <v>6.29</v>
      </c>
      <c r="L316">
        <v>1.2</v>
      </c>
      <c r="M316">
        <v>8</v>
      </c>
      <c r="N316">
        <v>176</v>
      </c>
    </row>
    <row r="317" spans="1:14" x14ac:dyDescent="0.35">
      <c r="A317">
        <v>2024</v>
      </c>
      <c r="B317">
        <v>12</v>
      </c>
      <c r="C317" t="s">
        <v>37</v>
      </c>
      <c r="D317" t="s">
        <v>33</v>
      </c>
      <c r="E317" t="s">
        <v>16</v>
      </c>
      <c r="F317" t="s">
        <v>27</v>
      </c>
      <c r="G317">
        <v>84646</v>
      </c>
      <c r="H317">
        <v>277966</v>
      </c>
      <c r="I317">
        <v>282</v>
      </c>
      <c r="J317">
        <v>0.97</v>
      </c>
      <c r="K317">
        <v>6.29</v>
      </c>
      <c r="L317">
        <v>1.2</v>
      </c>
      <c r="M317">
        <v>7</v>
      </c>
      <c r="N317">
        <v>736</v>
      </c>
    </row>
    <row r="318" spans="1:14" x14ac:dyDescent="0.35">
      <c r="A318">
        <v>2017</v>
      </c>
      <c r="B318">
        <v>12</v>
      </c>
      <c r="C318" t="s">
        <v>25</v>
      </c>
      <c r="D318" t="s">
        <v>39</v>
      </c>
      <c r="E318" t="s">
        <v>19</v>
      </c>
      <c r="F318" t="s">
        <v>20</v>
      </c>
      <c r="G318">
        <v>74884</v>
      </c>
      <c r="H318">
        <v>87860</v>
      </c>
      <c r="I318">
        <v>345</v>
      </c>
      <c r="J318">
        <v>0.97</v>
      </c>
      <c r="K318">
        <v>6.29</v>
      </c>
      <c r="L318">
        <v>1.2</v>
      </c>
      <c r="M318">
        <v>6</v>
      </c>
      <c r="N318">
        <v>836</v>
      </c>
    </row>
    <row r="319" spans="1:14" x14ac:dyDescent="0.35">
      <c r="A319">
        <v>2022</v>
      </c>
      <c r="B319">
        <v>3</v>
      </c>
      <c r="C319" t="s">
        <v>32</v>
      </c>
      <c r="D319" t="s">
        <v>15</v>
      </c>
      <c r="E319" t="s">
        <v>16</v>
      </c>
      <c r="F319" t="s">
        <v>27</v>
      </c>
      <c r="G319">
        <v>104322</v>
      </c>
      <c r="H319">
        <v>252630</v>
      </c>
      <c r="I319">
        <v>197</v>
      </c>
      <c r="J319">
        <v>0.97</v>
      </c>
      <c r="K319">
        <v>6.29</v>
      </c>
      <c r="L319">
        <v>1.2</v>
      </c>
      <c r="M319">
        <v>9</v>
      </c>
      <c r="N319">
        <v>609</v>
      </c>
    </row>
    <row r="320" spans="1:14" x14ac:dyDescent="0.35">
      <c r="A320">
        <v>2022</v>
      </c>
      <c r="B320">
        <v>6</v>
      </c>
      <c r="C320" t="s">
        <v>36</v>
      </c>
      <c r="D320" t="s">
        <v>26</v>
      </c>
      <c r="E320" t="s">
        <v>20</v>
      </c>
      <c r="F320" t="s">
        <v>27</v>
      </c>
      <c r="G320">
        <v>56650</v>
      </c>
      <c r="H320">
        <v>357481</v>
      </c>
      <c r="I320">
        <v>168</v>
      </c>
      <c r="J320">
        <v>0.97</v>
      </c>
      <c r="K320">
        <v>6.29</v>
      </c>
      <c r="L320">
        <v>1.2</v>
      </c>
      <c r="M320">
        <v>3</v>
      </c>
      <c r="N320">
        <v>753</v>
      </c>
    </row>
    <row r="321" spans="1:14" x14ac:dyDescent="0.35">
      <c r="A321">
        <v>2016</v>
      </c>
      <c r="B321">
        <v>2</v>
      </c>
      <c r="C321" t="s">
        <v>14</v>
      </c>
      <c r="D321" t="s">
        <v>29</v>
      </c>
      <c r="E321" t="s">
        <v>16</v>
      </c>
      <c r="F321" t="s">
        <v>23</v>
      </c>
      <c r="G321">
        <v>44190</v>
      </c>
      <c r="H321">
        <v>495527</v>
      </c>
      <c r="I321">
        <v>252</v>
      </c>
      <c r="J321">
        <v>0.97</v>
      </c>
      <c r="K321">
        <v>6.29</v>
      </c>
      <c r="L321">
        <v>1.2</v>
      </c>
      <c r="M321">
        <v>6</v>
      </c>
      <c r="N321">
        <v>632</v>
      </c>
    </row>
    <row r="322" spans="1:14" x14ac:dyDescent="0.35">
      <c r="A322">
        <v>2020</v>
      </c>
      <c r="B322">
        <v>12</v>
      </c>
      <c r="C322" t="s">
        <v>32</v>
      </c>
      <c r="D322" t="s">
        <v>39</v>
      </c>
      <c r="E322" t="s">
        <v>20</v>
      </c>
      <c r="F322" t="s">
        <v>20</v>
      </c>
      <c r="G322">
        <v>73196</v>
      </c>
      <c r="H322">
        <v>194587</v>
      </c>
      <c r="I322">
        <v>82</v>
      </c>
      <c r="J322">
        <v>0.97</v>
      </c>
      <c r="K322">
        <v>6.29</v>
      </c>
      <c r="L322">
        <v>1.2</v>
      </c>
      <c r="M322">
        <v>4</v>
      </c>
      <c r="N322">
        <v>531</v>
      </c>
    </row>
    <row r="323" spans="1:14" x14ac:dyDescent="0.35">
      <c r="A323">
        <v>2021</v>
      </c>
      <c r="B323">
        <v>3</v>
      </c>
      <c r="C323" t="s">
        <v>36</v>
      </c>
      <c r="D323" t="s">
        <v>15</v>
      </c>
      <c r="E323" t="s">
        <v>16</v>
      </c>
      <c r="F323" t="s">
        <v>27</v>
      </c>
      <c r="G323">
        <v>74449</v>
      </c>
      <c r="H323">
        <v>121695</v>
      </c>
      <c r="I323">
        <v>58</v>
      </c>
      <c r="J323">
        <v>0.97</v>
      </c>
      <c r="K323">
        <v>6.29</v>
      </c>
      <c r="L323">
        <v>1.2</v>
      </c>
      <c r="M323">
        <v>2</v>
      </c>
      <c r="N323">
        <v>542</v>
      </c>
    </row>
    <row r="324" spans="1:14" x14ac:dyDescent="0.35">
      <c r="A324">
        <v>2016</v>
      </c>
      <c r="B324">
        <v>5</v>
      </c>
      <c r="C324" t="s">
        <v>28</v>
      </c>
      <c r="D324" t="s">
        <v>26</v>
      </c>
      <c r="E324" t="s">
        <v>16</v>
      </c>
      <c r="F324" t="s">
        <v>27</v>
      </c>
      <c r="G324">
        <v>74661</v>
      </c>
      <c r="H324">
        <v>303078</v>
      </c>
      <c r="I324">
        <v>110</v>
      </c>
      <c r="J324">
        <v>0.97</v>
      </c>
      <c r="K324">
        <v>6.29</v>
      </c>
      <c r="L324">
        <v>1.2</v>
      </c>
      <c r="M324">
        <v>1</v>
      </c>
      <c r="N324">
        <v>529</v>
      </c>
    </row>
    <row r="325" spans="1:14" x14ac:dyDescent="0.35">
      <c r="A325">
        <v>2024</v>
      </c>
      <c r="B325">
        <v>12</v>
      </c>
      <c r="C325" t="s">
        <v>25</v>
      </c>
      <c r="D325" t="s">
        <v>31</v>
      </c>
      <c r="E325" t="s">
        <v>16</v>
      </c>
      <c r="F325" t="s">
        <v>20</v>
      </c>
      <c r="G325">
        <v>64709</v>
      </c>
      <c r="H325">
        <v>292599</v>
      </c>
      <c r="I325">
        <v>11</v>
      </c>
      <c r="J325">
        <v>0.97</v>
      </c>
      <c r="K325">
        <v>6.29</v>
      </c>
      <c r="L325">
        <v>1.2</v>
      </c>
      <c r="M325">
        <v>1</v>
      </c>
      <c r="N325">
        <v>130</v>
      </c>
    </row>
    <row r="326" spans="1:14" x14ac:dyDescent="0.35">
      <c r="A326">
        <v>2016</v>
      </c>
      <c r="B326">
        <v>11</v>
      </c>
      <c r="C326" t="s">
        <v>28</v>
      </c>
      <c r="D326" t="s">
        <v>18</v>
      </c>
      <c r="E326" t="s">
        <v>20</v>
      </c>
      <c r="F326" t="s">
        <v>17</v>
      </c>
      <c r="G326">
        <v>115428</v>
      </c>
      <c r="H326">
        <v>418893</v>
      </c>
      <c r="I326">
        <v>253</v>
      </c>
      <c r="J326">
        <v>0.97</v>
      </c>
      <c r="K326">
        <v>6.29</v>
      </c>
      <c r="L326">
        <v>1.2</v>
      </c>
      <c r="M326">
        <v>10</v>
      </c>
      <c r="N326">
        <v>533</v>
      </c>
    </row>
    <row r="327" spans="1:14" x14ac:dyDescent="0.35">
      <c r="A327">
        <v>2024</v>
      </c>
      <c r="B327">
        <v>11</v>
      </c>
      <c r="C327" t="s">
        <v>28</v>
      </c>
      <c r="D327" t="s">
        <v>29</v>
      </c>
      <c r="E327" t="s">
        <v>20</v>
      </c>
      <c r="F327" t="s">
        <v>17</v>
      </c>
      <c r="G327">
        <v>110179</v>
      </c>
      <c r="H327">
        <v>205976</v>
      </c>
      <c r="I327">
        <v>185</v>
      </c>
      <c r="J327">
        <v>0.97</v>
      </c>
      <c r="K327">
        <v>6.29</v>
      </c>
      <c r="L327">
        <v>1.2</v>
      </c>
      <c r="M327">
        <v>3</v>
      </c>
      <c r="N327">
        <v>430</v>
      </c>
    </row>
    <row r="328" spans="1:14" x14ac:dyDescent="0.35">
      <c r="A328">
        <v>2015</v>
      </c>
      <c r="B328">
        <v>1</v>
      </c>
      <c r="C328" t="s">
        <v>36</v>
      </c>
      <c r="D328" t="s">
        <v>24</v>
      </c>
      <c r="E328" t="s">
        <v>16</v>
      </c>
      <c r="F328" t="s">
        <v>27</v>
      </c>
      <c r="G328">
        <v>44943</v>
      </c>
      <c r="H328">
        <v>241007</v>
      </c>
      <c r="I328">
        <v>247</v>
      </c>
      <c r="J328">
        <v>0.97</v>
      </c>
      <c r="K328">
        <v>6.29</v>
      </c>
      <c r="L328">
        <v>1.2</v>
      </c>
      <c r="M328">
        <v>4</v>
      </c>
      <c r="N328">
        <v>647</v>
      </c>
    </row>
    <row r="329" spans="1:14" x14ac:dyDescent="0.35">
      <c r="A329">
        <v>2022</v>
      </c>
      <c r="B329">
        <v>1</v>
      </c>
      <c r="C329" t="s">
        <v>37</v>
      </c>
      <c r="D329" t="s">
        <v>33</v>
      </c>
      <c r="E329" t="s">
        <v>19</v>
      </c>
      <c r="F329" t="s">
        <v>27</v>
      </c>
      <c r="G329">
        <v>78240</v>
      </c>
      <c r="H329">
        <v>355934</v>
      </c>
      <c r="I329">
        <v>68</v>
      </c>
      <c r="J329">
        <v>0.97</v>
      </c>
      <c r="K329">
        <v>6.29</v>
      </c>
      <c r="L329">
        <v>1.2</v>
      </c>
      <c r="M329">
        <v>2</v>
      </c>
      <c r="N329">
        <v>520</v>
      </c>
    </row>
    <row r="330" spans="1:14" x14ac:dyDescent="0.35">
      <c r="A330">
        <v>2015</v>
      </c>
      <c r="B330">
        <v>10</v>
      </c>
      <c r="C330" t="s">
        <v>36</v>
      </c>
      <c r="D330" t="s">
        <v>22</v>
      </c>
      <c r="E330" t="s">
        <v>16</v>
      </c>
      <c r="F330" t="s">
        <v>17</v>
      </c>
      <c r="G330">
        <v>80760</v>
      </c>
      <c r="H330">
        <v>380724</v>
      </c>
      <c r="I330">
        <v>362</v>
      </c>
      <c r="J330">
        <v>0.97</v>
      </c>
      <c r="K330">
        <v>6.29</v>
      </c>
      <c r="L330">
        <v>1.2</v>
      </c>
      <c r="M330">
        <v>1</v>
      </c>
      <c r="N330">
        <v>961</v>
      </c>
    </row>
    <row r="331" spans="1:14" x14ac:dyDescent="0.35">
      <c r="A331">
        <v>2023</v>
      </c>
      <c r="B331">
        <v>9</v>
      </c>
      <c r="C331" t="s">
        <v>38</v>
      </c>
      <c r="D331" t="s">
        <v>31</v>
      </c>
      <c r="E331" t="s">
        <v>20</v>
      </c>
      <c r="F331" t="s">
        <v>23</v>
      </c>
      <c r="G331">
        <v>56042</v>
      </c>
      <c r="H331">
        <v>55636</v>
      </c>
      <c r="I331">
        <v>108</v>
      </c>
      <c r="J331">
        <v>0.97</v>
      </c>
      <c r="K331">
        <v>6.29</v>
      </c>
      <c r="L331">
        <v>1.2</v>
      </c>
      <c r="M331">
        <v>4</v>
      </c>
      <c r="N331">
        <v>552</v>
      </c>
    </row>
    <row r="332" spans="1:14" x14ac:dyDescent="0.35">
      <c r="A332">
        <v>2020</v>
      </c>
      <c r="B332">
        <v>7</v>
      </c>
      <c r="C332" t="s">
        <v>30</v>
      </c>
      <c r="D332" t="s">
        <v>33</v>
      </c>
      <c r="E332" t="s">
        <v>16</v>
      </c>
      <c r="F332" t="s">
        <v>20</v>
      </c>
      <c r="G332">
        <v>78894</v>
      </c>
      <c r="H332">
        <v>311578</v>
      </c>
      <c r="I332">
        <v>368</v>
      </c>
      <c r="J332">
        <v>0.97</v>
      </c>
      <c r="K332">
        <v>6.29</v>
      </c>
      <c r="L332">
        <v>1.2</v>
      </c>
      <c r="M332">
        <v>7</v>
      </c>
      <c r="N332">
        <v>1150</v>
      </c>
    </row>
    <row r="333" spans="1:14" x14ac:dyDescent="0.35">
      <c r="A333">
        <v>2021</v>
      </c>
      <c r="B333">
        <v>1</v>
      </c>
      <c r="C333" t="s">
        <v>30</v>
      </c>
      <c r="D333" t="s">
        <v>34</v>
      </c>
      <c r="E333" t="s">
        <v>20</v>
      </c>
      <c r="F333" t="s">
        <v>20</v>
      </c>
      <c r="G333">
        <v>41869</v>
      </c>
      <c r="H333">
        <v>389273</v>
      </c>
      <c r="I333">
        <v>11</v>
      </c>
      <c r="J333">
        <v>0.97</v>
      </c>
      <c r="K333">
        <v>6.29</v>
      </c>
      <c r="L333">
        <v>1.2</v>
      </c>
      <c r="M333">
        <v>10</v>
      </c>
      <c r="N333">
        <v>361</v>
      </c>
    </row>
    <row r="334" spans="1:14" x14ac:dyDescent="0.35">
      <c r="A334">
        <v>2024</v>
      </c>
      <c r="B334">
        <v>12</v>
      </c>
      <c r="C334" t="s">
        <v>32</v>
      </c>
      <c r="D334" t="s">
        <v>22</v>
      </c>
      <c r="E334" t="s">
        <v>20</v>
      </c>
      <c r="F334" t="s">
        <v>23</v>
      </c>
      <c r="G334">
        <v>96078</v>
      </c>
      <c r="H334">
        <v>446108</v>
      </c>
      <c r="I334">
        <v>252</v>
      </c>
      <c r="J334">
        <v>0.97</v>
      </c>
      <c r="K334">
        <v>6.29</v>
      </c>
      <c r="L334">
        <v>1.2</v>
      </c>
      <c r="M334">
        <v>6</v>
      </c>
      <c r="N334">
        <v>630</v>
      </c>
    </row>
    <row r="335" spans="1:14" x14ac:dyDescent="0.35">
      <c r="A335">
        <v>2021</v>
      </c>
      <c r="B335">
        <v>8</v>
      </c>
      <c r="C335" t="s">
        <v>30</v>
      </c>
      <c r="D335" t="s">
        <v>33</v>
      </c>
      <c r="E335" t="s">
        <v>20</v>
      </c>
      <c r="F335" t="s">
        <v>23</v>
      </c>
      <c r="G335">
        <v>91759</v>
      </c>
      <c r="H335">
        <v>333816</v>
      </c>
      <c r="I335">
        <v>306</v>
      </c>
      <c r="J335">
        <v>0.97</v>
      </c>
      <c r="K335">
        <v>6.29</v>
      </c>
      <c r="L335">
        <v>1.2</v>
      </c>
      <c r="M335">
        <v>6</v>
      </c>
      <c r="N335">
        <v>876</v>
      </c>
    </row>
    <row r="336" spans="1:14" x14ac:dyDescent="0.35">
      <c r="A336">
        <v>2024</v>
      </c>
      <c r="B336">
        <v>3</v>
      </c>
      <c r="C336" t="s">
        <v>36</v>
      </c>
      <c r="D336" t="s">
        <v>15</v>
      </c>
      <c r="E336" t="s">
        <v>16</v>
      </c>
      <c r="F336" t="s">
        <v>23</v>
      </c>
      <c r="G336">
        <v>79306</v>
      </c>
      <c r="H336">
        <v>317956</v>
      </c>
      <c r="I336">
        <v>220</v>
      </c>
      <c r="J336">
        <v>0.97</v>
      </c>
      <c r="K336">
        <v>6.29</v>
      </c>
      <c r="L336">
        <v>1.2</v>
      </c>
      <c r="M336">
        <v>9</v>
      </c>
      <c r="N336">
        <v>525</v>
      </c>
    </row>
    <row r="337" spans="1:14" x14ac:dyDescent="0.35">
      <c r="A337">
        <v>2017</v>
      </c>
      <c r="B337">
        <v>8</v>
      </c>
      <c r="C337" t="s">
        <v>35</v>
      </c>
      <c r="D337" t="s">
        <v>29</v>
      </c>
      <c r="E337" t="s">
        <v>20</v>
      </c>
      <c r="F337" t="s">
        <v>23</v>
      </c>
      <c r="G337">
        <v>90371</v>
      </c>
      <c r="H337">
        <v>277693</v>
      </c>
      <c r="I337">
        <v>132</v>
      </c>
      <c r="J337">
        <v>0.97</v>
      </c>
      <c r="K337">
        <v>6.29</v>
      </c>
      <c r="L337">
        <v>1.2</v>
      </c>
      <c r="M337">
        <v>2</v>
      </c>
      <c r="N337">
        <v>718</v>
      </c>
    </row>
    <row r="338" spans="1:14" x14ac:dyDescent="0.35">
      <c r="A338">
        <v>2016</v>
      </c>
      <c r="B338">
        <v>5</v>
      </c>
      <c r="C338" t="s">
        <v>25</v>
      </c>
      <c r="D338" t="s">
        <v>33</v>
      </c>
      <c r="E338" t="s">
        <v>20</v>
      </c>
      <c r="F338" t="s">
        <v>23</v>
      </c>
      <c r="G338">
        <v>55918</v>
      </c>
      <c r="H338">
        <v>50654</v>
      </c>
      <c r="I338">
        <v>238</v>
      </c>
      <c r="J338">
        <v>0.97</v>
      </c>
      <c r="K338">
        <v>6.29</v>
      </c>
      <c r="L338">
        <v>1.2</v>
      </c>
      <c r="M338">
        <v>4</v>
      </c>
      <c r="N338">
        <v>680</v>
      </c>
    </row>
    <row r="339" spans="1:14" x14ac:dyDescent="0.35">
      <c r="A339">
        <v>2023</v>
      </c>
      <c r="B339">
        <v>1</v>
      </c>
      <c r="C339" t="s">
        <v>36</v>
      </c>
      <c r="D339" t="s">
        <v>24</v>
      </c>
      <c r="E339" t="s">
        <v>16</v>
      </c>
      <c r="F339" t="s">
        <v>23</v>
      </c>
      <c r="G339">
        <v>63379</v>
      </c>
      <c r="H339">
        <v>104633</v>
      </c>
      <c r="I339">
        <v>91</v>
      </c>
      <c r="J339">
        <v>0.97</v>
      </c>
      <c r="K339">
        <v>6.29</v>
      </c>
      <c r="L339">
        <v>1.2</v>
      </c>
      <c r="M339">
        <v>5</v>
      </c>
      <c r="N339">
        <v>466</v>
      </c>
    </row>
    <row r="340" spans="1:14" x14ac:dyDescent="0.35">
      <c r="A340">
        <v>2022</v>
      </c>
      <c r="B340">
        <v>7</v>
      </c>
      <c r="C340" t="s">
        <v>36</v>
      </c>
      <c r="D340" t="s">
        <v>18</v>
      </c>
      <c r="E340" t="s">
        <v>20</v>
      </c>
      <c r="F340" t="s">
        <v>20</v>
      </c>
      <c r="G340">
        <v>118232</v>
      </c>
      <c r="H340">
        <v>67143</v>
      </c>
      <c r="I340">
        <v>153</v>
      </c>
      <c r="J340">
        <v>0.97</v>
      </c>
      <c r="K340">
        <v>6.29</v>
      </c>
      <c r="L340">
        <v>1.2</v>
      </c>
      <c r="M340">
        <v>1</v>
      </c>
      <c r="N340">
        <v>497</v>
      </c>
    </row>
    <row r="341" spans="1:14" x14ac:dyDescent="0.35">
      <c r="A341">
        <v>2024</v>
      </c>
      <c r="B341">
        <v>5</v>
      </c>
      <c r="C341" t="s">
        <v>14</v>
      </c>
      <c r="D341" t="s">
        <v>15</v>
      </c>
      <c r="E341" t="s">
        <v>16</v>
      </c>
      <c r="F341" t="s">
        <v>23</v>
      </c>
      <c r="G341">
        <v>37962</v>
      </c>
      <c r="H341">
        <v>105934</v>
      </c>
      <c r="I341">
        <v>397</v>
      </c>
      <c r="J341">
        <v>0.97</v>
      </c>
      <c r="K341">
        <v>6.29</v>
      </c>
      <c r="L341">
        <v>1.2</v>
      </c>
      <c r="M341">
        <v>8</v>
      </c>
      <c r="N341">
        <v>893</v>
      </c>
    </row>
    <row r="342" spans="1:14" x14ac:dyDescent="0.35">
      <c r="A342">
        <v>2021</v>
      </c>
      <c r="B342">
        <v>6</v>
      </c>
      <c r="C342" t="s">
        <v>25</v>
      </c>
      <c r="D342" t="s">
        <v>31</v>
      </c>
      <c r="E342" t="s">
        <v>20</v>
      </c>
      <c r="F342" t="s">
        <v>17</v>
      </c>
      <c r="G342">
        <v>48851</v>
      </c>
      <c r="H342">
        <v>379478</v>
      </c>
      <c r="I342">
        <v>149</v>
      </c>
      <c r="J342">
        <v>0.97</v>
      </c>
      <c r="K342">
        <v>6.29</v>
      </c>
      <c r="L342">
        <v>1.2</v>
      </c>
      <c r="M342">
        <v>8</v>
      </c>
      <c r="N342">
        <v>347</v>
      </c>
    </row>
    <row r="343" spans="1:14" x14ac:dyDescent="0.35">
      <c r="A343">
        <v>2023</v>
      </c>
      <c r="B343">
        <v>6</v>
      </c>
      <c r="C343" t="s">
        <v>38</v>
      </c>
      <c r="D343" t="s">
        <v>31</v>
      </c>
      <c r="E343" t="s">
        <v>19</v>
      </c>
      <c r="F343" t="s">
        <v>23</v>
      </c>
      <c r="G343">
        <v>80747</v>
      </c>
      <c r="H343">
        <v>153463</v>
      </c>
      <c r="I343">
        <v>38</v>
      </c>
      <c r="J343">
        <v>0.97</v>
      </c>
      <c r="K343">
        <v>6.29</v>
      </c>
      <c r="L343">
        <v>1.2</v>
      </c>
      <c r="M343">
        <v>6</v>
      </c>
      <c r="N343">
        <v>158</v>
      </c>
    </row>
    <row r="344" spans="1:14" x14ac:dyDescent="0.35">
      <c r="A344">
        <v>2018</v>
      </c>
      <c r="B344">
        <v>8</v>
      </c>
      <c r="C344" t="s">
        <v>30</v>
      </c>
      <c r="D344" t="s">
        <v>31</v>
      </c>
      <c r="E344" t="s">
        <v>19</v>
      </c>
      <c r="F344" t="s">
        <v>23</v>
      </c>
      <c r="G344">
        <v>87349</v>
      </c>
      <c r="H344">
        <v>175851</v>
      </c>
      <c r="I344">
        <v>279</v>
      </c>
      <c r="J344">
        <v>0.97</v>
      </c>
      <c r="K344">
        <v>6.29</v>
      </c>
      <c r="L344">
        <v>1.2</v>
      </c>
      <c r="M344">
        <v>5</v>
      </c>
      <c r="N344">
        <v>701</v>
      </c>
    </row>
    <row r="345" spans="1:14" x14ac:dyDescent="0.35">
      <c r="A345">
        <v>2018</v>
      </c>
      <c r="B345">
        <v>9</v>
      </c>
      <c r="C345" t="s">
        <v>25</v>
      </c>
      <c r="D345" t="s">
        <v>31</v>
      </c>
      <c r="E345" t="s">
        <v>20</v>
      </c>
      <c r="F345" t="s">
        <v>20</v>
      </c>
      <c r="G345">
        <v>105832</v>
      </c>
      <c r="H345">
        <v>79087</v>
      </c>
      <c r="I345">
        <v>256</v>
      </c>
      <c r="J345">
        <v>0.97</v>
      </c>
      <c r="K345">
        <v>6.29</v>
      </c>
      <c r="L345">
        <v>1.2</v>
      </c>
      <c r="M345">
        <v>8</v>
      </c>
      <c r="N345">
        <v>657</v>
      </c>
    </row>
    <row r="346" spans="1:14" x14ac:dyDescent="0.35">
      <c r="A346">
        <v>2015</v>
      </c>
      <c r="B346">
        <v>2</v>
      </c>
      <c r="C346" t="s">
        <v>30</v>
      </c>
      <c r="D346" t="s">
        <v>18</v>
      </c>
      <c r="E346" t="s">
        <v>19</v>
      </c>
      <c r="F346" t="s">
        <v>20</v>
      </c>
      <c r="G346">
        <v>91356</v>
      </c>
      <c r="H346">
        <v>192690</v>
      </c>
      <c r="I346">
        <v>21</v>
      </c>
      <c r="J346">
        <v>0.97</v>
      </c>
      <c r="K346">
        <v>6.29</v>
      </c>
      <c r="L346">
        <v>1.2</v>
      </c>
      <c r="M346">
        <v>3</v>
      </c>
      <c r="N346">
        <v>306</v>
      </c>
    </row>
    <row r="347" spans="1:14" x14ac:dyDescent="0.35">
      <c r="A347">
        <v>2022</v>
      </c>
      <c r="B347">
        <v>9</v>
      </c>
      <c r="C347" t="s">
        <v>32</v>
      </c>
      <c r="D347" t="s">
        <v>33</v>
      </c>
      <c r="E347" t="s">
        <v>16</v>
      </c>
      <c r="F347" t="s">
        <v>23</v>
      </c>
      <c r="G347">
        <v>49745</v>
      </c>
      <c r="H347">
        <v>320590</v>
      </c>
      <c r="I347">
        <v>364</v>
      </c>
      <c r="J347">
        <v>0.97</v>
      </c>
      <c r="K347">
        <v>6.29</v>
      </c>
      <c r="L347">
        <v>1.2</v>
      </c>
      <c r="M347">
        <v>3</v>
      </c>
      <c r="N347">
        <v>958</v>
      </c>
    </row>
    <row r="348" spans="1:14" x14ac:dyDescent="0.35">
      <c r="A348">
        <v>2017</v>
      </c>
      <c r="B348">
        <v>12</v>
      </c>
      <c r="C348" t="s">
        <v>25</v>
      </c>
      <c r="D348" t="s">
        <v>26</v>
      </c>
      <c r="E348" t="s">
        <v>19</v>
      </c>
      <c r="F348" t="s">
        <v>20</v>
      </c>
      <c r="G348">
        <v>40730</v>
      </c>
      <c r="H348">
        <v>414271</v>
      </c>
      <c r="I348">
        <v>398</v>
      </c>
      <c r="J348">
        <v>0.97</v>
      </c>
      <c r="K348">
        <v>6.29</v>
      </c>
      <c r="L348">
        <v>1.2</v>
      </c>
      <c r="M348">
        <v>2</v>
      </c>
      <c r="N348">
        <v>1096</v>
      </c>
    </row>
    <row r="349" spans="1:14" x14ac:dyDescent="0.35">
      <c r="A349">
        <v>2021</v>
      </c>
      <c r="B349">
        <v>11</v>
      </c>
      <c r="C349" t="s">
        <v>30</v>
      </c>
      <c r="D349" t="s">
        <v>33</v>
      </c>
      <c r="E349" t="s">
        <v>20</v>
      </c>
      <c r="F349" t="s">
        <v>27</v>
      </c>
      <c r="G349">
        <v>48921</v>
      </c>
      <c r="H349">
        <v>361011</v>
      </c>
      <c r="I349">
        <v>346</v>
      </c>
      <c r="J349">
        <v>0.97</v>
      </c>
      <c r="K349">
        <v>6.29</v>
      </c>
      <c r="L349">
        <v>1.2</v>
      </c>
      <c r="M349">
        <v>5</v>
      </c>
      <c r="N349">
        <v>1086</v>
      </c>
    </row>
    <row r="350" spans="1:14" x14ac:dyDescent="0.35">
      <c r="A350">
        <v>2016</v>
      </c>
      <c r="B350">
        <v>10</v>
      </c>
      <c r="C350" t="s">
        <v>38</v>
      </c>
      <c r="D350" t="s">
        <v>34</v>
      </c>
      <c r="E350" t="s">
        <v>20</v>
      </c>
      <c r="F350" t="s">
        <v>20</v>
      </c>
      <c r="G350">
        <v>106138</v>
      </c>
      <c r="H350">
        <v>494244</v>
      </c>
      <c r="I350">
        <v>115</v>
      </c>
      <c r="J350">
        <v>0.97</v>
      </c>
      <c r="K350">
        <v>6.29</v>
      </c>
      <c r="L350">
        <v>1.2</v>
      </c>
      <c r="M350">
        <v>3</v>
      </c>
      <c r="N350">
        <v>647</v>
      </c>
    </row>
    <row r="351" spans="1:14" x14ac:dyDescent="0.35">
      <c r="A351">
        <v>2016</v>
      </c>
      <c r="B351">
        <v>9</v>
      </c>
      <c r="C351" t="s">
        <v>21</v>
      </c>
      <c r="D351" t="s">
        <v>29</v>
      </c>
      <c r="E351" t="s">
        <v>16</v>
      </c>
      <c r="F351" t="s">
        <v>20</v>
      </c>
      <c r="G351">
        <v>118111</v>
      </c>
      <c r="H351">
        <v>372245</v>
      </c>
      <c r="I351">
        <v>41</v>
      </c>
      <c r="J351">
        <v>0.97</v>
      </c>
      <c r="K351">
        <v>6.29</v>
      </c>
      <c r="L351">
        <v>1.2</v>
      </c>
      <c r="M351">
        <v>3</v>
      </c>
      <c r="N351">
        <v>290</v>
      </c>
    </row>
    <row r="352" spans="1:14" x14ac:dyDescent="0.35">
      <c r="A352">
        <v>2021</v>
      </c>
      <c r="B352">
        <v>10</v>
      </c>
      <c r="C352" t="s">
        <v>28</v>
      </c>
      <c r="D352" t="s">
        <v>22</v>
      </c>
      <c r="E352" t="s">
        <v>20</v>
      </c>
      <c r="F352" t="s">
        <v>20</v>
      </c>
      <c r="G352">
        <v>54023</v>
      </c>
      <c r="H352">
        <v>208272</v>
      </c>
      <c r="I352">
        <v>83</v>
      </c>
      <c r="J352">
        <v>0.97</v>
      </c>
      <c r="K352">
        <v>6.29</v>
      </c>
      <c r="L352">
        <v>1.2</v>
      </c>
      <c r="M352">
        <v>6</v>
      </c>
      <c r="N352">
        <v>475</v>
      </c>
    </row>
    <row r="353" spans="1:14" x14ac:dyDescent="0.35">
      <c r="A353">
        <v>2020</v>
      </c>
      <c r="B353">
        <v>10</v>
      </c>
      <c r="C353" t="s">
        <v>28</v>
      </c>
      <c r="D353" t="s">
        <v>26</v>
      </c>
      <c r="E353" t="s">
        <v>16</v>
      </c>
      <c r="F353" t="s">
        <v>20</v>
      </c>
      <c r="G353">
        <v>80349</v>
      </c>
      <c r="H353">
        <v>276179</v>
      </c>
      <c r="I353">
        <v>180</v>
      </c>
      <c r="J353">
        <v>0.97</v>
      </c>
      <c r="K353">
        <v>6.29</v>
      </c>
      <c r="L353">
        <v>1.2</v>
      </c>
      <c r="M353">
        <v>8</v>
      </c>
      <c r="N353">
        <v>521</v>
      </c>
    </row>
    <row r="354" spans="1:14" x14ac:dyDescent="0.35">
      <c r="A354">
        <v>2017</v>
      </c>
      <c r="B354">
        <v>7</v>
      </c>
      <c r="C354" t="s">
        <v>38</v>
      </c>
      <c r="D354" t="s">
        <v>26</v>
      </c>
      <c r="E354" t="s">
        <v>19</v>
      </c>
      <c r="F354" t="s">
        <v>17</v>
      </c>
      <c r="G354">
        <v>116533</v>
      </c>
      <c r="H354">
        <v>400218</v>
      </c>
      <c r="I354">
        <v>346</v>
      </c>
      <c r="J354">
        <v>0.97</v>
      </c>
      <c r="K354">
        <v>6.29</v>
      </c>
      <c r="L354">
        <v>1.2</v>
      </c>
      <c r="M354">
        <v>2</v>
      </c>
      <c r="N354">
        <v>1019</v>
      </c>
    </row>
    <row r="355" spans="1:14" x14ac:dyDescent="0.35">
      <c r="A355">
        <v>2023</v>
      </c>
      <c r="B355">
        <v>1</v>
      </c>
      <c r="C355" t="s">
        <v>14</v>
      </c>
      <c r="D355" t="s">
        <v>33</v>
      </c>
      <c r="E355" t="s">
        <v>19</v>
      </c>
      <c r="F355" t="s">
        <v>17</v>
      </c>
      <c r="G355">
        <v>118286</v>
      </c>
      <c r="H355">
        <v>242537</v>
      </c>
      <c r="I355">
        <v>78</v>
      </c>
      <c r="J355">
        <v>0.97</v>
      </c>
      <c r="K355">
        <v>6.29</v>
      </c>
      <c r="L355">
        <v>1.2</v>
      </c>
      <c r="M355">
        <v>4</v>
      </c>
      <c r="N355">
        <v>421</v>
      </c>
    </row>
    <row r="356" spans="1:14" x14ac:dyDescent="0.35">
      <c r="A356">
        <v>2024</v>
      </c>
      <c r="B356">
        <v>7</v>
      </c>
      <c r="C356" t="s">
        <v>21</v>
      </c>
      <c r="D356" t="s">
        <v>26</v>
      </c>
      <c r="E356" t="s">
        <v>16</v>
      </c>
      <c r="F356" t="s">
        <v>17</v>
      </c>
      <c r="G356">
        <v>76979</v>
      </c>
      <c r="H356">
        <v>267508</v>
      </c>
      <c r="I356">
        <v>310</v>
      </c>
      <c r="J356">
        <v>0.97</v>
      </c>
      <c r="K356">
        <v>6.29</v>
      </c>
      <c r="L356">
        <v>1.2</v>
      </c>
      <c r="M356">
        <v>7</v>
      </c>
      <c r="N356">
        <v>630</v>
      </c>
    </row>
    <row r="357" spans="1:14" x14ac:dyDescent="0.35">
      <c r="A357">
        <v>2020</v>
      </c>
      <c r="B357">
        <v>10</v>
      </c>
      <c r="C357" t="s">
        <v>32</v>
      </c>
      <c r="D357" t="s">
        <v>39</v>
      </c>
      <c r="E357" t="s">
        <v>16</v>
      </c>
      <c r="F357" t="s">
        <v>23</v>
      </c>
      <c r="G357">
        <v>57837</v>
      </c>
      <c r="H357">
        <v>168422</v>
      </c>
      <c r="I357">
        <v>371</v>
      </c>
      <c r="J357">
        <v>0.97</v>
      </c>
      <c r="K357">
        <v>6.29</v>
      </c>
      <c r="L357">
        <v>1.2</v>
      </c>
      <c r="M357">
        <v>1</v>
      </c>
      <c r="N357">
        <v>811</v>
      </c>
    </row>
    <row r="358" spans="1:14" x14ac:dyDescent="0.35">
      <c r="A358">
        <v>2024</v>
      </c>
      <c r="B358">
        <v>5</v>
      </c>
      <c r="C358" t="s">
        <v>38</v>
      </c>
      <c r="D358" t="s">
        <v>39</v>
      </c>
      <c r="E358" t="s">
        <v>20</v>
      </c>
      <c r="F358" t="s">
        <v>23</v>
      </c>
      <c r="G358">
        <v>49997</v>
      </c>
      <c r="H358">
        <v>400036</v>
      </c>
      <c r="I358">
        <v>146</v>
      </c>
      <c r="J358">
        <v>0.97</v>
      </c>
      <c r="K358">
        <v>6.29</v>
      </c>
      <c r="L358">
        <v>1.2</v>
      </c>
      <c r="M358">
        <v>1</v>
      </c>
      <c r="N358">
        <v>465</v>
      </c>
    </row>
    <row r="359" spans="1:14" x14ac:dyDescent="0.35">
      <c r="A359">
        <v>2024</v>
      </c>
      <c r="B359">
        <v>6</v>
      </c>
      <c r="C359" t="s">
        <v>28</v>
      </c>
      <c r="D359" t="s">
        <v>34</v>
      </c>
      <c r="E359" t="s">
        <v>19</v>
      </c>
      <c r="F359" t="s">
        <v>27</v>
      </c>
      <c r="G359">
        <v>80039</v>
      </c>
      <c r="H359">
        <v>269631</v>
      </c>
      <c r="I359">
        <v>109</v>
      </c>
      <c r="J359">
        <v>0.97</v>
      </c>
      <c r="K359">
        <v>6.29</v>
      </c>
      <c r="L359">
        <v>1.2</v>
      </c>
      <c r="M359">
        <v>10</v>
      </c>
      <c r="N359">
        <v>542</v>
      </c>
    </row>
    <row r="360" spans="1:14" x14ac:dyDescent="0.35">
      <c r="A360">
        <v>2020</v>
      </c>
      <c r="B360">
        <v>10</v>
      </c>
      <c r="C360" t="s">
        <v>28</v>
      </c>
      <c r="D360" t="s">
        <v>22</v>
      </c>
      <c r="E360" t="s">
        <v>16</v>
      </c>
      <c r="F360" t="s">
        <v>17</v>
      </c>
      <c r="G360">
        <v>55923</v>
      </c>
      <c r="H360">
        <v>432188</v>
      </c>
      <c r="I360">
        <v>155</v>
      </c>
      <c r="J360">
        <v>0.97</v>
      </c>
      <c r="K360">
        <v>6.29</v>
      </c>
      <c r="L360">
        <v>1.2</v>
      </c>
      <c r="M360">
        <v>7</v>
      </c>
      <c r="N360">
        <v>395</v>
      </c>
    </row>
    <row r="361" spans="1:14" x14ac:dyDescent="0.35">
      <c r="A361">
        <v>2015</v>
      </c>
      <c r="B361">
        <v>7</v>
      </c>
      <c r="C361" t="s">
        <v>28</v>
      </c>
      <c r="D361" t="s">
        <v>24</v>
      </c>
      <c r="E361" t="s">
        <v>19</v>
      </c>
      <c r="F361" t="s">
        <v>23</v>
      </c>
      <c r="G361">
        <v>43876</v>
      </c>
      <c r="H361">
        <v>89148</v>
      </c>
      <c r="I361">
        <v>18</v>
      </c>
      <c r="J361">
        <v>0.97</v>
      </c>
      <c r="K361">
        <v>6.29</v>
      </c>
      <c r="L361">
        <v>1.2</v>
      </c>
      <c r="M361">
        <v>7</v>
      </c>
      <c r="N361">
        <v>467</v>
      </c>
    </row>
    <row r="362" spans="1:14" x14ac:dyDescent="0.35">
      <c r="A362">
        <v>2018</v>
      </c>
      <c r="B362">
        <v>5</v>
      </c>
      <c r="C362" t="s">
        <v>37</v>
      </c>
      <c r="D362" t="s">
        <v>18</v>
      </c>
      <c r="E362" t="s">
        <v>16</v>
      </c>
      <c r="F362" t="s">
        <v>20</v>
      </c>
      <c r="G362">
        <v>95973</v>
      </c>
      <c r="H362">
        <v>395072</v>
      </c>
      <c r="I362">
        <v>71</v>
      </c>
      <c r="J362">
        <v>0.97</v>
      </c>
      <c r="K362">
        <v>6.29</v>
      </c>
      <c r="L362">
        <v>1.2</v>
      </c>
      <c r="M362">
        <v>1</v>
      </c>
      <c r="N362">
        <v>536</v>
      </c>
    </row>
    <row r="363" spans="1:14" x14ac:dyDescent="0.35">
      <c r="A363">
        <v>2024</v>
      </c>
      <c r="B363">
        <v>7</v>
      </c>
      <c r="C363" t="s">
        <v>38</v>
      </c>
      <c r="D363" t="s">
        <v>33</v>
      </c>
      <c r="E363" t="s">
        <v>19</v>
      </c>
      <c r="F363" t="s">
        <v>20</v>
      </c>
      <c r="G363">
        <v>37887</v>
      </c>
      <c r="H363">
        <v>201770</v>
      </c>
      <c r="I363">
        <v>194</v>
      </c>
      <c r="J363">
        <v>0.97</v>
      </c>
      <c r="K363">
        <v>6.29</v>
      </c>
      <c r="L363">
        <v>1.2</v>
      </c>
      <c r="M363">
        <v>1</v>
      </c>
      <c r="N363">
        <v>571</v>
      </c>
    </row>
    <row r="364" spans="1:14" x14ac:dyDescent="0.35">
      <c r="A364">
        <v>2020</v>
      </c>
      <c r="B364">
        <v>9</v>
      </c>
      <c r="C364" t="s">
        <v>36</v>
      </c>
      <c r="D364" t="s">
        <v>18</v>
      </c>
      <c r="E364" t="s">
        <v>20</v>
      </c>
      <c r="F364" t="s">
        <v>17</v>
      </c>
      <c r="G364">
        <v>98723</v>
      </c>
      <c r="H364">
        <v>485686</v>
      </c>
      <c r="I364">
        <v>38</v>
      </c>
      <c r="J364">
        <v>0.97</v>
      </c>
      <c r="K364">
        <v>6.29</v>
      </c>
      <c r="L364">
        <v>1.2</v>
      </c>
      <c r="M364">
        <v>4</v>
      </c>
      <c r="N364">
        <v>206</v>
      </c>
    </row>
    <row r="365" spans="1:14" x14ac:dyDescent="0.35">
      <c r="A365">
        <v>2020</v>
      </c>
      <c r="B365">
        <v>3</v>
      </c>
      <c r="C365" t="s">
        <v>32</v>
      </c>
      <c r="D365" t="s">
        <v>24</v>
      </c>
      <c r="E365" t="s">
        <v>19</v>
      </c>
      <c r="F365" t="s">
        <v>27</v>
      </c>
      <c r="G365">
        <v>77422</v>
      </c>
      <c r="H365">
        <v>363804</v>
      </c>
      <c r="I365">
        <v>390</v>
      </c>
      <c r="J365">
        <v>0.97</v>
      </c>
      <c r="K365">
        <v>6.29</v>
      </c>
      <c r="L365">
        <v>1.2</v>
      </c>
      <c r="M365">
        <v>5</v>
      </c>
      <c r="N365">
        <v>1135</v>
      </c>
    </row>
    <row r="366" spans="1:14" x14ac:dyDescent="0.35">
      <c r="A366">
        <v>2019</v>
      </c>
      <c r="B366">
        <v>8</v>
      </c>
      <c r="C366" t="s">
        <v>28</v>
      </c>
      <c r="D366" t="s">
        <v>33</v>
      </c>
      <c r="E366" t="s">
        <v>19</v>
      </c>
      <c r="F366" t="s">
        <v>27</v>
      </c>
      <c r="G366">
        <v>86413</v>
      </c>
      <c r="H366">
        <v>497126</v>
      </c>
      <c r="I366">
        <v>123</v>
      </c>
      <c r="J366">
        <v>0.97</v>
      </c>
      <c r="K366">
        <v>6.29</v>
      </c>
      <c r="L366">
        <v>1.2</v>
      </c>
      <c r="M366">
        <v>5</v>
      </c>
      <c r="N366">
        <v>453</v>
      </c>
    </row>
    <row r="367" spans="1:14" x14ac:dyDescent="0.35">
      <c r="A367">
        <v>2015</v>
      </c>
      <c r="B367">
        <v>2</v>
      </c>
      <c r="C367" t="s">
        <v>30</v>
      </c>
      <c r="D367" t="s">
        <v>33</v>
      </c>
      <c r="E367" t="s">
        <v>19</v>
      </c>
      <c r="F367" t="s">
        <v>20</v>
      </c>
      <c r="G367">
        <v>37841</v>
      </c>
      <c r="H367">
        <v>347594</v>
      </c>
      <c r="I367">
        <v>152</v>
      </c>
      <c r="J367">
        <v>0.97</v>
      </c>
      <c r="K367">
        <v>6.29</v>
      </c>
      <c r="L367">
        <v>1.2</v>
      </c>
      <c r="M367">
        <v>4</v>
      </c>
      <c r="N367">
        <v>517</v>
      </c>
    </row>
    <row r="368" spans="1:14" x14ac:dyDescent="0.35">
      <c r="A368">
        <v>2022</v>
      </c>
      <c r="B368">
        <v>11</v>
      </c>
      <c r="C368" t="s">
        <v>38</v>
      </c>
      <c r="D368" t="s">
        <v>22</v>
      </c>
      <c r="E368" t="s">
        <v>19</v>
      </c>
      <c r="F368" t="s">
        <v>27</v>
      </c>
      <c r="G368">
        <v>63756</v>
      </c>
      <c r="H368">
        <v>237535</v>
      </c>
      <c r="I368">
        <v>399</v>
      </c>
      <c r="J368">
        <v>0.97</v>
      </c>
      <c r="K368">
        <v>6.29</v>
      </c>
      <c r="L368">
        <v>1.2</v>
      </c>
      <c r="M368">
        <v>8</v>
      </c>
      <c r="N368">
        <v>1137</v>
      </c>
    </row>
    <row r="369" spans="1:14" x14ac:dyDescent="0.35">
      <c r="A369">
        <v>2019</v>
      </c>
      <c r="B369">
        <v>7</v>
      </c>
      <c r="C369" t="s">
        <v>37</v>
      </c>
      <c r="D369" t="s">
        <v>18</v>
      </c>
      <c r="E369" t="s">
        <v>19</v>
      </c>
      <c r="F369" t="s">
        <v>17</v>
      </c>
      <c r="G369">
        <v>106576</v>
      </c>
      <c r="H369">
        <v>345901</v>
      </c>
      <c r="I369">
        <v>129</v>
      </c>
      <c r="J369">
        <v>0.97</v>
      </c>
      <c r="K369">
        <v>6.29</v>
      </c>
      <c r="L369">
        <v>1.2</v>
      </c>
      <c r="M369">
        <v>7</v>
      </c>
      <c r="N369">
        <v>539</v>
      </c>
    </row>
    <row r="370" spans="1:14" x14ac:dyDescent="0.35">
      <c r="A370">
        <v>2019</v>
      </c>
      <c r="B370">
        <v>2</v>
      </c>
      <c r="C370" t="s">
        <v>38</v>
      </c>
      <c r="D370" t="s">
        <v>39</v>
      </c>
      <c r="E370" t="s">
        <v>20</v>
      </c>
      <c r="F370" t="s">
        <v>20</v>
      </c>
      <c r="G370">
        <v>45304</v>
      </c>
      <c r="H370">
        <v>128012</v>
      </c>
      <c r="I370">
        <v>179</v>
      </c>
      <c r="J370">
        <v>0.97</v>
      </c>
      <c r="K370">
        <v>6.29</v>
      </c>
      <c r="L370">
        <v>1.2</v>
      </c>
      <c r="M370">
        <v>9</v>
      </c>
      <c r="N370">
        <v>613</v>
      </c>
    </row>
    <row r="371" spans="1:14" x14ac:dyDescent="0.35">
      <c r="A371">
        <v>2021</v>
      </c>
      <c r="B371">
        <v>4</v>
      </c>
      <c r="C371" t="s">
        <v>32</v>
      </c>
      <c r="D371" t="s">
        <v>31</v>
      </c>
      <c r="E371" t="s">
        <v>16</v>
      </c>
      <c r="F371" t="s">
        <v>23</v>
      </c>
      <c r="G371">
        <v>65341</v>
      </c>
      <c r="H371">
        <v>418894</v>
      </c>
      <c r="I371">
        <v>166</v>
      </c>
      <c r="J371">
        <v>0.97</v>
      </c>
      <c r="K371">
        <v>6.29</v>
      </c>
      <c r="L371">
        <v>1.2</v>
      </c>
      <c r="M371">
        <v>7</v>
      </c>
      <c r="N371">
        <v>730</v>
      </c>
    </row>
    <row r="372" spans="1:14" x14ac:dyDescent="0.35">
      <c r="A372">
        <v>2018</v>
      </c>
      <c r="B372">
        <v>7</v>
      </c>
      <c r="C372" t="s">
        <v>37</v>
      </c>
      <c r="D372" t="s">
        <v>18</v>
      </c>
      <c r="E372" t="s">
        <v>19</v>
      </c>
      <c r="F372" t="s">
        <v>23</v>
      </c>
      <c r="G372">
        <v>39758</v>
      </c>
      <c r="H372">
        <v>439187</v>
      </c>
      <c r="I372">
        <v>344</v>
      </c>
      <c r="J372">
        <v>0.97</v>
      </c>
      <c r="K372">
        <v>6.29</v>
      </c>
      <c r="L372">
        <v>1.2</v>
      </c>
      <c r="M372">
        <v>10</v>
      </c>
      <c r="N372">
        <v>934</v>
      </c>
    </row>
    <row r="373" spans="1:14" x14ac:dyDescent="0.35">
      <c r="A373">
        <v>2020</v>
      </c>
      <c r="B373">
        <v>3</v>
      </c>
      <c r="C373" t="s">
        <v>32</v>
      </c>
      <c r="D373" t="s">
        <v>29</v>
      </c>
      <c r="E373" t="s">
        <v>20</v>
      </c>
      <c r="F373" t="s">
        <v>27</v>
      </c>
      <c r="G373">
        <v>52010</v>
      </c>
      <c r="H373">
        <v>474606</v>
      </c>
      <c r="I373">
        <v>358</v>
      </c>
      <c r="J373">
        <v>0.97</v>
      </c>
      <c r="K373">
        <v>6.29</v>
      </c>
      <c r="L373">
        <v>1.2</v>
      </c>
      <c r="M373">
        <v>1</v>
      </c>
      <c r="N373">
        <v>980</v>
      </c>
    </row>
    <row r="374" spans="1:14" x14ac:dyDescent="0.35">
      <c r="A374">
        <v>2018</v>
      </c>
      <c r="B374">
        <v>2</v>
      </c>
      <c r="C374" t="s">
        <v>38</v>
      </c>
      <c r="D374" t="s">
        <v>29</v>
      </c>
      <c r="E374" t="s">
        <v>19</v>
      </c>
      <c r="F374" t="s">
        <v>20</v>
      </c>
      <c r="G374">
        <v>95758</v>
      </c>
      <c r="H374">
        <v>106116</v>
      </c>
      <c r="I374">
        <v>269</v>
      </c>
      <c r="J374">
        <v>0.97</v>
      </c>
      <c r="K374">
        <v>6.29</v>
      </c>
      <c r="L374">
        <v>1.2</v>
      </c>
      <c r="M374">
        <v>7</v>
      </c>
      <c r="N374">
        <v>725</v>
      </c>
    </row>
    <row r="375" spans="1:14" x14ac:dyDescent="0.35">
      <c r="A375">
        <v>2017</v>
      </c>
      <c r="B375">
        <v>11</v>
      </c>
      <c r="C375" t="s">
        <v>36</v>
      </c>
      <c r="D375" t="s">
        <v>33</v>
      </c>
      <c r="E375" t="s">
        <v>19</v>
      </c>
      <c r="F375" t="s">
        <v>20</v>
      </c>
      <c r="G375">
        <v>66658</v>
      </c>
      <c r="H375">
        <v>194233</v>
      </c>
      <c r="I375">
        <v>91</v>
      </c>
      <c r="J375">
        <v>0.97</v>
      </c>
      <c r="K375">
        <v>6.29</v>
      </c>
      <c r="L375">
        <v>1.2</v>
      </c>
      <c r="M375">
        <v>1</v>
      </c>
      <c r="N375">
        <v>499</v>
      </c>
    </row>
    <row r="376" spans="1:14" x14ac:dyDescent="0.35">
      <c r="A376">
        <v>2021</v>
      </c>
      <c r="B376">
        <v>10</v>
      </c>
      <c r="C376" t="s">
        <v>32</v>
      </c>
      <c r="D376" t="s">
        <v>31</v>
      </c>
      <c r="E376" t="s">
        <v>16</v>
      </c>
      <c r="F376" t="s">
        <v>23</v>
      </c>
      <c r="G376">
        <v>84002</v>
      </c>
      <c r="H376">
        <v>82152</v>
      </c>
      <c r="I376">
        <v>251</v>
      </c>
      <c r="J376">
        <v>0.97</v>
      </c>
      <c r="K376">
        <v>6.29</v>
      </c>
      <c r="L376">
        <v>1.2</v>
      </c>
      <c r="M376">
        <v>7</v>
      </c>
      <c r="N376">
        <v>662</v>
      </c>
    </row>
    <row r="377" spans="1:14" x14ac:dyDescent="0.35">
      <c r="A377">
        <v>2022</v>
      </c>
      <c r="B377">
        <v>7</v>
      </c>
      <c r="C377" t="s">
        <v>37</v>
      </c>
      <c r="D377" t="s">
        <v>15</v>
      </c>
      <c r="E377" t="s">
        <v>19</v>
      </c>
      <c r="F377" t="s">
        <v>20</v>
      </c>
      <c r="G377">
        <v>36375</v>
      </c>
      <c r="H377">
        <v>156379</v>
      </c>
      <c r="I377">
        <v>181</v>
      </c>
      <c r="J377">
        <v>0.97</v>
      </c>
      <c r="K377">
        <v>6.29</v>
      </c>
      <c r="L377">
        <v>1.2</v>
      </c>
      <c r="M377">
        <v>10</v>
      </c>
      <c r="N377">
        <v>608</v>
      </c>
    </row>
    <row r="378" spans="1:14" x14ac:dyDescent="0.35">
      <c r="A378">
        <v>2018</v>
      </c>
      <c r="B378">
        <v>1</v>
      </c>
      <c r="C378" t="s">
        <v>37</v>
      </c>
      <c r="D378" t="s">
        <v>24</v>
      </c>
      <c r="E378" t="s">
        <v>20</v>
      </c>
      <c r="F378" t="s">
        <v>20</v>
      </c>
      <c r="G378">
        <v>57092</v>
      </c>
      <c r="H378">
        <v>276905</v>
      </c>
      <c r="I378">
        <v>240</v>
      </c>
      <c r="J378">
        <v>0.97</v>
      </c>
      <c r="K378">
        <v>6.29</v>
      </c>
      <c r="L378">
        <v>1.2</v>
      </c>
      <c r="M378">
        <v>8</v>
      </c>
      <c r="N378">
        <v>719</v>
      </c>
    </row>
    <row r="379" spans="1:14" x14ac:dyDescent="0.35">
      <c r="A379">
        <v>2016</v>
      </c>
      <c r="B379">
        <v>8</v>
      </c>
      <c r="C379" t="s">
        <v>32</v>
      </c>
      <c r="D379" t="s">
        <v>34</v>
      </c>
      <c r="E379" t="s">
        <v>20</v>
      </c>
      <c r="F379" t="s">
        <v>20</v>
      </c>
      <c r="G379">
        <v>35490</v>
      </c>
      <c r="H379">
        <v>70836</v>
      </c>
      <c r="I379">
        <v>217</v>
      </c>
      <c r="J379">
        <v>0.97</v>
      </c>
      <c r="K379">
        <v>6.29</v>
      </c>
      <c r="L379">
        <v>1.2</v>
      </c>
      <c r="M379">
        <v>9</v>
      </c>
      <c r="N379">
        <v>450</v>
      </c>
    </row>
    <row r="380" spans="1:14" x14ac:dyDescent="0.35">
      <c r="A380">
        <v>2024</v>
      </c>
      <c r="B380">
        <v>3</v>
      </c>
      <c r="C380" t="s">
        <v>35</v>
      </c>
      <c r="D380" t="s">
        <v>31</v>
      </c>
      <c r="E380" t="s">
        <v>16</v>
      </c>
      <c r="F380" t="s">
        <v>27</v>
      </c>
      <c r="G380">
        <v>38729</v>
      </c>
      <c r="H380">
        <v>271439</v>
      </c>
      <c r="I380">
        <v>84</v>
      </c>
      <c r="J380">
        <v>0.97</v>
      </c>
      <c r="K380">
        <v>6.29</v>
      </c>
      <c r="L380">
        <v>1.2</v>
      </c>
      <c r="M380">
        <v>3</v>
      </c>
      <c r="N380">
        <v>257</v>
      </c>
    </row>
    <row r="381" spans="1:14" x14ac:dyDescent="0.35">
      <c r="A381">
        <v>2017</v>
      </c>
      <c r="B381">
        <v>12</v>
      </c>
      <c r="C381" t="s">
        <v>38</v>
      </c>
      <c r="D381" t="s">
        <v>34</v>
      </c>
      <c r="E381" t="s">
        <v>19</v>
      </c>
      <c r="F381" t="s">
        <v>20</v>
      </c>
      <c r="G381">
        <v>40974</v>
      </c>
      <c r="H381">
        <v>236720</v>
      </c>
      <c r="I381">
        <v>279</v>
      </c>
      <c r="J381">
        <v>0.97</v>
      </c>
      <c r="K381">
        <v>6.29</v>
      </c>
      <c r="L381">
        <v>1.2</v>
      </c>
      <c r="M381">
        <v>4</v>
      </c>
      <c r="N381">
        <v>699</v>
      </c>
    </row>
    <row r="382" spans="1:14" x14ac:dyDescent="0.35">
      <c r="A382">
        <v>2015</v>
      </c>
      <c r="B382">
        <v>12</v>
      </c>
      <c r="C382" t="s">
        <v>35</v>
      </c>
      <c r="D382" t="s">
        <v>18</v>
      </c>
      <c r="E382" t="s">
        <v>20</v>
      </c>
      <c r="F382" t="s">
        <v>17</v>
      </c>
      <c r="G382">
        <v>118860</v>
      </c>
      <c r="H382">
        <v>207403</v>
      </c>
      <c r="I382">
        <v>396</v>
      </c>
      <c r="J382">
        <v>0.97</v>
      </c>
      <c r="K382">
        <v>6.29</v>
      </c>
      <c r="L382">
        <v>1.2</v>
      </c>
      <c r="M382">
        <v>4</v>
      </c>
      <c r="N382">
        <v>1078</v>
      </c>
    </row>
    <row r="383" spans="1:14" x14ac:dyDescent="0.35">
      <c r="A383">
        <v>2022</v>
      </c>
      <c r="B383">
        <v>2</v>
      </c>
      <c r="C383" t="s">
        <v>14</v>
      </c>
      <c r="D383" t="s">
        <v>18</v>
      </c>
      <c r="E383" t="s">
        <v>19</v>
      </c>
      <c r="F383" t="s">
        <v>27</v>
      </c>
      <c r="G383">
        <v>56398</v>
      </c>
      <c r="H383">
        <v>191835</v>
      </c>
      <c r="I383">
        <v>123</v>
      </c>
      <c r="J383">
        <v>0.97</v>
      </c>
      <c r="K383">
        <v>6.29</v>
      </c>
      <c r="L383">
        <v>1.2</v>
      </c>
      <c r="M383">
        <v>9</v>
      </c>
      <c r="N383">
        <v>246</v>
      </c>
    </row>
    <row r="384" spans="1:14" x14ac:dyDescent="0.35">
      <c r="A384">
        <v>2017</v>
      </c>
      <c r="B384">
        <v>3</v>
      </c>
      <c r="C384" t="s">
        <v>38</v>
      </c>
      <c r="D384" t="s">
        <v>34</v>
      </c>
      <c r="E384" t="s">
        <v>19</v>
      </c>
      <c r="F384" t="s">
        <v>20</v>
      </c>
      <c r="G384">
        <v>69650</v>
      </c>
      <c r="H384">
        <v>381588</v>
      </c>
      <c r="I384">
        <v>71</v>
      </c>
      <c r="J384">
        <v>0.97</v>
      </c>
      <c r="K384">
        <v>6.29</v>
      </c>
      <c r="L384">
        <v>1.2</v>
      </c>
      <c r="M384">
        <v>7</v>
      </c>
      <c r="N384">
        <v>197</v>
      </c>
    </row>
    <row r="385" spans="1:14" x14ac:dyDescent="0.35">
      <c r="A385">
        <v>2024</v>
      </c>
      <c r="B385">
        <v>5</v>
      </c>
      <c r="C385" t="s">
        <v>32</v>
      </c>
      <c r="D385" t="s">
        <v>24</v>
      </c>
      <c r="E385" t="s">
        <v>19</v>
      </c>
      <c r="F385" t="s">
        <v>20</v>
      </c>
      <c r="G385">
        <v>56292</v>
      </c>
      <c r="H385">
        <v>143109</v>
      </c>
      <c r="I385">
        <v>371</v>
      </c>
      <c r="J385">
        <v>0.97</v>
      </c>
      <c r="K385">
        <v>6.29</v>
      </c>
      <c r="L385">
        <v>1.2</v>
      </c>
      <c r="M385">
        <v>3</v>
      </c>
      <c r="N385">
        <v>931</v>
      </c>
    </row>
    <row r="386" spans="1:14" x14ac:dyDescent="0.35">
      <c r="A386">
        <v>2021</v>
      </c>
      <c r="B386">
        <v>11</v>
      </c>
      <c r="C386" t="s">
        <v>21</v>
      </c>
      <c r="D386" t="s">
        <v>31</v>
      </c>
      <c r="E386" t="s">
        <v>16</v>
      </c>
      <c r="F386" t="s">
        <v>17</v>
      </c>
      <c r="G386">
        <v>38159</v>
      </c>
      <c r="H386">
        <v>200259</v>
      </c>
      <c r="I386">
        <v>329</v>
      </c>
      <c r="J386">
        <v>0.97</v>
      </c>
      <c r="K386">
        <v>6.29</v>
      </c>
      <c r="L386">
        <v>1.2</v>
      </c>
      <c r="M386">
        <v>10</v>
      </c>
      <c r="N386">
        <v>1013</v>
      </c>
    </row>
    <row r="387" spans="1:14" x14ac:dyDescent="0.35">
      <c r="A387">
        <v>2024</v>
      </c>
      <c r="B387">
        <v>8</v>
      </c>
      <c r="C387" t="s">
        <v>32</v>
      </c>
      <c r="D387" t="s">
        <v>15</v>
      </c>
      <c r="E387" t="s">
        <v>19</v>
      </c>
      <c r="F387" t="s">
        <v>27</v>
      </c>
      <c r="G387">
        <v>97766</v>
      </c>
      <c r="H387">
        <v>193029</v>
      </c>
      <c r="I387">
        <v>111</v>
      </c>
      <c r="J387">
        <v>0.97</v>
      </c>
      <c r="K387">
        <v>6.29</v>
      </c>
      <c r="L387">
        <v>1.2</v>
      </c>
      <c r="M387">
        <v>5</v>
      </c>
      <c r="N387">
        <v>499</v>
      </c>
    </row>
    <row r="388" spans="1:14" x14ac:dyDescent="0.35">
      <c r="A388">
        <v>2019</v>
      </c>
      <c r="B388">
        <v>10</v>
      </c>
      <c r="C388" t="s">
        <v>35</v>
      </c>
      <c r="D388" t="s">
        <v>33</v>
      </c>
      <c r="E388" t="s">
        <v>20</v>
      </c>
      <c r="F388" t="s">
        <v>23</v>
      </c>
      <c r="G388">
        <v>52065</v>
      </c>
      <c r="H388">
        <v>447595</v>
      </c>
      <c r="I388">
        <v>371</v>
      </c>
      <c r="J388">
        <v>0.97</v>
      </c>
      <c r="K388">
        <v>6.29</v>
      </c>
      <c r="L388">
        <v>1.2</v>
      </c>
      <c r="M388">
        <v>7</v>
      </c>
      <c r="N388">
        <v>977</v>
      </c>
    </row>
    <row r="389" spans="1:14" x14ac:dyDescent="0.35">
      <c r="A389">
        <v>2024</v>
      </c>
      <c r="B389">
        <v>7</v>
      </c>
      <c r="C389" t="s">
        <v>36</v>
      </c>
      <c r="D389" t="s">
        <v>22</v>
      </c>
      <c r="E389" t="s">
        <v>19</v>
      </c>
      <c r="F389" t="s">
        <v>23</v>
      </c>
      <c r="G389">
        <v>56638</v>
      </c>
      <c r="H389">
        <v>471175</v>
      </c>
      <c r="I389">
        <v>219</v>
      </c>
      <c r="J389">
        <v>0.97</v>
      </c>
      <c r="K389">
        <v>6.29</v>
      </c>
      <c r="L389">
        <v>1.2</v>
      </c>
      <c r="M389">
        <v>8</v>
      </c>
      <c r="N389">
        <v>790</v>
      </c>
    </row>
    <row r="390" spans="1:14" x14ac:dyDescent="0.35">
      <c r="A390">
        <v>2019</v>
      </c>
      <c r="B390">
        <v>7</v>
      </c>
      <c r="C390" t="s">
        <v>32</v>
      </c>
      <c r="D390" t="s">
        <v>18</v>
      </c>
      <c r="E390" t="s">
        <v>20</v>
      </c>
      <c r="F390" t="s">
        <v>27</v>
      </c>
      <c r="G390">
        <v>36073</v>
      </c>
      <c r="H390">
        <v>132018</v>
      </c>
      <c r="I390">
        <v>264</v>
      </c>
      <c r="J390">
        <v>0.97</v>
      </c>
      <c r="K390">
        <v>6.29</v>
      </c>
      <c r="L390">
        <v>1.2</v>
      </c>
      <c r="M390">
        <v>1</v>
      </c>
      <c r="N390">
        <v>880</v>
      </c>
    </row>
    <row r="391" spans="1:14" x14ac:dyDescent="0.35">
      <c r="A391">
        <v>2021</v>
      </c>
      <c r="B391">
        <v>12</v>
      </c>
      <c r="C391" t="s">
        <v>32</v>
      </c>
      <c r="D391" t="s">
        <v>29</v>
      </c>
      <c r="E391" t="s">
        <v>19</v>
      </c>
      <c r="F391" t="s">
        <v>20</v>
      </c>
      <c r="G391">
        <v>81511</v>
      </c>
      <c r="H391">
        <v>173076</v>
      </c>
      <c r="I391">
        <v>29</v>
      </c>
      <c r="J391">
        <v>0.97</v>
      </c>
      <c r="K391">
        <v>6.29</v>
      </c>
      <c r="L391">
        <v>1.2</v>
      </c>
      <c r="M391">
        <v>2</v>
      </c>
      <c r="N391">
        <v>346</v>
      </c>
    </row>
    <row r="392" spans="1:14" x14ac:dyDescent="0.35">
      <c r="A392">
        <v>2023</v>
      </c>
      <c r="B392">
        <v>7</v>
      </c>
      <c r="C392" t="s">
        <v>36</v>
      </c>
      <c r="D392" t="s">
        <v>24</v>
      </c>
      <c r="E392" t="s">
        <v>20</v>
      </c>
      <c r="F392" t="s">
        <v>20</v>
      </c>
      <c r="G392">
        <v>119307</v>
      </c>
      <c r="H392">
        <v>208177</v>
      </c>
      <c r="I392">
        <v>67</v>
      </c>
      <c r="J392">
        <v>0.97</v>
      </c>
      <c r="K392">
        <v>6.29</v>
      </c>
      <c r="L392">
        <v>1.2</v>
      </c>
      <c r="M392">
        <v>7</v>
      </c>
      <c r="N392">
        <v>353</v>
      </c>
    </row>
    <row r="393" spans="1:14" x14ac:dyDescent="0.35">
      <c r="A393">
        <v>2019</v>
      </c>
      <c r="B393">
        <v>8</v>
      </c>
      <c r="C393" t="s">
        <v>32</v>
      </c>
      <c r="D393" t="s">
        <v>22</v>
      </c>
      <c r="E393" t="s">
        <v>20</v>
      </c>
      <c r="F393" t="s">
        <v>23</v>
      </c>
      <c r="G393">
        <v>64320</v>
      </c>
      <c r="H393">
        <v>444093</v>
      </c>
      <c r="I393">
        <v>121</v>
      </c>
      <c r="J393">
        <v>0.97</v>
      </c>
      <c r="K393">
        <v>6.29</v>
      </c>
      <c r="L393">
        <v>1.2</v>
      </c>
      <c r="M393">
        <v>2</v>
      </c>
      <c r="N393">
        <v>620</v>
      </c>
    </row>
    <row r="394" spans="1:14" x14ac:dyDescent="0.35">
      <c r="A394">
        <v>2015</v>
      </c>
      <c r="B394">
        <v>1</v>
      </c>
      <c r="C394" t="s">
        <v>28</v>
      </c>
      <c r="D394" t="s">
        <v>15</v>
      </c>
      <c r="E394" t="s">
        <v>19</v>
      </c>
      <c r="F394" t="s">
        <v>23</v>
      </c>
      <c r="G394">
        <v>104876</v>
      </c>
      <c r="H394">
        <v>229425</v>
      </c>
      <c r="I394">
        <v>322</v>
      </c>
      <c r="J394">
        <v>0.97</v>
      </c>
      <c r="K394">
        <v>6.29</v>
      </c>
      <c r="L394">
        <v>1.2</v>
      </c>
      <c r="M394">
        <v>7</v>
      </c>
      <c r="N394">
        <v>675</v>
      </c>
    </row>
    <row r="395" spans="1:14" x14ac:dyDescent="0.35">
      <c r="A395">
        <v>2024</v>
      </c>
      <c r="B395">
        <v>4</v>
      </c>
      <c r="C395" t="s">
        <v>21</v>
      </c>
      <c r="D395" t="s">
        <v>26</v>
      </c>
      <c r="E395" t="s">
        <v>19</v>
      </c>
      <c r="F395" t="s">
        <v>23</v>
      </c>
      <c r="G395">
        <v>69924</v>
      </c>
      <c r="H395">
        <v>395932</v>
      </c>
      <c r="I395">
        <v>205</v>
      </c>
      <c r="J395">
        <v>0.97</v>
      </c>
      <c r="K395">
        <v>6.29</v>
      </c>
      <c r="L395">
        <v>1.2</v>
      </c>
      <c r="M395">
        <v>9</v>
      </c>
      <c r="N395">
        <v>667</v>
      </c>
    </row>
    <row r="396" spans="1:14" x14ac:dyDescent="0.35">
      <c r="A396">
        <v>2024</v>
      </c>
      <c r="B396">
        <v>6</v>
      </c>
      <c r="C396" t="s">
        <v>30</v>
      </c>
      <c r="D396" t="s">
        <v>33</v>
      </c>
      <c r="E396" t="s">
        <v>20</v>
      </c>
      <c r="F396" t="s">
        <v>17</v>
      </c>
      <c r="G396">
        <v>116720</v>
      </c>
      <c r="H396">
        <v>409014</v>
      </c>
      <c r="I396">
        <v>384</v>
      </c>
      <c r="J396">
        <v>0.97</v>
      </c>
      <c r="K396">
        <v>6.29</v>
      </c>
      <c r="L396">
        <v>1.2</v>
      </c>
      <c r="M396">
        <v>2</v>
      </c>
      <c r="N396">
        <v>868</v>
      </c>
    </row>
    <row r="397" spans="1:14" x14ac:dyDescent="0.35">
      <c r="A397">
        <v>2015</v>
      </c>
      <c r="B397">
        <v>9</v>
      </c>
      <c r="C397" t="s">
        <v>21</v>
      </c>
      <c r="D397" t="s">
        <v>18</v>
      </c>
      <c r="E397" t="s">
        <v>16</v>
      </c>
      <c r="F397" t="s">
        <v>23</v>
      </c>
      <c r="G397">
        <v>75734</v>
      </c>
      <c r="H397">
        <v>265657</v>
      </c>
      <c r="I397">
        <v>362</v>
      </c>
      <c r="J397">
        <v>0.97</v>
      </c>
      <c r="K397">
        <v>6.29</v>
      </c>
      <c r="L397">
        <v>1.2</v>
      </c>
      <c r="M397">
        <v>7</v>
      </c>
      <c r="N397">
        <v>836</v>
      </c>
    </row>
    <row r="398" spans="1:14" x14ac:dyDescent="0.35">
      <c r="A398">
        <v>2016</v>
      </c>
      <c r="B398">
        <v>2</v>
      </c>
      <c r="C398" t="s">
        <v>32</v>
      </c>
      <c r="D398" t="s">
        <v>33</v>
      </c>
      <c r="E398" t="s">
        <v>19</v>
      </c>
      <c r="F398" t="s">
        <v>17</v>
      </c>
      <c r="G398">
        <v>103116</v>
      </c>
      <c r="H398">
        <v>395452</v>
      </c>
      <c r="I398">
        <v>101</v>
      </c>
      <c r="J398">
        <v>0.97</v>
      </c>
      <c r="K398">
        <v>6.29</v>
      </c>
      <c r="L398">
        <v>1.2</v>
      </c>
      <c r="M398">
        <v>4</v>
      </c>
      <c r="N398">
        <v>231</v>
      </c>
    </row>
    <row r="399" spans="1:14" x14ac:dyDescent="0.35">
      <c r="A399">
        <v>2020</v>
      </c>
      <c r="B399">
        <v>1</v>
      </c>
      <c r="C399" t="s">
        <v>28</v>
      </c>
      <c r="D399" t="s">
        <v>22</v>
      </c>
      <c r="E399" t="s">
        <v>16</v>
      </c>
      <c r="F399" t="s">
        <v>27</v>
      </c>
      <c r="G399">
        <v>75025</v>
      </c>
      <c r="H399">
        <v>494783</v>
      </c>
      <c r="I399">
        <v>61</v>
      </c>
      <c r="J399">
        <v>0.97</v>
      </c>
      <c r="K399">
        <v>6.29</v>
      </c>
      <c r="L399">
        <v>1.2</v>
      </c>
      <c r="M399">
        <v>2</v>
      </c>
      <c r="N399">
        <v>567</v>
      </c>
    </row>
    <row r="400" spans="1:14" x14ac:dyDescent="0.35">
      <c r="A400">
        <v>2023</v>
      </c>
      <c r="B400">
        <v>10</v>
      </c>
      <c r="C400" t="s">
        <v>38</v>
      </c>
      <c r="D400" t="s">
        <v>33</v>
      </c>
      <c r="E400" t="s">
        <v>19</v>
      </c>
      <c r="F400" t="s">
        <v>20</v>
      </c>
      <c r="G400">
        <v>37159</v>
      </c>
      <c r="H400">
        <v>370057</v>
      </c>
      <c r="I400">
        <v>302</v>
      </c>
      <c r="J400">
        <v>0.97</v>
      </c>
      <c r="K400">
        <v>6.29</v>
      </c>
      <c r="L400">
        <v>1.2</v>
      </c>
      <c r="M400">
        <v>7</v>
      </c>
      <c r="N400">
        <v>1016</v>
      </c>
    </row>
    <row r="401" spans="1:14" x14ac:dyDescent="0.35">
      <c r="A401">
        <v>2022</v>
      </c>
      <c r="B401">
        <v>12</v>
      </c>
      <c r="C401" t="s">
        <v>32</v>
      </c>
      <c r="D401" t="s">
        <v>26</v>
      </c>
      <c r="E401" t="s">
        <v>19</v>
      </c>
      <c r="F401" t="s">
        <v>23</v>
      </c>
      <c r="G401">
        <v>83940</v>
      </c>
      <c r="H401">
        <v>52637</v>
      </c>
      <c r="I401">
        <v>17</v>
      </c>
      <c r="J401">
        <v>0.97</v>
      </c>
      <c r="K401">
        <v>6.29</v>
      </c>
      <c r="L401">
        <v>1.2</v>
      </c>
      <c r="M401">
        <v>5</v>
      </c>
      <c r="N401">
        <v>386</v>
      </c>
    </row>
    <row r="402" spans="1:14" x14ac:dyDescent="0.35">
      <c r="A402">
        <v>2019</v>
      </c>
      <c r="B402">
        <v>2</v>
      </c>
      <c r="C402" t="s">
        <v>35</v>
      </c>
      <c r="D402" t="s">
        <v>22</v>
      </c>
      <c r="E402" t="s">
        <v>19</v>
      </c>
      <c r="F402" t="s">
        <v>20</v>
      </c>
      <c r="G402">
        <v>114436</v>
      </c>
      <c r="H402">
        <v>354169</v>
      </c>
      <c r="I402">
        <v>309</v>
      </c>
      <c r="J402">
        <v>0.97</v>
      </c>
      <c r="K402">
        <v>6.29</v>
      </c>
      <c r="L402">
        <v>1.2</v>
      </c>
      <c r="M402">
        <v>1</v>
      </c>
      <c r="N402">
        <v>730</v>
      </c>
    </row>
    <row r="403" spans="1:14" x14ac:dyDescent="0.35">
      <c r="A403">
        <v>2015</v>
      </c>
      <c r="B403">
        <v>7</v>
      </c>
      <c r="C403" t="s">
        <v>28</v>
      </c>
      <c r="D403" t="s">
        <v>18</v>
      </c>
      <c r="E403" t="s">
        <v>19</v>
      </c>
      <c r="F403" t="s">
        <v>20</v>
      </c>
      <c r="G403">
        <v>111976</v>
      </c>
      <c r="H403">
        <v>287989</v>
      </c>
      <c r="I403">
        <v>107</v>
      </c>
      <c r="J403">
        <v>0.97</v>
      </c>
      <c r="K403">
        <v>6.29</v>
      </c>
      <c r="L403">
        <v>1.2</v>
      </c>
      <c r="M403">
        <v>5</v>
      </c>
      <c r="N403">
        <v>552</v>
      </c>
    </row>
    <row r="404" spans="1:14" x14ac:dyDescent="0.35">
      <c r="A404">
        <v>2021</v>
      </c>
      <c r="B404">
        <v>3</v>
      </c>
      <c r="C404" t="s">
        <v>36</v>
      </c>
      <c r="D404" t="s">
        <v>31</v>
      </c>
      <c r="E404" t="s">
        <v>16</v>
      </c>
      <c r="F404" t="s">
        <v>23</v>
      </c>
      <c r="G404">
        <v>49678</v>
      </c>
      <c r="H404">
        <v>282259</v>
      </c>
      <c r="I404">
        <v>245</v>
      </c>
      <c r="J404">
        <v>0.97</v>
      </c>
      <c r="K404">
        <v>6.29</v>
      </c>
      <c r="L404">
        <v>1.2</v>
      </c>
      <c r="M404">
        <v>3</v>
      </c>
      <c r="N404">
        <v>875</v>
      </c>
    </row>
    <row r="405" spans="1:14" x14ac:dyDescent="0.35">
      <c r="A405">
        <v>2019</v>
      </c>
      <c r="B405">
        <v>10</v>
      </c>
      <c r="C405" t="s">
        <v>28</v>
      </c>
      <c r="D405" t="s">
        <v>29</v>
      </c>
      <c r="E405" t="s">
        <v>19</v>
      </c>
      <c r="F405" t="s">
        <v>23</v>
      </c>
      <c r="G405">
        <v>96075</v>
      </c>
      <c r="H405">
        <v>411652</v>
      </c>
      <c r="I405">
        <v>398</v>
      </c>
      <c r="J405">
        <v>0.97</v>
      </c>
      <c r="K405">
        <v>6.29</v>
      </c>
      <c r="L405">
        <v>1.2</v>
      </c>
      <c r="M405">
        <v>7</v>
      </c>
      <c r="N405">
        <v>1083</v>
      </c>
    </row>
    <row r="406" spans="1:14" x14ac:dyDescent="0.35">
      <c r="A406">
        <v>2020</v>
      </c>
      <c r="B406">
        <v>2</v>
      </c>
      <c r="C406" t="s">
        <v>36</v>
      </c>
      <c r="D406" t="s">
        <v>22</v>
      </c>
      <c r="E406" t="s">
        <v>20</v>
      </c>
      <c r="F406" t="s">
        <v>27</v>
      </c>
      <c r="G406">
        <v>82204</v>
      </c>
      <c r="H406">
        <v>132464</v>
      </c>
      <c r="I406">
        <v>383</v>
      </c>
      <c r="J406">
        <v>0.97</v>
      </c>
      <c r="K406">
        <v>6.29</v>
      </c>
      <c r="L406">
        <v>1.2</v>
      </c>
      <c r="M406">
        <v>6</v>
      </c>
      <c r="N406">
        <v>978</v>
      </c>
    </row>
    <row r="407" spans="1:14" x14ac:dyDescent="0.35">
      <c r="A407">
        <v>2021</v>
      </c>
      <c r="B407">
        <v>11</v>
      </c>
      <c r="C407" t="s">
        <v>14</v>
      </c>
      <c r="D407" t="s">
        <v>39</v>
      </c>
      <c r="E407" t="s">
        <v>20</v>
      </c>
      <c r="F407" t="s">
        <v>17</v>
      </c>
      <c r="G407">
        <v>47021</v>
      </c>
      <c r="H407">
        <v>340886</v>
      </c>
      <c r="I407">
        <v>78</v>
      </c>
      <c r="J407">
        <v>0.97</v>
      </c>
      <c r="K407">
        <v>6.29</v>
      </c>
      <c r="L407">
        <v>1.2</v>
      </c>
      <c r="M407">
        <v>8</v>
      </c>
      <c r="N407">
        <v>248</v>
      </c>
    </row>
    <row r="408" spans="1:14" x14ac:dyDescent="0.35">
      <c r="A408">
        <v>2017</v>
      </c>
      <c r="B408">
        <v>7</v>
      </c>
      <c r="C408" t="s">
        <v>30</v>
      </c>
      <c r="D408" t="s">
        <v>26</v>
      </c>
      <c r="E408" t="s">
        <v>16</v>
      </c>
      <c r="F408" t="s">
        <v>17</v>
      </c>
      <c r="G408">
        <v>41772</v>
      </c>
      <c r="H408">
        <v>61831</v>
      </c>
      <c r="I408">
        <v>54</v>
      </c>
      <c r="J408">
        <v>0.97</v>
      </c>
      <c r="K408">
        <v>6.29</v>
      </c>
      <c r="L408">
        <v>1.2</v>
      </c>
      <c r="M408">
        <v>5</v>
      </c>
      <c r="N408">
        <v>351</v>
      </c>
    </row>
    <row r="409" spans="1:14" x14ac:dyDescent="0.35">
      <c r="A409">
        <v>2024</v>
      </c>
      <c r="B409">
        <v>2</v>
      </c>
      <c r="C409" t="s">
        <v>25</v>
      </c>
      <c r="D409" t="s">
        <v>22</v>
      </c>
      <c r="E409" t="s">
        <v>19</v>
      </c>
      <c r="F409" t="s">
        <v>20</v>
      </c>
      <c r="G409">
        <v>102163</v>
      </c>
      <c r="H409">
        <v>163768</v>
      </c>
      <c r="I409">
        <v>146</v>
      </c>
      <c r="J409">
        <v>0.97</v>
      </c>
      <c r="K409">
        <v>6.29</v>
      </c>
      <c r="L409">
        <v>1.2</v>
      </c>
      <c r="M409">
        <v>2</v>
      </c>
      <c r="N409">
        <v>556</v>
      </c>
    </row>
    <row r="410" spans="1:14" x14ac:dyDescent="0.35">
      <c r="A410">
        <v>2017</v>
      </c>
      <c r="B410">
        <v>3</v>
      </c>
      <c r="C410" t="s">
        <v>28</v>
      </c>
      <c r="D410" t="s">
        <v>22</v>
      </c>
      <c r="E410" t="s">
        <v>20</v>
      </c>
      <c r="F410" t="s">
        <v>23</v>
      </c>
      <c r="G410">
        <v>108755</v>
      </c>
      <c r="H410">
        <v>296983</v>
      </c>
      <c r="I410">
        <v>243</v>
      </c>
      <c r="J410">
        <v>0.97</v>
      </c>
      <c r="K410">
        <v>6.29</v>
      </c>
      <c r="L410">
        <v>1.2</v>
      </c>
      <c r="M410">
        <v>9</v>
      </c>
      <c r="N410">
        <v>578</v>
      </c>
    </row>
    <row r="411" spans="1:14" x14ac:dyDescent="0.35">
      <c r="A411">
        <v>2019</v>
      </c>
      <c r="B411">
        <v>11</v>
      </c>
      <c r="C411" t="s">
        <v>37</v>
      </c>
      <c r="D411" t="s">
        <v>39</v>
      </c>
      <c r="E411" t="s">
        <v>16</v>
      </c>
      <c r="F411" t="s">
        <v>27</v>
      </c>
      <c r="G411">
        <v>58464</v>
      </c>
      <c r="H411">
        <v>397236</v>
      </c>
      <c r="I411">
        <v>41</v>
      </c>
      <c r="J411">
        <v>0.97</v>
      </c>
      <c r="K411">
        <v>6.29</v>
      </c>
      <c r="L411">
        <v>1.2</v>
      </c>
      <c r="M411">
        <v>8</v>
      </c>
      <c r="N411">
        <v>147</v>
      </c>
    </row>
    <row r="412" spans="1:14" x14ac:dyDescent="0.35">
      <c r="A412">
        <v>2020</v>
      </c>
      <c r="B412">
        <v>7</v>
      </c>
      <c r="C412" t="s">
        <v>35</v>
      </c>
      <c r="D412" t="s">
        <v>18</v>
      </c>
      <c r="E412" t="s">
        <v>19</v>
      </c>
      <c r="F412" t="s">
        <v>27</v>
      </c>
      <c r="G412">
        <v>86137</v>
      </c>
      <c r="H412">
        <v>403023</v>
      </c>
      <c r="I412">
        <v>298</v>
      </c>
      <c r="J412">
        <v>0.97</v>
      </c>
      <c r="K412">
        <v>6.29</v>
      </c>
      <c r="L412">
        <v>1.2</v>
      </c>
      <c r="M412">
        <v>6</v>
      </c>
      <c r="N412">
        <v>886</v>
      </c>
    </row>
    <row r="413" spans="1:14" x14ac:dyDescent="0.35">
      <c r="A413">
        <v>2023</v>
      </c>
      <c r="B413">
        <v>4</v>
      </c>
      <c r="C413" t="s">
        <v>32</v>
      </c>
      <c r="D413" t="s">
        <v>22</v>
      </c>
      <c r="E413" t="s">
        <v>20</v>
      </c>
      <c r="F413" t="s">
        <v>27</v>
      </c>
      <c r="G413">
        <v>65232</v>
      </c>
      <c r="H413">
        <v>400514</v>
      </c>
      <c r="I413">
        <v>135</v>
      </c>
      <c r="J413">
        <v>0.97</v>
      </c>
      <c r="K413">
        <v>6.29</v>
      </c>
      <c r="L413">
        <v>1.2</v>
      </c>
      <c r="M413">
        <v>10</v>
      </c>
      <c r="N413">
        <v>319</v>
      </c>
    </row>
    <row r="414" spans="1:14" x14ac:dyDescent="0.35">
      <c r="A414">
        <v>2019</v>
      </c>
      <c r="B414">
        <v>1</v>
      </c>
      <c r="C414" t="s">
        <v>35</v>
      </c>
      <c r="D414" t="s">
        <v>29</v>
      </c>
      <c r="E414" t="s">
        <v>20</v>
      </c>
      <c r="F414" t="s">
        <v>27</v>
      </c>
      <c r="G414">
        <v>96497</v>
      </c>
      <c r="H414">
        <v>438681</v>
      </c>
      <c r="I414">
        <v>76</v>
      </c>
      <c r="J414">
        <v>0.97</v>
      </c>
      <c r="K414">
        <v>6.29</v>
      </c>
      <c r="L414">
        <v>1.2</v>
      </c>
      <c r="M414">
        <v>7</v>
      </c>
      <c r="N414">
        <v>369</v>
      </c>
    </row>
    <row r="415" spans="1:14" x14ac:dyDescent="0.35">
      <c r="A415">
        <v>2015</v>
      </c>
      <c r="B415">
        <v>5</v>
      </c>
      <c r="C415" t="s">
        <v>21</v>
      </c>
      <c r="D415" t="s">
        <v>33</v>
      </c>
      <c r="E415" t="s">
        <v>16</v>
      </c>
      <c r="F415" t="s">
        <v>27</v>
      </c>
      <c r="G415">
        <v>109024</v>
      </c>
      <c r="H415">
        <v>489978</v>
      </c>
      <c r="I415">
        <v>39</v>
      </c>
      <c r="J415">
        <v>0.97</v>
      </c>
      <c r="K415">
        <v>6.29</v>
      </c>
      <c r="L415">
        <v>1.2</v>
      </c>
      <c r="M415">
        <v>9</v>
      </c>
      <c r="N415">
        <v>493</v>
      </c>
    </row>
    <row r="416" spans="1:14" x14ac:dyDescent="0.35">
      <c r="A416">
        <v>2018</v>
      </c>
      <c r="B416">
        <v>12</v>
      </c>
      <c r="C416" t="s">
        <v>25</v>
      </c>
      <c r="D416" t="s">
        <v>18</v>
      </c>
      <c r="E416" t="s">
        <v>19</v>
      </c>
      <c r="F416" t="s">
        <v>17</v>
      </c>
      <c r="G416">
        <v>86448</v>
      </c>
      <c r="H416">
        <v>154824</v>
      </c>
      <c r="I416">
        <v>123</v>
      </c>
      <c r="J416">
        <v>0.97</v>
      </c>
      <c r="K416">
        <v>6.29</v>
      </c>
      <c r="L416">
        <v>1.2</v>
      </c>
      <c r="M416">
        <v>7</v>
      </c>
      <c r="N416">
        <v>581</v>
      </c>
    </row>
    <row r="417" spans="1:14" x14ac:dyDescent="0.35">
      <c r="A417">
        <v>2019</v>
      </c>
      <c r="B417">
        <v>9</v>
      </c>
      <c r="C417" t="s">
        <v>21</v>
      </c>
      <c r="D417" t="s">
        <v>29</v>
      </c>
      <c r="E417" t="s">
        <v>19</v>
      </c>
      <c r="F417" t="s">
        <v>17</v>
      </c>
      <c r="G417">
        <v>119517</v>
      </c>
      <c r="H417">
        <v>138741</v>
      </c>
      <c r="I417">
        <v>213</v>
      </c>
      <c r="J417">
        <v>0.97</v>
      </c>
      <c r="K417">
        <v>6.29</v>
      </c>
      <c r="L417">
        <v>1.2</v>
      </c>
      <c r="M417">
        <v>3</v>
      </c>
      <c r="N417">
        <v>517</v>
      </c>
    </row>
    <row r="418" spans="1:14" x14ac:dyDescent="0.35">
      <c r="A418">
        <v>2024</v>
      </c>
      <c r="B418">
        <v>8</v>
      </c>
      <c r="C418" t="s">
        <v>14</v>
      </c>
      <c r="D418" t="s">
        <v>18</v>
      </c>
      <c r="E418" t="s">
        <v>20</v>
      </c>
      <c r="F418" t="s">
        <v>17</v>
      </c>
      <c r="G418">
        <v>35901</v>
      </c>
      <c r="H418">
        <v>68830</v>
      </c>
      <c r="I418">
        <v>38</v>
      </c>
      <c r="J418">
        <v>0.97</v>
      </c>
      <c r="K418">
        <v>6.29</v>
      </c>
      <c r="L418">
        <v>1.2</v>
      </c>
      <c r="M418">
        <v>6</v>
      </c>
      <c r="N418">
        <v>207</v>
      </c>
    </row>
    <row r="419" spans="1:14" x14ac:dyDescent="0.35">
      <c r="A419">
        <v>2024</v>
      </c>
      <c r="B419">
        <v>12</v>
      </c>
      <c r="C419" t="s">
        <v>25</v>
      </c>
      <c r="D419" t="s">
        <v>29</v>
      </c>
      <c r="E419" t="s">
        <v>20</v>
      </c>
      <c r="F419" t="s">
        <v>23</v>
      </c>
      <c r="G419">
        <v>118597</v>
      </c>
      <c r="H419">
        <v>367188</v>
      </c>
      <c r="I419">
        <v>140</v>
      </c>
      <c r="J419">
        <v>0.97</v>
      </c>
      <c r="K419">
        <v>6.29</v>
      </c>
      <c r="L419">
        <v>1.2</v>
      </c>
      <c r="M419">
        <v>7</v>
      </c>
      <c r="N419">
        <v>281</v>
      </c>
    </row>
    <row r="420" spans="1:14" x14ac:dyDescent="0.35">
      <c r="A420">
        <v>2019</v>
      </c>
      <c r="B420">
        <v>9</v>
      </c>
      <c r="C420" t="s">
        <v>25</v>
      </c>
      <c r="D420" t="s">
        <v>26</v>
      </c>
      <c r="E420" t="s">
        <v>20</v>
      </c>
      <c r="F420" t="s">
        <v>20</v>
      </c>
      <c r="G420">
        <v>37881</v>
      </c>
      <c r="H420">
        <v>386092</v>
      </c>
      <c r="I420">
        <v>194</v>
      </c>
      <c r="J420">
        <v>0.97</v>
      </c>
      <c r="K420">
        <v>6.29</v>
      </c>
      <c r="L420">
        <v>1.2</v>
      </c>
      <c r="M420">
        <v>2</v>
      </c>
      <c r="N420">
        <v>775</v>
      </c>
    </row>
    <row r="421" spans="1:14" x14ac:dyDescent="0.35">
      <c r="A421">
        <v>2021</v>
      </c>
      <c r="B421">
        <v>10</v>
      </c>
      <c r="C421" t="s">
        <v>21</v>
      </c>
      <c r="D421" t="s">
        <v>29</v>
      </c>
      <c r="E421" t="s">
        <v>19</v>
      </c>
      <c r="F421" t="s">
        <v>27</v>
      </c>
      <c r="G421">
        <v>64863</v>
      </c>
      <c r="H421">
        <v>119202</v>
      </c>
      <c r="I421">
        <v>262</v>
      </c>
      <c r="J421">
        <v>0.97</v>
      </c>
      <c r="K421">
        <v>6.29</v>
      </c>
      <c r="L421">
        <v>1.2</v>
      </c>
      <c r="M421">
        <v>3</v>
      </c>
      <c r="N421">
        <v>724</v>
      </c>
    </row>
    <row r="422" spans="1:14" x14ac:dyDescent="0.35">
      <c r="A422">
        <v>2018</v>
      </c>
      <c r="B422">
        <v>9</v>
      </c>
      <c r="C422" t="s">
        <v>36</v>
      </c>
      <c r="D422" t="s">
        <v>34</v>
      </c>
      <c r="E422" t="s">
        <v>16</v>
      </c>
      <c r="F422" t="s">
        <v>23</v>
      </c>
      <c r="G422">
        <v>40622</v>
      </c>
      <c r="H422">
        <v>349189</v>
      </c>
      <c r="I422">
        <v>295</v>
      </c>
      <c r="J422">
        <v>0.97</v>
      </c>
      <c r="K422">
        <v>6.29</v>
      </c>
      <c r="L422">
        <v>1.2</v>
      </c>
      <c r="M422">
        <v>4</v>
      </c>
      <c r="N422">
        <v>664</v>
      </c>
    </row>
    <row r="423" spans="1:14" x14ac:dyDescent="0.35">
      <c r="A423">
        <v>2015</v>
      </c>
      <c r="B423">
        <v>7</v>
      </c>
      <c r="C423" t="s">
        <v>21</v>
      </c>
      <c r="D423" t="s">
        <v>29</v>
      </c>
      <c r="E423" t="s">
        <v>16</v>
      </c>
      <c r="F423" t="s">
        <v>27</v>
      </c>
      <c r="G423">
        <v>36378</v>
      </c>
      <c r="H423">
        <v>267394</v>
      </c>
      <c r="I423">
        <v>395</v>
      </c>
      <c r="J423">
        <v>0.97</v>
      </c>
      <c r="K423">
        <v>6.29</v>
      </c>
      <c r="L423">
        <v>1.2</v>
      </c>
      <c r="M423">
        <v>10</v>
      </c>
      <c r="N423">
        <v>953</v>
      </c>
    </row>
    <row r="424" spans="1:14" x14ac:dyDescent="0.35">
      <c r="A424">
        <v>2019</v>
      </c>
      <c r="B424">
        <v>4</v>
      </c>
      <c r="C424" t="s">
        <v>35</v>
      </c>
      <c r="D424" t="s">
        <v>31</v>
      </c>
      <c r="E424" t="s">
        <v>19</v>
      </c>
      <c r="F424" t="s">
        <v>17</v>
      </c>
      <c r="G424">
        <v>118168</v>
      </c>
      <c r="H424">
        <v>252123</v>
      </c>
      <c r="I424">
        <v>71</v>
      </c>
      <c r="J424">
        <v>0.97</v>
      </c>
      <c r="K424">
        <v>6.29</v>
      </c>
      <c r="L424">
        <v>1.2</v>
      </c>
      <c r="M424">
        <v>6</v>
      </c>
      <c r="N424">
        <v>187</v>
      </c>
    </row>
    <row r="425" spans="1:14" x14ac:dyDescent="0.35">
      <c r="A425">
        <v>2021</v>
      </c>
      <c r="B425">
        <v>5</v>
      </c>
      <c r="C425" t="s">
        <v>36</v>
      </c>
      <c r="D425" t="s">
        <v>31</v>
      </c>
      <c r="E425" t="s">
        <v>16</v>
      </c>
      <c r="F425" t="s">
        <v>23</v>
      </c>
      <c r="G425">
        <v>106186</v>
      </c>
      <c r="H425">
        <v>419653</v>
      </c>
      <c r="I425">
        <v>12</v>
      </c>
      <c r="J425">
        <v>0.97</v>
      </c>
      <c r="K425">
        <v>6.29</v>
      </c>
      <c r="L425">
        <v>1.2</v>
      </c>
      <c r="M425">
        <v>1</v>
      </c>
      <c r="N425">
        <v>305</v>
      </c>
    </row>
    <row r="426" spans="1:14" x14ac:dyDescent="0.35">
      <c r="A426">
        <v>2024</v>
      </c>
      <c r="B426">
        <v>1</v>
      </c>
      <c r="C426" t="s">
        <v>35</v>
      </c>
      <c r="D426" t="s">
        <v>24</v>
      </c>
      <c r="E426" t="s">
        <v>20</v>
      </c>
      <c r="F426" t="s">
        <v>17</v>
      </c>
      <c r="G426">
        <v>80201</v>
      </c>
      <c r="H426">
        <v>207699</v>
      </c>
      <c r="I426">
        <v>77</v>
      </c>
      <c r="J426">
        <v>0.97</v>
      </c>
      <c r="K426">
        <v>6.29</v>
      </c>
      <c r="L426">
        <v>1.2</v>
      </c>
      <c r="M426">
        <v>9</v>
      </c>
      <c r="N426">
        <v>525</v>
      </c>
    </row>
    <row r="427" spans="1:14" x14ac:dyDescent="0.35">
      <c r="A427">
        <v>2024</v>
      </c>
      <c r="B427">
        <v>1</v>
      </c>
      <c r="C427" t="s">
        <v>14</v>
      </c>
      <c r="D427" t="s">
        <v>34</v>
      </c>
      <c r="E427" t="s">
        <v>16</v>
      </c>
      <c r="F427" t="s">
        <v>27</v>
      </c>
      <c r="G427">
        <v>94251</v>
      </c>
      <c r="H427">
        <v>327342</v>
      </c>
      <c r="I427">
        <v>34</v>
      </c>
      <c r="J427">
        <v>0.97</v>
      </c>
      <c r="K427">
        <v>6.29</v>
      </c>
      <c r="L427">
        <v>1.2</v>
      </c>
      <c r="M427">
        <v>5</v>
      </c>
      <c r="N427">
        <v>451</v>
      </c>
    </row>
    <row r="428" spans="1:14" x14ac:dyDescent="0.35">
      <c r="A428">
        <v>2020</v>
      </c>
      <c r="B428">
        <v>3</v>
      </c>
      <c r="C428" t="s">
        <v>32</v>
      </c>
      <c r="D428" t="s">
        <v>34</v>
      </c>
      <c r="E428" t="s">
        <v>16</v>
      </c>
      <c r="F428" t="s">
        <v>27</v>
      </c>
      <c r="G428">
        <v>107572</v>
      </c>
      <c r="H428">
        <v>381665</v>
      </c>
      <c r="I428">
        <v>188</v>
      </c>
      <c r="J428">
        <v>0.97</v>
      </c>
      <c r="K428">
        <v>6.29</v>
      </c>
      <c r="L428">
        <v>1.2</v>
      </c>
      <c r="M428">
        <v>7</v>
      </c>
      <c r="N428">
        <v>813</v>
      </c>
    </row>
    <row r="429" spans="1:14" x14ac:dyDescent="0.35">
      <c r="A429">
        <v>2019</v>
      </c>
      <c r="B429">
        <v>8</v>
      </c>
      <c r="C429" t="s">
        <v>38</v>
      </c>
      <c r="D429" t="s">
        <v>33</v>
      </c>
      <c r="E429" t="s">
        <v>16</v>
      </c>
      <c r="F429" t="s">
        <v>20</v>
      </c>
      <c r="G429">
        <v>74255</v>
      </c>
      <c r="H429">
        <v>156471</v>
      </c>
      <c r="I429">
        <v>150</v>
      </c>
      <c r="J429">
        <v>0.97</v>
      </c>
      <c r="K429">
        <v>6.29</v>
      </c>
      <c r="L429">
        <v>1.2</v>
      </c>
      <c r="M429">
        <v>9</v>
      </c>
      <c r="N429">
        <v>552</v>
      </c>
    </row>
    <row r="430" spans="1:14" x14ac:dyDescent="0.35">
      <c r="A430">
        <v>2018</v>
      </c>
      <c r="B430">
        <v>2</v>
      </c>
      <c r="C430" t="s">
        <v>36</v>
      </c>
      <c r="D430" t="s">
        <v>34</v>
      </c>
      <c r="E430" t="s">
        <v>20</v>
      </c>
      <c r="F430" t="s">
        <v>27</v>
      </c>
      <c r="G430">
        <v>98212</v>
      </c>
      <c r="H430">
        <v>341619</v>
      </c>
      <c r="I430">
        <v>240</v>
      </c>
      <c r="J430">
        <v>0.97</v>
      </c>
      <c r="K430">
        <v>6.29</v>
      </c>
      <c r="L430">
        <v>1.2</v>
      </c>
      <c r="M430">
        <v>9</v>
      </c>
      <c r="N430">
        <v>911</v>
      </c>
    </row>
    <row r="431" spans="1:14" x14ac:dyDescent="0.35">
      <c r="A431">
        <v>2016</v>
      </c>
      <c r="B431">
        <v>4</v>
      </c>
      <c r="C431" t="s">
        <v>14</v>
      </c>
      <c r="D431" t="s">
        <v>33</v>
      </c>
      <c r="E431" t="s">
        <v>19</v>
      </c>
      <c r="F431" t="s">
        <v>17</v>
      </c>
      <c r="G431">
        <v>85210</v>
      </c>
      <c r="H431">
        <v>286824</v>
      </c>
      <c r="I431">
        <v>309</v>
      </c>
      <c r="J431">
        <v>0.97</v>
      </c>
      <c r="K431">
        <v>6.29</v>
      </c>
      <c r="L431">
        <v>1.2</v>
      </c>
      <c r="M431">
        <v>1</v>
      </c>
      <c r="N431">
        <v>865</v>
      </c>
    </row>
    <row r="432" spans="1:14" x14ac:dyDescent="0.35">
      <c r="A432">
        <v>2018</v>
      </c>
      <c r="B432">
        <v>2</v>
      </c>
      <c r="C432" t="s">
        <v>37</v>
      </c>
      <c r="D432" t="s">
        <v>24</v>
      </c>
      <c r="E432" t="s">
        <v>20</v>
      </c>
      <c r="F432" t="s">
        <v>27</v>
      </c>
      <c r="G432">
        <v>57499</v>
      </c>
      <c r="H432">
        <v>69403</v>
      </c>
      <c r="I432">
        <v>172</v>
      </c>
      <c r="J432">
        <v>0.97</v>
      </c>
      <c r="K432">
        <v>6.29</v>
      </c>
      <c r="L432">
        <v>1.2</v>
      </c>
      <c r="M432">
        <v>1</v>
      </c>
      <c r="N432">
        <v>765</v>
      </c>
    </row>
    <row r="433" spans="1:14" x14ac:dyDescent="0.35">
      <c r="A433">
        <v>2024</v>
      </c>
      <c r="B433">
        <v>5</v>
      </c>
      <c r="C433" t="s">
        <v>14</v>
      </c>
      <c r="D433" t="s">
        <v>24</v>
      </c>
      <c r="E433" t="s">
        <v>19</v>
      </c>
      <c r="F433" t="s">
        <v>20</v>
      </c>
      <c r="G433">
        <v>86628</v>
      </c>
      <c r="H433">
        <v>53681</v>
      </c>
      <c r="I433">
        <v>320</v>
      </c>
      <c r="J433">
        <v>0.97</v>
      </c>
      <c r="K433">
        <v>6.29</v>
      </c>
      <c r="L433">
        <v>1.2</v>
      </c>
      <c r="M433">
        <v>3</v>
      </c>
      <c r="N433">
        <v>638</v>
      </c>
    </row>
    <row r="434" spans="1:14" x14ac:dyDescent="0.35">
      <c r="A434">
        <v>2024</v>
      </c>
      <c r="B434">
        <v>9</v>
      </c>
      <c r="C434" t="s">
        <v>21</v>
      </c>
      <c r="D434" t="s">
        <v>26</v>
      </c>
      <c r="E434" t="s">
        <v>19</v>
      </c>
      <c r="F434" t="s">
        <v>20</v>
      </c>
      <c r="G434">
        <v>96360</v>
      </c>
      <c r="H434">
        <v>403699</v>
      </c>
      <c r="I434">
        <v>139</v>
      </c>
      <c r="J434">
        <v>0.97</v>
      </c>
      <c r="K434">
        <v>6.29</v>
      </c>
      <c r="L434">
        <v>1.2</v>
      </c>
      <c r="M434">
        <v>6</v>
      </c>
      <c r="N434">
        <v>313</v>
      </c>
    </row>
    <row r="435" spans="1:14" x14ac:dyDescent="0.35">
      <c r="A435">
        <v>2017</v>
      </c>
      <c r="B435">
        <v>1</v>
      </c>
      <c r="C435" t="s">
        <v>21</v>
      </c>
      <c r="D435" t="s">
        <v>31</v>
      </c>
      <c r="E435" t="s">
        <v>19</v>
      </c>
      <c r="F435" t="s">
        <v>17</v>
      </c>
      <c r="G435">
        <v>39603</v>
      </c>
      <c r="H435">
        <v>431028</v>
      </c>
      <c r="I435">
        <v>255</v>
      </c>
      <c r="J435">
        <v>0.97</v>
      </c>
      <c r="K435">
        <v>6.29</v>
      </c>
      <c r="L435">
        <v>1.2</v>
      </c>
      <c r="M435">
        <v>2</v>
      </c>
      <c r="N435">
        <v>778</v>
      </c>
    </row>
    <row r="436" spans="1:14" x14ac:dyDescent="0.35">
      <c r="A436">
        <v>2024</v>
      </c>
      <c r="B436">
        <v>5</v>
      </c>
      <c r="C436" t="s">
        <v>38</v>
      </c>
      <c r="D436" t="s">
        <v>29</v>
      </c>
      <c r="E436" t="s">
        <v>16</v>
      </c>
      <c r="F436" t="s">
        <v>23</v>
      </c>
      <c r="G436">
        <v>47632</v>
      </c>
      <c r="H436">
        <v>405266</v>
      </c>
      <c r="I436">
        <v>306</v>
      </c>
      <c r="J436">
        <v>0.97</v>
      </c>
      <c r="K436">
        <v>6.29</v>
      </c>
      <c r="L436">
        <v>1.2</v>
      </c>
      <c r="M436">
        <v>10</v>
      </c>
      <c r="N436">
        <v>947</v>
      </c>
    </row>
    <row r="437" spans="1:14" x14ac:dyDescent="0.35">
      <c r="A437">
        <v>2015</v>
      </c>
      <c r="B437">
        <v>9</v>
      </c>
      <c r="C437" t="s">
        <v>14</v>
      </c>
      <c r="D437" t="s">
        <v>29</v>
      </c>
      <c r="E437" t="s">
        <v>16</v>
      </c>
      <c r="F437" t="s">
        <v>27</v>
      </c>
      <c r="G437">
        <v>65607</v>
      </c>
      <c r="H437">
        <v>165260</v>
      </c>
      <c r="I437">
        <v>181</v>
      </c>
      <c r="J437">
        <v>0.97</v>
      </c>
      <c r="K437">
        <v>6.29</v>
      </c>
      <c r="L437">
        <v>1.2</v>
      </c>
      <c r="M437">
        <v>1</v>
      </c>
      <c r="N437">
        <v>588</v>
      </c>
    </row>
    <row r="438" spans="1:14" x14ac:dyDescent="0.35">
      <c r="A438">
        <v>2022</v>
      </c>
      <c r="B438">
        <v>1</v>
      </c>
      <c r="C438" t="s">
        <v>30</v>
      </c>
      <c r="D438" t="s">
        <v>39</v>
      </c>
      <c r="E438" t="s">
        <v>19</v>
      </c>
      <c r="F438" t="s">
        <v>20</v>
      </c>
      <c r="G438">
        <v>100756</v>
      </c>
      <c r="H438">
        <v>223364</v>
      </c>
      <c r="I438">
        <v>73</v>
      </c>
      <c r="J438">
        <v>0.97</v>
      </c>
      <c r="K438">
        <v>6.29</v>
      </c>
      <c r="L438">
        <v>1.2</v>
      </c>
      <c r="M438">
        <v>1</v>
      </c>
      <c r="N438">
        <v>517</v>
      </c>
    </row>
    <row r="439" spans="1:14" x14ac:dyDescent="0.35">
      <c r="A439">
        <v>2019</v>
      </c>
      <c r="B439">
        <v>9</v>
      </c>
      <c r="C439" t="s">
        <v>32</v>
      </c>
      <c r="D439" t="s">
        <v>39</v>
      </c>
      <c r="E439" t="s">
        <v>19</v>
      </c>
      <c r="F439" t="s">
        <v>27</v>
      </c>
      <c r="G439">
        <v>81994</v>
      </c>
      <c r="H439">
        <v>155386</v>
      </c>
      <c r="I439">
        <v>40</v>
      </c>
      <c r="J439">
        <v>0.97</v>
      </c>
      <c r="K439">
        <v>6.29</v>
      </c>
      <c r="L439">
        <v>1.2</v>
      </c>
      <c r="M439">
        <v>5</v>
      </c>
      <c r="N439">
        <v>192</v>
      </c>
    </row>
    <row r="440" spans="1:14" x14ac:dyDescent="0.35">
      <c r="A440">
        <v>2018</v>
      </c>
      <c r="B440">
        <v>8</v>
      </c>
      <c r="C440" t="s">
        <v>21</v>
      </c>
      <c r="D440" t="s">
        <v>15</v>
      </c>
      <c r="E440" t="s">
        <v>16</v>
      </c>
      <c r="F440" t="s">
        <v>27</v>
      </c>
      <c r="G440">
        <v>98382</v>
      </c>
      <c r="H440">
        <v>283378</v>
      </c>
      <c r="I440">
        <v>56</v>
      </c>
      <c r="J440">
        <v>0.97</v>
      </c>
      <c r="K440">
        <v>6.29</v>
      </c>
      <c r="L440">
        <v>1.2</v>
      </c>
      <c r="M440">
        <v>4</v>
      </c>
      <c r="N440">
        <v>400</v>
      </c>
    </row>
    <row r="441" spans="1:14" x14ac:dyDescent="0.35">
      <c r="A441">
        <v>2022</v>
      </c>
      <c r="B441">
        <v>4</v>
      </c>
      <c r="C441" t="s">
        <v>38</v>
      </c>
      <c r="D441" t="s">
        <v>18</v>
      </c>
      <c r="E441" t="s">
        <v>20</v>
      </c>
      <c r="F441" t="s">
        <v>23</v>
      </c>
      <c r="G441">
        <v>105354</v>
      </c>
      <c r="H441">
        <v>448845</v>
      </c>
      <c r="I441">
        <v>139</v>
      </c>
      <c r="J441">
        <v>0.97</v>
      </c>
      <c r="K441">
        <v>6.29</v>
      </c>
      <c r="L441">
        <v>1.2</v>
      </c>
      <c r="M441">
        <v>1</v>
      </c>
      <c r="N441">
        <v>469</v>
      </c>
    </row>
    <row r="442" spans="1:14" x14ac:dyDescent="0.35">
      <c r="A442">
        <v>2021</v>
      </c>
      <c r="B442">
        <v>12</v>
      </c>
      <c r="C442" t="s">
        <v>32</v>
      </c>
      <c r="D442" t="s">
        <v>26</v>
      </c>
      <c r="E442" t="s">
        <v>19</v>
      </c>
      <c r="F442" t="s">
        <v>20</v>
      </c>
      <c r="G442">
        <v>91344</v>
      </c>
      <c r="H442">
        <v>143246</v>
      </c>
      <c r="I442">
        <v>361</v>
      </c>
      <c r="J442">
        <v>0.97</v>
      </c>
      <c r="K442">
        <v>6.29</v>
      </c>
      <c r="L442">
        <v>1.2</v>
      </c>
      <c r="M442">
        <v>4</v>
      </c>
      <c r="N442">
        <v>884</v>
      </c>
    </row>
    <row r="443" spans="1:14" x14ac:dyDescent="0.35">
      <c r="A443">
        <v>2016</v>
      </c>
      <c r="B443">
        <v>11</v>
      </c>
      <c r="C443" t="s">
        <v>14</v>
      </c>
      <c r="D443" t="s">
        <v>15</v>
      </c>
      <c r="E443" t="s">
        <v>20</v>
      </c>
      <c r="F443" t="s">
        <v>27</v>
      </c>
      <c r="G443">
        <v>88775</v>
      </c>
      <c r="H443">
        <v>145864</v>
      </c>
      <c r="I443">
        <v>342</v>
      </c>
      <c r="J443">
        <v>0.97</v>
      </c>
      <c r="K443">
        <v>6.29</v>
      </c>
      <c r="L443">
        <v>1.2</v>
      </c>
      <c r="M443">
        <v>3</v>
      </c>
      <c r="N443">
        <v>910</v>
      </c>
    </row>
    <row r="444" spans="1:14" x14ac:dyDescent="0.35">
      <c r="A444">
        <v>2015</v>
      </c>
      <c r="B444">
        <v>10</v>
      </c>
      <c r="C444" t="s">
        <v>14</v>
      </c>
      <c r="D444" t="s">
        <v>15</v>
      </c>
      <c r="E444" t="s">
        <v>16</v>
      </c>
      <c r="F444" t="s">
        <v>20</v>
      </c>
      <c r="G444">
        <v>42349</v>
      </c>
      <c r="H444">
        <v>258886</v>
      </c>
      <c r="I444">
        <v>119</v>
      </c>
      <c r="J444">
        <v>0.97</v>
      </c>
      <c r="K444">
        <v>6.29</v>
      </c>
      <c r="L444">
        <v>1.2</v>
      </c>
      <c r="M444">
        <v>2</v>
      </c>
      <c r="N444">
        <v>372</v>
      </c>
    </row>
    <row r="445" spans="1:14" x14ac:dyDescent="0.35">
      <c r="A445">
        <v>2018</v>
      </c>
      <c r="B445">
        <v>5</v>
      </c>
      <c r="C445" t="s">
        <v>25</v>
      </c>
      <c r="D445" t="s">
        <v>22</v>
      </c>
      <c r="E445" t="s">
        <v>19</v>
      </c>
      <c r="F445" t="s">
        <v>17</v>
      </c>
      <c r="G445">
        <v>106154</v>
      </c>
      <c r="H445">
        <v>320561</v>
      </c>
      <c r="I445">
        <v>78</v>
      </c>
      <c r="J445">
        <v>0.97</v>
      </c>
      <c r="K445">
        <v>6.29</v>
      </c>
      <c r="L445">
        <v>1.2</v>
      </c>
      <c r="M445">
        <v>9</v>
      </c>
      <c r="N445">
        <v>305</v>
      </c>
    </row>
    <row r="446" spans="1:14" x14ac:dyDescent="0.35">
      <c r="A446">
        <v>2022</v>
      </c>
      <c r="B446">
        <v>5</v>
      </c>
      <c r="C446" t="s">
        <v>38</v>
      </c>
      <c r="D446" t="s">
        <v>22</v>
      </c>
      <c r="E446" t="s">
        <v>20</v>
      </c>
      <c r="F446" t="s">
        <v>17</v>
      </c>
      <c r="G446">
        <v>62464</v>
      </c>
      <c r="H446">
        <v>431032</v>
      </c>
      <c r="I446">
        <v>67</v>
      </c>
      <c r="J446">
        <v>0.97</v>
      </c>
      <c r="K446">
        <v>6.29</v>
      </c>
      <c r="L446">
        <v>1.2</v>
      </c>
      <c r="M446">
        <v>1</v>
      </c>
      <c r="N446">
        <v>636</v>
      </c>
    </row>
    <row r="447" spans="1:14" x14ac:dyDescent="0.35">
      <c r="A447">
        <v>2016</v>
      </c>
      <c r="B447">
        <v>11</v>
      </c>
      <c r="C447" t="s">
        <v>21</v>
      </c>
      <c r="D447" t="s">
        <v>15</v>
      </c>
      <c r="E447" t="s">
        <v>20</v>
      </c>
      <c r="F447" t="s">
        <v>27</v>
      </c>
      <c r="G447">
        <v>77624</v>
      </c>
      <c r="H447">
        <v>215837</v>
      </c>
      <c r="I447">
        <v>115</v>
      </c>
      <c r="J447">
        <v>0.97</v>
      </c>
      <c r="K447">
        <v>6.29</v>
      </c>
      <c r="L447">
        <v>1.2</v>
      </c>
      <c r="M447">
        <v>7</v>
      </c>
      <c r="N447">
        <v>433</v>
      </c>
    </row>
    <row r="448" spans="1:14" x14ac:dyDescent="0.35">
      <c r="A448">
        <v>2017</v>
      </c>
      <c r="B448">
        <v>12</v>
      </c>
      <c r="C448" t="s">
        <v>30</v>
      </c>
      <c r="D448" t="s">
        <v>34</v>
      </c>
      <c r="E448" t="s">
        <v>20</v>
      </c>
      <c r="F448" t="s">
        <v>20</v>
      </c>
      <c r="G448">
        <v>72344</v>
      </c>
      <c r="H448">
        <v>386643</v>
      </c>
      <c r="I448">
        <v>309</v>
      </c>
      <c r="J448">
        <v>0.97</v>
      </c>
      <c r="K448">
        <v>6.29</v>
      </c>
      <c r="L448">
        <v>1.2</v>
      </c>
      <c r="M448">
        <v>4</v>
      </c>
      <c r="N448">
        <v>931</v>
      </c>
    </row>
    <row r="449" spans="1:14" x14ac:dyDescent="0.35">
      <c r="A449">
        <v>2015</v>
      </c>
      <c r="B449">
        <v>6</v>
      </c>
      <c r="C449" t="s">
        <v>14</v>
      </c>
      <c r="D449" t="s">
        <v>18</v>
      </c>
      <c r="E449" t="s">
        <v>16</v>
      </c>
      <c r="F449" t="s">
        <v>27</v>
      </c>
      <c r="G449">
        <v>118791</v>
      </c>
      <c r="H449">
        <v>443052</v>
      </c>
      <c r="I449">
        <v>339</v>
      </c>
      <c r="J449">
        <v>0.97</v>
      </c>
      <c r="K449">
        <v>6.29</v>
      </c>
      <c r="L449">
        <v>1.2</v>
      </c>
      <c r="M449">
        <v>5</v>
      </c>
      <c r="N449">
        <v>751</v>
      </c>
    </row>
    <row r="450" spans="1:14" x14ac:dyDescent="0.35">
      <c r="A450">
        <v>2015</v>
      </c>
      <c r="B450">
        <v>7</v>
      </c>
      <c r="C450" t="s">
        <v>30</v>
      </c>
      <c r="D450" t="s">
        <v>26</v>
      </c>
      <c r="E450" t="s">
        <v>16</v>
      </c>
      <c r="F450" t="s">
        <v>20</v>
      </c>
      <c r="G450">
        <v>59299</v>
      </c>
      <c r="H450">
        <v>295160</v>
      </c>
      <c r="I450">
        <v>265</v>
      </c>
      <c r="J450">
        <v>0.97</v>
      </c>
      <c r="K450">
        <v>6.29</v>
      </c>
      <c r="L450">
        <v>1.2</v>
      </c>
      <c r="M450">
        <v>10</v>
      </c>
      <c r="N450">
        <v>904</v>
      </c>
    </row>
    <row r="451" spans="1:14" x14ac:dyDescent="0.35">
      <c r="A451">
        <v>2017</v>
      </c>
      <c r="B451">
        <v>8</v>
      </c>
      <c r="C451" t="s">
        <v>14</v>
      </c>
      <c r="D451" t="s">
        <v>15</v>
      </c>
      <c r="E451" t="s">
        <v>20</v>
      </c>
      <c r="F451" t="s">
        <v>20</v>
      </c>
      <c r="G451">
        <v>82975</v>
      </c>
      <c r="H451">
        <v>237646</v>
      </c>
      <c r="I451">
        <v>321</v>
      </c>
      <c r="J451">
        <v>0.97</v>
      </c>
      <c r="K451">
        <v>6.29</v>
      </c>
      <c r="L451">
        <v>1.2</v>
      </c>
      <c r="M451">
        <v>5</v>
      </c>
      <c r="N451">
        <v>652</v>
      </c>
    </row>
    <row r="452" spans="1:14" x14ac:dyDescent="0.35">
      <c r="A452">
        <v>2019</v>
      </c>
      <c r="B452">
        <v>8</v>
      </c>
      <c r="C452" t="s">
        <v>21</v>
      </c>
      <c r="D452" t="s">
        <v>29</v>
      </c>
      <c r="E452" t="s">
        <v>20</v>
      </c>
      <c r="F452" t="s">
        <v>23</v>
      </c>
      <c r="G452">
        <v>36462</v>
      </c>
      <c r="H452">
        <v>309278</v>
      </c>
      <c r="I452">
        <v>180</v>
      </c>
      <c r="J452">
        <v>0.97</v>
      </c>
      <c r="K452">
        <v>6.29</v>
      </c>
      <c r="L452">
        <v>1.2</v>
      </c>
      <c r="M452">
        <v>1</v>
      </c>
      <c r="N452">
        <v>573</v>
      </c>
    </row>
    <row r="453" spans="1:14" x14ac:dyDescent="0.35">
      <c r="A453">
        <v>2017</v>
      </c>
      <c r="B453">
        <v>11</v>
      </c>
      <c r="C453" t="s">
        <v>32</v>
      </c>
      <c r="D453" t="s">
        <v>18</v>
      </c>
      <c r="E453" t="s">
        <v>16</v>
      </c>
      <c r="F453" t="s">
        <v>23</v>
      </c>
      <c r="G453">
        <v>116441</v>
      </c>
      <c r="H453">
        <v>339819</v>
      </c>
      <c r="I453">
        <v>392</v>
      </c>
      <c r="J453">
        <v>0.97</v>
      </c>
      <c r="K453">
        <v>6.29</v>
      </c>
      <c r="L453">
        <v>1.2</v>
      </c>
      <c r="M453">
        <v>6</v>
      </c>
      <c r="N453">
        <v>1027</v>
      </c>
    </row>
    <row r="454" spans="1:14" x14ac:dyDescent="0.35">
      <c r="A454">
        <v>2015</v>
      </c>
      <c r="B454">
        <v>2</v>
      </c>
      <c r="C454" t="s">
        <v>28</v>
      </c>
      <c r="D454" t="s">
        <v>22</v>
      </c>
      <c r="E454" t="s">
        <v>20</v>
      </c>
      <c r="F454" t="s">
        <v>23</v>
      </c>
      <c r="G454">
        <v>116788</v>
      </c>
      <c r="H454">
        <v>306681</v>
      </c>
      <c r="I454">
        <v>171</v>
      </c>
      <c r="J454">
        <v>0.97</v>
      </c>
      <c r="K454">
        <v>6.29</v>
      </c>
      <c r="L454">
        <v>1.2</v>
      </c>
      <c r="M454">
        <v>9</v>
      </c>
      <c r="N454">
        <v>575</v>
      </c>
    </row>
    <row r="455" spans="1:14" x14ac:dyDescent="0.35">
      <c r="A455">
        <v>2015</v>
      </c>
      <c r="B455">
        <v>9</v>
      </c>
      <c r="C455" t="s">
        <v>32</v>
      </c>
      <c r="D455" t="s">
        <v>29</v>
      </c>
      <c r="E455" t="s">
        <v>20</v>
      </c>
      <c r="F455" t="s">
        <v>27</v>
      </c>
      <c r="G455">
        <v>75581</v>
      </c>
      <c r="H455">
        <v>221635</v>
      </c>
      <c r="I455">
        <v>295</v>
      </c>
      <c r="J455">
        <v>0.97</v>
      </c>
      <c r="K455">
        <v>6.29</v>
      </c>
      <c r="L455">
        <v>1.2</v>
      </c>
      <c r="M455">
        <v>2</v>
      </c>
      <c r="N455">
        <v>848</v>
      </c>
    </row>
    <row r="456" spans="1:14" x14ac:dyDescent="0.35">
      <c r="A456">
        <v>2022</v>
      </c>
      <c r="B456">
        <v>7</v>
      </c>
      <c r="C456" t="s">
        <v>14</v>
      </c>
      <c r="D456" t="s">
        <v>22</v>
      </c>
      <c r="E456" t="s">
        <v>16</v>
      </c>
      <c r="F456" t="s">
        <v>23</v>
      </c>
      <c r="G456">
        <v>106289</v>
      </c>
      <c r="H456">
        <v>61332</v>
      </c>
      <c r="I456">
        <v>80</v>
      </c>
      <c r="J456">
        <v>0.97</v>
      </c>
      <c r="K456">
        <v>6.29</v>
      </c>
      <c r="L456">
        <v>1.2</v>
      </c>
      <c r="M456">
        <v>7</v>
      </c>
      <c r="N456">
        <v>432</v>
      </c>
    </row>
    <row r="457" spans="1:14" x14ac:dyDescent="0.35">
      <c r="A457">
        <v>2024</v>
      </c>
      <c r="B457">
        <v>4</v>
      </c>
      <c r="C457" t="s">
        <v>35</v>
      </c>
      <c r="D457" t="s">
        <v>22</v>
      </c>
      <c r="E457" t="s">
        <v>20</v>
      </c>
      <c r="F457" t="s">
        <v>23</v>
      </c>
      <c r="G457">
        <v>49175</v>
      </c>
      <c r="H457">
        <v>304817</v>
      </c>
      <c r="I457">
        <v>264</v>
      </c>
      <c r="J457">
        <v>0.97</v>
      </c>
      <c r="K457">
        <v>6.29</v>
      </c>
      <c r="L457">
        <v>1.2</v>
      </c>
      <c r="M457">
        <v>6</v>
      </c>
      <c r="N457">
        <v>918</v>
      </c>
    </row>
    <row r="458" spans="1:14" x14ac:dyDescent="0.35">
      <c r="A458">
        <v>2016</v>
      </c>
      <c r="B458">
        <v>4</v>
      </c>
      <c r="C458" t="s">
        <v>28</v>
      </c>
      <c r="D458" t="s">
        <v>18</v>
      </c>
      <c r="E458" t="s">
        <v>20</v>
      </c>
      <c r="F458" t="s">
        <v>17</v>
      </c>
      <c r="G458">
        <v>41191</v>
      </c>
      <c r="H458">
        <v>331321</v>
      </c>
      <c r="I458">
        <v>383</v>
      </c>
      <c r="J458">
        <v>0.97</v>
      </c>
      <c r="K458">
        <v>6.29</v>
      </c>
      <c r="L458">
        <v>1.2</v>
      </c>
      <c r="M458">
        <v>5</v>
      </c>
      <c r="N458">
        <v>1197</v>
      </c>
    </row>
    <row r="459" spans="1:14" x14ac:dyDescent="0.35">
      <c r="A459">
        <v>2017</v>
      </c>
      <c r="B459">
        <v>11</v>
      </c>
      <c r="C459" t="s">
        <v>28</v>
      </c>
      <c r="D459" t="s">
        <v>22</v>
      </c>
      <c r="E459" t="s">
        <v>20</v>
      </c>
      <c r="F459" t="s">
        <v>20</v>
      </c>
      <c r="G459">
        <v>118434</v>
      </c>
      <c r="H459">
        <v>442704</v>
      </c>
      <c r="I459">
        <v>64</v>
      </c>
      <c r="J459">
        <v>0.97</v>
      </c>
      <c r="K459">
        <v>6.29</v>
      </c>
      <c r="L459">
        <v>1.2</v>
      </c>
      <c r="M459">
        <v>4</v>
      </c>
      <c r="N459">
        <v>216</v>
      </c>
    </row>
    <row r="460" spans="1:14" x14ac:dyDescent="0.35">
      <c r="A460">
        <v>2016</v>
      </c>
      <c r="B460">
        <v>8</v>
      </c>
      <c r="C460" t="s">
        <v>30</v>
      </c>
      <c r="D460" t="s">
        <v>24</v>
      </c>
      <c r="E460" t="s">
        <v>16</v>
      </c>
      <c r="F460" t="s">
        <v>20</v>
      </c>
      <c r="G460">
        <v>119518</v>
      </c>
      <c r="H460">
        <v>270326</v>
      </c>
      <c r="I460">
        <v>332</v>
      </c>
      <c r="J460">
        <v>0.97</v>
      </c>
      <c r="K460">
        <v>6.29</v>
      </c>
      <c r="L460">
        <v>1.2</v>
      </c>
      <c r="M460">
        <v>4</v>
      </c>
      <c r="N460">
        <v>847</v>
      </c>
    </row>
    <row r="461" spans="1:14" x14ac:dyDescent="0.35">
      <c r="A461">
        <v>2017</v>
      </c>
      <c r="B461">
        <v>4</v>
      </c>
      <c r="C461" t="s">
        <v>38</v>
      </c>
      <c r="D461" t="s">
        <v>31</v>
      </c>
      <c r="E461" t="s">
        <v>20</v>
      </c>
      <c r="F461" t="s">
        <v>23</v>
      </c>
      <c r="G461">
        <v>115158</v>
      </c>
      <c r="H461">
        <v>249519</v>
      </c>
      <c r="I461">
        <v>12</v>
      </c>
      <c r="J461">
        <v>0.97</v>
      </c>
      <c r="K461">
        <v>6.29</v>
      </c>
      <c r="L461">
        <v>1.2</v>
      </c>
      <c r="M461">
        <v>6</v>
      </c>
      <c r="N461">
        <v>72</v>
      </c>
    </row>
    <row r="462" spans="1:14" x14ac:dyDescent="0.35">
      <c r="A462">
        <v>2021</v>
      </c>
      <c r="B462">
        <v>6</v>
      </c>
      <c r="C462" t="s">
        <v>30</v>
      </c>
      <c r="D462" t="s">
        <v>24</v>
      </c>
      <c r="E462" t="s">
        <v>16</v>
      </c>
      <c r="F462" t="s">
        <v>20</v>
      </c>
      <c r="G462">
        <v>101537</v>
      </c>
      <c r="H462">
        <v>311849</v>
      </c>
      <c r="I462">
        <v>35</v>
      </c>
      <c r="J462">
        <v>0.97</v>
      </c>
      <c r="K462">
        <v>6.29</v>
      </c>
      <c r="L462">
        <v>1.2</v>
      </c>
      <c r="M462">
        <v>4</v>
      </c>
      <c r="N462">
        <v>416</v>
      </c>
    </row>
    <row r="463" spans="1:14" x14ac:dyDescent="0.35">
      <c r="A463">
        <v>2015</v>
      </c>
      <c r="B463">
        <v>5</v>
      </c>
      <c r="C463" t="s">
        <v>30</v>
      </c>
      <c r="D463" t="s">
        <v>31</v>
      </c>
      <c r="E463" t="s">
        <v>16</v>
      </c>
      <c r="F463" t="s">
        <v>17</v>
      </c>
      <c r="G463">
        <v>82645</v>
      </c>
      <c r="H463">
        <v>369248</v>
      </c>
      <c r="I463">
        <v>322</v>
      </c>
      <c r="J463">
        <v>0.97</v>
      </c>
      <c r="K463">
        <v>6.29</v>
      </c>
      <c r="L463">
        <v>1.2</v>
      </c>
      <c r="M463">
        <v>5</v>
      </c>
      <c r="N463">
        <v>827</v>
      </c>
    </row>
    <row r="464" spans="1:14" x14ac:dyDescent="0.35">
      <c r="A464">
        <v>2024</v>
      </c>
      <c r="B464">
        <v>3</v>
      </c>
      <c r="C464" t="s">
        <v>35</v>
      </c>
      <c r="D464" t="s">
        <v>39</v>
      </c>
      <c r="E464" t="s">
        <v>19</v>
      </c>
      <c r="F464" t="s">
        <v>17</v>
      </c>
      <c r="G464">
        <v>58283</v>
      </c>
      <c r="H464">
        <v>396479</v>
      </c>
      <c r="I464">
        <v>135</v>
      </c>
      <c r="J464">
        <v>0.97</v>
      </c>
      <c r="K464">
        <v>6.29</v>
      </c>
      <c r="L464">
        <v>1.2</v>
      </c>
      <c r="M464">
        <v>6</v>
      </c>
      <c r="N464">
        <v>355</v>
      </c>
    </row>
    <row r="465" spans="1:14" x14ac:dyDescent="0.35">
      <c r="A465">
        <v>2022</v>
      </c>
      <c r="B465">
        <v>10</v>
      </c>
      <c r="C465" t="s">
        <v>32</v>
      </c>
      <c r="D465" t="s">
        <v>39</v>
      </c>
      <c r="E465" t="s">
        <v>19</v>
      </c>
      <c r="F465" t="s">
        <v>23</v>
      </c>
      <c r="G465">
        <v>94123</v>
      </c>
      <c r="H465">
        <v>427082</v>
      </c>
      <c r="I465">
        <v>62</v>
      </c>
      <c r="J465">
        <v>0.97</v>
      </c>
      <c r="K465">
        <v>6.29</v>
      </c>
      <c r="L465">
        <v>1.2</v>
      </c>
      <c r="M465">
        <v>5</v>
      </c>
      <c r="N465">
        <v>254</v>
      </c>
    </row>
    <row r="466" spans="1:14" x14ac:dyDescent="0.35">
      <c r="A466">
        <v>2024</v>
      </c>
      <c r="B466">
        <v>11</v>
      </c>
      <c r="C466" t="s">
        <v>32</v>
      </c>
      <c r="D466" t="s">
        <v>22</v>
      </c>
      <c r="E466" t="s">
        <v>20</v>
      </c>
      <c r="F466" t="s">
        <v>17</v>
      </c>
      <c r="G466">
        <v>65024</v>
      </c>
      <c r="H466">
        <v>130730</v>
      </c>
      <c r="I466">
        <v>207</v>
      </c>
      <c r="J466">
        <v>0.97</v>
      </c>
      <c r="K466">
        <v>6.29</v>
      </c>
      <c r="L466">
        <v>1.2</v>
      </c>
      <c r="M466">
        <v>7</v>
      </c>
      <c r="N466">
        <v>626</v>
      </c>
    </row>
    <row r="467" spans="1:14" x14ac:dyDescent="0.35">
      <c r="A467">
        <v>2024</v>
      </c>
      <c r="B467">
        <v>2</v>
      </c>
      <c r="C467" t="s">
        <v>37</v>
      </c>
      <c r="D467" t="s">
        <v>26</v>
      </c>
      <c r="E467" t="s">
        <v>16</v>
      </c>
      <c r="F467" t="s">
        <v>20</v>
      </c>
      <c r="G467">
        <v>84630</v>
      </c>
      <c r="H467">
        <v>448167</v>
      </c>
      <c r="I467">
        <v>308</v>
      </c>
      <c r="J467">
        <v>0.97</v>
      </c>
      <c r="K467">
        <v>6.29</v>
      </c>
      <c r="L467">
        <v>1.2</v>
      </c>
      <c r="M467">
        <v>9</v>
      </c>
      <c r="N467">
        <v>862</v>
      </c>
    </row>
    <row r="468" spans="1:14" x14ac:dyDescent="0.35">
      <c r="A468">
        <v>2024</v>
      </c>
      <c r="B468">
        <v>9</v>
      </c>
      <c r="C468" t="s">
        <v>14</v>
      </c>
      <c r="D468" t="s">
        <v>26</v>
      </c>
      <c r="E468" t="s">
        <v>19</v>
      </c>
      <c r="F468" t="s">
        <v>27</v>
      </c>
      <c r="G468">
        <v>65734</v>
      </c>
      <c r="H468">
        <v>287474</v>
      </c>
      <c r="I468">
        <v>197</v>
      </c>
      <c r="J468">
        <v>0.97</v>
      </c>
      <c r="K468">
        <v>6.29</v>
      </c>
      <c r="L468">
        <v>1.2</v>
      </c>
      <c r="M468">
        <v>10</v>
      </c>
      <c r="N468">
        <v>409</v>
      </c>
    </row>
    <row r="469" spans="1:14" x14ac:dyDescent="0.35">
      <c r="A469">
        <v>2016</v>
      </c>
      <c r="B469">
        <v>10</v>
      </c>
      <c r="C469" t="s">
        <v>35</v>
      </c>
      <c r="D469" t="s">
        <v>31</v>
      </c>
      <c r="E469" t="s">
        <v>20</v>
      </c>
      <c r="F469" t="s">
        <v>20</v>
      </c>
      <c r="G469">
        <v>35515</v>
      </c>
      <c r="H469">
        <v>340477</v>
      </c>
      <c r="I469">
        <v>195</v>
      </c>
      <c r="J469">
        <v>0.97</v>
      </c>
      <c r="K469">
        <v>6.29</v>
      </c>
      <c r="L469">
        <v>1.2</v>
      </c>
      <c r="M469">
        <v>7</v>
      </c>
      <c r="N469">
        <v>561</v>
      </c>
    </row>
    <row r="470" spans="1:14" x14ac:dyDescent="0.35">
      <c r="A470">
        <v>2017</v>
      </c>
      <c r="B470">
        <v>9</v>
      </c>
      <c r="C470" t="s">
        <v>37</v>
      </c>
      <c r="D470" t="s">
        <v>29</v>
      </c>
      <c r="E470" t="s">
        <v>19</v>
      </c>
      <c r="F470" t="s">
        <v>27</v>
      </c>
      <c r="G470">
        <v>101727</v>
      </c>
      <c r="H470">
        <v>333817</v>
      </c>
      <c r="I470">
        <v>314</v>
      </c>
      <c r="J470">
        <v>0.97</v>
      </c>
      <c r="K470">
        <v>6.29</v>
      </c>
      <c r="L470">
        <v>1.2</v>
      </c>
      <c r="M470">
        <v>7</v>
      </c>
      <c r="N470">
        <v>889</v>
      </c>
    </row>
    <row r="471" spans="1:14" x14ac:dyDescent="0.35">
      <c r="A471">
        <v>2023</v>
      </c>
      <c r="B471">
        <v>1</v>
      </c>
      <c r="C471" t="s">
        <v>21</v>
      </c>
      <c r="D471" t="s">
        <v>18</v>
      </c>
      <c r="E471" t="s">
        <v>19</v>
      </c>
      <c r="F471" t="s">
        <v>23</v>
      </c>
      <c r="G471">
        <v>81216</v>
      </c>
      <c r="H471">
        <v>426565</v>
      </c>
      <c r="I471">
        <v>307</v>
      </c>
      <c r="J471">
        <v>0.97</v>
      </c>
      <c r="K471">
        <v>6.29</v>
      </c>
      <c r="L471">
        <v>1.2</v>
      </c>
      <c r="M471">
        <v>4</v>
      </c>
      <c r="N471">
        <v>784</v>
      </c>
    </row>
    <row r="472" spans="1:14" x14ac:dyDescent="0.35">
      <c r="A472">
        <v>2021</v>
      </c>
      <c r="B472">
        <v>10</v>
      </c>
      <c r="C472" t="s">
        <v>14</v>
      </c>
      <c r="D472" t="s">
        <v>22</v>
      </c>
      <c r="E472" t="s">
        <v>16</v>
      </c>
      <c r="F472" t="s">
        <v>27</v>
      </c>
      <c r="G472">
        <v>106833</v>
      </c>
      <c r="H472">
        <v>90870</v>
      </c>
      <c r="I472">
        <v>213</v>
      </c>
      <c r="J472">
        <v>0.97</v>
      </c>
      <c r="K472">
        <v>6.29</v>
      </c>
      <c r="L472">
        <v>1.2</v>
      </c>
      <c r="M472">
        <v>1</v>
      </c>
      <c r="N472">
        <v>495</v>
      </c>
    </row>
    <row r="473" spans="1:14" x14ac:dyDescent="0.35">
      <c r="A473">
        <v>2018</v>
      </c>
      <c r="B473">
        <v>3</v>
      </c>
      <c r="C473" t="s">
        <v>14</v>
      </c>
      <c r="D473" t="s">
        <v>18</v>
      </c>
      <c r="E473" t="s">
        <v>16</v>
      </c>
      <c r="F473" t="s">
        <v>17</v>
      </c>
      <c r="G473">
        <v>93755</v>
      </c>
      <c r="H473">
        <v>303017</v>
      </c>
      <c r="I473">
        <v>20</v>
      </c>
      <c r="J473">
        <v>0.97</v>
      </c>
      <c r="K473">
        <v>6.29</v>
      </c>
      <c r="L473">
        <v>1.2</v>
      </c>
      <c r="M473">
        <v>8</v>
      </c>
      <c r="N473">
        <v>417</v>
      </c>
    </row>
    <row r="474" spans="1:14" x14ac:dyDescent="0.35">
      <c r="A474">
        <v>2024</v>
      </c>
      <c r="B474">
        <v>8</v>
      </c>
      <c r="C474" t="s">
        <v>25</v>
      </c>
      <c r="D474" t="s">
        <v>24</v>
      </c>
      <c r="E474" t="s">
        <v>19</v>
      </c>
      <c r="F474" t="s">
        <v>20</v>
      </c>
      <c r="G474">
        <v>62856</v>
      </c>
      <c r="H474">
        <v>177536</v>
      </c>
      <c r="I474">
        <v>368</v>
      </c>
      <c r="J474">
        <v>0.97</v>
      </c>
      <c r="K474">
        <v>6.29</v>
      </c>
      <c r="L474">
        <v>1.2</v>
      </c>
      <c r="M474">
        <v>4</v>
      </c>
      <c r="N474">
        <v>869</v>
      </c>
    </row>
    <row r="475" spans="1:14" x14ac:dyDescent="0.35">
      <c r="A475">
        <v>2019</v>
      </c>
      <c r="B475">
        <v>6</v>
      </c>
      <c r="C475" t="s">
        <v>25</v>
      </c>
      <c r="D475" t="s">
        <v>26</v>
      </c>
      <c r="E475" t="s">
        <v>19</v>
      </c>
      <c r="F475" t="s">
        <v>27</v>
      </c>
      <c r="G475">
        <v>108870</v>
      </c>
      <c r="H475">
        <v>383245</v>
      </c>
      <c r="I475">
        <v>363</v>
      </c>
      <c r="J475">
        <v>0.97</v>
      </c>
      <c r="K475">
        <v>6.29</v>
      </c>
      <c r="L475">
        <v>1.2</v>
      </c>
      <c r="M475">
        <v>1</v>
      </c>
      <c r="N475">
        <v>951</v>
      </c>
    </row>
    <row r="476" spans="1:14" x14ac:dyDescent="0.35">
      <c r="A476">
        <v>2016</v>
      </c>
      <c r="B476">
        <v>5</v>
      </c>
      <c r="C476" t="s">
        <v>36</v>
      </c>
      <c r="D476" t="s">
        <v>34</v>
      </c>
      <c r="E476" t="s">
        <v>16</v>
      </c>
      <c r="F476" t="s">
        <v>20</v>
      </c>
      <c r="G476">
        <v>59162</v>
      </c>
      <c r="H476">
        <v>334965</v>
      </c>
      <c r="I476">
        <v>155</v>
      </c>
      <c r="J476">
        <v>0.97</v>
      </c>
      <c r="K476">
        <v>6.29</v>
      </c>
      <c r="L476">
        <v>1.2</v>
      </c>
      <c r="M476">
        <v>5</v>
      </c>
      <c r="N476">
        <v>542</v>
      </c>
    </row>
    <row r="477" spans="1:14" x14ac:dyDescent="0.35">
      <c r="A477">
        <v>2022</v>
      </c>
      <c r="B477">
        <v>5</v>
      </c>
      <c r="C477" t="s">
        <v>36</v>
      </c>
      <c r="D477" t="s">
        <v>24</v>
      </c>
      <c r="E477" t="s">
        <v>20</v>
      </c>
      <c r="F477" t="s">
        <v>23</v>
      </c>
      <c r="G477">
        <v>41008</v>
      </c>
      <c r="H477">
        <v>75494</v>
      </c>
      <c r="I477">
        <v>94</v>
      </c>
      <c r="J477">
        <v>0.97</v>
      </c>
      <c r="K477">
        <v>6.29</v>
      </c>
      <c r="L477">
        <v>1.2</v>
      </c>
      <c r="M477">
        <v>8</v>
      </c>
      <c r="N477">
        <v>398</v>
      </c>
    </row>
    <row r="478" spans="1:14" x14ac:dyDescent="0.35">
      <c r="A478">
        <v>2018</v>
      </c>
      <c r="B478">
        <v>6</v>
      </c>
      <c r="C478" t="s">
        <v>30</v>
      </c>
      <c r="D478" t="s">
        <v>24</v>
      </c>
      <c r="E478" t="s">
        <v>16</v>
      </c>
      <c r="F478" t="s">
        <v>23</v>
      </c>
      <c r="G478">
        <v>42987</v>
      </c>
      <c r="H478">
        <v>149477</v>
      </c>
      <c r="I478">
        <v>109</v>
      </c>
      <c r="J478">
        <v>0.97</v>
      </c>
      <c r="K478">
        <v>6.29</v>
      </c>
      <c r="L478">
        <v>1.2</v>
      </c>
      <c r="M478">
        <v>4</v>
      </c>
      <c r="N478">
        <v>296</v>
      </c>
    </row>
    <row r="479" spans="1:14" x14ac:dyDescent="0.35">
      <c r="A479">
        <v>2023</v>
      </c>
      <c r="B479">
        <v>7</v>
      </c>
      <c r="C479" t="s">
        <v>21</v>
      </c>
      <c r="D479" t="s">
        <v>31</v>
      </c>
      <c r="E479" t="s">
        <v>19</v>
      </c>
      <c r="F479" t="s">
        <v>17</v>
      </c>
      <c r="G479">
        <v>97532</v>
      </c>
      <c r="H479">
        <v>438227</v>
      </c>
      <c r="I479">
        <v>113</v>
      </c>
      <c r="J479">
        <v>0.97</v>
      </c>
      <c r="K479">
        <v>6.29</v>
      </c>
      <c r="L479">
        <v>1.2</v>
      </c>
      <c r="M479">
        <v>8</v>
      </c>
      <c r="N479">
        <v>517</v>
      </c>
    </row>
    <row r="480" spans="1:14" x14ac:dyDescent="0.35">
      <c r="A480">
        <v>2019</v>
      </c>
      <c r="B480">
        <v>1</v>
      </c>
      <c r="C480" t="s">
        <v>28</v>
      </c>
      <c r="D480" t="s">
        <v>33</v>
      </c>
      <c r="E480" t="s">
        <v>20</v>
      </c>
      <c r="F480" t="s">
        <v>23</v>
      </c>
      <c r="G480">
        <v>38332</v>
      </c>
      <c r="H480">
        <v>255232</v>
      </c>
      <c r="I480">
        <v>55</v>
      </c>
      <c r="J480">
        <v>0.97</v>
      </c>
      <c r="K480">
        <v>6.29</v>
      </c>
      <c r="L480">
        <v>1.2</v>
      </c>
      <c r="M480">
        <v>8</v>
      </c>
      <c r="N480">
        <v>418</v>
      </c>
    </row>
    <row r="481" spans="1:14" x14ac:dyDescent="0.35">
      <c r="A481">
        <v>2023</v>
      </c>
      <c r="B481">
        <v>9</v>
      </c>
      <c r="C481" t="s">
        <v>28</v>
      </c>
      <c r="D481" t="s">
        <v>24</v>
      </c>
      <c r="E481" t="s">
        <v>19</v>
      </c>
      <c r="F481" t="s">
        <v>27</v>
      </c>
      <c r="G481">
        <v>101323</v>
      </c>
      <c r="H481">
        <v>424842</v>
      </c>
      <c r="I481">
        <v>53</v>
      </c>
      <c r="J481">
        <v>0.97</v>
      </c>
      <c r="K481">
        <v>6.29</v>
      </c>
      <c r="L481">
        <v>1.2</v>
      </c>
      <c r="M481">
        <v>3</v>
      </c>
      <c r="N481">
        <v>306</v>
      </c>
    </row>
    <row r="482" spans="1:14" x14ac:dyDescent="0.35">
      <c r="A482">
        <v>2018</v>
      </c>
      <c r="B482">
        <v>3</v>
      </c>
      <c r="C482" t="s">
        <v>25</v>
      </c>
      <c r="D482" t="s">
        <v>22</v>
      </c>
      <c r="E482" t="s">
        <v>20</v>
      </c>
      <c r="F482" t="s">
        <v>23</v>
      </c>
      <c r="G482">
        <v>73990</v>
      </c>
      <c r="H482">
        <v>423704</v>
      </c>
      <c r="I482">
        <v>287</v>
      </c>
      <c r="J482">
        <v>0.97</v>
      </c>
      <c r="K482">
        <v>6.29</v>
      </c>
      <c r="L482">
        <v>1.2</v>
      </c>
      <c r="M482">
        <v>9</v>
      </c>
      <c r="N482">
        <v>930</v>
      </c>
    </row>
    <row r="483" spans="1:14" x14ac:dyDescent="0.35">
      <c r="A483">
        <v>2024</v>
      </c>
      <c r="B483">
        <v>4</v>
      </c>
      <c r="C483" t="s">
        <v>25</v>
      </c>
      <c r="D483" t="s">
        <v>15</v>
      </c>
      <c r="E483" t="s">
        <v>19</v>
      </c>
      <c r="F483" t="s">
        <v>17</v>
      </c>
      <c r="G483">
        <v>44873</v>
      </c>
      <c r="H483">
        <v>444051</v>
      </c>
      <c r="I483">
        <v>190</v>
      </c>
      <c r="J483">
        <v>0.97</v>
      </c>
      <c r="K483">
        <v>6.29</v>
      </c>
      <c r="L483">
        <v>1.2</v>
      </c>
      <c r="M483">
        <v>3</v>
      </c>
      <c r="N483">
        <v>805</v>
      </c>
    </row>
    <row r="484" spans="1:14" x14ac:dyDescent="0.35">
      <c r="A484">
        <v>2019</v>
      </c>
      <c r="B484">
        <v>10</v>
      </c>
      <c r="C484" t="s">
        <v>25</v>
      </c>
      <c r="D484" t="s">
        <v>15</v>
      </c>
      <c r="E484" t="s">
        <v>20</v>
      </c>
      <c r="F484" t="s">
        <v>20</v>
      </c>
      <c r="G484">
        <v>117542</v>
      </c>
      <c r="H484">
        <v>330790</v>
      </c>
      <c r="I484">
        <v>196</v>
      </c>
      <c r="J484">
        <v>0.97</v>
      </c>
      <c r="K484">
        <v>6.29</v>
      </c>
      <c r="L484">
        <v>1.2</v>
      </c>
      <c r="M484">
        <v>1</v>
      </c>
      <c r="N484">
        <v>538</v>
      </c>
    </row>
    <row r="485" spans="1:14" x14ac:dyDescent="0.35">
      <c r="A485">
        <v>2023</v>
      </c>
      <c r="B485">
        <v>1</v>
      </c>
      <c r="C485" t="s">
        <v>35</v>
      </c>
      <c r="D485" t="s">
        <v>22</v>
      </c>
      <c r="E485" t="s">
        <v>20</v>
      </c>
      <c r="F485" t="s">
        <v>20</v>
      </c>
      <c r="G485">
        <v>71444</v>
      </c>
      <c r="H485">
        <v>173777</v>
      </c>
      <c r="I485">
        <v>123</v>
      </c>
      <c r="J485">
        <v>0.97</v>
      </c>
      <c r="K485">
        <v>6.29</v>
      </c>
      <c r="L485">
        <v>1.2</v>
      </c>
      <c r="M485">
        <v>2</v>
      </c>
      <c r="N485">
        <v>697</v>
      </c>
    </row>
    <row r="486" spans="1:14" x14ac:dyDescent="0.35">
      <c r="A486">
        <v>2022</v>
      </c>
      <c r="B486">
        <v>11</v>
      </c>
      <c r="C486" t="s">
        <v>38</v>
      </c>
      <c r="D486" t="s">
        <v>33</v>
      </c>
      <c r="E486" t="s">
        <v>19</v>
      </c>
      <c r="F486" t="s">
        <v>23</v>
      </c>
      <c r="G486">
        <v>70340</v>
      </c>
      <c r="H486">
        <v>127360</v>
      </c>
      <c r="I486">
        <v>264</v>
      </c>
      <c r="J486">
        <v>0.97</v>
      </c>
      <c r="K486">
        <v>6.29</v>
      </c>
      <c r="L486">
        <v>1.2</v>
      </c>
      <c r="M486">
        <v>6</v>
      </c>
      <c r="N486">
        <v>902</v>
      </c>
    </row>
    <row r="487" spans="1:14" x14ac:dyDescent="0.35">
      <c r="A487">
        <v>2017</v>
      </c>
      <c r="B487">
        <v>10</v>
      </c>
      <c r="C487" t="s">
        <v>36</v>
      </c>
      <c r="D487" t="s">
        <v>33</v>
      </c>
      <c r="E487" t="s">
        <v>20</v>
      </c>
      <c r="F487" t="s">
        <v>27</v>
      </c>
      <c r="G487">
        <v>40033</v>
      </c>
      <c r="H487">
        <v>349479</v>
      </c>
      <c r="I487">
        <v>390</v>
      </c>
      <c r="J487">
        <v>0.97</v>
      </c>
      <c r="K487">
        <v>6.29</v>
      </c>
      <c r="L487">
        <v>1.2</v>
      </c>
      <c r="M487">
        <v>10</v>
      </c>
      <c r="N487">
        <v>1118</v>
      </c>
    </row>
    <row r="488" spans="1:14" x14ac:dyDescent="0.35">
      <c r="A488">
        <v>2015</v>
      </c>
      <c r="B488">
        <v>3</v>
      </c>
      <c r="C488" t="s">
        <v>35</v>
      </c>
      <c r="D488" t="s">
        <v>31</v>
      </c>
      <c r="E488" t="s">
        <v>16</v>
      </c>
      <c r="F488" t="s">
        <v>17</v>
      </c>
      <c r="G488">
        <v>108324</v>
      </c>
      <c r="H488">
        <v>381495</v>
      </c>
      <c r="I488">
        <v>389</v>
      </c>
      <c r="J488">
        <v>0.97</v>
      </c>
      <c r="K488">
        <v>6.29</v>
      </c>
      <c r="L488">
        <v>1.2</v>
      </c>
      <c r="M488">
        <v>2</v>
      </c>
      <c r="N488">
        <v>1242</v>
      </c>
    </row>
    <row r="489" spans="1:14" x14ac:dyDescent="0.35">
      <c r="A489">
        <v>2017</v>
      </c>
      <c r="B489">
        <v>2</v>
      </c>
      <c r="C489" t="s">
        <v>32</v>
      </c>
      <c r="D489" t="s">
        <v>26</v>
      </c>
      <c r="E489" t="s">
        <v>19</v>
      </c>
      <c r="F489" t="s">
        <v>27</v>
      </c>
      <c r="G489">
        <v>50689</v>
      </c>
      <c r="H489">
        <v>427078</v>
      </c>
      <c r="I489">
        <v>39</v>
      </c>
      <c r="J489">
        <v>0.97</v>
      </c>
      <c r="K489">
        <v>6.29</v>
      </c>
      <c r="L489">
        <v>1.2</v>
      </c>
      <c r="M489">
        <v>6</v>
      </c>
      <c r="N489">
        <v>406</v>
      </c>
    </row>
    <row r="490" spans="1:14" x14ac:dyDescent="0.35">
      <c r="A490">
        <v>2018</v>
      </c>
      <c r="B490">
        <v>2</v>
      </c>
      <c r="C490" t="s">
        <v>28</v>
      </c>
      <c r="D490" t="s">
        <v>18</v>
      </c>
      <c r="E490" t="s">
        <v>16</v>
      </c>
      <c r="F490" t="s">
        <v>17</v>
      </c>
      <c r="G490">
        <v>35066</v>
      </c>
      <c r="H490">
        <v>183501</v>
      </c>
      <c r="I490">
        <v>273</v>
      </c>
      <c r="J490">
        <v>0.97</v>
      </c>
      <c r="K490">
        <v>6.29</v>
      </c>
      <c r="L490">
        <v>1.2</v>
      </c>
      <c r="M490">
        <v>1</v>
      </c>
      <c r="N490">
        <v>878</v>
      </c>
    </row>
    <row r="491" spans="1:14" x14ac:dyDescent="0.35">
      <c r="A491">
        <v>2016</v>
      </c>
      <c r="B491">
        <v>1</v>
      </c>
      <c r="C491" t="s">
        <v>14</v>
      </c>
      <c r="D491" t="s">
        <v>33</v>
      </c>
      <c r="E491" t="s">
        <v>19</v>
      </c>
      <c r="F491" t="s">
        <v>23</v>
      </c>
      <c r="G491">
        <v>80246</v>
      </c>
      <c r="H491">
        <v>354094</v>
      </c>
      <c r="I491">
        <v>107</v>
      </c>
      <c r="J491">
        <v>0.97</v>
      </c>
      <c r="K491">
        <v>6.29</v>
      </c>
      <c r="L491">
        <v>1.2</v>
      </c>
      <c r="M491">
        <v>1</v>
      </c>
      <c r="N491">
        <v>479</v>
      </c>
    </row>
    <row r="492" spans="1:14" x14ac:dyDescent="0.35">
      <c r="A492">
        <v>2015</v>
      </c>
      <c r="B492">
        <v>8</v>
      </c>
      <c r="C492" t="s">
        <v>36</v>
      </c>
      <c r="D492" t="s">
        <v>34</v>
      </c>
      <c r="E492" t="s">
        <v>20</v>
      </c>
      <c r="F492" t="s">
        <v>17</v>
      </c>
      <c r="G492">
        <v>42533</v>
      </c>
      <c r="H492">
        <v>110654</v>
      </c>
      <c r="I492">
        <v>322</v>
      </c>
      <c r="J492">
        <v>0.97</v>
      </c>
      <c r="K492">
        <v>6.29</v>
      </c>
      <c r="L492">
        <v>1.2</v>
      </c>
      <c r="M492">
        <v>5</v>
      </c>
      <c r="N492">
        <v>721</v>
      </c>
    </row>
    <row r="493" spans="1:14" x14ac:dyDescent="0.35">
      <c r="A493">
        <v>2021</v>
      </c>
      <c r="B493">
        <v>3</v>
      </c>
      <c r="C493" t="s">
        <v>37</v>
      </c>
      <c r="D493" t="s">
        <v>31</v>
      </c>
      <c r="E493" t="s">
        <v>20</v>
      </c>
      <c r="F493" t="s">
        <v>17</v>
      </c>
      <c r="G493">
        <v>115639</v>
      </c>
      <c r="H493">
        <v>419566</v>
      </c>
      <c r="I493">
        <v>376</v>
      </c>
      <c r="J493">
        <v>0.97</v>
      </c>
      <c r="K493">
        <v>6.29</v>
      </c>
      <c r="L493">
        <v>1.2</v>
      </c>
      <c r="M493">
        <v>10</v>
      </c>
      <c r="N493">
        <v>1161</v>
      </c>
    </row>
    <row r="494" spans="1:14" x14ac:dyDescent="0.35">
      <c r="A494">
        <v>2022</v>
      </c>
      <c r="B494">
        <v>3</v>
      </c>
      <c r="C494" t="s">
        <v>32</v>
      </c>
      <c r="D494" t="s">
        <v>39</v>
      </c>
      <c r="E494" t="s">
        <v>20</v>
      </c>
      <c r="F494" t="s">
        <v>23</v>
      </c>
      <c r="G494">
        <v>105152</v>
      </c>
      <c r="H494">
        <v>422078</v>
      </c>
      <c r="I494">
        <v>338</v>
      </c>
      <c r="J494">
        <v>0.97</v>
      </c>
      <c r="K494">
        <v>6.29</v>
      </c>
      <c r="L494">
        <v>1.2</v>
      </c>
      <c r="M494">
        <v>9</v>
      </c>
      <c r="N494">
        <v>717</v>
      </c>
    </row>
    <row r="495" spans="1:14" x14ac:dyDescent="0.35">
      <c r="A495">
        <v>2021</v>
      </c>
      <c r="B495">
        <v>6</v>
      </c>
      <c r="C495" t="s">
        <v>36</v>
      </c>
      <c r="D495" t="s">
        <v>29</v>
      </c>
      <c r="E495" t="s">
        <v>19</v>
      </c>
      <c r="F495" t="s">
        <v>27</v>
      </c>
      <c r="G495">
        <v>94658</v>
      </c>
      <c r="H495">
        <v>169975</v>
      </c>
      <c r="I495">
        <v>124</v>
      </c>
      <c r="J495">
        <v>0.97</v>
      </c>
      <c r="K495">
        <v>6.29</v>
      </c>
      <c r="L495">
        <v>1.2</v>
      </c>
      <c r="M495">
        <v>8</v>
      </c>
      <c r="N495">
        <v>428</v>
      </c>
    </row>
    <row r="496" spans="1:14" x14ac:dyDescent="0.35">
      <c r="A496">
        <v>2019</v>
      </c>
      <c r="B496">
        <v>8</v>
      </c>
      <c r="C496" t="s">
        <v>35</v>
      </c>
      <c r="D496" t="s">
        <v>39</v>
      </c>
      <c r="E496" t="s">
        <v>16</v>
      </c>
      <c r="F496" t="s">
        <v>23</v>
      </c>
      <c r="G496">
        <v>73498</v>
      </c>
      <c r="H496">
        <v>249215</v>
      </c>
      <c r="I496">
        <v>285</v>
      </c>
      <c r="J496">
        <v>0.97</v>
      </c>
      <c r="K496">
        <v>6.29</v>
      </c>
      <c r="L496">
        <v>1.2</v>
      </c>
      <c r="M496">
        <v>3</v>
      </c>
      <c r="N496">
        <v>929</v>
      </c>
    </row>
    <row r="497" spans="1:14" x14ac:dyDescent="0.35">
      <c r="A497">
        <v>2015</v>
      </c>
      <c r="B497">
        <v>9</v>
      </c>
      <c r="C497" t="s">
        <v>21</v>
      </c>
      <c r="D497" t="s">
        <v>31</v>
      </c>
      <c r="E497" t="s">
        <v>16</v>
      </c>
      <c r="F497" t="s">
        <v>17</v>
      </c>
      <c r="G497">
        <v>46772</v>
      </c>
      <c r="H497">
        <v>403330</v>
      </c>
      <c r="I497">
        <v>290</v>
      </c>
      <c r="J497">
        <v>0.97</v>
      </c>
      <c r="K497">
        <v>6.29</v>
      </c>
      <c r="L497">
        <v>1.2</v>
      </c>
      <c r="M497">
        <v>3</v>
      </c>
      <c r="N497">
        <v>1044</v>
      </c>
    </row>
    <row r="498" spans="1:14" x14ac:dyDescent="0.35">
      <c r="A498">
        <v>2021</v>
      </c>
      <c r="B498">
        <v>9</v>
      </c>
      <c r="C498" t="s">
        <v>14</v>
      </c>
      <c r="D498" t="s">
        <v>24</v>
      </c>
      <c r="E498" t="s">
        <v>19</v>
      </c>
      <c r="F498" t="s">
        <v>23</v>
      </c>
      <c r="G498">
        <v>84036</v>
      </c>
      <c r="H498">
        <v>416378</v>
      </c>
      <c r="I498">
        <v>284</v>
      </c>
      <c r="J498">
        <v>0.97</v>
      </c>
      <c r="K498">
        <v>6.29</v>
      </c>
      <c r="L498">
        <v>1.2</v>
      </c>
      <c r="M498">
        <v>1</v>
      </c>
      <c r="N498">
        <v>1016</v>
      </c>
    </row>
    <row r="499" spans="1:14" x14ac:dyDescent="0.35">
      <c r="A499">
        <v>2021</v>
      </c>
      <c r="B499">
        <v>4</v>
      </c>
      <c r="C499" t="s">
        <v>36</v>
      </c>
      <c r="D499" t="s">
        <v>18</v>
      </c>
      <c r="E499" t="s">
        <v>19</v>
      </c>
      <c r="F499" t="s">
        <v>17</v>
      </c>
      <c r="G499">
        <v>93531</v>
      </c>
      <c r="H499">
        <v>152326</v>
      </c>
      <c r="I499">
        <v>270</v>
      </c>
      <c r="J499">
        <v>0.97</v>
      </c>
      <c r="K499">
        <v>6.29</v>
      </c>
      <c r="L499">
        <v>1.2</v>
      </c>
      <c r="M499">
        <v>3</v>
      </c>
      <c r="N499">
        <v>602</v>
      </c>
    </row>
    <row r="500" spans="1:14" x14ac:dyDescent="0.35">
      <c r="A500">
        <v>2023</v>
      </c>
      <c r="B500">
        <v>5</v>
      </c>
      <c r="C500" t="s">
        <v>38</v>
      </c>
      <c r="D500" t="s">
        <v>29</v>
      </c>
      <c r="E500" t="s">
        <v>16</v>
      </c>
      <c r="F500" t="s">
        <v>23</v>
      </c>
      <c r="G500">
        <v>47940</v>
      </c>
      <c r="H500">
        <v>127527</v>
      </c>
      <c r="I500">
        <v>340</v>
      </c>
      <c r="J500">
        <v>0.97</v>
      </c>
      <c r="K500">
        <v>6.29</v>
      </c>
      <c r="L500">
        <v>1.2</v>
      </c>
      <c r="M500">
        <v>1</v>
      </c>
      <c r="N500">
        <v>1109</v>
      </c>
    </row>
    <row r="501" spans="1:14" x14ac:dyDescent="0.35">
      <c r="A501">
        <v>2017</v>
      </c>
      <c r="B501">
        <v>2</v>
      </c>
      <c r="C501" t="s">
        <v>25</v>
      </c>
      <c r="D501" t="s">
        <v>39</v>
      </c>
      <c r="E501" t="s">
        <v>16</v>
      </c>
      <c r="F501" t="s">
        <v>20</v>
      </c>
      <c r="G501">
        <v>51932</v>
      </c>
      <c r="H501">
        <v>398848</v>
      </c>
      <c r="I501">
        <v>216</v>
      </c>
      <c r="J501">
        <v>0.97</v>
      </c>
      <c r="K501">
        <v>6.29</v>
      </c>
      <c r="L501">
        <v>1.2</v>
      </c>
      <c r="M501">
        <v>8</v>
      </c>
      <c r="N501">
        <v>711</v>
      </c>
    </row>
    <row r="502" spans="1:14" x14ac:dyDescent="0.35">
      <c r="A502">
        <v>2023</v>
      </c>
      <c r="B502">
        <v>11</v>
      </c>
      <c r="C502" t="s">
        <v>25</v>
      </c>
      <c r="D502" t="s">
        <v>29</v>
      </c>
      <c r="E502" t="s">
        <v>16</v>
      </c>
      <c r="F502" t="s">
        <v>20</v>
      </c>
      <c r="G502">
        <v>91827</v>
      </c>
      <c r="H502">
        <v>474315</v>
      </c>
      <c r="I502">
        <v>393</v>
      </c>
      <c r="J502">
        <v>0.97</v>
      </c>
      <c r="K502">
        <v>6.29</v>
      </c>
      <c r="L502">
        <v>1.2</v>
      </c>
      <c r="M502">
        <v>1</v>
      </c>
      <c r="N502">
        <v>896</v>
      </c>
    </row>
    <row r="503" spans="1:14" x14ac:dyDescent="0.35">
      <c r="A503">
        <v>2015</v>
      </c>
      <c r="B503">
        <v>9</v>
      </c>
      <c r="C503" t="s">
        <v>14</v>
      </c>
      <c r="D503" t="s">
        <v>34</v>
      </c>
      <c r="E503" t="s">
        <v>16</v>
      </c>
      <c r="F503" t="s">
        <v>23</v>
      </c>
      <c r="G503">
        <v>96431</v>
      </c>
      <c r="H503">
        <v>482601</v>
      </c>
      <c r="I503">
        <v>337</v>
      </c>
      <c r="J503">
        <v>0.97</v>
      </c>
      <c r="K503">
        <v>6.29</v>
      </c>
      <c r="L503">
        <v>1.2</v>
      </c>
      <c r="M503">
        <v>5</v>
      </c>
      <c r="N503">
        <v>937</v>
      </c>
    </row>
    <row r="504" spans="1:14" x14ac:dyDescent="0.35">
      <c r="A504">
        <v>2015</v>
      </c>
      <c r="B504">
        <v>8</v>
      </c>
      <c r="C504" t="s">
        <v>35</v>
      </c>
      <c r="D504" t="s">
        <v>34</v>
      </c>
      <c r="E504" t="s">
        <v>19</v>
      </c>
      <c r="F504" t="s">
        <v>27</v>
      </c>
      <c r="G504">
        <v>59648</v>
      </c>
      <c r="H504">
        <v>216991</v>
      </c>
      <c r="I504">
        <v>220</v>
      </c>
      <c r="J504">
        <v>0.97</v>
      </c>
      <c r="K504">
        <v>6.29</v>
      </c>
      <c r="L504">
        <v>1.2</v>
      </c>
      <c r="M504">
        <v>9</v>
      </c>
      <c r="N504">
        <v>724</v>
      </c>
    </row>
    <row r="505" spans="1:14" x14ac:dyDescent="0.35">
      <c r="A505">
        <v>2018</v>
      </c>
      <c r="B505">
        <v>3</v>
      </c>
      <c r="C505" t="s">
        <v>25</v>
      </c>
      <c r="D505" t="s">
        <v>34</v>
      </c>
      <c r="E505" t="s">
        <v>19</v>
      </c>
      <c r="F505" t="s">
        <v>17</v>
      </c>
      <c r="G505">
        <v>67966</v>
      </c>
      <c r="H505">
        <v>146952</v>
      </c>
      <c r="I505">
        <v>224</v>
      </c>
      <c r="J505">
        <v>0.97</v>
      </c>
      <c r="K505">
        <v>6.29</v>
      </c>
      <c r="L505">
        <v>1.2</v>
      </c>
      <c r="M505">
        <v>7</v>
      </c>
      <c r="N505">
        <v>480</v>
      </c>
    </row>
    <row r="506" spans="1:14" x14ac:dyDescent="0.35">
      <c r="A506">
        <v>2023</v>
      </c>
      <c r="B506">
        <v>11</v>
      </c>
      <c r="C506" t="s">
        <v>36</v>
      </c>
      <c r="D506" t="s">
        <v>31</v>
      </c>
      <c r="E506" t="s">
        <v>20</v>
      </c>
      <c r="F506" t="s">
        <v>20</v>
      </c>
      <c r="G506">
        <v>62777</v>
      </c>
      <c r="H506">
        <v>372926</v>
      </c>
      <c r="I506">
        <v>49</v>
      </c>
      <c r="J506">
        <v>0.97</v>
      </c>
      <c r="K506">
        <v>6.29</v>
      </c>
      <c r="L506">
        <v>1.2</v>
      </c>
      <c r="M506">
        <v>4</v>
      </c>
      <c r="N506">
        <v>157</v>
      </c>
    </row>
    <row r="507" spans="1:14" x14ac:dyDescent="0.35">
      <c r="A507">
        <v>2020</v>
      </c>
      <c r="B507">
        <v>12</v>
      </c>
      <c r="C507" t="s">
        <v>37</v>
      </c>
      <c r="D507" t="s">
        <v>18</v>
      </c>
      <c r="E507" t="s">
        <v>16</v>
      </c>
      <c r="F507" t="s">
        <v>27</v>
      </c>
      <c r="G507">
        <v>67567</v>
      </c>
      <c r="H507">
        <v>383260</v>
      </c>
      <c r="I507">
        <v>35</v>
      </c>
      <c r="J507">
        <v>0.97</v>
      </c>
      <c r="K507">
        <v>6.29</v>
      </c>
      <c r="L507">
        <v>1.2</v>
      </c>
      <c r="M507">
        <v>9</v>
      </c>
      <c r="N507">
        <v>488</v>
      </c>
    </row>
    <row r="508" spans="1:14" x14ac:dyDescent="0.35">
      <c r="A508">
        <v>2017</v>
      </c>
      <c r="B508">
        <v>9</v>
      </c>
      <c r="C508" t="s">
        <v>28</v>
      </c>
      <c r="D508" t="s">
        <v>31</v>
      </c>
      <c r="E508" t="s">
        <v>20</v>
      </c>
      <c r="F508" t="s">
        <v>17</v>
      </c>
      <c r="G508">
        <v>52174</v>
      </c>
      <c r="H508">
        <v>401770</v>
      </c>
      <c r="I508">
        <v>36</v>
      </c>
      <c r="J508">
        <v>0.97</v>
      </c>
      <c r="K508">
        <v>6.29</v>
      </c>
      <c r="L508">
        <v>1.2</v>
      </c>
      <c r="M508">
        <v>9</v>
      </c>
      <c r="N508">
        <v>149</v>
      </c>
    </row>
    <row r="509" spans="1:14" x14ac:dyDescent="0.35">
      <c r="A509">
        <v>2015</v>
      </c>
      <c r="B509">
        <v>3</v>
      </c>
      <c r="C509" t="s">
        <v>28</v>
      </c>
      <c r="D509" t="s">
        <v>15</v>
      </c>
      <c r="E509" t="s">
        <v>19</v>
      </c>
      <c r="F509" t="s">
        <v>20</v>
      </c>
      <c r="G509">
        <v>77598</v>
      </c>
      <c r="H509">
        <v>483603</v>
      </c>
      <c r="I509">
        <v>199</v>
      </c>
      <c r="J509">
        <v>0.97</v>
      </c>
      <c r="K509">
        <v>6.29</v>
      </c>
      <c r="L509">
        <v>1.2</v>
      </c>
      <c r="M509">
        <v>2</v>
      </c>
      <c r="N509">
        <v>863</v>
      </c>
    </row>
    <row r="510" spans="1:14" x14ac:dyDescent="0.35">
      <c r="A510">
        <v>2018</v>
      </c>
      <c r="B510">
        <v>9</v>
      </c>
      <c r="C510" t="s">
        <v>32</v>
      </c>
      <c r="D510" t="s">
        <v>24</v>
      </c>
      <c r="E510" t="s">
        <v>19</v>
      </c>
      <c r="F510" t="s">
        <v>20</v>
      </c>
      <c r="G510">
        <v>94199</v>
      </c>
      <c r="H510">
        <v>196895</v>
      </c>
      <c r="I510">
        <v>92</v>
      </c>
      <c r="J510">
        <v>0.97</v>
      </c>
      <c r="K510">
        <v>6.29</v>
      </c>
      <c r="L510">
        <v>1.2</v>
      </c>
      <c r="M510">
        <v>10</v>
      </c>
      <c r="N510">
        <v>512</v>
      </c>
    </row>
    <row r="511" spans="1:14" x14ac:dyDescent="0.35">
      <c r="A511">
        <v>2023</v>
      </c>
      <c r="B511">
        <v>2</v>
      </c>
      <c r="C511" t="s">
        <v>30</v>
      </c>
      <c r="D511" t="s">
        <v>24</v>
      </c>
      <c r="E511" t="s">
        <v>20</v>
      </c>
      <c r="F511" t="s">
        <v>23</v>
      </c>
      <c r="G511">
        <v>48798</v>
      </c>
      <c r="H511">
        <v>96015</v>
      </c>
      <c r="I511">
        <v>393</v>
      </c>
      <c r="J511">
        <v>0.97</v>
      </c>
      <c r="K511">
        <v>6.29</v>
      </c>
      <c r="L511">
        <v>1.2</v>
      </c>
      <c r="M511">
        <v>10</v>
      </c>
      <c r="N511">
        <v>1153</v>
      </c>
    </row>
    <row r="512" spans="1:14" x14ac:dyDescent="0.35">
      <c r="A512">
        <v>2017</v>
      </c>
      <c r="B512">
        <v>12</v>
      </c>
      <c r="C512" t="s">
        <v>21</v>
      </c>
      <c r="D512" t="s">
        <v>34</v>
      </c>
      <c r="E512" t="s">
        <v>16</v>
      </c>
      <c r="F512" t="s">
        <v>17</v>
      </c>
      <c r="G512">
        <v>100364</v>
      </c>
      <c r="H512">
        <v>152877</v>
      </c>
      <c r="I512">
        <v>179</v>
      </c>
      <c r="J512">
        <v>0.97</v>
      </c>
      <c r="K512">
        <v>6.29</v>
      </c>
      <c r="L512">
        <v>1.2</v>
      </c>
      <c r="M512">
        <v>6</v>
      </c>
      <c r="N512">
        <v>639</v>
      </c>
    </row>
    <row r="513" spans="1:14" x14ac:dyDescent="0.35">
      <c r="A513">
        <v>2023</v>
      </c>
      <c r="B513">
        <v>10</v>
      </c>
      <c r="C513" t="s">
        <v>14</v>
      </c>
      <c r="D513" t="s">
        <v>15</v>
      </c>
      <c r="E513" t="s">
        <v>16</v>
      </c>
      <c r="F513" t="s">
        <v>27</v>
      </c>
      <c r="G513">
        <v>52558</v>
      </c>
      <c r="H513">
        <v>327483</v>
      </c>
      <c r="I513">
        <v>176</v>
      </c>
      <c r="J513">
        <v>0.97</v>
      </c>
      <c r="K513">
        <v>6.29</v>
      </c>
      <c r="L513">
        <v>1.2</v>
      </c>
      <c r="M513">
        <v>4</v>
      </c>
      <c r="N513">
        <v>545</v>
      </c>
    </row>
    <row r="514" spans="1:14" x14ac:dyDescent="0.35">
      <c r="A514">
        <v>2021</v>
      </c>
      <c r="B514">
        <v>9</v>
      </c>
      <c r="C514" t="s">
        <v>32</v>
      </c>
      <c r="D514" t="s">
        <v>33</v>
      </c>
      <c r="E514" t="s">
        <v>16</v>
      </c>
      <c r="F514" t="s">
        <v>27</v>
      </c>
      <c r="G514">
        <v>96084</v>
      </c>
      <c r="H514">
        <v>184563</v>
      </c>
      <c r="I514">
        <v>197</v>
      </c>
      <c r="J514">
        <v>0.97</v>
      </c>
      <c r="K514">
        <v>6.29</v>
      </c>
      <c r="L514">
        <v>1.2</v>
      </c>
      <c r="M514">
        <v>8</v>
      </c>
      <c r="N514">
        <v>430</v>
      </c>
    </row>
    <row r="515" spans="1:14" x14ac:dyDescent="0.35">
      <c r="A515">
        <v>2018</v>
      </c>
      <c r="B515">
        <v>8</v>
      </c>
      <c r="C515" t="s">
        <v>30</v>
      </c>
      <c r="D515" t="s">
        <v>33</v>
      </c>
      <c r="E515" t="s">
        <v>16</v>
      </c>
      <c r="F515" t="s">
        <v>27</v>
      </c>
      <c r="G515">
        <v>79237</v>
      </c>
      <c r="H515">
        <v>443922</v>
      </c>
      <c r="I515">
        <v>178</v>
      </c>
      <c r="J515">
        <v>0.97</v>
      </c>
      <c r="K515">
        <v>6.29</v>
      </c>
      <c r="L515">
        <v>1.2</v>
      </c>
      <c r="M515">
        <v>7</v>
      </c>
      <c r="N515">
        <v>807</v>
      </c>
    </row>
    <row r="516" spans="1:14" x14ac:dyDescent="0.35">
      <c r="A516">
        <v>2017</v>
      </c>
      <c r="B516">
        <v>9</v>
      </c>
      <c r="C516" t="s">
        <v>35</v>
      </c>
      <c r="D516" t="s">
        <v>34</v>
      </c>
      <c r="E516" t="s">
        <v>20</v>
      </c>
      <c r="F516" t="s">
        <v>17</v>
      </c>
      <c r="G516">
        <v>100497</v>
      </c>
      <c r="H516">
        <v>147493</v>
      </c>
      <c r="I516">
        <v>298</v>
      </c>
      <c r="J516">
        <v>0.97</v>
      </c>
      <c r="K516">
        <v>6.29</v>
      </c>
      <c r="L516">
        <v>1.2</v>
      </c>
      <c r="M516">
        <v>7</v>
      </c>
      <c r="N516">
        <v>622</v>
      </c>
    </row>
    <row r="517" spans="1:14" x14ac:dyDescent="0.35">
      <c r="A517">
        <v>2024</v>
      </c>
      <c r="B517">
        <v>5</v>
      </c>
      <c r="C517" t="s">
        <v>38</v>
      </c>
      <c r="D517" t="s">
        <v>39</v>
      </c>
      <c r="E517" t="s">
        <v>20</v>
      </c>
      <c r="F517" t="s">
        <v>27</v>
      </c>
      <c r="G517">
        <v>35178</v>
      </c>
      <c r="H517">
        <v>196800</v>
      </c>
      <c r="I517">
        <v>238</v>
      </c>
      <c r="J517">
        <v>0.97</v>
      </c>
      <c r="K517">
        <v>6.29</v>
      </c>
      <c r="L517">
        <v>1.2</v>
      </c>
      <c r="M517">
        <v>10</v>
      </c>
      <c r="N517">
        <v>805</v>
      </c>
    </row>
    <row r="518" spans="1:14" x14ac:dyDescent="0.35">
      <c r="A518">
        <v>2019</v>
      </c>
      <c r="B518">
        <v>11</v>
      </c>
      <c r="C518" t="s">
        <v>38</v>
      </c>
      <c r="D518" t="s">
        <v>31</v>
      </c>
      <c r="E518" t="s">
        <v>19</v>
      </c>
      <c r="F518" t="s">
        <v>27</v>
      </c>
      <c r="G518">
        <v>52118</v>
      </c>
      <c r="H518">
        <v>450213</v>
      </c>
      <c r="I518">
        <v>106</v>
      </c>
      <c r="J518">
        <v>0.97</v>
      </c>
      <c r="K518">
        <v>6.29</v>
      </c>
      <c r="L518">
        <v>1.2</v>
      </c>
      <c r="M518">
        <v>9</v>
      </c>
      <c r="N518">
        <v>667</v>
      </c>
    </row>
    <row r="519" spans="1:14" x14ac:dyDescent="0.35">
      <c r="A519">
        <v>2019</v>
      </c>
      <c r="B519">
        <v>11</v>
      </c>
      <c r="C519" t="s">
        <v>21</v>
      </c>
      <c r="D519" t="s">
        <v>34</v>
      </c>
      <c r="E519" t="s">
        <v>16</v>
      </c>
      <c r="F519" t="s">
        <v>27</v>
      </c>
      <c r="G519">
        <v>57616</v>
      </c>
      <c r="H519">
        <v>241480</v>
      </c>
      <c r="I519">
        <v>376</v>
      </c>
      <c r="J519">
        <v>0.97</v>
      </c>
      <c r="K519">
        <v>6.29</v>
      </c>
      <c r="L519">
        <v>1.2</v>
      </c>
      <c r="M519">
        <v>5</v>
      </c>
      <c r="N519">
        <v>1202</v>
      </c>
    </row>
    <row r="520" spans="1:14" x14ac:dyDescent="0.35">
      <c r="A520">
        <v>2017</v>
      </c>
      <c r="B520">
        <v>2</v>
      </c>
      <c r="C520" t="s">
        <v>25</v>
      </c>
      <c r="D520" t="s">
        <v>26</v>
      </c>
      <c r="E520" t="s">
        <v>16</v>
      </c>
      <c r="F520" t="s">
        <v>23</v>
      </c>
      <c r="G520">
        <v>35798</v>
      </c>
      <c r="H520">
        <v>441670</v>
      </c>
      <c r="I520">
        <v>25</v>
      </c>
      <c r="J520">
        <v>0.97</v>
      </c>
      <c r="K520">
        <v>6.29</v>
      </c>
      <c r="L520">
        <v>1.2</v>
      </c>
      <c r="M520">
        <v>6</v>
      </c>
      <c r="N520">
        <v>151</v>
      </c>
    </row>
    <row r="521" spans="1:14" x14ac:dyDescent="0.35">
      <c r="A521">
        <v>2023</v>
      </c>
      <c r="B521">
        <v>8</v>
      </c>
      <c r="C521" t="s">
        <v>36</v>
      </c>
      <c r="D521" t="s">
        <v>29</v>
      </c>
      <c r="E521" t="s">
        <v>16</v>
      </c>
      <c r="F521" t="s">
        <v>23</v>
      </c>
      <c r="G521">
        <v>42601</v>
      </c>
      <c r="H521">
        <v>481739</v>
      </c>
      <c r="I521">
        <v>288</v>
      </c>
      <c r="J521">
        <v>0.97</v>
      </c>
      <c r="K521">
        <v>6.29</v>
      </c>
      <c r="L521">
        <v>1.2</v>
      </c>
      <c r="M521">
        <v>1</v>
      </c>
      <c r="N521">
        <v>711</v>
      </c>
    </row>
    <row r="522" spans="1:14" x14ac:dyDescent="0.35">
      <c r="A522">
        <v>2018</v>
      </c>
      <c r="B522">
        <v>12</v>
      </c>
      <c r="C522" t="s">
        <v>32</v>
      </c>
      <c r="D522" t="s">
        <v>24</v>
      </c>
      <c r="E522" t="s">
        <v>20</v>
      </c>
      <c r="F522" t="s">
        <v>17</v>
      </c>
      <c r="G522">
        <v>60363</v>
      </c>
      <c r="H522">
        <v>171648</v>
      </c>
      <c r="I522">
        <v>144</v>
      </c>
      <c r="J522">
        <v>0.97</v>
      </c>
      <c r="K522">
        <v>6.29</v>
      </c>
      <c r="L522">
        <v>1.2</v>
      </c>
      <c r="M522">
        <v>6</v>
      </c>
      <c r="N522">
        <v>561</v>
      </c>
    </row>
    <row r="523" spans="1:14" x14ac:dyDescent="0.35">
      <c r="A523">
        <v>2019</v>
      </c>
      <c r="B523">
        <v>6</v>
      </c>
      <c r="C523" t="s">
        <v>32</v>
      </c>
      <c r="D523" t="s">
        <v>33</v>
      </c>
      <c r="E523" t="s">
        <v>16</v>
      </c>
      <c r="F523" t="s">
        <v>17</v>
      </c>
      <c r="G523">
        <v>37795</v>
      </c>
      <c r="H523">
        <v>337307</v>
      </c>
      <c r="I523">
        <v>35</v>
      </c>
      <c r="J523">
        <v>0.97</v>
      </c>
      <c r="K523">
        <v>6.29</v>
      </c>
      <c r="L523">
        <v>1.2</v>
      </c>
      <c r="M523">
        <v>2</v>
      </c>
      <c r="N523">
        <v>192</v>
      </c>
    </row>
    <row r="524" spans="1:14" x14ac:dyDescent="0.35">
      <c r="A524">
        <v>2018</v>
      </c>
      <c r="B524">
        <v>8</v>
      </c>
      <c r="C524" t="s">
        <v>14</v>
      </c>
      <c r="D524" t="s">
        <v>22</v>
      </c>
      <c r="E524" t="s">
        <v>20</v>
      </c>
      <c r="F524" t="s">
        <v>27</v>
      </c>
      <c r="G524">
        <v>80264</v>
      </c>
      <c r="H524">
        <v>198790</v>
      </c>
      <c r="I524">
        <v>361</v>
      </c>
      <c r="J524">
        <v>0.97</v>
      </c>
      <c r="K524">
        <v>6.29</v>
      </c>
      <c r="L524">
        <v>1.2</v>
      </c>
      <c r="M524">
        <v>6</v>
      </c>
      <c r="N524">
        <v>936</v>
      </c>
    </row>
    <row r="525" spans="1:14" x14ac:dyDescent="0.35">
      <c r="A525">
        <v>2019</v>
      </c>
      <c r="B525">
        <v>11</v>
      </c>
      <c r="C525" t="s">
        <v>14</v>
      </c>
      <c r="D525" t="s">
        <v>33</v>
      </c>
      <c r="E525" t="s">
        <v>16</v>
      </c>
      <c r="F525" t="s">
        <v>23</v>
      </c>
      <c r="G525">
        <v>107833</v>
      </c>
      <c r="H525">
        <v>137508</v>
      </c>
      <c r="I525">
        <v>21</v>
      </c>
      <c r="J525">
        <v>0.97</v>
      </c>
      <c r="K525">
        <v>6.29</v>
      </c>
      <c r="L525">
        <v>1.2</v>
      </c>
      <c r="M525">
        <v>9</v>
      </c>
      <c r="N525">
        <v>395</v>
      </c>
    </row>
    <row r="526" spans="1:14" x14ac:dyDescent="0.35">
      <c r="A526">
        <v>2021</v>
      </c>
      <c r="B526">
        <v>5</v>
      </c>
      <c r="C526" t="s">
        <v>38</v>
      </c>
      <c r="D526" t="s">
        <v>24</v>
      </c>
      <c r="E526" t="s">
        <v>16</v>
      </c>
      <c r="F526" t="s">
        <v>20</v>
      </c>
      <c r="G526">
        <v>38084</v>
      </c>
      <c r="H526">
        <v>264839</v>
      </c>
      <c r="I526">
        <v>81</v>
      </c>
      <c r="J526">
        <v>0.97</v>
      </c>
      <c r="K526">
        <v>6.29</v>
      </c>
      <c r="L526">
        <v>1.2</v>
      </c>
      <c r="M526">
        <v>8</v>
      </c>
      <c r="N526">
        <v>267</v>
      </c>
    </row>
    <row r="527" spans="1:14" x14ac:dyDescent="0.35">
      <c r="A527">
        <v>2023</v>
      </c>
      <c r="B527">
        <v>10</v>
      </c>
      <c r="C527" t="s">
        <v>38</v>
      </c>
      <c r="D527" t="s">
        <v>29</v>
      </c>
      <c r="E527" t="s">
        <v>19</v>
      </c>
      <c r="F527" t="s">
        <v>20</v>
      </c>
      <c r="G527">
        <v>111646</v>
      </c>
      <c r="H527">
        <v>351763</v>
      </c>
      <c r="I527">
        <v>142</v>
      </c>
      <c r="J527">
        <v>0.97</v>
      </c>
      <c r="K527">
        <v>6.29</v>
      </c>
      <c r="L527">
        <v>1.2</v>
      </c>
      <c r="M527">
        <v>9</v>
      </c>
      <c r="N527">
        <v>716</v>
      </c>
    </row>
    <row r="528" spans="1:14" x14ac:dyDescent="0.35">
      <c r="A528">
        <v>2021</v>
      </c>
      <c r="B528">
        <v>2</v>
      </c>
      <c r="C528" t="s">
        <v>37</v>
      </c>
      <c r="D528" t="s">
        <v>24</v>
      </c>
      <c r="E528" t="s">
        <v>16</v>
      </c>
      <c r="F528" t="s">
        <v>27</v>
      </c>
      <c r="G528">
        <v>35731</v>
      </c>
      <c r="H528">
        <v>324270</v>
      </c>
      <c r="I528">
        <v>115</v>
      </c>
      <c r="J528">
        <v>0.97</v>
      </c>
      <c r="K528">
        <v>6.29</v>
      </c>
      <c r="L528">
        <v>1.2</v>
      </c>
      <c r="M528">
        <v>10</v>
      </c>
      <c r="N528">
        <v>524</v>
      </c>
    </row>
    <row r="529" spans="1:14" x14ac:dyDescent="0.35">
      <c r="A529">
        <v>2019</v>
      </c>
      <c r="B529">
        <v>6</v>
      </c>
      <c r="C529" t="s">
        <v>37</v>
      </c>
      <c r="D529" t="s">
        <v>22</v>
      </c>
      <c r="E529" t="s">
        <v>16</v>
      </c>
      <c r="F529" t="s">
        <v>27</v>
      </c>
      <c r="G529">
        <v>36129</v>
      </c>
      <c r="H529">
        <v>114926</v>
      </c>
      <c r="I529">
        <v>229</v>
      </c>
      <c r="J529">
        <v>0.97</v>
      </c>
      <c r="K529">
        <v>6.29</v>
      </c>
      <c r="L529">
        <v>1.2</v>
      </c>
      <c r="M529">
        <v>8</v>
      </c>
      <c r="N529">
        <v>717</v>
      </c>
    </row>
    <row r="530" spans="1:14" x14ac:dyDescent="0.35">
      <c r="A530">
        <v>2024</v>
      </c>
      <c r="B530">
        <v>5</v>
      </c>
      <c r="C530" t="s">
        <v>25</v>
      </c>
      <c r="D530" t="s">
        <v>34</v>
      </c>
      <c r="E530" t="s">
        <v>19</v>
      </c>
      <c r="F530" t="s">
        <v>23</v>
      </c>
      <c r="G530">
        <v>63022</v>
      </c>
      <c r="H530">
        <v>90633</v>
      </c>
      <c r="I530">
        <v>382</v>
      </c>
      <c r="J530">
        <v>0.97</v>
      </c>
      <c r="K530">
        <v>6.29</v>
      </c>
      <c r="L530">
        <v>1.2</v>
      </c>
      <c r="M530">
        <v>3</v>
      </c>
      <c r="N530">
        <v>935</v>
      </c>
    </row>
    <row r="531" spans="1:14" x14ac:dyDescent="0.35">
      <c r="A531">
        <v>2024</v>
      </c>
      <c r="B531">
        <v>12</v>
      </c>
      <c r="C531" t="s">
        <v>37</v>
      </c>
      <c r="D531" t="s">
        <v>15</v>
      </c>
      <c r="E531" t="s">
        <v>20</v>
      </c>
      <c r="F531" t="s">
        <v>23</v>
      </c>
      <c r="G531">
        <v>36605</v>
      </c>
      <c r="H531">
        <v>258726</v>
      </c>
      <c r="I531">
        <v>186</v>
      </c>
      <c r="J531">
        <v>0.97</v>
      </c>
      <c r="K531">
        <v>6.29</v>
      </c>
      <c r="L531">
        <v>1.2</v>
      </c>
      <c r="M531">
        <v>8</v>
      </c>
      <c r="N531">
        <v>622</v>
      </c>
    </row>
    <row r="532" spans="1:14" x14ac:dyDescent="0.35">
      <c r="A532">
        <v>2021</v>
      </c>
      <c r="B532">
        <v>12</v>
      </c>
      <c r="C532" t="s">
        <v>36</v>
      </c>
      <c r="D532" t="s">
        <v>22</v>
      </c>
      <c r="E532" t="s">
        <v>20</v>
      </c>
      <c r="F532" t="s">
        <v>23</v>
      </c>
      <c r="G532">
        <v>112506</v>
      </c>
      <c r="H532">
        <v>53317</v>
      </c>
      <c r="I532">
        <v>291</v>
      </c>
      <c r="J532">
        <v>0.97</v>
      </c>
      <c r="K532">
        <v>6.29</v>
      </c>
      <c r="L532">
        <v>1.2</v>
      </c>
      <c r="M532">
        <v>6</v>
      </c>
      <c r="N532">
        <v>681</v>
      </c>
    </row>
    <row r="533" spans="1:14" x14ac:dyDescent="0.35">
      <c r="A533">
        <v>2024</v>
      </c>
      <c r="B533">
        <v>5</v>
      </c>
      <c r="C533" t="s">
        <v>36</v>
      </c>
      <c r="D533" t="s">
        <v>24</v>
      </c>
      <c r="E533" t="s">
        <v>16</v>
      </c>
      <c r="F533" t="s">
        <v>17</v>
      </c>
      <c r="G533">
        <v>79130</v>
      </c>
      <c r="H533">
        <v>357124</v>
      </c>
      <c r="I533">
        <v>142</v>
      </c>
      <c r="J533">
        <v>0.97</v>
      </c>
      <c r="K533">
        <v>6.29</v>
      </c>
      <c r="L533">
        <v>1.2</v>
      </c>
      <c r="M533">
        <v>6</v>
      </c>
      <c r="N533">
        <v>348</v>
      </c>
    </row>
    <row r="534" spans="1:14" x14ac:dyDescent="0.35">
      <c r="A534">
        <v>2019</v>
      </c>
      <c r="B534">
        <v>1</v>
      </c>
      <c r="C534" t="s">
        <v>32</v>
      </c>
      <c r="D534" t="s">
        <v>24</v>
      </c>
      <c r="E534" t="s">
        <v>20</v>
      </c>
      <c r="F534" t="s">
        <v>17</v>
      </c>
      <c r="G534">
        <v>64265</v>
      </c>
      <c r="H534">
        <v>356259</v>
      </c>
      <c r="I534">
        <v>31</v>
      </c>
      <c r="J534">
        <v>0.97</v>
      </c>
      <c r="K534">
        <v>6.29</v>
      </c>
      <c r="L534">
        <v>1.2</v>
      </c>
      <c r="M534">
        <v>6</v>
      </c>
      <c r="N534">
        <v>231</v>
      </c>
    </row>
    <row r="535" spans="1:14" x14ac:dyDescent="0.35">
      <c r="A535">
        <v>2017</v>
      </c>
      <c r="B535">
        <v>2</v>
      </c>
      <c r="C535" t="s">
        <v>28</v>
      </c>
      <c r="D535" t="s">
        <v>26</v>
      </c>
      <c r="E535" t="s">
        <v>16</v>
      </c>
      <c r="F535" t="s">
        <v>27</v>
      </c>
      <c r="G535">
        <v>67330</v>
      </c>
      <c r="H535">
        <v>242718</v>
      </c>
      <c r="I535">
        <v>278</v>
      </c>
      <c r="J535">
        <v>0.97</v>
      </c>
      <c r="K535">
        <v>6.29</v>
      </c>
      <c r="L535">
        <v>1.2</v>
      </c>
      <c r="M535">
        <v>3</v>
      </c>
      <c r="N535">
        <v>896</v>
      </c>
    </row>
    <row r="536" spans="1:14" x14ac:dyDescent="0.35">
      <c r="A536">
        <v>2021</v>
      </c>
      <c r="B536">
        <v>8</v>
      </c>
      <c r="C536" t="s">
        <v>36</v>
      </c>
      <c r="D536" t="s">
        <v>26</v>
      </c>
      <c r="E536" t="s">
        <v>19</v>
      </c>
      <c r="F536" t="s">
        <v>17</v>
      </c>
      <c r="G536">
        <v>103469</v>
      </c>
      <c r="H536">
        <v>355302</v>
      </c>
      <c r="I536">
        <v>170</v>
      </c>
      <c r="J536">
        <v>0.97</v>
      </c>
      <c r="K536">
        <v>6.29</v>
      </c>
      <c r="L536">
        <v>1.2</v>
      </c>
      <c r="M536">
        <v>10</v>
      </c>
      <c r="N536">
        <v>735</v>
      </c>
    </row>
    <row r="537" spans="1:14" x14ac:dyDescent="0.35">
      <c r="A537">
        <v>2016</v>
      </c>
      <c r="B537">
        <v>3</v>
      </c>
      <c r="C537" t="s">
        <v>30</v>
      </c>
      <c r="D537" t="s">
        <v>18</v>
      </c>
      <c r="E537" t="s">
        <v>19</v>
      </c>
      <c r="F537" t="s">
        <v>23</v>
      </c>
      <c r="G537">
        <v>50187</v>
      </c>
      <c r="H537">
        <v>237035</v>
      </c>
      <c r="I537">
        <v>116</v>
      </c>
      <c r="J537">
        <v>0.97</v>
      </c>
      <c r="K537">
        <v>6.29</v>
      </c>
      <c r="L537">
        <v>1.2</v>
      </c>
      <c r="M537">
        <v>1</v>
      </c>
      <c r="N537">
        <v>708</v>
      </c>
    </row>
    <row r="538" spans="1:14" x14ac:dyDescent="0.35">
      <c r="A538">
        <v>2023</v>
      </c>
      <c r="B538">
        <v>10</v>
      </c>
      <c r="C538" t="s">
        <v>38</v>
      </c>
      <c r="D538" t="s">
        <v>26</v>
      </c>
      <c r="E538" t="s">
        <v>16</v>
      </c>
      <c r="F538" t="s">
        <v>23</v>
      </c>
      <c r="G538">
        <v>60791</v>
      </c>
      <c r="H538">
        <v>490847</v>
      </c>
      <c r="I538">
        <v>288</v>
      </c>
      <c r="J538">
        <v>0.97</v>
      </c>
      <c r="K538">
        <v>6.29</v>
      </c>
      <c r="L538">
        <v>1.2</v>
      </c>
      <c r="M538">
        <v>4</v>
      </c>
      <c r="N538">
        <v>625</v>
      </c>
    </row>
    <row r="539" spans="1:14" x14ac:dyDescent="0.35">
      <c r="A539">
        <v>2024</v>
      </c>
      <c r="B539">
        <v>3</v>
      </c>
      <c r="C539" t="s">
        <v>14</v>
      </c>
      <c r="D539" t="s">
        <v>31</v>
      </c>
      <c r="E539" t="s">
        <v>19</v>
      </c>
      <c r="F539" t="s">
        <v>17</v>
      </c>
      <c r="G539">
        <v>105610</v>
      </c>
      <c r="H539">
        <v>230388</v>
      </c>
      <c r="I539">
        <v>362</v>
      </c>
      <c r="J539">
        <v>0.97</v>
      </c>
      <c r="K539">
        <v>6.29</v>
      </c>
      <c r="L539">
        <v>1.2</v>
      </c>
      <c r="M539">
        <v>10</v>
      </c>
      <c r="N539">
        <v>1022</v>
      </c>
    </row>
    <row r="540" spans="1:14" x14ac:dyDescent="0.35">
      <c r="A540">
        <v>2024</v>
      </c>
      <c r="B540">
        <v>8</v>
      </c>
      <c r="C540" t="s">
        <v>37</v>
      </c>
      <c r="D540" t="s">
        <v>15</v>
      </c>
      <c r="E540" t="s">
        <v>19</v>
      </c>
      <c r="F540" t="s">
        <v>20</v>
      </c>
      <c r="G540">
        <v>74867</v>
      </c>
      <c r="H540">
        <v>417508</v>
      </c>
      <c r="I540">
        <v>244</v>
      </c>
      <c r="J540">
        <v>0.97</v>
      </c>
      <c r="K540">
        <v>6.29</v>
      </c>
      <c r="L540">
        <v>1.2</v>
      </c>
      <c r="M540">
        <v>6</v>
      </c>
      <c r="N540">
        <v>951</v>
      </c>
    </row>
    <row r="541" spans="1:14" x14ac:dyDescent="0.35">
      <c r="A541">
        <v>2015</v>
      </c>
      <c r="B541">
        <v>8</v>
      </c>
      <c r="C541" t="s">
        <v>32</v>
      </c>
      <c r="D541" t="s">
        <v>29</v>
      </c>
      <c r="E541" t="s">
        <v>16</v>
      </c>
      <c r="F541" t="s">
        <v>27</v>
      </c>
      <c r="G541">
        <v>35893</v>
      </c>
      <c r="H541">
        <v>327648</v>
      </c>
      <c r="I541">
        <v>27</v>
      </c>
      <c r="J541">
        <v>0.97</v>
      </c>
      <c r="K541">
        <v>6.29</v>
      </c>
      <c r="L541">
        <v>1.2</v>
      </c>
      <c r="M541">
        <v>10</v>
      </c>
      <c r="N541">
        <v>212</v>
      </c>
    </row>
    <row r="542" spans="1:14" x14ac:dyDescent="0.35">
      <c r="A542">
        <v>2020</v>
      </c>
      <c r="B542">
        <v>2</v>
      </c>
      <c r="C542" t="s">
        <v>21</v>
      </c>
      <c r="D542" t="s">
        <v>22</v>
      </c>
      <c r="E542" t="s">
        <v>16</v>
      </c>
      <c r="F542" t="s">
        <v>20</v>
      </c>
      <c r="G542">
        <v>54773</v>
      </c>
      <c r="H542">
        <v>249665</v>
      </c>
      <c r="I542">
        <v>251</v>
      </c>
      <c r="J542">
        <v>0.97</v>
      </c>
      <c r="K542">
        <v>6.29</v>
      </c>
      <c r="L542">
        <v>1.2</v>
      </c>
      <c r="M542">
        <v>2</v>
      </c>
      <c r="N542">
        <v>982</v>
      </c>
    </row>
    <row r="543" spans="1:14" x14ac:dyDescent="0.35">
      <c r="A543">
        <v>2021</v>
      </c>
      <c r="B543">
        <v>8</v>
      </c>
      <c r="C543" t="s">
        <v>14</v>
      </c>
      <c r="D543" t="s">
        <v>24</v>
      </c>
      <c r="E543" t="s">
        <v>19</v>
      </c>
      <c r="F543" t="s">
        <v>27</v>
      </c>
      <c r="G543">
        <v>39239</v>
      </c>
      <c r="H543">
        <v>469876</v>
      </c>
      <c r="I543">
        <v>126</v>
      </c>
      <c r="J543">
        <v>0.97</v>
      </c>
      <c r="K543">
        <v>6.29</v>
      </c>
      <c r="L543">
        <v>1.2</v>
      </c>
      <c r="M543">
        <v>7</v>
      </c>
      <c r="N543">
        <v>659</v>
      </c>
    </row>
    <row r="544" spans="1:14" x14ac:dyDescent="0.35">
      <c r="A544">
        <v>2022</v>
      </c>
      <c r="B544">
        <v>11</v>
      </c>
      <c r="C544" t="s">
        <v>30</v>
      </c>
      <c r="D544" t="s">
        <v>18</v>
      </c>
      <c r="E544" t="s">
        <v>20</v>
      </c>
      <c r="F544" t="s">
        <v>20</v>
      </c>
      <c r="G544">
        <v>55863</v>
      </c>
      <c r="H544">
        <v>349340</v>
      </c>
      <c r="I544">
        <v>295</v>
      </c>
      <c r="J544">
        <v>0.97</v>
      </c>
      <c r="K544">
        <v>6.29</v>
      </c>
      <c r="L544">
        <v>1.2</v>
      </c>
      <c r="M544">
        <v>7</v>
      </c>
      <c r="N544">
        <v>1031</v>
      </c>
    </row>
    <row r="545" spans="1:14" x14ac:dyDescent="0.35">
      <c r="A545">
        <v>2024</v>
      </c>
      <c r="B545">
        <v>1</v>
      </c>
      <c r="C545" t="s">
        <v>37</v>
      </c>
      <c r="D545" t="s">
        <v>18</v>
      </c>
      <c r="E545" t="s">
        <v>20</v>
      </c>
      <c r="F545" t="s">
        <v>17</v>
      </c>
      <c r="G545">
        <v>86415</v>
      </c>
      <c r="H545">
        <v>378082</v>
      </c>
      <c r="I545">
        <v>291</v>
      </c>
      <c r="J545">
        <v>0.97</v>
      </c>
      <c r="K545">
        <v>6.29</v>
      </c>
      <c r="L545">
        <v>1.2</v>
      </c>
      <c r="M545">
        <v>4</v>
      </c>
      <c r="N545">
        <v>666</v>
      </c>
    </row>
    <row r="546" spans="1:14" x14ac:dyDescent="0.35">
      <c r="A546">
        <v>2023</v>
      </c>
      <c r="B546">
        <v>6</v>
      </c>
      <c r="C546" t="s">
        <v>30</v>
      </c>
      <c r="D546" t="s">
        <v>29</v>
      </c>
      <c r="E546" t="s">
        <v>16</v>
      </c>
      <c r="F546" t="s">
        <v>27</v>
      </c>
      <c r="G546">
        <v>103968</v>
      </c>
      <c r="H546">
        <v>451821</v>
      </c>
      <c r="I546">
        <v>153</v>
      </c>
      <c r="J546">
        <v>0.97</v>
      </c>
      <c r="K546">
        <v>6.29</v>
      </c>
      <c r="L546">
        <v>1.2</v>
      </c>
      <c r="M546">
        <v>4</v>
      </c>
      <c r="N546">
        <v>601</v>
      </c>
    </row>
    <row r="547" spans="1:14" x14ac:dyDescent="0.35">
      <c r="A547">
        <v>2016</v>
      </c>
      <c r="B547">
        <v>8</v>
      </c>
      <c r="C547" t="s">
        <v>38</v>
      </c>
      <c r="D547" t="s">
        <v>15</v>
      </c>
      <c r="E547" t="s">
        <v>16</v>
      </c>
      <c r="F547" t="s">
        <v>27</v>
      </c>
      <c r="G547">
        <v>95430</v>
      </c>
      <c r="H547">
        <v>369532</v>
      </c>
      <c r="I547">
        <v>214</v>
      </c>
      <c r="J547">
        <v>0.97</v>
      </c>
      <c r="K547">
        <v>6.29</v>
      </c>
      <c r="L547">
        <v>1.2</v>
      </c>
      <c r="M547">
        <v>1</v>
      </c>
      <c r="N547">
        <v>510</v>
      </c>
    </row>
    <row r="548" spans="1:14" x14ac:dyDescent="0.35">
      <c r="A548">
        <v>2024</v>
      </c>
      <c r="B548">
        <v>3</v>
      </c>
      <c r="C548" t="s">
        <v>38</v>
      </c>
      <c r="D548" t="s">
        <v>22</v>
      </c>
      <c r="E548" t="s">
        <v>20</v>
      </c>
      <c r="F548" t="s">
        <v>27</v>
      </c>
      <c r="G548">
        <v>36515</v>
      </c>
      <c r="H548">
        <v>262369</v>
      </c>
      <c r="I548">
        <v>48</v>
      </c>
      <c r="J548">
        <v>0.97</v>
      </c>
      <c r="K548">
        <v>6.29</v>
      </c>
      <c r="L548">
        <v>1.2</v>
      </c>
      <c r="M548">
        <v>2</v>
      </c>
      <c r="N548">
        <v>474</v>
      </c>
    </row>
    <row r="549" spans="1:14" x14ac:dyDescent="0.35">
      <c r="A549">
        <v>2016</v>
      </c>
      <c r="B549">
        <v>8</v>
      </c>
      <c r="C549" t="s">
        <v>25</v>
      </c>
      <c r="D549" t="s">
        <v>33</v>
      </c>
      <c r="E549" t="s">
        <v>19</v>
      </c>
      <c r="F549" t="s">
        <v>23</v>
      </c>
      <c r="G549">
        <v>49605</v>
      </c>
      <c r="H549">
        <v>105501</v>
      </c>
      <c r="I549">
        <v>163</v>
      </c>
      <c r="J549">
        <v>0.97</v>
      </c>
      <c r="K549">
        <v>6.29</v>
      </c>
      <c r="L549">
        <v>1.2</v>
      </c>
      <c r="M549">
        <v>9</v>
      </c>
      <c r="N549">
        <v>759</v>
      </c>
    </row>
    <row r="550" spans="1:14" x14ac:dyDescent="0.35">
      <c r="A550">
        <v>2019</v>
      </c>
      <c r="B550">
        <v>12</v>
      </c>
      <c r="C550" t="s">
        <v>32</v>
      </c>
      <c r="D550" t="s">
        <v>26</v>
      </c>
      <c r="E550" t="s">
        <v>20</v>
      </c>
      <c r="F550" t="s">
        <v>23</v>
      </c>
      <c r="G550">
        <v>91240</v>
      </c>
      <c r="H550">
        <v>234381</v>
      </c>
      <c r="I550">
        <v>185</v>
      </c>
      <c r="J550">
        <v>0.97</v>
      </c>
      <c r="K550">
        <v>6.29</v>
      </c>
      <c r="L550">
        <v>1.2</v>
      </c>
      <c r="M550">
        <v>10</v>
      </c>
      <c r="N550">
        <v>750</v>
      </c>
    </row>
    <row r="551" spans="1:14" x14ac:dyDescent="0.35">
      <c r="A551">
        <v>2019</v>
      </c>
      <c r="B551">
        <v>1</v>
      </c>
      <c r="C551" t="s">
        <v>14</v>
      </c>
      <c r="D551" t="s">
        <v>34</v>
      </c>
      <c r="E551" t="s">
        <v>20</v>
      </c>
      <c r="F551" t="s">
        <v>20</v>
      </c>
      <c r="G551">
        <v>40586</v>
      </c>
      <c r="H551">
        <v>77043</v>
      </c>
      <c r="I551">
        <v>250</v>
      </c>
      <c r="J551">
        <v>0.97</v>
      </c>
      <c r="K551">
        <v>6.29</v>
      </c>
      <c r="L551">
        <v>1.2</v>
      </c>
      <c r="M551">
        <v>8</v>
      </c>
      <c r="N551">
        <v>930</v>
      </c>
    </row>
    <row r="552" spans="1:14" x14ac:dyDescent="0.35">
      <c r="A552">
        <v>2020</v>
      </c>
      <c r="B552">
        <v>11</v>
      </c>
      <c r="C552" t="s">
        <v>35</v>
      </c>
      <c r="D552" t="s">
        <v>18</v>
      </c>
      <c r="E552" t="s">
        <v>20</v>
      </c>
      <c r="F552" t="s">
        <v>17</v>
      </c>
      <c r="G552">
        <v>66186</v>
      </c>
      <c r="H552">
        <v>83635</v>
      </c>
      <c r="I552">
        <v>395</v>
      </c>
      <c r="J552">
        <v>0.97</v>
      </c>
      <c r="K552">
        <v>6.29</v>
      </c>
      <c r="L552">
        <v>1.2</v>
      </c>
      <c r="M552">
        <v>8</v>
      </c>
      <c r="N552">
        <v>905</v>
      </c>
    </row>
    <row r="553" spans="1:14" x14ac:dyDescent="0.35">
      <c r="A553">
        <v>2017</v>
      </c>
      <c r="B553">
        <v>11</v>
      </c>
      <c r="C553" t="s">
        <v>35</v>
      </c>
      <c r="D553" t="s">
        <v>26</v>
      </c>
      <c r="E553" t="s">
        <v>20</v>
      </c>
      <c r="F553" t="s">
        <v>23</v>
      </c>
      <c r="G553">
        <v>61928</v>
      </c>
      <c r="H553">
        <v>260387</v>
      </c>
      <c r="I553">
        <v>378</v>
      </c>
      <c r="J553">
        <v>0.97</v>
      </c>
      <c r="K553">
        <v>6.29</v>
      </c>
      <c r="L553">
        <v>1.2</v>
      </c>
      <c r="M553">
        <v>9</v>
      </c>
      <c r="N553">
        <v>798</v>
      </c>
    </row>
    <row r="554" spans="1:14" x14ac:dyDescent="0.35">
      <c r="A554">
        <v>2022</v>
      </c>
      <c r="B554">
        <v>9</v>
      </c>
      <c r="C554" t="s">
        <v>14</v>
      </c>
      <c r="D554" t="s">
        <v>26</v>
      </c>
      <c r="E554" t="s">
        <v>16</v>
      </c>
      <c r="F554" t="s">
        <v>27</v>
      </c>
      <c r="G554">
        <v>118087</v>
      </c>
      <c r="H554">
        <v>130691</v>
      </c>
      <c r="I554">
        <v>143</v>
      </c>
      <c r="J554">
        <v>0.97</v>
      </c>
      <c r="K554">
        <v>6.29</v>
      </c>
      <c r="L554">
        <v>1.2</v>
      </c>
      <c r="M554">
        <v>7</v>
      </c>
      <c r="N554">
        <v>311</v>
      </c>
    </row>
    <row r="555" spans="1:14" x14ac:dyDescent="0.35">
      <c r="A555">
        <v>2015</v>
      </c>
      <c r="B555">
        <v>11</v>
      </c>
      <c r="C555" t="s">
        <v>21</v>
      </c>
      <c r="D555" t="s">
        <v>31</v>
      </c>
      <c r="E555" t="s">
        <v>16</v>
      </c>
      <c r="F555" t="s">
        <v>23</v>
      </c>
      <c r="G555">
        <v>55711</v>
      </c>
      <c r="H555">
        <v>345276</v>
      </c>
      <c r="I555">
        <v>55</v>
      </c>
      <c r="J555">
        <v>0.97</v>
      </c>
      <c r="K555">
        <v>6.29</v>
      </c>
      <c r="L555">
        <v>1.2</v>
      </c>
      <c r="M555">
        <v>9</v>
      </c>
      <c r="N555">
        <v>170</v>
      </c>
    </row>
    <row r="556" spans="1:14" x14ac:dyDescent="0.35">
      <c r="A556">
        <v>2020</v>
      </c>
      <c r="B556">
        <v>9</v>
      </c>
      <c r="C556" t="s">
        <v>32</v>
      </c>
      <c r="D556" t="s">
        <v>15</v>
      </c>
      <c r="E556" t="s">
        <v>19</v>
      </c>
      <c r="F556" t="s">
        <v>17</v>
      </c>
      <c r="G556">
        <v>89962</v>
      </c>
      <c r="H556">
        <v>327510</v>
      </c>
      <c r="I556">
        <v>59</v>
      </c>
      <c r="J556">
        <v>0.97</v>
      </c>
      <c r="K556">
        <v>6.29</v>
      </c>
      <c r="L556">
        <v>1.2</v>
      </c>
      <c r="M556">
        <v>10</v>
      </c>
      <c r="N556">
        <v>282</v>
      </c>
    </row>
    <row r="557" spans="1:14" x14ac:dyDescent="0.35">
      <c r="A557">
        <v>2018</v>
      </c>
      <c r="B557">
        <v>5</v>
      </c>
      <c r="C557" t="s">
        <v>30</v>
      </c>
      <c r="D557" t="s">
        <v>34</v>
      </c>
      <c r="E557" t="s">
        <v>19</v>
      </c>
      <c r="F557" t="s">
        <v>23</v>
      </c>
      <c r="G557">
        <v>55039</v>
      </c>
      <c r="H557">
        <v>143944</v>
      </c>
      <c r="I557">
        <v>175</v>
      </c>
      <c r="J557">
        <v>0.97</v>
      </c>
      <c r="K557">
        <v>6.29</v>
      </c>
      <c r="L557">
        <v>1.2</v>
      </c>
      <c r="M557">
        <v>2</v>
      </c>
      <c r="N557">
        <v>668</v>
      </c>
    </row>
    <row r="558" spans="1:14" x14ac:dyDescent="0.35">
      <c r="A558">
        <v>2015</v>
      </c>
      <c r="B558">
        <v>10</v>
      </c>
      <c r="C558" t="s">
        <v>21</v>
      </c>
      <c r="D558" t="s">
        <v>33</v>
      </c>
      <c r="E558" t="s">
        <v>19</v>
      </c>
      <c r="F558" t="s">
        <v>27</v>
      </c>
      <c r="G558">
        <v>71561</v>
      </c>
      <c r="H558">
        <v>253179</v>
      </c>
      <c r="I558">
        <v>115</v>
      </c>
      <c r="J558">
        <v>0.97</v>
      </c>
      <c r="K558">
        <v>6.29</v>
      </c>
      <c r="L558">
        <v>1.2</v>
      </c>
      <c r="M558">
        <v>6</v>
      </c>
      <c r="N558">
        <v>284</v>
      </c>
    </row>
    <row r="559" spans="1:14" x14ac:dyDescent="0.35">
      <c r="A559">
        <v>2021</v>
      </c>
      <c r="B559">
        <v>4</v>
      </c>
      <c r="C559" t="s">
        <v>28</v>
      </c>
      <c r="D559" t="s">
        <v>24</v>
      </c>
      <c r="E559" t="s">
        <v>19</v>
      </c>
      <c r="F559" t="s">
        <v>20</v>
      </c>
      <c r="G559">
        <v>110483</v>
      </c>
      <c r="H559">
        <v>427411</v>
      </c>
      <c r="I559">
        <v>225</v>
      </c>
      <c r="J559">
        <v>0.97</v>
      </c>
      <c r="K559">
        <v>6.29</v>
      </c>
      <c r="L559">
        <v>1.2</v>
      </c>
      <c r="M559">
        <v>3</v>
      </c>
      <c r="N559">
        <v>641</v>
      </c>
    </row>
    <row r="560" spans="1:14" x14ac:dyDescent="0.35">
      <c r="A560">
        <v>2023</v>
      </c>
      <c r="B560">
        <v>11</v>
      </c>
      <c r="C560" t="s">
        <v>14</v>
      </c>
      <c r="D560" t="s">
        <v>31</v>
      </c>
      <c r="E560" t="s">
        <v>20</v>
      </c>
      <c r="F560" t="s">
        <v>27</v>
      </c>
      <c r="G560">
        <v>116395</v>
      </c>
      <c r="H560">
        <v>89236</v>
      </c>
      <c r="I560">
        <v>155</v>
      </c>
      <c r="J560">
        <v>0.97</v>
      </c>
      <c r="K560">
        <v>6.29</v>
      </c>
      <c r="L560">
        <v>1.2</v>
      </c>
      <c r="M560">
        <v>6</v>
      </c>
      <c r="N560">
        <v>550</v>
      </c>
    </row>
    <row r="561" spans="1:14" x14ac:dyDescent="0.35">
      <c r="A561">
        <v>2018</v>
      </c>
      <c r="B561">
        <v>6</v>
      </c>
      <c r="C561" t="s">
        <v>30</v>
      </c>
      <c r="D561" t="s">
        <v>26</v>
      </c>
      <c r="E561" t="s">
        <v>16</v>
      </c>
      <c r="F561" t="s">
        <v>17</v>
      </c>
      <c r="G561">
        <v>36577</v>
      </c>
      <c r="H561">
        <v>316294</v>
      </c>
      <c r="I561">
        <v>81</v>
      </c>
      <c r="J561">
        <v>0.97</v>
      </c>
      <c r="K561">
        <v>6.29</v>
      </c>
      <c r="L561">
        <v>1.2</v>
      </c>
      <c r="M561">
        <v>3</v>
      </c>
      <c r="N561">
        <v>626</v>
      </c>
    </row>
    <row r="562" spans="1:14" x14ac:dyDescent="0.35">
      <c r="A562">
        <v>2018</v>
      </c>
      <c r="B562">
        <v>12</v>
      </c>
      <c r="C562" t="s">
        <v>35</v>
      </c>
      <c r="D562" t="s">
        <v>26</v>
      </c>
      <c r="E562" t="s">
        <v>16</v>
      </c>
      <c r="F562" t="s">
        <v>20</v>
      </c>
      <c r="G562">
        <v>63350</v>
      </c>
      <c r="H562">
        <v>423513</v>
      </c>
      <c r="I562">
        <v>339</v>
      </c>
      <c r="J562">
        <v>0.97</v>
      </c>
      <c r="K562">
        <v>6.29</v>
      </c>
      <c r="L562">
        <v>1.2</v>
      </c>
      <c r="M562">
        <v>8</v>
      </c>
      <c r="N562">
        <v>1033</v>
      </c>
    </row>
    <row r="563" spans="1:14" x14ac:dyDescent="0.35">
      <c r="A563">
        <v>2020</v>
      </c>
      <c r="B563">
        <v>7</v>
      </c>
      <c r="C563" t="s">
        <v>36</v>
      </c>
      <c r="D563" t="s">
        <v>39</v>
      </c>
      <c r="E563" t="s">
        <v>19</v>
      </c>
      <c r="F563" t="s">
        <v>23</v>
      </c>
      <c r="G563">
        <v>68798</v>
      </c>
      <c r="H563">
        <v>331567</v>
      </c>
      <c r="I563">
        <v>282</v>
      </c>
      <c r="J563">
        <v>0.97</v>
      </c>
      <c r="K563">
        <v>6.29</v>
      </c>
      <c r="L563">
        <v>1.2</v>
      </c>
      <c r="M563">
        <v>4</v>
      </c>
      <c r="N563">
        <v>730</v>
      </c>
    </row>
    <row r="564" spans="1:14" x14ac:dyDescent="0.35">
      <c r="A564">
        <v>2017</v>
      </c>
      <c r="B564">
        <v>5</v>
      </c>
      <c r="C564" t="s">
        <v>25</v>
      </c>
      <c r="D564" t="s">
        <v>34</v>
      </c>
      <c r="E564" t="s">
        <v>19</v>
      </c>
      <c r="F564" t="s">
        <v>23</v>
      </c>
      <c r="G564">
        <v>116417</v>
      </c>
      <c r="H564">
        <v>54137</v>
      </c>
      <c r="I564">
        <v>256</v>
      </c>
      <c r="J564">
        <v>0.97</v>
      </c>
      <c r="K564">
        <v>6.29</v>
      </c>
      <c r="L564">
        <v>1.2</v>
      </c>
      <c r="M564">
        <v>10</v>
      </c>
      <c r="N564">
        <v>705</v>
      </c>
    </row>
    <row r="565" spans="1:14" x14ac:dyDescent="0.35">
      <c r="A565">
        <v>2020</v>
      </c>
      <c r="B565">
        <v>11</v>
      </c>
      <c r="C565" t="s">
        <v>35</v>
      </c>
      <c r="D565" t="s">
        <v>34</v>
      </c>
      <c r="E565" t="s">
        <v>20</v>
      </c>
      <c r="F565" t="s">
        <v>23</v>
      </c>
      <c r="G565">
        <v>45785</v>
      </c>
      <c r="H565">
        <v>79992</v>
      </c>
      <c r="I565">
        <v>195</v>
      </c>
      <c r="J565">
        <v>0.97</v>
      </c>
      <c r="K565">
        <v>6.29</v>
      </c>
      <c r="L565">
        <v>1.2</v>
      </c>
      <c r="M565">
        <v>6</v>
      </c>
      <c r="N565">
        <v>542</v>
      </c>
    </row>
    <row r="566" spans="1:14" x14ac:dyDescent="0.35">
      <c r="A566">
        <v>2021</v>
      </c>
      <c r="B566">
        <v>10</v>
      </c>
      <c r="C566" t="s">
        <v>32</v>
      </c>
      <c r="D566" t="s">
        <v>39</v>
      </c>
      <c r="E566" t="s">
        <v>20</v>
      </c>
      <c r="F566" t="s">
        <v>20</v>
      </c>
      <c r="G566">
        <v>107227</v>
      </c>
      <c r="H566">
        <v>422684</v>
      </c>
      <c r="I566">
        <v>79</v>
      </c>
      <c r="J566">
        <v>0.97</v>
      </c>
      <c r="K566">
        <v>6.29</v>
      </c>
      <c r="L566">
        <v>1.2</v>
      </c>
      <c r="M566">
        <v>9</v>
      </c>
      <c r="N566">
        <v>380</v>
      </c>
    </row>
    <row r="567" spans="1:14" x14ac:dyDescent="0.35">
      <c r="A567">
        <v>2024</v>
      </c>
      <c r="B567">
        <v>9</v>
      </c>
      <c r="C567" t="s">
        <v>38</v>
      </c>
      <c r="D567" t="s">
        <v>34</v>
      </c>
      <c r="E567" t="s">
        <v>19</v>
      </c>
      <c r="F567" t="s">
        <v>27</v>
      </c>
      <c r="G567">
        <v>96957</v>
      </c>
      <c r="H567">
        <v>165140</v>
      </c>
      <c r="I567">
        <v>159</v>
      </c>
      <c r="J567">
        <v>0.97</v>
      </c>
      <c r="K567">
        <v>6.29</v>
      </c>
      <c r="L567">
        <v>1.2</v>
      </c>
      <c r="M567">
        <v>2</v>
      </c>
      <c r="N567">
        <v>605</v>
      </c>
    </row>
    <row r="568" spans="1:14" x14ac:dyDescent="0.35">
      <c r="A568">
        <v>2024</v>
      </c>
      <c r="B568">
        <v>3</v>
      </c>
      <c r="C568" t="s">
        <v>36</v>
      </c>
      <c r="D568" t="s">
        <v>26</v>
      </c>
      <c r="E568" t="s">
        <v>16</v>
      </c>
      <c r="F568" t="s">
        <v>20</v>
      </c>
      <c r="G568">
        <v>100431</v>
      </c>
      <c r="H568">
        <v>225993</v>
      </c>
      <c r="I568">
        <v>255</v>
      </c>
      <c r="J568">
        <v>0.97</v>
      </c>
      <c r="K568">
        <v>6.29</v>
      </c>
      <c r="L568">
        <v>1.2</v>
      </c>
      <c r="M568">
        <v>2</v>
      </c>
      <c r="N568">
        <v>646</v>
      </c>
    </row>
    <row r="569" spans="1:14" x14ac:dyDescent="0.35">
      <c r="A569">
        <v>2017</v>
      </c>
      <c r="B569">
        <v>7</v>
      </c>
      <c r="C569" t="s">
        <v>25</v>
      </c>
      <c r="D569" t="s">
        <v>18</v>
      </c>
      <c r="E569" t="s">
        <v>16</v>
      </c>
      <c r="F569" t="s">
        <v>20</v>
      </c>
      <c r="G569">
        <v>52297</v>
      </c>
      <c r="H569">
        <v>171225</v>
      </c>
      <c r="I569">
        <v>271</v>
      </c>
      <c r="J569">
        <v>0.97</v>
      </c>
      <c r="K569">
        <v>6.29</v>
      </c>
      <c r="L569">
        <v>1.2</v>
      </c>
      <c r="M569">
        <v>7</v>
      </c>
      <c r="N569">
        <v>738</v>
      </c>
    </row>
    <row r="570" spans="1:14" x14ac:dyDescent="0.35">
      <c r="A570">
        <v>2021</v>
      </c>
      <c r="B570">
        <v>10</v>
      </c>
      <c r="C570" t="s">
        <v>25</v>
      </c>
      <c r="D570" t="s">
        <v>22</v>
      </c>
      <c r="E570" t="s">
        <v>16</v>
      </c>
      <c r="F570" t="s">
        <v>17</v>
      </c>
      <c r="G570">
        <v>106894</v>
      </c>
      <c r="H570">
        <v>379061</v>
      </c>
      <c r="I570">
        <v>35</v>
      </c>
      <c r="J570">
        <v>0.97</v>
      </c>
      <c r="K570">
        <v>6.29</v>
      </c>
      <c r="L570">
        <v>1.2</v>
      </c>
      <c r="M570">
        <v>2</v>
      </c>
      <c r="N570">
        <v>467</v>
      </c>
    </row>
    <row r="571" spans="1:14" x14ac:dyDescent="0.35">
      <c r="A571">
        <v>2017</v>
      </c>
      <c r="B571">
        <v>10</v>
      </c>
      <c r="C571" t="s">
        <v>28</v>
      </c>
      <c r="D571" t="s">
        <v>26</v>
      </c>
      <c r="E571" t="s">
        <v>19</v>
      </c>
      <c r="F571" t="s">
        <v>20</v>
      </c>
      <c r="G571">
        <v>98772</v>
      </c>
      <c r="H571">
        <v>385834</v>
      </c>
      <c r="I571">
        <v>149</v>
      </c>
      <c r="J571">
        <v>0.97</v>
      </c>
      <c r="K571">
        <v>6.29</v>
      </c>
      <c r="L571">
        <v>1.2</v>
      </c>
      <c r="M571">
        <v>2</v>
      </c>
      <c r="N571">
        <v>406</v>
      </c>
    </row>
    <row r="572" spans="1:14" x14ac:dyDescent="0.35">
      <c r="A572">
        <v>2016</v>
      </c>
      <c r="B572">
        <v>11</v>
      </c>
      <c r="C572" t="s">
        <v>28</v>
      </c>
      <c r="D572" t="s">
        <v>31</v>
      </c>
      <c r="E572" t="s">
        <v>16</v>
      </c>
      <c r="F572" t="s">
        <v>23</v>
      </c>
      <c r="G572">
        <v>54581</v>
      </c>
      <c r="H572">
        <v>346379</v>
      </c>
      <c r="I572">
        <v>108</v>
      </c>
      <c r="J572">
        <v>0.97</v>
      </c>
      <c r="K572">
        <v>6.29</v>
      </c>
      <c r="L572">
        <v>1.2</v>
      </c>
      <c r="M572">
        <v>4</v>
      </c>
      <c r="N572">
        <v>346</v>
      </c>
    </row>
    <row r="573" spans="1:14" x14ac:dyDescent="0.35">
      <c r="A573">
        <v>2024</v>
      </c>
      <c r="B573">
        <v>5</v>
      </c>
      <c r="C573" t="s">
        <v>37</v>
      </c>
      <c r="D573" t="s">
        <v>15</v>
      </c>
      <c r="E573" t="s">
        <v>20</v>
      </c>
      <c r="F573" t="s">
        <v>27</v>
      </c>
      <c r="G573">
        <v>90192</v>
      </c>
      <c r="H573">
        <v>260047</v>
      </c>
      <c r="I573">
        <v>287</v>
      </c>
      <c r="J573">
        <v>0.97</v>
      </c>
      <c r="K573">
        <v>6.29</v>
      </c>
      <c r="L573">
        <v>1.2</v>
      </c>
      <c r="M573">
        <v>9</v>
      </c>
      <c r="N573">
        <v>784</v>
      </c>
    </row>
    <row r="574" spans="1:14" x14ac:dyDescent="0.35">
      <c r="A574">
        <v>2018</v>
      </c>
      <c r="B574">
        <v>7</v>
      </c>
      <c r="C574" t="s">
        <v>35</v>
      </c>
      <c r="D574" t="s">
        <v>39</v>
      </c>
      <c r="E574" t="s">
        <v>20</v>
      </c>
      <c r="F574" t="s">
        <v>27</v>
      </c>
      <c r="G574">
        <v>36462</v>
      </c>
      <c r="H574">
        <v>69122</v>
      </c>
      <c r="I574">
        <v>60</v>
      </c>
      <c r="J574">
        <v>0.97</v>
      </c>
      <c r="K574">
        <v>6.29</v>
      </c>
      <c r="L574">
        <v>1.2</v>
      </c>
      <c r="M574">
        <v>8</v>
      </c>
      <c r="N574">
        <v>182</v>
      </c>
    </row>
    <row r="575" spans="1:14" x14ac:dyDescent="0.35">
      <c r="A575">
        <v>2022</v>
      </c>
      <c r="B575">
        <v>2</v>
      </c>
      <c r="C575" t="s">
        <v>35</v>
      </c>
      <c r="D575" t="s">
        <v>33</v>
      </c>
      <c r="E575" t="s">
        <v>19</v>
      </c>
      <c r="F575" t="s">
        <v>27</v>
      </c>
      <c r="G575">
        <v>99173</v>
      </c>
      <c r="H575">
        <v>336100</v>
      </c>
      <c r="I575">
        <v>160</v>
      </c>
      <c r="J575">
        <v>0.97</v>
      </c>
      <c r="K575">
        <v>6.29</v>
      </c>
      <c r="L575">
        <v>1.2</v>
      </c>
      <c r="M575">
        <v>2</v>
      </c>
      <c r="N575">
        <v>431</v>
      </c>
    </row>
    <row r="576" spans="1:14" x14ac:dyDescent="0.35">
      <c r="A576">
        <v>2023</v>
      </c>
      <c r="B576">
        <v>4</v>
      </c>
      <c r="C576" t="s">
        <v>35</v>
      </c>
      <c r="D576" t="s">
        <v>24</v>
      </c>
      <c r="E576" t="s">
        <v>20</v>
      </c>
      <c r="F576" t="s">
        <v>23</v>
      </c>
      <c r="G576">
        <v>50511</v>
      </c>
      <c r="H576">
        <v>113879</v>
      </c>
      <c r="I576">
        <v>113</v>
      </c>
      <c r="J576">
        <v>0.97</v>
      </c>
      <c r="K576">
        <v>6.29</v>
      </c>
      <c r="L576">
        <v>1.2</v>
      </c>
      <c r="M576">
        <v>8</v>
      </c>
      <c r="N576">
        <v>309</v>
      </c>
    </row>
    <row r="577" spans="1:14" x14ac:dyDescent="0.35">
      <c r="A577">
        <v>2021</v>
      </c>
      <c r="B577">
        <v>2</v>
      </c>
      <c r="C577" t="s">
        <v>37</v>
      </c>
      <c r="D577" t="s">
        <v>33</v>
      </c>
      <c r="E577" t="s">
        <v>19</v>
      </c>
      <c r="F577" t="s">
        <v>23</v>
      </c>
      <c r="G577">
        <v>111106</v>
      </c>
      <c r="H577">
        <v>108560</v>
      </c>
      <c r="I577">
        <v>98</v>
      </c>
      <c r="J577">
        <v>0.97</v>
      </c>
      <c r="K577">
        <v>6.29</v>
      </c>
      <c r="L577">
        <v>1.2</v>
      </c>
      <c r="M577">
        <v>4</v>
      </c>
      <c r="N577">
        <v>381</v>
      </c>
    </row>
    <row r="578" spans="1:14" x14ac:dyDescent="0.35">
      <c r="A578">
        <v>2015</v>
      </c>
      <c r="B578">
        <v>12</v>
      </c>
      <c r="C578" t="s">
        <v>21</v>
      </c>
      <c r="D578" t="s">
        <v>26</v>
      </c>
      <c r="E578" t="s">
        <v>16</v>
      </c>
      <c r="F578" t="s">
        <v>23</v>
      </c>
      <c r="G578">
        <v>83665</v>
      </c>
      <c r="H578">
        <v>422454</v>
      </c>
      <c r="I578">
        <v>150</v>
      </c>
      <c r="J578">
        <v>0.97</v>
      </c>
      <c r="K578">
        <v>6.29</v>
      </c>
      <c r="L578">
        <v>1.2</v>
      </c>
      <c r="M578">
        <v>2</v>
      </c>
      <c r="N578">
        <v>553</v>
      </c>
    </row>
    <row r="579" spans="1:14" x14ac:dyDescent="0.35">
      <c r="A579">
        <v>2017</v>
      </c>
      <c r="B579">
        <v>7</v>
      </c>
      <c r="C579" t="s">
        <v>25</v>
      </c>
      <c r="D579" t="s">
        <v>31</v>
      </c>
      <c r="E579" t="s">
        <v>16</v>
      </c>
      <c r="F579" t="s">
        <v>23</v>
      </c>
      <c r="G579">
        <v>79414</v>
      </c>
      <c r="H579">
        <v>249757</v>
      </c>
      <c r="I579">
        <v>222</v>
      </c>
      <c r="J579">
        <v>0.97</v>
      </c>
      <c r="K579">
        <v>6.29</v>
      </c>
      <c r="L579">
        <v>1.2</v>
      </c>
      <c r="M579">
        <v>10</v>
      </c>
      <c r="N579">
        <v>632</v>
      </c>
    </row>
    <row r="580" spans="1:14" x14ac:dyDescent="0.35">
      <c r="A580">
        <v>2023</v>
      </c>
      <c r="B580">
        <v>2</v>
      </c>
      <c r="C580" t="s">
        <v>36</v>
      </c>
      <c r="D580" t="s">
        <v>26</v>
      </c>
      <c r="E580" t="s">
        <v>16</v>
      </c>
      <c r="F580" t="s">
        <v>23</v>
      </c>
      <c r="G580">
        <v>116010</v>
      </c>
      <c r="H580">
        <v>467876</v>
      </c>
      <c r="I580">
        <v>242</v>
      </c>
      <c r="J580">
        <v>0.97</v>
      </c>
      <c r="K580">
        <v>6.29</v>
      </c>
      <c r="L580">
        <v>1.2</v>
      </c>
      <c r="M580">
        <v>7</v>
      </c>
      <c r="N580">
        <v>887</v>
      </c>
    </row>
    <row r="581" spans="1:14" x14ac:dyDescent="0.35">
      <c r="A581">
        <v>2015</v>
      </c>
      <c r="B581">
        <v>11</v>
      </c>
      <c r="C581" t="s">
        <v>32</v>
      </c>
      <c r="D581" t="s">
        <v>15</v>
      </c>
      <c r="E581" t="s">
        <v>20</v>
      </c>
      <c r="F581" t="s">
        <v>20</v>
      </c>
      <c r="G581">
        <v>107573</v>
      </c>
      <c r="H581">
        <v>287268</v>
      </c>
      <c r="I581">
        <v>192</v>
      </c>
      <c r="J581">
        <v>0.97</v>
      </c>
      <c r="K581">
        <v>6.29</v>
      </c>
      <c r="L581">
        <v>1.2</v>
      </c>
      <c r="M581">
        <v>6</v>
      </c>
      <c r="N581">
        <v>759</v>
      </c>
    </row>
    <row r="582" spans="1:14" x14ac:dyDescent="0.35">
      <c r="A582">
        <v>2023</v>
      </c>
      <c r="B582">
        <v>1</v>
      </c>
      <c r="C582" t="s">
        <v>25</v>
      </c>
      <c r="D582" t="s">
        <v>18</v>
      </c>
      <c r="E582" t="s">
        <v>19</v>
      </c>
      <c r="F582" t="s">
        <v>23</v>
      </c>
      <c r="G582">
        <v>48386</v>
      </c>
      <c r="H582">
        <v>313312</v>
      </c>
      <c r="I582">
        <v>260</v>
      </c>
      <c r="J582">
        <v>0.97</v>
      </c>
      <c r="K582">
        <v>6.29</v>
      </c>
      <c r="L582">
        <v>1.2</v>
      </c>
      <c r="M582">
        <v>10</v>
      </c>
      <c r="N582">
        <v>615</v>
      </c>
    </row>
    <row r="583" spans="1:14" x14ac:dyDescent="0.35">
      <c r="A583">
        <v>2022</v>
      </c>
      <c r="B583">
        <v>9</v>
      </c>
      <c r="C583" t="s">
        <v>28</v>
      </c>
      <c r="D583" t="s">
        <v>24</v>
      </c>
      <c r="E583" t="s">
        <v>16</v>
      </c>
      <c r="F583" t="s">
        <v>23</v>
      </c>
      <c r="G583">
        <v>89460</v>
      </c>
      <c r="H583">
        <v>357268</v>
      </c>
      <c r="I583">
        <v>18</v>
      </c>
      <c r="J583">
        <v>0.97</v>
      </c>
      <c r="K583">
        <v>6.29</v>
      </c>
      <c r="L583">
        <v>1.2</v>
      </c>
      <c r="M583">
        <v>5</v>
      </c>
      <c r="N583">
        <v>111</v>
      </c>
    </row>
    <row r="584" spans="1:14" x14ac:dyDescent="0.35">
      <c r="A584">
        <v>2015</v>
      </c>
      <c r="B584">
        <v>1</v>
      </c>
      <c r="C584" t="s">
        <v>30</v>
      </c>
      <c r="D584" t="s">
        <v>15</v>
      </c>
      <c r="E584" t="s">
        <v>19</v>
      </c>
      <c r="F584" t="s">
        <v>23</v>
      </c>
      <c r="G584">
        <v>41221</v>
      </c>
      <c r="H584">
        <v>216969</v>
      </c>
      <c r="I584">
        <v>88</v>
      </c>
      <c r="J584">
        <v>0.97</v>
      </c>
      <c r="K584">
        <v>6.29</v>
      </c>
      <c r="L584">
        <v>1.2</v>
      </c>
      <c r="M584">
        <v>1</v>
      </c>
      <c r="N584">
        <v>492</v>
      </c>
    </row>
    <row r="585" spans="1:14" x14ac:dyDescent="0.35">
      <c r="A585">
        <v>2020</v>
      </c>
      <c r="B585">
        <v>8</v>
      </c>
      <c r="C585" t="s">
        <v>38</v>
      </c>
      <c r="D585" t="s">
        <v>39</v>
      </c>
      <c r="E585" t="s">
        <v>16</v>
      </c>
      <c r="F585" t="s">
        <v>23</v>
      </c>
      <c r="G585">
        <v>58474</v>
      </c>
      <c r="H585">
        <v>196104</v>
      </c>
      <c r="I585">
        <v>61</v>
      </c>
      <c r="J585">
        <v>0.97</v>
      </c>
      <c r="K585">
        <v>6.29</v>
      </c>
      <c r="L585">
        <v>1.2</v>
      </c>
      <c r="M585">
        <v>2</v>
      </c>
      <c r="N585">
        <v>245</v>
      </c>
    </row>
    <row r="586" spans="1:14" x14ac:dyDescent="0.35">
      <c r="A586">
        <v>2019</v>
      </c>
      <c r="B586">
        <v>2</v>
      </c>
      <c r="C586" t="s">
        <v>37</v>
      </c>
      <c r="D586" t="s">
        <v>39</v>
      </c>
      <c r="E586" t="s">
        <v>20</v>
      </c>
      <c r="F586" t="s">
        <v>27</v>
      </c>
      <c r="G586">
        <v>56045</v>
      </c>
      <c r="H586">
        <v>364941</v>
      </c>
      <c r="I586">
        <v>395</v>
      </c>
      <c r="J586">
        <v>0.97</v>
      </c>
      <c r="K586">
        <v>6.29</v>
      </c>
      <c r="L586">
        <v>1.2</v>
      </c>
      <c r="M586">
        <v>8</v>
      </c>
      <c r="N586">
        <v>1114</v>
      </c>
    </row>
    <row r="587" spans="1:14" x14ac:dyDescent="0.35">
      <c r="A587">
        <v>2020</v>
      </c>
      <c r="B587">
        <v>12</v>
      </c>
      <c r="C587" t="s">
        <v>14</v>
      </c>
      <c r="D587" t="s">
        <v>26</v>
      </c>
      <c r="E587" t="s">
        <v>20</v>
      </c>
      <c r="F587" t="s">
        <v>23</v>
      </c>
      <c r="G587">
        <v>39922</v>
      </c>
      <c r="H587">
        <v>347438</v>
      </c>
      <c r="I587">
        <v>278</v>
      </c>
      <c r="J587">
        <v>0.97</v>
      </c>
      <c r="K587">
        <v>6.29</v>
      </c>
      <c r="L587">
        <v>1.2</v>
      </c>
      <c r="M587">
        <v>1</v>
      </c>
      <c r="N587">
        <v>641</v>
      </c>
    </row>
    <row r="588" spans="1:14" x14ac:dyDescent="0.35">
      <c r="A588">
        <v>2024</v>
      </c>
      <c r="B588">
        <v>8</v>
      </c>
      <c r="C588" t="s">
        <v>30</v>
      </c>
      <c r="D588" t="s">
        <v>31</v>
      </c>
      <c r="E588" t="s">
        <v>19</v>
      </c>
      <c r="F588" t="s">
        <v>20</v>
      </c>
      <c r="G588">
        <v>57706</v>
      </c>
      <c r="H588">
        <v>487043</v>
      </c>
      <c r="I588">
        <v>235</v>
      </c>
      <c r="J588">
        <v>0.97</v>
      </c>
      <c r="K588">
        <v>6.29</v>
      </c>
      <c r="L588">
        <v>1.2</v>
      </c>
      <c r="M588">
        <v>3</v>
      </c>
      <c r="N588">
        <v>737</v>
      </c>
    </row>
    <row r="589" spans="1:14" x14ac:dyDescent="0.35">
      <c r="A589">
        <v>2019</v>
      </c>
      <c r="B589">
        <v>3</v>
      </c>
      <c r="C589" t="s">
        <v>32</v>
      </c>
      <c r="D589" t="s">
        <v>15</v>
      </c>
      <c r="E589" t="s">
        <v>20</v>
      </c>
      <c r="F589" t="s">
        <v>20</v>
      </c>
      <c r="G589">
        <v>77771</v>
      </c>
      <c r="H589">
        <v>315660</v>
      </c>
      <c r="I589">
        <v>60</v>
      </c>
      <c r="J589">
        <v>0.97</v>
      </c>
      <c r="K589">
        <v>6.29</v>
      </c>
      <c r="L589">
        <v>1.2</v>
      </c>
      <c r="M589">
        <v>2</v>
      </c>
      <c r="N589">
        <v>225</v>
      </c>
    </row>
    <row r="590" spans="1:14" x14ac:dyDescent="0.35">
      <c r="A590">
        <v>2020</v>
      </c>
      <c r="B590">
        <v>6</v>
      </c>
      <c r="C590" t="s">
        <v>35</v>
      </c>
      <c r="D590" t="s">
        <v>29</v>
      </c>
      <c r="E590" t="s">
        <v>20</v>
      </c>
      <c r="F590" t="s">
        <v>20</v>
      </c>
      <c r="G590">
        <v>87335</v>
      </c>
      <c r="H590">
        <v>200823</v>
      </c>
      <c r="I590">
        <v>195</v>
      </c>
      <c r="J590">
        <v>0.97</v>
      </c>
      <c r="K590">
        <v>6.29</v>
      </c>
      <c r="L590">
        <v>1.2</v>
      </c>
      <c r="M590">
        <v>5</v>
      </c>
      <c r="N590">
        <v>451</v>
      </c>
    </row>
    <row r="591" spans="1:14" x14ac:dyDescent="0.35">
      <c r="A591">
        <v>2019</v>
      </c>
      <c r="B591">
        <v>3</v>
      </c>
      <c r="C591" t="s">
        <v>28</v>
      </c>
      <c r="D591" t="s">
        <v>31</v>
      </c>
      <c r="E591" t="s">
        <v>19</v>
      </c>
      <c r="F591" t="s">
        <v>17</v>
      </c>
      <c r="G591">
        <v>87949</v>
      </c>
      <c r="H591">
        <v>80373</v>
      </c>
      <c r="I591">
        <v>43</v>
      </c>
      <c r="J591">
        <v>0.97</v>
      </c>
      <c r="K591">
        <v>6.29</v>
      </c>
      <c r="L591">
        <v>1.2</v>
      </c>
      <c r="M591">
        <v>4</v>
      </c>
      <c r="N591">
        <v>265</v>
      </c>
    </row>
    <row r="592" spans="1:14" x14ac:dyDescent="0.35">
      <c r="A592">
        <v>2019</v>
      </c>
      <c r="B592">
        <v>7</v>
      </c>
      <c r="C592" t="s">
        <v>28</v>
      </c>
      <c r="D592" t="s">
        <v>18</v>
      </c>
      <c r="E592" t="s">
        <v>16</v>
      </c>
      <c r="F592" t="s">
        <v>27</v>
      </c>
      <c r="G592">
        <v>105714</v>
      </c>
      <c r="H592">
        <v>172026</v>
      </c>
      <c r="I592">
        <v>300</v>
      </c>
      <c r="J592">
        <v>0.97</v>
      </c>
      <c r="K592">
        <v>6.29</v>
      </c>
      <c r="L592">
        <v>1.2</v>
      </c>
      <c r="M592">
        <v>7</v>
      </c>
      <c r="N592">
        <v>609</v>
      </c>
    </row>
    <row r="593" spans="1:14" x14ac:dyDescent="0.35">
      <c r="A593">
        <v>2018</v>
      </c>
      <c r="B593">
        <v>10</v>
      </c>
      <c r="C593" t="s">
        <v>28</v>
      </c>
      <c r="D593" t="s">
        <v>39</v>
      </c>
      <c r="E593" t="s">
        <v>20</v>
      </c>
      <c r="F593" t="s">
        <v>23</v>
      </c>
      <c r="G593">
        <v>50240</v>
      </c>
      <c r="H593">
        <v>80270</v>
      </c>
      <c r="I593">
        <v>239</v>
      </c>
      <c r="J593">
        <v>0.97</v>
      </c>
      <c r="K593">
        <v>6.29</v>
      </c>
      <c r="L593">
        <v>1.2</v>
      </c>
      <c r="M593">
        <v>5</v>
      </c>
      <c r="N593">
        <v>703</v>
      </c>
    </row>
    <row r="594" spans="1:14" x14ac:dyDescent="0.35">
      <c r="A594">
        <v>2017</v>
      </c>
      <c r="B594">
        <v>9</v>
      </c>
      <c r="C594" t="s">
        <v>35</v>
      </c>
      <c r="D594" t="s">
        <v>26</v>
      </c>
      <c r="E594" t="s">
        <v>19</v>
      </c>
      <c r="F594" t="s">
        <v>17</v>
      </c>
      <c r="G594">
        <v>37716</v>
      </c>
      <c r="H594">
        <v>453602</v>
      </c>
      <c r="I594">
        <v>140</v>
      </c>
      <c r="J594">
        <v>0.97</v>
      </c>
      <c r="K594">
        <v>6.29</v>
      </c>
      <c r="L594">
        <v>1.2</v>
      </c>
      <c r="M594">
        <v>8</v>
      </c>
      <c r="N594">
        <v>327</v>
      </c>
    </row>
    <row r="595" spans="1:14" x14ac:dyDescent="0.35">
      <c r="A595">
        <v>2017</v>
      </c>
      <c r="B595">
        <v>2</v>
      </c>
      <c r="C595" t="s">
        <v>14</v>
      </c>
      <c r="D595" t="s">
        <v>34</v>
      </c>
      <c r="E595" t="s">
        <v>20</v>
      </c>
      <c r="F595" t="s">
        <v>23</v>
      </c>
      <c r="G595">
        <v>51574</v>
      </c>
      <c r="H595">
        <v>282931</v>
      </c>
      <c r="I595">
        <v>129</v>
      </c>
      <c r="J595">
        <v>0.97</v>
      </c>
      <c r="K595">
        <v>6.29</v>
      </c>
      <c r="L595">
        <v>1.2</v>
      </c>
      <c r="M595">
        <v>4</v>
      </c>
      <c r="N595">
        <v>591</v>
      </c>
    </row>
    <row r="596" spans="1:14" x14ac:dyDescent="0.35">
      <c r="A596">
        <v>2018</v>
      </c>
      <c r="B596">
        <v>12</v>
      </c>
      <c r="C596" t="s">
        <v>37</v>
      </c>
      <c r="D596" t="s">
        <v>39</v>
      </c>
      <c r="E596" t="s">
        <v>20</v>
      </c>
      <c r="F596" t="s">
        <v>17</v>
      </c>
      <c r="G596">
        <v>118255</v>
      </c>
      <c r="H596">
        <v>245889</v>
      </c>
      <c r="I596">
        <v>335</v>
      </c>
      <c r="J596">
        <v>0.97</v>
      </c>
      <c r="K596">
        <v>6.29</v>
      </c>
      <c r="L596">
        <v>1.2</v>
      </c>
      <c r="M596">
        <v>6</v>
      </c>
      <c r="N596">
        <v>1069</v>
      </c>
    </row>
    <row r="597" spans="1:14" x14ac:dyDescent="0.35">
      <c r="A597">
        <v>2023</v>
      </c>
      <c r="B597">
        <v>12</v>
      </c>
      <c r="C597" t="s">
        <v>30</v>
      </c>
      <c r="D597" t="s">
        <v>24</v>
      </c>
      <c r="E597" t="s">
        <v>20</v>
      </c>
      <c r="F597" t="s">
        <v>17</v>
      </c>
      <c r="G597">
        <v>108717</v>
      </c>
      <c r="H597">
        <v>115184</v>
      </c>
      <c r="I597">
        <v>256</v>
      </c>
      <c r="J597">
        <v>0.97</v>
      </c>
      <c r="K597">
        <v>6.29</v>
      </c>
      <c r="L597">
        <v>1.2</v>
      </c>
      <c r="M597">
        <v>4</v>
      </c>
      <c r="N597">
        <v>530</v>
      </c>
    </row>
    <row r="598" spans="1:14" x14ac:dyDescent="0.35">
      <c r="A598">
        <v>2016</v>
      </c>
      <c r="B598">
        <v>5</v>
      </c>
      <c r="C598" t="s">
        <v>35</v>
      </c>
      <c r="D598" t="s">
        <v>22</v>
      </c>
      <c r="E598" t="s">
        <v>20</v>
      </c>
      <c r="F598" t="s">
        <v>20</v>
      </c>
      <c r="G598">
        <v>79066</v>
      </c>
      <c r="H598">
        <v>260765</v>
      </c>
      <c r="I598">
        <v>201</v>
      </c>
      <c r="J598">
        <v>0.97</v>
      </c>
      <c r="K598">
        <v>6.29</v>
      </c>
      <c r="L598">
        <v>1.2</v>
      </c>
      <c r="M598">
        <v>2</v>
      </c>
      <c r="N598">
        <v>587</v>
      </c>
    </row>
    <row r="599" spans="1:14" x14ac:dyDescent="0.35">
      <c r="A599">
        <v>2023</v>
      </c>
      <c r="B599">
        <v>6</v>
      </c>
      <c r="C599" t="s">
        <v>32</v>
      </c>
      <c r="D599" t="s">
        <v>34</v>
      </c>
      <c r="E599" t="s">
        <v>19</v>
      </c>
      <c r="F599" t="s">
        <v>20</v>
      </c>
      <c r="G599">
        <v>96826</v>
      </c>
      <c r="H599">
        <v>87879</v>
      </c>
      <c r="I599">
        <v>332</v>
      </c>
      <c r="J599">
        <v>0.97</v>
      </c>
      <c r="K599">
        <v>6.29</v>
      </c>
      <c r="L599">
        <v>1.2</v>
      </c>
      <c r="M599">
        <v>1</v>
      </c>
      <c r="N599">
        <v>905</v>
      </c>
    </row>
    <row r="600" spans="1:14" x14ac:dyDescent="0.35">
      <c r="A600">
        <v>2015</v>
      </c>
      <c r="B600">
        <v>4</v>
      </c>
      <c r="C600" t="s">
        <v>37</v>
      </c>
      <c r="D600" t="s">
        <v>26</v>
      </c>
      <c r="E600" t="s">
        <v>19</v>
      </c>
      <c r="F600" t="s">
        <v>17</v>
      </c>
      <c r="G600">
        <v>55213</v>
      </c>
      <c r="H600">
        <v>361741</v>
      </c>
      <c r="I600">
        <v>219</v>
      </c>
      <c r="J600">
        <v>0.97</v>
      </c>
      <c r="K600">
        <v>6.29</v>
      </c>
      <c r="L600">
        <v>1.2</v>
      </c>
      <c r="M600">
        <v>1</v>
      </c>
      <c r="N600">
        <v>717</v>
      </c>
    </row>
    <row r="601" spans="1:14" x14ac:dyDescent="0.35">
      <c r="A601">
        <v>2015</v>
      </c>
      <c r="B601">
        <v>4</v>
      </c>
      <c r="C601" t="s">
        <v>32</v>
      </c>
      <c r="D601" t="s">
        <v>29</v>
      </c>
      <c r="E601" t="s">
        <v>19</v>
      </c>
      <c r="F601" t="s">
        <v>20</v>
      </c>
      <c r="G601">
        <v>106916</v>
      </c>
      <c r="H601">
        <v>482348</v>
      </c>
      <c r="I601">
        <v>112</v>
      </c>
      <c r="J601">
        <v>0.97</v>
      </c>
      <c r="K601">
        <v>6.29</v>
      </c>
      <c r="L601">
        <v>1.2</v>
      </c>
      <c r="M601">
        <v>8</v>
      </c>
      <c r="N601">
        <v>408</v>
      </c>
    </row>
    <row r="602" spans="1:14" x14ac:dyDescent="0.35">
      <c r="A602">
        <v>2019</v>
      </c>
      <c r="B602">
        <v>4</v>
      </c>
      <c r="C602" t="s">
        <v>37</v>
      </c>
      <c r="D602" t="s">
        <v>34</v>
      </c>
      <c r="E602" t="s">
        <v>20</v>
      </c>
      <c r="F602" t="s">
        <v>17</v>
      </c>
      <c r="G602">
        <v>101151</v>
      </c>
      <c r="H602">
        <v>53626</v>
      </c>
      <c r="I602">
        <v>338</v>
      </c>
      <c r="J602">
        <v>0.97</v>
      </c>
      <c r="K602">
        <v>6.29</v>
      </c>
      <c r="L602">
        <v>1.2</v>
      </c>
      <c r="M602">
        <v>4</v>
      </c>
      <c r="N602">
        <v>976</v>
      </c>
    </row>
    <row r="603" spans="1:14" x14ac:dyDescent="0.35">
      <c r="A603">
        <v>2020</v>
      </c>
      <c r="B603">
        <v>2</v>
      </c>
      <c r="C603" t="s">
        <v>14</v>
      </c>
      <c r="D603" t="s">
        <v>24</v>
      </c>
      <c r="E603" t="s">
        <v>20</v>
      </c>
      <c r="F603" t="s">
        <v>27</v>
      </c>
      <c r="G603">
        <v>85906</v>
      </c>
      <c r="H603">
        <v>135936</v>
      </c>
      <c r="I603">
        <v>381</v>
      </c>
      <c r="J603">
        <v>0.97</v>
      </c>
      <c r="K603">
        <v>6.29</v>
      </c>
      <c r="L603">
        <v>1.2</v>
      </c>
      <c r="M603">
        <v>5</v>
      </c>
      <c r="N603">
        <v>802</v>
      </c>
    </row>
    <row r="604" spans="1:14" x14ac:dyDescent="0.35">
      <c r="A604">
        <v>2020</v>
      </c>
      <c r="B604">
        <v>4</v>
      </c>
      <c r="C604" t="s">
        <v>38</v>
      </c>
      <c r="D604" t="s">
        <v>31</v>
      </c>
      <c r="E604" t="s">
        <v>20</v>
      </c>
      <c r="F604" t="s">
        <v>20</v>
      </c>
      <c r="G604">
        <v>35463</v>
      </c>
      <c r="H604">
        <v>284873</v>
      </c>
      <c r="I604">
        <v>142</v>
      </c>
      <c r="J604">
        <v>0.97</v>
      </c>
      <c r="K604">
        <v>6.29</v>
      </c>
      <c r="L604">
        <v>1.2</v>
      </c>
      <c r="M604">
        <v>8</v>
      </c>
      <c r="N604">
        <v>644</v>
      </c>
    </row>
    <row r="605" spans="1:14" x14ac:dyDescent="0.35">
      <c r="A605">
        <v>2017</v>
      </c>
      <c r="B605">
        <v>11</v>
      </c>
      <c r="C605" t="s">
        <v>32</v>
      </c>
      <c r="D605" t="s">
        <v>29</v>
      </c>
      <c r="E605" t="s">
        <v>19</v>
      </c>
      <c r="F605" t="s">
        <v>20</v>
      </c>
      <c r="G605">
        <v>66973</v>
      </c>
      <c r="H605">
        <v>131515</v>
      </c>
      <c r="I605">
        <v>332</v>
      </c>
      <c r="J605">
        <v>0.97</v>
      </c>
      <c r="K605">
        <v>6.29</v>
      </c>
      <c r="L605">
        <v>1.2</v>
      </c>
      <c r="M605">
        <v>7</v>
      </c>
      <c r="N605">
        <v>737</v>
      </c>
    </row>
    <row r="606" spans="1:14" x14ac:dyDescent="0.35">
      <c r="A606">
        <v>2021</v>
      </c>
      <c r="B606">
        <v>1</v>
      </c>
      <c r="C606" t="s">
        <v>35</v>
      </c>
      <c r="D606" t="s">
        <v>39</v>
      </c>
      <c r="E606" t="s">
        <v>20</v>
      </c>
      <c r="F606" t="s">
        <v>20</v>
      </c>
      <c r="G606">
        <v>109694</v>
      </c>
      <c r="H606">
        <v>258137</v>
      </c>
      <c r="I606">
        <v>148</v>
      </c>
      <c r="J606">
        <v>0.97</v>
      </c>
      <c r="K606">
        <v>6.29</v>
      </c>
      <c r="L606">
        <v>1.2</v>
      </c>
      <c r="M606">
        <v>8</v>
      </c>
      <c r="N606">
        <v>410</v>
      </c>
    </row>
    <row r="607" spans="1:14" x14ac:dyDescent="0.35">
      <c r="A607">
        <v>2023</v>
      </c>
      <c r="B607">
        <v>12</v>
      </c>
      <c r="C607" t="s">
        <v>37</v>
      </c>
      <c r="D607" t="s">
        <v>29</v>
      </c>
      <c r="E607" t="s">
        <v>16</v>
      </c>
      <c r="F607" t="s">
        <v>27</v>
      </c>
      <c r="G607">
        <v>55651</v>
      </c>
      <c r="H607">
        <v>105390</v>
      </c>
      <c r="I607">
        <v>130</v>
      </c>
      <c r="J607">
        <v>0.97</v>
      </c>
      <c r="K607">
        <v>6.29</v>
      </c>
      <c r="L607">
        <v>1.2</v>
      </c>
      <c r="M607">
        <v>8</v>
      </c>
      <c r="N607">
        <v>511</v>
      </c>
    </row>
    <row r="608" spans="1:14" x14ac:dyDescent="0.35">
      <c r="A608">
        <v>2024</v>
      </c>
      <c r="B608">
        <v>6</v>
      </c>
      <c r="C608" t="s">
        <v>28</v>
      </c>
      <c r="D608" t="s">
        <v>15</v>
      </c>
      <c r="E608" t="s">
        <v>20</v>
      </c>
      <c r="F608" t="s">
        <v>17</v>
      </c>
      <c r="G608">
        <v>103694</v>
      </c>
      <c r="H608">
        <v>459861</v>
      </c>
      <c r="I608">
        <v>103</v>
      </c>
      <c r="J608">
        <v>0.97</v>
      </c>
      <c r="K608">
        <v>6.29</v>
      </c>
      <c r="L608">
        <v>1.2</v>
      </c>
      <c r="M608">
        <v>6</v>
      </c>
      <c r="N608">
        <v>527</v>
      </c>
    </row>
    <row r="609" spans="1:14" x14ac:dyDescent="0.35">
      <c r="A609">
        <v>2022</v>
      </c>
      <c r="B609">
        <v>1</v>
      </c>
      <c r="C609" t="s">
        <v>25</v>
      </c>
      <c r="D609" t="s">
        <v>24</v>
      </c>
      <c r="E609" t="s">
        <v>16</v>
      </c>
      <c r="F609" t="s">
        <v>23</v>
      </c>
      <c r="G609">
        <v>55008</v>
      </c>
      <c r="H609">
        <v>273032</v>
      </c>
      <c r="I609">
        <v>138</v>
      </c>
      <c r="J609">
        <v>0.97</v>
      </c>
      <c r="K609">
        <v>6.29</v>
      </c>
      <c r="L609">
        <v>1.2</v>
      </c>
      <c r="M609">
        <v>10</v>
      </c>
      <c r="N609">
        <v>521</v>
      </c>
    </row>
    <row r="610" spans="1:14" x14ac:dyDescent="0.35">
      <c r="A610">
        <v>2020</v>
      </c>
      <c r="B610">
        <v>10</v>
      </c>
      <c r="C610" t="s">
        <v>28</v>
      </c>
      <c r="D610" t="s">
        <v>34</v>
      </c>
      <c r="E610" t="s">
        <v>20</v>
      </c>
      <c r="F610" t="s">
        <v>20</v>
      </c>
      <c r="G610">
        <v>105474</v>
      </c>
      <c r="H610">
        <v>104144</v>
      </c>
      <c r="I610">
        <v>100</v>
      </c>
      <c r="J610">
        <v>0.97</v>
      </c>
      <c r="K610">
        <v>6.29</v>
      </c>
      <c r="L610">
        <v>1.2</v>
      </c>
      <c r="M610">
        <v>2</v>
      </c>
      <c r="N610">
        <v>355</v>
      </c>
    </row>
    <row r="611" spans="1:14" x14ac:dyDescent="0.35">
      <c r="A611">
        <v>2022</v>
      </c>
      <c r="B611">
        <v>6</v>
      </c>
      <c r="C611" t="s">
        <v>21</v>
      </c>
      <c r="D611" t="s">
        <v>15</v>
      </c>
      <c r="E611" t="s">
        <v>19</v>
      </c>
      <c r="F611" t="s">
        <v>17</v>
      </c>
      <c r="G611">
        <v>73185</v>
      </c>
      <c r="H611">
        <v>194454</v>
      </c>
      <c r="I611">
        <v>101</v>
      </c>
      <c r="J611">
        <v>0.97</v>
      </c>
      <c r="K611">
        <v>6.29</v>
      </c>
      <c r="L611">
        <v>1.2</v>
      </c>
      <c r="M611">
        <v>6</v>
      </c>
      <c r="N611">
        <v>406</v>
      </c>
    </row>
    <row r="612" spans="1:14" x14ac:dyDescent="0.35">
      <c r="A612">
        <v>2019</v>
      </c>
      <c r="B612">
        <v>1</v>
      </c>
      <c r="C612" t="s">
        <v>38</v>
      </c>
      <c r="D612" t="s">
        <v>29</v>
      </c>
      <c r="E612" t="s">
        <v>20</v>
      </c>
      <c r="F612" t="s">
        <v>27</v>
      </c>
      <c r="G612">
        <v>109417</v>
      </c>
      <c r="H612">
        <v>54025</v>
      </c>
      <c r="I612">
        <v>72</v>
      </c>
      <c r="J612">
        <v>0.97</v>
      </c>
      <c r="K612">
        <v>6.29</v>
      </c>
      <c r="L612">
        <v>1.2</v>
      </c>
      <c r="M612">
        <v>1</v>
      </c>
      <c r="N612">
        <v>250</v>
      </c>
    </row>
    <row r="613" spans="1:14" x14ac:dyDescent="0.35">
      <c r="A613">
        <v>2022</v>
      </c>
      <c r="B613">
        <v>6</v>
      </c>
      <c r="C613" t="s">
        <v>38</v>
      </c>
      <c r="D613" t="s">
        <v>15</v>
      </c>
      <c r="E613" t="s">
        <v>16</v>
      </c>
      <c r="F613" t="s">
        <v>23</v>
      </c>
      <c r="G613">
        <v>106139</v>
      </c>
      <c r="H613">
        <v>486442</v>
      </c>
      <c r="I613">
        <v>38</v>
      </c>
      <c r="J613">
        <v>0.97</v>
      </c>
      <c r="K613">
        <v>6.29</v>
      </c>
      <c r="L613">
        <v>1.2</v>
      </c>
      <c r="M613">
        <v>1</v>
      </c>
      <c r="N613">
        <v>407</v>
      </c>
    </row>
    <row r="614" spans="1:14" x14ac:dyDescent="0.35">
      <c r="A614">
        <v>2024</v>
      </c>
      <c r="B614">
        <v>10</v>
      </c>
      <c r="C614" t="s">
        <v>28</v>
      </c>
      <c r="D614" t="s">
        <v>33</v>
      </c>
      <c r="E614" t="s">
        <v>16</v>
      </c>
      <c r="F614" t="s">
        <v>20</v>
      </c>
      <c r="G614">
        <v>69980</v>
      </c>
      <c r="H614">
        <v>391524</v>
      </c>
      <c r="I614">
        <v>219</v>
      </c>
      <c r="J614">
        <v>0.97</v>
      </c>
      <c r="K614">
        <v>6.29</v>
      </c>
      <c r="L614">
        <v>1.2</v>
      </c>
      <c r="M614">
        <v>3</v>
      </c>
      <c r="N614">
        <v>914</v>
      </c>
    </row>
    <row r="615" spans="1:14" x14ac:dyDescent="0.35">
      <c r="A615">
        <v>2018</v>
      </c>
      <c r="B615">
        <v>8</v>
      </c>
      <c r="C615" t="s">
        <v>30</v>
      </c>
      <c r="D615" t="s">
        <v>24</v>
      </c>
      <c r="E615" t="s">
        <v>20</v>
      </c>
      <c r="F615" t="s">
        <v>27</v>
      </c>
      <c r="G615">
        <v>57504</v>
      </c>
      <c r="H615">
        <v>304043</v>
      </c>
      <c r="I615">
        <v>21</v>
      </c>
      <c r="J615">
        <v>0.97</v>
      </c>
      <c r="K615">
        <v>6.29</v>
      </c>
      <c r="L615">
        <v>1.2</v>
      </c>
      <c r="M615">
        <v>3</v>
      </c>
      <c r="N615">
        <v>387</v>
      </c>
    </row>
    <row r="616" spans="1:14" x14ac:dyDescent="0.35">
      <c r="A616">
        <v>2024</v>
      </c>
      <c r="B616">
        <v>11</v>
      </c>
      <c r="C616" t="s">
        <v>14</v>
      </c>
      <c r="D616" t="s">
        <v>18</v>
      </c>
      <c r="E616" t="s">
        <v>16</v>
      </c>
      <c r="F616" t="s">
        <v>27</v>
      </c>
      <c r="G616">
        <v>89970</v>
      </c>
      <c r="H616">
        <v>168910</v>
      </c>
      <c r="I616">
        <v>342</v>
      </c>
      <c r="J616">
        <v>0.97</v>
      </c>
      <c r="K616">
        <v>6.29</v>
      </c>
      <c r="L616">
        <v>1.2</v>
      </c>
      <c r="M616">
        <v>5</v>
      </c>
      <c r="N616">
        <v>798</v>
      </c>
    </row>
    <row r="617" spans="1:14" x14ac:dyDescent="0.35">
      <c r="A617">
        <v>2022</v>
      </c>
      <c r="B617">
        <v>2</v>
      </c>
      <c r="C617" t="s">
        <v>32</v>
      </c>
      <c r="D617" t="s">
        <v>31</v>
      </c>
      <c r="E617" t="s">
        <v>16</v>
      </c>
      <c r="F617" t="s">
        <v>23</v>
      </c>
      <c r="G617">
        <v>51766</v>
      </c>
      <c r="H617">
        <v>146055</v>
      </c>
      <c r="I617">
        <v>306</v>
      </c>
      <c r="J617">
        <v>0.97</v>
      </c>
      <c r="K617">
        <v>6.29</v>
      </c>
      <c r="L617">
        <v>1.2</v>
      </c>
      <c r="M617">
        <v>1</v>
      </c>
      <c r="N617">
        <v>1027</v>
      </c>
    </row>
    <row r="618" spans="1:14" x14ac:dyDescent="0.35">
      <c r="A618">
        <v>2024</v>
      </c>
      <c r="B618">
        <v>2</v>
      </c>
      <c r="C618" t="s">
        <v>35</v>
      </c>
      <c r="D618" t="s">
        <v>29</v>
      </c>
      <c r="E618" t="s">
        <v>19</v>
      </c>
      <c r="F618" t="s">
        <v>17</v>
      </c>
      <c r="G618">
        <v>46695</v>
      </c>
      <c r="H618">
        <v>438333</v>
      </c>
      <c r="I618">
        <v>139</v>
      </c>
      <c r="J618">
        <v>0.97</v>
      </c>
      <c r="K618">
        <v>6.29</v>
      </c>
      <c r="L618">
        <v>1.2</v>
      </c>
      <c r="M618">
        <v>10</v>
      </c>
      <c r="N618">
        <v>314</v>
      </c>
    </row>
    <row r="619" spans="1:14" x14ac:dyDescent="0.35">
      <c r="A619">
        <v>2016</v>
      </c>
      <c r="B619">
        <v>12</v>
      </c>
      <c r="C619" t="s">
        <v>38</v>
      </c>
      <c r="D619" t="s">
        <v>24</v>
      </c>
      <c r="E619" t="s">
        <v>20</v>
      </c>
      <c r="F619" t="s">
        <v>20</v>
      </c>
      <c r="G619">
        <v>52796</v>
      </c>
      <c r="H619">
        <v>255782</v>
      </c>
      <c r="I619">
        <v>302</v>
      </c>
      <c r="J619">
        <v>0.97</v>
      </c>
      <c r="K619">
        <v>6.29</v>
      </c>
      <c r="L619">
        <v>1.2</v>
      </c>
      <c r="M619">
        <v>6</v>
      </c>
      <c r="N619">
        <v>953</v>
      </c>
    </row>
    <row r="620" spans="1:14" x14ac:dyDescent="0.35">
      <c r="A620">
        <v>2019</v>
      </c>
      <c r="B620">
        <v>4</v>
      </c>
      <c r="C620" t="s">
        <v>28</v>
      </c>
      <c r="D620" t="s">
        <v>18</v>
      </c>
      <c r="E620" t="s">
        <v>20</v>
      </c>
      <c r="F620" t="s">
        <v>20</v>
      </c>
      <c r="G620">
        <v>77543</v>
      </c>
      <c r="H620">
        <v>446659</v>
      </c>
      <c r="I620">
        <v>182</v>
      </c>
      <c r="J620">
        <v>0.97</v>
      </c>
      <c r="K620">
        <v>6.29</v>
      </c>
      <c r="L620">
        <v>1.2</v>
      </c>
      <c r="M620">
        <v>7</v>
      </c>
      <c r="N620">
        <v>797</v>
      </c>
    </row>
    <row r="621" spans="1:14" x14ac:dyDescent="0.35">
      <c r="A621">
        <v>2023</v>
      </c>
      <c r="B621">
        <v>11</v>
      </c>
      <c r="C621" t="s">
        <v>28</v>
      </c>
      <c r="D621" t="s">
        <v>18</v>
      </c>
      <c r="E621" t="s">
        <v>20</v>
      </c>
      <c r="F621" t="s">
        <v>17</v>
      </c>
      <c r="G621">
        <v>49559</v>
      </c>
      <c r="H621">
        <v>333539</v>
      </c>
      <c r="I621">
        <v>217</v>
      </c>
      <c r="J621">
        <v>0.97</v>
      </c>
      <c r="K621">
        <v>6.29</v>
      </c>
      <c r="L621">
        <v>1.2</v>
      </c>
      <c r="M621">
        <v>10</v>
      </c>
      <c r="N621">
        <v>668</v>
      </c>
    </row>
    <row r="622" spans="1:14" x14ac:dyDescent="0.35">
      <c r="A622">
        <v>2018</v>
      </c>
      <c r="B622">
        <v>3</v>
      </c>
      <c r="C622" t="s">
        <v>14</v>
      </c>
      <c r="D622" t="s">
        <v>26</v>
      </c>
      <c r="E622" t="s">
        <v>16</v>
      </c>
      <c r="F622" t="s">
        <v>17</v>
      </c>
      <c r="G622">
        <v>68139</v>
      </c>
      <c r="H622">
        <v>322869</v>
      </c>
      <c r="I622">
        <v>33</v>
      </c>
      <c r="J622">
        <v>0.97</v>
      </c>
      <c r="K622">
        <v>6.29</v>
      </c>
      <c r="L622">
        <v>1.2</v>
      </c>
      <c r="M622">
        <v>3</v>
      </c>
      <c r="N622">
        <v>459</v>
      </c>
    </row>
    <row r="623" spans="1:14" x14ac:dyDescent="0.35">
      <c r="A623">
        <v>2020</v>
      </c>
      <c r="B623">
        <v>4</v>
      </c>
      <c r="C623" t="s">
        <v>14</v>
      </c>
      <c r="D623" t="s">
        <v>15</v>
      </c>
      <c r="E623" t="s">
        <v>20</v>
      </c>
      <c r="F623" t="s">
        <v>17</v>
      </c>
      <c r="G623">
        <v>43802</v>
      </c>
      <c r="H623">
        <v>83461</v>
      </c>
      <c r="I623">
        <v>108</v>
      </c>
      <c r="J623">
        <v>0.97</v>
      </c>
      <c r="K623">
        <v>6.29</v>
      </c>
      <c r="L623">
        <v>1.2</v>
      </c>
      <c r="M623">
        <v>4</v>
      </c>
      <c r="N623">
        <v>637</v>
      </c>
    </row>
    <row r="624" spans="1:14" x14ac:dyDescent="0.35">
      <c r="A624">
        <v>2015</v>
      </c>
      <c r="B624">
        <v>12</v>
      </c>
      <c r="C624" t="s">
        <v>36</v>
      </c>
      <c r="D624" t="s">
        <v>18</v>
      </c>
      <c r="E624" t="s">
        <v>20</v>
      </c>
      <c r="F624" t="s">
        <v>23</v>
      </c>
      <c r="G624">
        <v>108843</v>
      </c>
      <c r="H624">
        <v>308072</v>
      </c>
      <c r="I624">
        <v>365</v>
      </c>
      <c r="J624">
        <v>0.97</v>
      </c>
      <c r="K624">
        <v>6.29</v>
      </c>
      <c r="L624">
        <v>1.2</v>
      </c>
      <c r="M624">
        <v>10</v>
      </c>
      <c r="N624">
        <v>822</v>
      </c>
    </row>
    <row r="625" spans="1:14" x14ac:dyDescent="0.35">
      <c r="A625">
        <v>2023</v>
      </c>
      <c r="B625">
        <v>7</v>
      </c>
      <c r="C625" t="s">
        <v>36</v>
      </c>
      <c r="D625" t="s">
        <v>33</v>
      </c>
      <c r="E625" t="s">
        <v>19</v>
      </c>
      <c r="F625" t="s">
        <v>23</v>
      </c>
      <c r="G625">
        <v>75205</v>
      </c>
      <c r="H625">
        <v>91115</v>
      </c>
      <c r="I625">
        <v>148</v>
      </c>
      <c r="J625">
        <v>0.97</v>
      </c>
      <c r="K625">
        <v>6.29</v>
      </c>
      <c r="L625">
        <v>1.2</v>
      </c>
      <c r="M625">
        <v>10</v>
      </c>
      <c r="N625">
        <v>309</v>
      </c>
    </row>
    <row r="626" spans="1:14" x14ac:dyDescent="0.35">
      <c r="A626">
        <v>2015</v>
      </c>
      <c r="B626">
        <v>11</v>
      </c>
      <c r="C626" t="s">
        <v>30</v>
      </c>
      <c r="D626" t="s">
        <v>24</v>
      </c>
      <c r="E626" t="s">
        <v>19</v>
      </c>
      <c r="F626" t="s">
        <v>20</v>
      </c>
      <c r="G626">
        <v>69159</v>
      </c>
      <c r="H626">
        <v>160084</v>
      </c>
      <c r="I626">
        <v>323</v>
      </c>
      <c r="J626">
        <v>0.97</v>
      </c>
      <c r="K626">
        <v>6.29</v>
      </c>
      <c r="L626">
        <v>1.2</v>
      </c>
      <c r="M626">
        <v>10</v>
      </c>
      <c r="N626">
        <v>994</v>
      </c>
    </row>
    <row r="627" spans="1:14" x14ac:dyDescent="0.35">
      <c r="A627">
        <v>2019</v>
      </c>
      <c r="B627">
        <v>1</v>
      </c>
      <c r="C627" t="s">
        <v>30</v>
      </c>
      <c r="D627" t="s">
        <v>22</v>
      </c>
      <c r="E627" t="s">
        <v>19</v>
      </c>
      <c r="F627" t="s">
        <v>23</v>
      </c>
      <c r="G627">
        <v>46516</v>
      </c>
      <c r="H627">
        <v>395876</v>
      </c>
      <c r="I627">
        <v>183</v>
      </c>
      <c r="J627">
        <v>0.97</v>
      </c>
      <c r="K627">
        <v>6.29</v>
      </c>
      <c r="L627">
        <v>1.2</v>
      </c>
      <c r="M627">
        <v>10</v>
      </c>
      <c r="N627">
        <v>496</v>
      </c>
    </row>
    <row r="628" spans="1:14" x14ac:dyDescent="0.35">
      <c r="A628">
        <v>2018</v>
      </c>
      <c r="B628">
        <v>6</v>
      </c>
      <c r="C628" t="s">
        <v>21</v>
      </c>
      <c r="D628" t="s">
        <v>22</v>
      </c>
      <c r="E628" t="s">
        <v>16</v>
      </c>
      <c r="F628" t="s">
        <v>27</v>
      </c>
      <c r="G628">
        <v>85492</v>
      </c>
      <c r="H628">
        <v>391701</v>
      </c>
      <c r="I628">
        <v>38</v>
      </c>
      <c r="J628">
        <v>0.97</v>
      </c>
      <c r="K628">
        <v>6.29</v>
      </c>
      <c r="L628">
        <v>1.2</v>
      </c>
      <c r="M628">
        <v>10</v>
      </c>
      <c r="N628">
        <v>354</v>
      </c>
    </row>
    <row r="629" spans="1:14" x14ac:dyDescent="0.35">
      <c r="A629">
        <v>2017</v>
      </c>
      <c r="B629">
        <v>3</v>
      </c>
      <c r="C629" t="s">
        <v>30</v>
      </c>
      <c r="D629" t="s">
        <v>29</v>
      </c>
      <c r="E629" t="s">
        <v>20</v>
      </c>
      <c r="F629" t="s">
        <v>20</v>
      </c>
      <c r="G629">
        <v>64086</v>
      </c>
      <c r="H629">
        <v>383404</v>
      </c>
      <c r="I629">
        <v>152</v>
      </c>
      <c r="J629">
        <v>0.97</v>
      </c>
      <c r="K629">
        <v>6.29</v>
      </c>
      <c r="L629">
        <v>1.2</v>
      </c>
      <c r="M629">
        <v>3</v>
      </c>
      <c r="N629">
        <v>381</v>
      </c>
    </row>
    <row r="630" spans="1:14" x14ac:dyDescent="0.35">
      <c r="A630">
        <v>2020</v>
      </c>
      <c r="B630">
        <v>11</v>
      </c>
      <c r="C630" t="s">
        <v>37</v>
      </c>
      <c r="D630" t="s">
        <v>39</v>
      </c>
      <c r="E630" t="s">
        <v>19</v>
      </c>
      <c r="F630" t="s">
        <v>23</v>
      </c>
      <c r="G630">
        <v>65480</v>
      </c>
      <c r="H630">
        <v>209762</v>
      </c>
      <c r="I630">
        <v>325</v>
      </c>
      <c r="J630">
        <v>0.97</v>
      </c>
      <c r="K630">
        <v>6.29</v>
      </c>
      <c r="L630">
        <v>1.2</v>
      </c>
      <c r="M630">
        <v>1</v>
      </c>
      <c r="N630">
        <v>984</v>
      </c>
    </row>
    <row r="631" spans="1:14" x14ac:dyDescent="0.35">
      <c r="A631">
        <v>2016</v>
      </c>
      <c r="B631">
        <v>10</v>
      </c>
      <c r="C631" t="s">
        <v>14</v>
      </c>
      <c r="D631" t="s">
        <v>15</v>
      </c>
      <c r="E631" t="s">
        <v>19</v>
      </c>
      <c r="F631" t="s">
        <v>17</v>
      </c>
      <c r="G631">
        <v>87091</v>
      </c>
      <c r="H631">
        <v>313551</v>
      </c>
      <c r="I631">
        <v>360</v>
      </c>
      <c r="J631">
        <v>0.97</v>
      </c>
      <c r="K631">
        <v>6.29</v>
      </c>
      <c r="L631">
        <v>1.2</v>
      </c>
      <c r="M631">
        <v>8</v>
      </c>
      <c r="N631">
        <v>829</v>
      </c>
    </row>
    <row r="632" spans="1:14" x14ac:dyDescent="0.35">
      <c r="A632">
        <v>2017</v>
      </c>
      <c r="B632">
        <v>7</v>
      </c>
      <c r="C632" t="s">
        <v>35</v>
      </c>
      <c r="D632" t="s">
        <v>39</v>
      </c>
      <c r="E632" t="s">
        <v>19</v>
      </c>
      <c r="F632" t="s">
        <v>27</v>
      </c>
      <c r="G632">
        <v>82766</v>
      </c>
      <c r="H632">
        <v>123568</v>
      </c>
      <c r="I632">
        <v>51</v>
      </c>
      <c r="J632">
        <v>0.97</v>
      </c>
      <c r="K632">
        <v>6.29</v>
      </c>
      <c r="L632">
        <v>1.2</v>
      </c>
      <c r="M632">
        <v>10</v>
      </c>
      <c r="N632">
        <v>106</v>
      </c>
    </row>
    <row r="633" spans="1:14" x14ac:dyDescent="0.35">
      <c r="A633">
        <v>2019</v>
      </c>
      <c r="B633">
        <v>10</v>
      </c>
      <c r="C633" t="s">
        <v>37</v>
      </c>
      <c r="D633" t="s">
        <v>18</v>
      </c>
      <c r="E633" t="s">
        <v>20</v>
      </c>
      <c r="F633" t="s">
        <v>17</v>
      </c>
      <c r="G633">
        <v>73737</v>
      </c>
      <c r="H633">
        <v>108560</v>
      </c>
      <c r="I633">
        <v>308</v>
      </c>
      <c r="J633">
        <v>0.97</v>
      </c>
      <c r="K633">
        <v>6.29</v>
      </c>
      <c r="L633">
        <v>1.2</v>
      </c>
      <c r="M633">
        <v>10</v>
      </c>
      <c r="N633">
        <v>720</v>
      </c>
    </row>
    <row r="634" spans="1:14" x14ac:dyDescent="0.35">
      <c r="A634">
        <v>2023</v>
      </c>
      <c r="B634">
        <v>2</v>
      </c>
      <c r="C634" t="s">
        <v>32</v>
      </c>
      <c r="D634" t="s">
        <v>24</v>
      </c>
      <c r="E634" t="s">
        <v>20</v>
      </c>
      <c r="F634" t="s">
        <v>20</v>
      </c>
      <c r="G634">
        <v>44265</v>
      </c>
      <c r="H634">
        <v>490556</v>
      </c>
      <c r="I634">
        <v>217</v>
      </c>
      <c r="J634">
        <v>0.97</v>
      </c>
      <c r="K634">
        <v>6.29</v>
      </c>
      <c r="L634">
        <v>1.2</v>
      </c>
      <c r="M634">
        <v>2</v>
      </c>
      <c r="N634">
        <v>835</v>
      </c>
    </row>
    <row r="635" spans="1:14" x14ac:dyDescent="0.35">
      <c r="A635">
        <v>2016</v>
      </c>
      <c r="B635">
        <v>2</v>
      </c>
      <c r="C635" t="s">
        <v>28</v>
      </c>
      <c r="D635" t="s">
        <v>29</v>
      </c>
      <c r="E635" t="s">
        <v>20</v>
      </c>
      <c r="F635" t="s">
        <v>17</v>
      </c>
      <c r="G635">
        <v>105990</v>
      </c>
      <c r="H635">
        <v>198866</v>
      </c>
      <c r="I635">
        <v>339</v>
      </c>
      <c r="J635">
        <v>0.97</v>
      </c>
      <c r="K635">
        <v>6.29</v>
      </c>
      <c r="L635">
        <v>1.2</v>
      </c>
      <c r="M635">
        <v>1</v>
      </c>
      <c r="N635">
        <v>1024</v>
      </c>
    </row>
    <row r="636" spans="1:14" x14ac:dyDescent="0.35">
      <c r="A636">
        <v>2024</v>
      </c>
      <c r="B636">
        <v>4</v>
      </c>
      <c r="C636" t="s">
        <v>30</v>
      </c>
      <c r="D636" t="s">
        <v>34</v>
      </c>
      <c r="E636" t="s">
        <v>16</v>
      </c>
      <c r="F636" t="s">
        <v>23</v>
      </c>
      <c r="G636">
        <v>50386</v>
      </c>
      <c r="H636">
        <v>200953</v>
      </c>
      <c r="I636">
        <v>201</v>
      </c>
      <c r="J636">
        <v>0.97</v>
      </c>
      <c r="K636">
        <v>6.29</v>
      </c>
      <c r="L636">
        <v>1.2</v>
      </c>
      <c r="M636">
        <v>8</v>
      </c>
      <c r="N636">
        <v>815</v>
      </c>
    </row>
    <row r="637" spans="1:14" x14ac:dyDescent="0.35">
      <c r="A637">
        <v>2022</v>
      </c>
      <c r="B637">
        <v>1</v>
      </c>
      <c r="C637" t="s">
        <v>28</v>
      </c>
      <c r="D637" t="s">
        <v>18</v>
      </c>
      <c r="E637" t="s">
        <v>16</v>
      </c>
      <c r="F637" t="s">
        <v>23</v>
      </c>
      <c r="G637">
        <v>72425</v>
      </c>
      <c r="H637">
        <v>267364</v>
      </c>
      <c r="I637">
        <v>169</v>
      </c>
      <c r="J637">
        <v>0.97</v>
      </c>
      <c r="K637">
        <v>6.29</v>
      </c>
      <c r="L637">
        <v>1.2</v>
      </c>
      <c r="M637">
        <v>7</v>
      </c>
      <c r="N637">
        <v>719</v>
      </c>
    </row>
    <row r="638" spans="1:14" x14ac:dyDescent="0.35">
      <c r="A638">
        <v>2016</v>
      </c>
      <c r="B638">
        <v>3</v>
      </c>
      <c r="C638" t="s">
        <v>38</v>
      </c>
      <c r="D638" t="s">
        <v>15</v>
      </c>
      <c r="E638" t="s">
        <v>19</v>
      </c>
      <c r="F638" t="s">
        <v>20</v>
      </c>
      <c r="G638">
        <v>78254</v>
      </c>
      <c r="H638">
        <v>286770</v>
      </c>
      <c r="I638">
        <v>73</v>
      </c>
      <c r="J638">
        <v>0.97</v>
      </c>
      <c r="K638">
        <v>6.29</v>
      </c>
      <c r="L638">
        <v>1.2</v>
      </c>
      <c r="M638">
        <v>7</v>
      </c>
      <c r="N638">
        <v>377</v>
      </c>
    </row>
    <row r="639" spans="1:14" x14ac:dyDescent="0.35">
      <c r="A639">
        <v>2019</v>
      </c>
      <c r="B639">
        <v>9</v>
      </c>
      <c r="C639" t="s">
        <v>21</v>
      </c>
      <c r="D639" t="s">
        <v>22</v>
      </c>
      <c r="E639" t="s">
        <v>20</v>
      </c>
      <c r="F639" t="s">
        <v>17</v>
      </c>
      <c r="G639">
        <v>88634</v>
      </c>
      <c r="H639">
        <v>276024</v>
      </c>
      <c r="I639">
        <v>252</v>
      </c>
      <c r="J639">
        <v>0.97</v>
      </c>
      <c r="K639">
        <v>6.29</v>
      </c>
      <c r="L639">
        <v>1.2</v>
      </c>
      <c r="M639">
        <v>4</v>
      </c>
      <c r="N639">
        <v>663</v>
      </c>
    </row>
    <row r="640" spans="1:14" x14ac:dyDescent="0.35">
      <c r="A640">
        <v>2021</v>
      </c>
      <c r="B640">
        <v>7</v>
      </c>
      <c r="C640" t="s">
        <v>38</v>
      </c>
      <c r="D640" t="s">
        <v>26</v>
      </c>
      <c r="E640" t="s">
        <v>19</v>
      </c>
      <c r="F640" t="s">
        <v>20</v>
      </c>
      <c r="G640">
        <v>82662</v>
      </c>
      <c r="H640">
        <v>230775</v>
      </c>
      <c r="I640">
        <v>267</v>
      </c>
      <c r="J640">
        <v>0.97</v>
      </c>
      <c r="K640">
        <v>6.29</v>
      </c>
      <c r="L640">
        <v>1.2</v>
      </c>
      <c r="M640">
        <v>9</v>
      </c>
      <c r="N640">
        <v>641</v>
      </c>
    </row>
    <row r="641" spans="1:14" x14ac:dyDescent="0.35">
      <c r="A641">
        <v>2022</v>
      </c>
      <c r="B641">
        <v>7</v>
      </c>
      <c r="C641" t="s">
        <v>21</v>
      </c>
      <c r="D641" t="s">
        <v>24</v>
      </c>
      <c r="E641" t="s">
        <v>20</v>
      </c>
      <c r="F641" t="s">
        <v>17</v>
      </c>
      <c r="G641">
        <v>110452</v>
      </c>
      <c r="H641">
        <v>487570</v>
      </c>
      <c r="I641">
        <v>161</v>
      </c>
      <c r="J641">
        <v>0.97</v>
      </c>
      <c r="K641">
        <v>6.29</v>
      </c>
      <c r="L641">
        <v>1.2</v>
      </c>
      <c r="M641">
        <v>6</v>
      </c>
      <c r="N641">
        <v>415</v>
      </c>
    </row>
    <row r="642" spans="1:14" x14ac:dyDescent="0.35">
      <c r="A642">
        <v>2015</v>
      </c>
      <c r="B642">
        <v>11</v>
      </c>
      <c r="C642" t="s">
        <v>36</v>
      </c>
      <c r="D642" t="s">
        <v>31</v>
      </c>
      <c r="E642" t="s">
        <v>20</v>
      </c>
      <c r="F642" t="s">
        <v>27</v>
      </c>
      <c r="G642">
        <v>45143</v>
      </c>
      <c r="H642">
        <v>141288</v>
      </c>
      <c r="I642">
        <v>224</v>
      </c>
      <c r="J642">
        <v>0.97</v>
      </c>
      <c r="K642">
        <v>6.29</v>
      </c>
      <c r="L642">
        <v>1.2</v>
      </c>
      <c r="M642">
        <v>2</v>
      </c>
      <c r="N642">
        <v>651</v>
      </c>
    </row>
    <row r="643" spans="1:14" x14ac:dyDescent="0.35">
      <c r="A643">
        <v>2020</v>
      </c>
      <c r="B643">
        <v>4</v>
      </c>
      <c r="C643" t="s">
        <v>28</v>
      </c>
      <c r="D643" t="s">
        <v>39</v>
      </c>
      <c r="E643" t="s">
        <v>20</v>
      </c>
      <c r="F643" t="s">
        <v>23</v>
      </c>
      <c r="G643">
        <v>50581</v>
      </c>
      <c r="H643">
        <v>431164</v>
      </c>
      <c r="I643">
        <v>331</v>
      </c>
      <c r="J643">
        <v>0.97</v>
      </c>
      <c r="K643">
        <v>6.29</v>
      </c>
      <c r="L643">
        <v>1.2</v>
      </c>
      <c r="M643">
        <v>1</v>
      </c>
      <c r="N643">
        <v>877</v>
      </c>
    </row>
    <row r="644" spans="1:14" x14ac:dyDescent="0.35">
      <c r="A644">
        <v>2015</v>
      </c>
      <c r="B644">
        <v>2</v>
      </c>
      <c r="C644" t="s">
        <v>21</v>
      </c>
      <c r="D644" t="s">
        <v>29</v>
      </c>
      <c r="E644" t="s">
        <v>16</v>
      </c>
      <c r="F644" t="s">
        <v>20</v>
      </c>
      <c r="G644">
        <v>102443</v>
      </c>
      <c r="H644">
        <v>411445</v>
      </c>
      <c r="I644">
        <v>175</v>
      </c>
      <c r="J644">
        <v>0.97</v>
      </c>
      <c r="K644">
        <v>6.29</v>
      </c>
      <c r="L644">
        <v>1.2</v>
      </c>
      <c r="M644">
        <v>1</v>
      </c>
      <c r="N644">
        <v>533</v>
      </c>
    </row>
    <row r="645" spans="1:14" x14ac:dyDescent="0.35">
      <c r="A645">
        <v>2016</v>
      </c>
      <c r="B645">
        <v>4</v>
      </c>
      <c r="C645" t="s">
        <v>25</v>
      </c>
      <c r="D645" t="s">
        <v>39</v>
      </c>
      <c r="E645" t="s">
        <v>16</v>
      </c>
      <c r="F645" t="s">
        <v>27</v>
      </c>
      <c r="G645">
        <v>64424</v>
      </c>
      <c r="H645">
        <v>299836</v>
      </c>
      <c r="I645">
        <v>40</v>
      </c>
      <c r="J645">
        <v>0.97</v>
      </c>
      <c r="K645">
        <v>6.29</v>
      </c>
      <c r="L645">
        <v>1.2</v>
      </c>
      <c r="M645">
        <v>9</v>
      </c>
      <c r="N645">
        <v>456</v>
      </c>
    </row>
    <row r="646" spans="1:14" x14ac:dyDescent="0.35">
      <c r="A646">
        <v>2015</v>
      </c>
      <c r="B646">
        <v>6</v>
      </c>
      <c r="C646" t="s">
        <v>37</v>
      </c>
      <c r="D646" t="s">
        <v>24</v>
      </c>
      <c r="E646" t="s">
        <v>20</v>
      </c>
      <c r="F646" t="s">
        <v>27</v>
      </c>
      <c r="G646">
        <v>76984</v>
      </c>
      <c r="H646">
        <v>64390</v>
      </c>
      <c r="I646">
        <v>380</v>
      </c>
      <c r="J646">
        <v>0.97</v>
      </c>
      <c r="K646">
        <v>6.29</v>
      </c>
      <c r="L646">
        <v>1.2</v>
      </c>
      <c r="M646">
        <v>4</v>
      </c>
      <c r="N646">
        <v>814</v>
      </c>
    </row>
    <row r="647" spans="1:14" x14ac:dyDescent="0.35">
      <c r="A647">
        <v>2019</v>
      </c>
      <c r="B647">
        <v>11</v>
      </c>
      <c r="C647" t="s">
        <v>21</v>
      </c>
      <c r="D647" t="s">
        <v>39</v>
      </c>
      <c r="E647" t="s">
        <v>19</v>
      </c>
      <c r="F647" t="s">
        <v>20</v>
      </c>
      <c r="G647">
        <v>76505</v>
      </c>
      <c r="H647">
        <v>268547</v>
      </c>
      <c r="I647">
        <v>241</v>
      </c>
      <c r="J647">
        <v>0.97</v>
      </c>
      <c r="K647">
        <v>6.29</v>
      </c>
      <c r="L647">
        <v>1.2</v>
      </c>
      <c r="M647">
        <v>5</v>
      </c>
      <c r="N647">
        <v>557</v>
      </c>
    </row>
    <row r="648" spans="1:14" x14ac:dyDescent="0.35">
      <c r="A648">
        <v>2024</v>
      </c>
      <c r="B648">
        <v>11</v>
      </c>
      <c r="C648" t="s">
        <v>21</v>
      </c>
      <c r="D648" t="s">
        <v>24</v>
      </c>
      <c r="E648" t="s">
        <v>20</v>
      </c>
      <c r="F648" t="s">
        <v>20</v>
      </c>
      <c r="G648">
        <v>97699</v>
      </c>
      <c r="H648">
        <v>77307</v>
      </c>
      <c r="I648">
        <v>291</v>
      </c>
      <c r="J648">
        <v>0.97</v>
      </c>
      <c r="K648">
        <v>6.29</v>
      </c>
      <c r="L648">
        <v>1.2</v>
      </c>
      <c r="M648">
        <v>3</v>
      </c>
      <c r="N648">
        <v>730</v>
      </c>
    </row>
    <row r="649" spans="1:14" x14ac:dyDescent="0.35">
      <c r="A649">
        <v>2023</v>
      </c>
      <c r="B649">
        <v>3</v>
      </c>
      <c r="C649" t="s">
        <v>37</v>
      </c>
      <c r="D649" t="s">
        <v>39</v>
      </c>
      <c r="E649" t="s">
        <v>20</v>
      </c>
      <c r="F649" t="s">
        <v>27</v>
      </c>
      <c r="G649">
        <v>61957</v>
      </c>
      <c r="H649">
        <v>277436</v>
      </c>
      <c r="I649">
        <v>38</v>
      </c>
      <c r="J649">
        <v>0.97</v>
      </c>
      <c r="K649">
        <v>6.29</v>
      </c>
      <c r="L649">
        <v>1.2</v>
      </c>
      <c r="M649">
        <v>4</v>
      </c>
      <c r="N649">
        <v>550</v>
      </c>
    </row>
    <row r="650" spans="1:14" x14ac:dyDescent="0.35">
      <c r="A650">
        <v>2020</v>
      </c>
      <c r="B650">
        <v>1</v>
      </c>
      <c r="C650" t="s">
        <v>28</v>
      </c>
      <c r="D650" t="s">
        <v>33</v>
      </c>
      <c r="E650" t="s">
        <v>19</v>
      </c>
      <c r="F650" t="s">
        <v>17</v>
      </c>
      <c r="G650">
        <v>60464</v>
      </c>
      <c r="H650">
        <v>275121</v>
      </c>
      <c r="I650">
        <v>204</v>
      </c>
      <c r="J650">
        <v>0.97</v>
      </c>
      <c r="K650">
        <v>6.29</v>
      </c>
      <c r="L650">
        <v>1.2</v>
      </c>
      <c r="M650">
        <v>8</v>
      </c>
      <c r="N650">
        <v>842</v>
      </c>
    </row>
    <row r="651" spans="1:14" x14ac:dyDescent="0.35">
      <c r="A651">
        <v>2015</v>
      </c>
      <c r="B651">
        <v>12</v>
      </c>
      <c r="C651" t="s">
        <v>28</v>
      </c>
      <c r="D651" t="s">
        <v>34</v>
      </c>
      <c r="E651" t="s">
        <v>20</v>
      </c>
      <c r="F651" t="s">
        <v>27</v>
      </c>
      <c r="G651">
        <v>58649</v>
      </c>
      <c r="H651">
        <v>301063</v>
      </c>
      <c r="I651">
        <v>343</v>
      </c>
      <c r="J651">
        <v>0.97</v>
      </c>
      <c r="K651">
        <v>6.29</v>
      </c>
      <c r="L651">
        <v>1.2</v>
      </c>
      <c r="M651">
        <v>4</v>
      </c>
      <c r="N651">
        <v>1071</v>
      </c>
    </row>
    <row r="652" spans="1:14" x14ac:dyDescent="0.35">
      <c r="A652">
        <v>2015</v>
      </c>
      <c r="B652">
        <v>8</v>
      </c>
      <c r="C652" t="s">
        <v>37</v>
      </c>
      <c r="D652" t="s">
        <v>18</v>
      </c>
      <c r="E652" t="s">
        <v>19</v>
      </c>
      <c r="F652" t="s">
        <v>20</v>
      </c>
      <c r="G652">
        <v>77065</v>
      </c>
      <c r="H652">
        <v>74502</v>
      </c>
      <c r="I652">
        <v>265</v>
      </c>
      <c r="J652">
        <v>0.97</v>
      </c>
      <c r="K652">
        <v>6.29</v>
      </c>
      <c r="L652">
        <v>1.2</v>
      </c>
      <c r="M652">
        <v>9</v>
      </c>
      <c r="N652">
        <v>929</v>
      </c>
    </row>
    <row r="653" spans="1:14" x14ac:dyDescent="0.35">
      <c r="A653">
        <v>2016</v>
      </c>
      <c r="B653">
        <v>12</v>
      </c>
      <c r="C653" t="s">
        <v>38</v>
      </c>
      <c r="D653" t="s">
        <v>18</v>
      </c>
      <c r="E653" t="s">
        <v>16</v>
      </c>
      <c r="F653" t="s">
        <v>27</v>
      </c>
      <c r="G653">
        <v>69758</v>
      </c>
      <c r="H653">
        <v>72486</v>
      </c>
      <c r="I653">
        <v>290</v>
      </c>
      <c r="J653">
        <v>0.97</v>
      </c>
      <c r="K653">
        <v>6.29</v>
      </c>
      <c r="L653">
        <v>1.2</v>
      </c>
      <c r="M653">
        <v>9</v>
      </c>
      <c r="N653">
        <v>977</v>
      </c>
    </row>
    <row r="654" spans="1:14" x14ac:dyDescent="0.35">
      <c r="A654">
        <v>2023</v>
      </c>
      <c r="B654">
        <v>5</v>
      </c>
      <c r="C654" t="s">
        <v>25</v>
      </c>
      <c r="D654" t="s">
        <v>15</v>
      </c>
      <c r="E654" t="s">
        <v>16</v>
      </c>
      <c r="F654" t="s">
        <v>17</v>
      </c>
      <c r="G654">
        <v>40596</v>
      </c>
      <c r="H654">
        <v>423957</v>
      </c>
      <c r="I654">
        <v>313</v>
      </c>
      <c r="J654">
        <v>0.97</v>
      </c>
      <c r="K654">
        <v>6.29</v>
      </c>
      <c r="L654">
        <v>1.2</v>
      </c>
      <c r="M654">
        <v>6</v>
      </c>
      <c r="N654">
        <v>989</v>
      </c>
    </row>
    <row r="655" spans="1:14" x14ac:dyDescent="0.35">
      <c r="A655">
        <v>2017</v>
      </c>
      <c r="B655">
        <v>5</v>
      </c>
      <c r="C655" t="s">
        <v>35</v>
      </c>
      <c r="D655" t="s">
        <v>31</v>
      </c>
      <c r="E655" t="s">
        <v>19</v>
      </c>
      <c r="F655" t="s">
        <v>23</v>
      </c>
      <c r="G655">
        <v>51374</v>
      </c>
      <c r="H655">
        <v>219330</v>
      </c>
      <c r="I655">
        <v>330</v>
      </c>
      <c r="J655">
        <v>0.97</v>
      </c>
      <c r="K655">
        <v>6.29</v>
      </c>
      <c r="L655">
        <v>1.2</v>
      </c>
      <c r="M655">
        <v>2</v>
      </c>
      <c r="N655">
        <v>1096</v>
      </c>
    </row>
    <row r="656" spans="1:14" x14ac:dyDescent="0.35">
      <c r="A656">
        <v>2015</v>
      </c>
      <c r="B656">
        <v>11</v>
      </c>
      <c r="C656" t="s">
        <v>32</v>
      </c>
      <c r="D656" t="s">
        <v>31</v>
      </c>
      <c r="E656" t="s">
        <v>16</v>
      </c>
      <c r="F656" t="s">
        <v>23</v>
      </c>
      <c r="G656">
        <v>38775</v>
      </c>
      <c r="H656">
        <v>238788</v>
      </c>
      <c r="I656">
        <v>332</v>
      </c>
      <c r="J656">
        <v>0.97</v>
      </c>
      <c r="K656">
        <v>6.29</v>
      </c>
      <c r="L656">
        <v>1.2</v>
      </c>
      <c r="M656">
        <v>10</v>
      </c>
      <c r="N656">
        <v>835</v>
      </c>
    </row>
    <row r="657" spans="1:14" x14ac:dyDescent="0.35">
      <c r="A657">
        <v>2019</v>
      </c>
      <c r="B657">
        <v>4</v>
      </c>
      <c r="C657" t="s">
        <v>25</v>
      </c>
      <c r="D657" t="s">
        <v>15</v>
      </c>
      <c r="E657" t="s">
        <v>16</v>
      </c>
      <c r="F657" t="s">
        <v>27</v>
      </c>
      <c r="G657">
        <v>62388</v>
      </c>
      <c r="H657">
        <v>278300</v>
      </c>
      <c r="I657">
        <v>355</v>
      </c>
      <c r="J657">
        <v>0.97</v>
      </c>
      <c r="K657">
        <v>6.29</v>
      </c>
      <c r="L657">
        <v>1.2</v>
      </c>
      <c r="M657">
        <v>7</v>
      </c>
      <c r="N657">
        <v>886</v>
      </c>
    </row>
    <row r="658" spans="1:14" x14ac:dyDescent="0.35">
      <c r="A658">
        <v>2021</v>
      </c>
      <c r="B658">
        <v>6</v>
      </c>
      <c r="C658" t="s">
        <v>28</v>
      </c>
      <c r="D658" t="s">
        <v>26</v>
      </c>
      <c r="E658" t="s">
        <v>19</v>
      </c>
      <c r="F658" t="s">
        <v>17</v>
      </c>
      <c r="G658">
        <v>56029</v>
      </c>
      <c r="H658">
        <v>153920</v>
      </c>
      <c r="I658">
        <v>303</v>
      </c>
      <c r="J658">
        <v>0.97</v>
      </c>
      <c r="K658">
        <v>6.29</v>
      </c>
      <c r="L658">
        <v>1.2</v>
      </c>
      <c r="M658">
        <v>9</v>
      </c>
      <c r="N658">
        <v>682</v>
      </c>
    </row>
    <row r="659" spans="1:14" x14ac:dyDescent="0.35">
      <c r="A659">
        <v>2020</v>
      </c>
      <c r="B659">
        <v>3</v>
      </c>
      <c r="C659" t="s">
        <v>35</v>
      </c>
      <c r="D659" t="s">
        <v>18</v>
      </c>
      <c r="E659" t="s">
        <v>16</v>
      </c>
      <c r="F659" t="s">
        <v>23</v>
      </c>
      <c r="G659">
        <v>118981</v>
      </c>
      <c r="H659">
        <v>262566</v>
      </c>
      <c r="I659">
        <v>96</v>
      </c>
      <c r="J659">
        <v>0.97</v>
      </c>
      <c r="K659">
        <v>6.29</v>
      </c>
      <c r="L659">
        <v>1.2</v>
      </c>
      <c r="M659">
        <v>6</v>
      </c>
      <c r="N659">
        <v>622</v>
      </c>
    </row>
    <row r="660" spans="1:14" x14ac:dyDescent="0.35">
      <c r="A660">
        <v>2015</v>
      </c>
      <c r="B660">
        <v>9</v>
      </c>
      <c r="C660" t="s">
        <v>36</v>
      </c>
      <c r="D660" t="s">
        <v>26</v>
      </c>
      <c r="E660" t="s">
        <v>20</v>
      </c>
      <c r="F660" t="s">
        <v>27</v>
      </c>
      <c r="G660">
        <v>88639</v>
      </c>
      <c r="H660">
        <v>394912</v>
      </c>
      <c r="I660">
        <v>158</v>
      </c>
      <c r="J660">
        <v>0.97</v>
      </c>
      <c r="K660">
        <v>6.29</v>
      </c>
      <c r="L660">
        <v>1.2</v>
      </c>
      <c r="M660">
        <v>3</v>
      </c>
      <c r="N660">
        <v>482</v>
      </c>
    </row>
    <row r="661" spans="1:14" x14ac:dyDescent="0.35">
      <c r="A661">
        <v>2019</v>
      </c>
      <c r="B661">
        <v>5</v>
      </c>
      <c r="C661" t="s">
        <v>30</v>
      </c>
      <c r="D661" t="s">
        <v>24</v>
      </c>
      <c r="E661" t="s">
        <v>20</v>
      </c>
      <c r="F661" t="s">
        <v>27</v>
      </c>
      <c r="G661">
        <v>49645</v>
      </c>
      <c r="H661">
        <v>453964</v>
      </c>
      <c r="I661">
        <v>258</v>
      </c>
      <c r="J661">
        <v>0.97</v>
      </c>
      <c r="K661">
        <v>6.29</v>
      </c>
      <c r="L661">
        <v>1.2</v>
      </c>
      <c r="M661">
        <v>7</v>
      </c>
      <c r="N661">
        <v>739</v>
      </c>
    </row>
    <row r="662" spans="1:14" x14ac:dyDescent="0.35">
      <c r="A662">
        <v>2019</v>
      </c>
      <c r="B662">
        <v>3</v>
      </c>
      <c r="C662" t="s">
        <v>21</v>
      </c>
      <c r="D662" t="s">
        <v>24</v>
      </c>
      <c r="E662" t="s">
        <v>19</v>
      </c>
      <c r="F662" t="s">
        <v>17</v>
      </c>
      <c r="G662">
        <v>66105</v>
      </c>
      <c r="H662">
        <v>112785</v>
      </c>
      <c r="I662">
        <v>330</v>
      </c>
      <c r="J662">
        <v>0.97</v>
      </c>
      <c r="K662">
        <v>6.29</v>
      </c>
      <c r="L662">
        <v>1.2</v>
      </c>
      <c r="M662">
        <v>5</v>
      </c>
      <c r="N662">
        <v>1062</v>
      </c>
    </row>
    <row r="663" spans="1:14" x14ac:dyDescent="0.35">
      <c r="A663">
        <v>2020</v>
      </c>
      <c r="B663">
        <v>11</v>
      </c>
      <c r="C663" t="s">
        <v>37</v>
      </c>
      <c r="D663" t="s">
        <v>22</v>
      </c>
      <c r="E663" t="s">
        <v>16</v>
      </c>
      <c r="F663" t="s">
        <v>20</v>
      </c>
      <c r="G663">
        <v>48668</v>
      </c>
      <c r="H663">
        <v>126050</v>
      </c>
      <c r="I663">
        <v>292</v>
      </c>
      <c r="J663">
        <v>0.97</v>
      </c>
      <c r="K663">
        <v>6.29</v>
      </c>
      <c r="L663">
        <v>1.2</v>
      </c>
      <c r="M663">
        <v>1</v>
      </c>
      <c r="N663">
        <v>995</v>
      </c>
    </row>
    <row r="664" spans="1:14" x14ac:dyDescent="0.35">
      <c r="A664">
        <v>2017</v>
      </c>
      <c r="B664">
        <v>1</v>
      </c>
      <c r="C664" t="s">
        <v>37</v>
      </c>
      <c r="D664" t="s">
        <v>39</v>
      </c>
      <c r="E664" t="s">
        <v>20</v>
      </c>
      <c r="F664" t="s">
        <v>27</v>
      </c>
      <c r="G664">
        <v>50960</v>
      </c>
      <c r="H664">
        <v>72738</v>
      </c>
      <c r="I664">
        <v>371</v>
      </c>
      <c r="J664">
        <v>0.97</v>
      </c>
      <c r="K664">
        <v>6.29</v>
      </c>
      <c r="L664">
        <v>1.2</v>
      </c>
      <c r="M664">
        <v>3</v>
      </c>
      <c r="N664">
        <v>759</v>
      </c>
    </row>
    <row r="665" spans="1:14" x14ac:dyDescent="0.35">
      <c r="A665">
        <v>2019</v>
      </c>
      <c r="B665">
        <v>10</v>
      </c>
      <c r="C665" t="s">
        <v>21</v>
      </c>
      <c r="D665" t="s">
        <v>31</v>
      </c>
      <c r="E665" t="s">
        <v>20</v>
      </c>
      <c r="F665" t="s">
        <v>20</v>
      </c>
      <c r="G665">
        <v>46357</v>
      </c>
      <c r="H665">
        <v>124231</v>
      </c>
      <c r="I665">
        <v>388</v>
      </c>
      <c r="J665">
        <v>0.97</v>
      </c>
      <c r="K665">
        <v>6.29</v>
      </c>
      <c r="L665">
        <v>1.2</v>
      </c>
      <c r="M665">
        <v>5</v>
      </c>
      <c r="N665">
        <v>895</v>
      </c>
    </row>
    <row r="666" spans="1:14" x14ac:dyDescent="0.35">
      <c r="A666">
        <v>2021</v>
      </c>
      <c r="B666">
        <v>12</v>
      </c>
      <c r="C666" t="s">
        <v>30</v>
      </c>
      <c r="D666" t="s">
        <v>22</v>
      </c>
      <c r="E666" t="s">
        <v>16</v>
      </c>
      <c r="F666" t="s">
        <v>20</v>
      </c>
      <c r="G666">
        <v>99604</v>
      </c>
      <c r="H666">
        <v>123606</v>
      </c>
      <c r="I666">
        <v>207</v>
      </c>
      <c r="J666">
        <v>0.97</v>
      </c>
      <c r="K666">
        <v>6.29</v>
      </c>
      <c r="L666">
        <v>1.2</v>
      </c>
      <c r="M666">
        <v>7</v>
      </c>
      <c r="N666">
        <v>754</v>
      </c>
    </row>
    <row r="667" spans="1:14" x14ac:dyDescent="0.35">
      <c r="A667">
        <v>2019</v>
      </c>
      <c r="B667">
        <v>6</v>
      </c>
      <c r="C667" t="s">
        <v>32</v>
      </c>
      <c r="D667" t="s">
        <v>34</v>
      </c>
      <c r="E667" t="s">
        <v>16</v>
      </c>
      <c r="F667" t="s">
        <v>23</v>
      </c>
      <c r="G667">
        <v>86796</v>
      </c>
      <c r="H667">
        <v>353806</v>
      </c>
      <c r="I667">
        <v>53</v>
      </c>
      <c r="J667">
        <v>0.97</v>
      </c>
      <c r="K667">
        <v>6.29</v>
      </c>
      <c r="L667">
        <v>1.2</v>
      </c>
      <c r="M667">
        <v>3</v>
      </c>
      <c r="N667">
        <v>203</v>
      </c>
    </row>
    <row r="668" spans="1:14" x14ac:dyDescent="0.35">
      <c r="A668">
        <v>2019</v>
      </c>
      <c r="B668">
        <v>2</v>
      </c>
      <c r="C668" t="s">
        <v>30</v>
      </c>
      <c r="D668" t="s">
        <v>15</v>
      </c>
      <c r="E668" t="s">
        <v>20</v>
      </c>
      <c r="F668" t="s">
        <v>20</v>
      </c>
      <c r="G668">
        <v>50804</v>
      </c>
      <c r="H668">
        <v>430457</v>
      </c>
      <c r="I668">
        <v>365</v>
      </c>
      <c r="J668">
        <v>0.97</v>
      </c>
      <c r="K668">
        <v>6.29</v>
      </c>
      <c r="L668">
        <v>1.2</v>
      </c>
      <c r="M668">
        <v>6</v>
      </c>
      <c r="N668">
        <v>1193</v>
      </c>
    </row>
    <row r="669" spans="1:14" x14ac:dyDescent="0.35">
      <c r="A669">
        <v>2019</v>
      </c>
      <c r="B669">
        <v>3</v>
      </c>
      <c r="C669" t="s">
        <v>35</v>
      </c>
      <c r="D669" t="s">
        <v>15</v>
      </c>
      <c r="E669" t="s">
        <v>20</v>
      </c>
      <c r="F669" t="s">
        <v>17</v>
      </c>
      <c r="G669">
        <v>49626</v>
      </c>
      <c r="H669">
        <v>277369</v>
      </c>
      <c r="I669">
        <v>37</v>
      </c>
      <c r="J669">
        <v>0.97</v>
      </c>
      <c r="K669">
        <v>6.29</v>
      </c>
      <c r="L669">
        <v>1.2</v>
      </c>
      <c r="M669">
        <v>5</v>
      </c>
      <c r="N669">
        <v>226</v>
      </c>
    </row>
    <row r="670" spans="1:14" x14ac:dyDescent="0.35">
      <c r="A670">
        <v>2024</v>
      </c>
      <c r="B670">
        <v>1</v>
      </c>
      <c r="C670" t="s">
        <v>30</v>
      </c>
      <c r="D670" t="s">
        <v>24</v>
      </c>
      <c r="E670" t="s">
        <v>19</v>
      </c>
      <c r="F670" t="s">
        <v>23</v>
      </c>
      <c r="G670">
        <v>63132</v>
      </c>
      <c r="H670">
        <v>327267</v>
      </c>
      <c r="I670">
        <v>26</v>
      </c>
      <c r="J670">
        <v>0.97</v>
      </c>
      <c r="K670">
        <v>6.29</v>
      </c>
      <c r="L670">
        <v>1.2</v>
      </c>
      <c r="M670">
        <v>1</v>
      </c>
      <c r="N670">
        <v>267</v>
      </c>
    </row>
    <row r="671" spans="1:14" x14ac:dyDescent="0.35">
      <c r="A671">
        <v>2024</v>
      </c>
      <c r="B671">
        <v>9</v>
      </c>
      <c r="C671" t="s">
        <v>35</v>
      </c>
      <c r="D671" t="s">
        <v>18</v>
      </c>
      <c r="E671" t="s">
        <v>19</v>
      </c>
      <c r="F671" t="s">
        <v>23</v>
      </c>
      <c r="G671">
        <v>42951</v>
      </c>
      <c r="H671">
        <v>206688</v>
      </c>
      <c r="I671">
        <v>136</v>
      </c>
      <c r="J671">
        <v>0.97</v>
      </c>
      <c r="K671">
        <v>6.29</v>
      </c>
      <c r="L671">
        <v>1.2</v>
      </c>
      <c r="M671">
        <v>10</v>
      </c>
      <c r="N671">
        <v>475</v>
      </c>
    </row>
    <row r="672" spans="1:14" x14ac:dyDescent="0.35">
      <c r="A672">
        <v>2017</v>
      </c>
      <c r="B672">
        <v>8</v>
      </c>
      <c r="C672" t="s">
        <v>30</v>
      </c>
      <c r="D672" t="s">
        <v>26</v>
      </c>
      <c r="E672" t="s">
        <v>20</v>
      </c>
      <c r="F672" t="s">
        <v>23</v>
      </c>
      <c r="G672">
        <v>41449</v>
      </c>
      <c r="H672">
        <v>323326</v>
      </c>
      <c r="I672">
        <v>388</v>
      </c>
      <c r="J672">
        <v>0.97</v>
      </c>
      <c r="K672">
        <v>6.29</v>
      </c>
      <c r="L672">
        <v>1.2</v>
      </c>
      <c r="M672">
        <v>6</v>
      </c>
      <c r="N672">
        <v>1119</v>
      </c>
    </row>
    <row r="673" spans="1:14" x14ac:dyDescent="0.35">
      <c r="A673">
        <v>2015</v>
      </c>
      <c r="B673">
        <v>12</v>
      </c>
      <c r="C673" t="s">
        <v>32</v>
      </c>
      <c r="D673" t="s">
        <v>31</v>
      </c>
      <c r="E673" t="s">
        <v>19</v>
      </c>
      <c r="F673" t="s">
        <v>27</v>
      </c>
      <c r="G673">
        <v>54065</v>
      </c>
      <c r="H673">
        <v>402513</v>
      </c>
      <c r="I673">
        <v>177</v>
      </c>
      <c r="J673">
        <v>0.97</v>
      </c>
      <c r="K673">
        <v>6.29</v>
      </c>
      <c r="L673">
        <v>1.2</v>
      </c>
      <c r="M673">
        <v>8</v>
      </c>
      <c r="N673">
        <v>713</v>
      </c>
    </row>
    <row r="674" spans="1:14" x14ac:dyDescent="0.35">
      <c r="A674">
        <v>2019</v>
      </c>
      <c r="B674">
        <v>2</v>
      </c>
      <c r="C674" t="s">
        <v>32</v>
      </c>
      <c r="D674" t="s">
        <v>22</v>
      </c>
      <c r="E674" t="s">
        <v>20</v>
      </c>
      <c r="F674" t="s">
        <v>27</v>
      </c>
      <c r="G674">
        <v>44130</v>
      </c>
      <c r="H674">
        <v>212403</v>
      </c>
      <c r="I674">
        <v>253</v>
      </c>
      <c r="J674">
        <v>0.97</v>
      </c>
      <c r="K674">
        <v>6.29</v>
      </c>
      <c r="L674">
        <v>1.2</v>
      </c>
      <c r="M674">
        <v>1</v>
      </c>
      <c r="N674">
        <v>744</v>
      </c>
    </row>
    <row r="675" spans="1:14" x14ac:dyDescent="0.35">
      <c r="A675">
        <v>2023</v>
      </c>
      <c r="B675">
        <v>12</v>
      </c>
      <c r="C675" t="s">
        <v>28</v>
      </c>
      <c r="D675" t="s">
        <v>26</v>
      </c>
      <c r="E675" t="s">
        <v>20</v>
      </c>
      <c r="F675" t="s">
        <v>20</v>
      </c>
      <c r="G675">
        <v>97287</v>
      </c>
      <c r="H675">
        <v>227170</v>
      </c>
      <c r="I675">
        <v>396</v>
      </c>
      <c r="J675">
        <v>0.97</v>
      </c>
      <c r="K675">
        <v>6.29</v>
      </c>
      <c r="L675">
        <v>1.2</v>
      </c>
      <c r="M675">
        <v>2</v>
      </c>
      <c r="N675">
        <v>963</v>
      </c>
    </row>
    <row r="676" spans="1:14" x14ac:dyDescent="0.35">
      <c r="A676">
        <v>2015</v>
      </c>
      <c r="B676">
        <v>11</v>
      </c>
      <c r="C676" t="s">
        <v>21</v>
      </c>
      <c r="D676" t="s">
        <v>22</v>
      </c>
      <c r="E676" t="s">
        <v>19</v>
      </c>
      <c r="F676" t="s">
        <v>23</v>
      </c>
      <c r="G676">
        <v>86702</v>
      </c>
      <c r="H676">
        <v>76128</v>
      </c>
      <c r="I676">
        <v>85</v>
      </c>
      <c r="J676">
        <v>0.97</v>
      </c>
      <c r="K676">
        <v>6.29</v>
      </c>
      <c r="L676">
        <v>1.2</v>
      </c>
      <c r="M676">
        <v>4</v>
      </c>
      <c r="N676">
        <v>304</v>
      </c>
    </row>
    <row r="677" spans="1:14" x14ac:dyDescent="0.35">
      <c r="A677">
        <v>2017</v>
      </c>
      <c r="B677">
        <v>8</v>
      </c>
      <c r="C677" t="s">
        <v>32</v>
      </c>
      <c r="D677" t="s">
        <v>39</v>
      </c>
      <c r="E677" t="s">
        <v>19</v>
      </c>
      <c r="F677" t="s">
        <v>23</v>
      </c>
      <c r="G677">
        <v>71993</v>
      </c>
      <c r="H677">
        <v>81556</v>
      </c>
      <c r="I677">
        <v>240</v>
      </c>
      <c r="J677">
        <v>0.97</v>
      </c>
      <c r="K677">
        <v>6.29</v>
      </c>
      <c r="L677">
        <v>1.2</v>
      </c>
      <c r="M677">
        <v>2</v>
      </c>
      <c r="N677">
        <v>766</v>
      </c>
    </row>
    <row r="678" spans="1:14" x14ac:dyDescent="0.35">
      <c r="A678">
        <v>2018</v>
      </c>
      <c r="B678">
        <v>12</v>
      </c>
      <c r="C678" t="s">
        <v>35</v>
      </c>
      <c r="D678" t="s">
        <v>34</v>
      </c>
      <c r="E678" t="s">
        <v>16</v>
      </c>
      <c r="F678" t="s">
        <v>17</v>
      </c>
      <c r="G678">
        <v>66875</v>
      </c>
      <c r="H678">
        <v>308470</v>
      </c>
      <c r="I678">
        <v>213</v>
      </c>
      <c r="J678">
        <v>0.97</v>
      </c>
      <c r="K678">
        <v>6.29</v>
      </c>
      <c r="L678">
        <v>1.2</v>
      </c>
      <c r="M678">
        <v>9</v>
      </c>
      <c r="N678">
        <v>434</v>
      </c>
    </row>
    <row r="679" spans="1:14" x14ac:dyDescent="0.35">
      <c r="A679">
        <v>2015</v>
      </c>
      <c r="B679">
        <v>9</v>
      </c>
      <c r="C679" t="s">
        <v>32</v>
      </c>
      <c r="D679" t="s">
        <v>34</v>
      </c>
      <c r="E679" t="s">
        <v>16</v>
      </c>
      <c r="F679" t="s">
        <v>20</v>
      </c>
      <c r="G679">
        <v>41054</v>
      </c>
      <c r="H679">
        <v>202948</v>
      </c>
      <c r="I679">
        <v>257</v>
      </c>
      <c r="J679">
        <v>0.97</v>
      </c>
      <c r="K679">
        <v>6.29</v>
      </c>
      <c r="L679">
        <v>1.2</v>
      </c>
      <c r="M679">
        <v>10</v>
      </c>
      <c r="N679">
        <v>905</v>
      </c>
    </row>
    <row r="680" spans="1:14" x14ac:dyDescent="0.35">
      <c r="A680">
        <v>2015</v>
      </c>
      <c r="B680">
        <v>1</v>
      </c>
      <c r="C680" t="s">
        <v>28</v>
      </c>
      <c r="D680" t="s">
        <v>26</v>
      </c>
      <c r="E680" t="s">
        <v>16</v>
      </c>
      <c r="F680" t="s">
        <v>17</v>
      </c>
      <c r="G680">
        <v>83517</v>
      </c>
      <c r="H680">
        <v>190021</v>
      </c>
      <c r="I680">
        <v>311</v>
      </c>
      <c r="J680">
        <v>0.97</v>
      </c>
      <c r="K680">
        <v>6.29</v>
      </c>
      <c r="L680">
        <v>1.2</v>
      </c>
      <c r="M680">
        <v>8</v>
      </c>
      <c r="N680">
        <v>662</v>
      </c>
    </row>
    <row r="681" spans="1:14" x14ac:dyDescent="0.35">
      <c r="A681">
        <v>2022</v>
      </c>
      <c r="B681">
        <v>5</v>
      </c>
      <c r="C681" t="s">
        <v>37</v>
      </c>
      <c r="D681" t="s">
        <v>26</v>
      </c>
      <c r="E681" t="s">
        <v>20</v>
      </c>
      <c r="F681" t="s">
        <v>20</v>
      </c>
      <c r="G681">
        <v>111368</v>
      </c>
      <c r="H681">
        <v>101962</v>
      </c>
      <c r="I681">
        <v>223</v>
      </c>
      <c r="J681">
        <v>0.97</v>
      </c>
      <c r="K681">
        <v>6.29</v>
      </c>
      <c r="L681">
        <v>1.2</v>
      </c>
      <c r="M681">
        <v>8</v>
      </c>
      <c r="N681">
        <v>513</v>
      </c>
    </row>
    <row r="682" spans="1:14" x14ac:dyDescent="0.35">
      <c r="A682">
        <v>2016</v>
      </c>
      <c r="B682">
        <v>8</v>
      </c>
      <c r="C682" t="s">
        <v>35</v>
      </c>
      <c r="D682" t="s">
        <v>26</v>
      </c>
      <c r="E682" t="s">
        <v>19</v>
      </c>
      <c r="F682" t="s">
        <v>20</v>
      </c>
      <c r="G682">
        <v>64670</v>
      </c>
      <c r="H682">
        <v>140054</v>
      </c>
      <c r="I682">
        <v>224</v>
      </c>
      <c r="J682">
        <v>0.97</v>
      </c>
      <c r="K682">
        <v>6.29</v>
      </c>
      <c r="L682">
        <v>1.2</v>
      </c>
      <c r="M682">
        <v>4</v>
      </c>
      <c r="N682">
        <v>800</v>
      </c>
    </row>
    <row r="683" spans="1:14" x14ac:dyDescent="0.35">
      <c r="A683">
        <v>2022</v>
      </c>
      <c r="B683">
        <v>11</v>
      </c>
      <c r="C683" t="s">
        <v>28</v>
      </c>
      <c r="D683" t="s">
        <v>22</v>
      </c>
      <c r="E683" t="s">
        <v>20</v>
      </c>
      <c r="F683" t="s">
        <v>27</v>
      </c>
      <c r="G683">
        <v>84112</v>
      </c>
      <c r="H683">
        <v>252278</v>
      </c>
      <c r="I683">
        <v>167</v>
      </c>
      <c r="J683">
        <v>0.97</v>
      </c>
      <c r="K683">
        <v>6.29</v>
      </c>
      <c r="L683">
        <v>1.2</v>
      </c>
      <c r="M683">
        <v>5</v>
      </c>
      <c r="N683">
        <v>679</v>
      </c>
    </row>
    <row r="684" spans="1:14" x14ac:dyDescent="0.35">
      <c r="A684">
        <v>2021</v>
      </c>
      <c r="B684">
        <v>2</v>
      </c>
      <c r="C684" t="s">
        <v>38</v>
      </c>
      <c r="D684" t="s">
        <v>39</v>
      </c>
      <c r="E684" t="s">
        <v>19</v>
      </c>
      <c r="F684" t="s">
        <v>27</v>
      </c>
      <c r="G684">
        <v>63307</v>
      </c>
      <c r="H684">
        <v>74099</v>
      </c>
      <c r="I684">
        <v>78</v>
      </c>
      <c r="J684">
        <v>0.97</v>
      </c>
      <c r="K684">
        <v>6.29</v>
      </c>
      <c r="L684">
        <v>1.2</v>
      </c>
      <c r="M684">
        <v>4</v>
      </c>
      <c r="N684">
        <v>221</v>
      </c>
    </row>
    <row r="685" spans="1:14" x14ac:dyDescent="0.35">
      <c r="A685">
        <v>2024</v>
      </c>
      <c r="B685">
        <v>4</v>
      </c>
      <c r="C685" t="s">
        <v>38</v>
      </c>
      <c r="D685" t="s">
        <v>33</v>
      </c>
      <c r="E685" t="s">
        <v>20</v>
      </c>
      <c r="F685" t="s">
        <v>17</v>
      </c>
      <c r="G685">
        <v>102087</v>
      </c>
      <c r="H685">
        <v>285943</v>
      </c>
      <c r="I685">
        <v>94</v>
      </c>
      <c r="J685">
        <v>0.97</v>
      </c>
      <c r="K685">
        <v>6.29</v>
      </c>
      <c r="L685">
        <v>1.2</v>
      </c>
      <c r="M685">
        <v>9</v>
      </c>
      <c r="N685">
        <v>256</v>
      </c>
    </row>
    <row r="686" spans="1:14" x14ac:dyDescent="0.35">
      <c r="A686">
        <v>2024</v>
      </c>
      <c r="B686">
        <v>7</v>
      </c>
      <c r="C686" t="s">
        <v>36</v>
      </c>
      <c r="D686" t="s">
        <v>26</v>
      </c>
      <c r="E686" t="s">
        <v>16</v>
      </c>
      <c r="F686" t="s">
        <v>20</v>
      </c>
      <c r="G686">
        <v>82922</v>
      </c>
      <c r="H686">
        <v>455932</v>
      </c>
      <c r="I686">
        <v>276</v>
      </c>
      <c r="J686">
        <v>0.97</v>
      </c>
      <c r="K686">
        <v>6.29</v>
      </c>
      <c r="L686">
        <v>1.2</v>
      </c>
      <c r="M686">
        <v>2</v>
      </c>
      <c r="N686">
        <v>853</v>
      </c>
    </row>
    <row r="687" spans="1:14" x14ac:dyDescent="0.35">
      <c r="A687">
        <v>2016</v>
      </c>
      <c r="B687">
        <v>3</v>
      </c>
      <c r="C687" t="s">
        <v>30</v>
      </c>
      <c r="D687" t="s">
        <v>18</v>
      </c>
      <c r="E687" t="s">
        <v>16</v>
      </c>
      <c r="F687" t="s">
        <v>23</v>
      </c>
      <c r="G687">
        <v>98080</v>
      </c>
      <c r="H687">
        <v>233683</v>
      </c>
      <c r="I687">
        <v>78</v>
      </c>
      <c r="J687">
        <v>0.97</v>
      </c>
      <c r="K687">
        <v>6.29</v>
      </c>
      <c r="L687">
        <v>1.2</v>
      </c>
      <c r="M687">
        <v>8</v>
      </c>
      <c r="N687">
        <v>317</v>
      </c>
    </row>
    <row r="688" spans="1:14" x14ac:dyDescent="0.35">
      <c r="A688">
        <v>2020</v>
      </c>
      <c r="B688">
        <v>12</v>
      </c>
      <c r="C688" t="s">
        <v>21</v>
      </c>
      <c r="D688" t="s">
        <v>31</v>
      </c>
      <c r="E688" t="s">
        <v>16</v>
      </c>
      <c r="F688" t="s">
        <v>27</v>
      </c>
      <c r="G688">
        <v>114335</v>
      </c>
      <c r="H688">
        <v>219957</v>
      </c>
      <c r="I688">
        <v>108</v>
      </c>
      <c r="J688">
        <v>0.97</v>
      </c>
      <c r="K688">
        <v>6.29</v>
      </c>
      <c r="L688">
        <v>1.2</v>
      </c>
      <c r="M688">
        <v>2</v>
      </c>
      <c r="N688">
        <v>461</v>
      </c>
    </row>
    <row r="689" spans="1:14" x14ac:dyDescent="0.35">
      <c r="A689">
        <v>2020</v>
      </c>
      <c r="B689">
        <v>5</v>
      </c>
      <c r="C689" t="s">
        <v>14</v>
      </c>
      <c r="D689" t="s">
        <v>31</v>
      </c>
      <c r="E689" t="s">
        <v>20</v>
      </c>
      <c r="F689" t="s">
        <v>23</v>
      </c>
      <c r="G689">
        <v>61312</v>
      </c>
      <c r="H689">
        <v>365288</v>
      </c>
      <c r="I689">
        <v>356</v>
      </c>
      <c r="J689">
        <v>0.97</v>
      </c>
      <c r="K689">
        <v>6.29</v>
      </c>
      <c r="L689">
        <v>1.2</v>
      </c>
      <c r="M689">
        <v>1</v>
      </c>
      <c r="N689">
        <v>964</v>
      </c>
    </row>
    <row r="690" spans="1:14" x14ac:dyDescent="0.35">
      <c r="A690">
        <v>2017</v>
      </c>
      <c r="B690">
        <v>8</v>
      </c>
      <c r="C690" t="s">
        <v>25</v>
      </c>
      <c r="D690" t="s">
        <v>22</v>
      </c>
      <c r="E690" t="s">
        <v>19</v>
      </c>
      <c r="F690" t="s">
        <v>17</v>
      </c>
      <c r="G690">
        <v>101985</v>
      </c>
      <c r="H690">
        <v>246292</v>
      </c>
      <c r="I690">
        <v>225</v>
      </c>
      <c r="J690">
        <v>0.97</v>
      </c>
      <c r="K690">
        <v>6.29</v>
      </c>
      <c r="L690">
        <v>1.2</v>
      </c>
      <c r="M690">
        <v>10</v>
      </c>
      <c r="N690">
        <v>453</v>
      </c>
    </row>
    <row r="691" spans="1:14" x14ac:dyDescent="0.35">
      <c r="A691">
        <v>2016</v>
      </c>
      <c r="B691">
        <v>12</v>
      </c>
      <c r="C691" t="s">
        <v>28</v>
      </c>
      <c r="D691" t="s">
        <v>26</v>
      </c>
      <c r="E691" t="s">
        <v>19</v>
      </c>
      <c r="F691" t="s">
        <v>27</v>
      </c>
      <c r="G691">
        <v>92608</v>
      </c>
      <c r="H691">
        <v>57837</v>
      </c>
      <c r="I691">
        <v>170</v>
      </c>
      <c r="J691">
        <v>0.97</v>
      </c>
      <c r="K691">
        <v>6.29</v>
      </c>
      <c r="L691">
        <v>1.2</v>
      </c>
      <c r="M691">
        <v>3</v>
      </c>
      <c r="N691">
        <v>622</v>
      </c>
    </row>
    <row r="692" spans="1:14" x14ac:dyDescent="0.35">
      <c r="A692">
        <v>2015</v>
      </c>
      <c r="B692">
        <v>10</v>
      </c>
      <c r="C692" t="s">
        <v>37</v>
      </c>
      <c r="D692" t="s">
        <v>24</v>
      </c>
      <c r="E692" t="s">
        <v>16</v>
      </c>
      <c r="F692" t="s">
        <v>27</v>
      </c>
      <c r="G692">
        <v>75277</v>
      </c>
      <c r="H692">
        <v>230427</v>
      </c>
      <c r="I692">
        <v>103</v>
      </c>
      <c r="J692">
        <v>0.97</v>
      </c>
      <c r="K692">
        <v>6.29</v>
      </c>
      <c r="L692">
        <v>1.2</v>
      </c>
      <c r="M692">
        <v>9</v>
      </c>
      <c r="N692">
        <v>275</v>
      </c>
    </row>
    <row r="693" spans="1:14" x14ac:dyDescent="0.35">
      <c r="A693">
        <v>2020</v>
      </c>
      <c r="B693">
        <v>3</v>
      </c>
      <c r="C693" t="s">
        <v>25</v>
      </c>
      <c r="D693" t="s">
        <v>15</v>
      </c>
      <c r="E693" t="s">
        <v>16</v>
      </c>
      <c r="F693" t="s">
        <v>20</v>
      </c>
      <c r="G693">
        <v>66551</v>
      </c>
      <c r="H693">
        <v>228371</v>
      </c>
      <c r="I693">
        <v>183</v>
      </c>
      <c r="J693">
        <v>0.97</v>
      </c>
      <c r="K693">
        <v>6.29</v>
      </c>
      <c r="L693">
        <v>1.2</v>
      </c>
      <c r="M693">
        <v>3</v>
      </c>
      <c r="N693">
        <v>400</v>
      </c>
    </row>
    <row r="694" spans="1:14" x14ac:dyDescent="0.35">
      <c r="A694">
        <v>2019</v>
      </c>
      <c r="B694">
        <v>4</v>
      </c>
      <c r="C694" t="s">
        <v>37</v>
      </c>
      <c r="D694" t="s">
        <v>33</v>
      </c>
      <c r="E694" t="s">
        <v>16</v>
      </c>
      <c r="F694" t="s">
        <v>17</v>
      </c>
      <c r="G694">
        <v>91597</v>
      </c>
      <c r="H694">
        <v>462375</v>
      </c>
      <c r="I694">
        <v>174</v>
      </c>
      <c r="J694">
        <v>0.97</v>
      </c>
      <c r="K694">
        <v>6.29</v>
      </c>
      <c r="L694">
        <v>1.2</v>
      </c>
      <c r="M694">
        <v>9</v>
      </c>
      <c r="N694">
        <v>769</v>
      </c>
    </row>
    <row r="695" spans="1:14" x14ac:dyDescent="0.35">
      <c r="A695">
        <v>2023</v>
      </c>
      <c r="B695">
        <v>9</v>
      </c>
      <c r="C695" t="s">
        <v>25</v>
      </c>
      <c r="D695" t="s">
        <v>18</v>
      </c>
      <c r="E695" t="s">
        <v>16</v>
      </c>
      <c r="F695" t="s">
        <v>20</v>
      </c>
      <c r="G695">
        <v>80212</v>
      </c>
      <c r="H695">
        <v>437356</v>
      </c>
      <c r="I695">
        <v>124</v>
      </c>
      <c r="J695">
        <v>0.97</v>
      </c>
      <c r="K695">
        <v>6.29</v>
      </c>
      <c r="L695">
        <v>1.2</v>
      </c>
      <c r="M695">
        <v>7</v>
      </c>
      <c r="N695">
        <v>519</v>
      </c>
    </row>
    <row r="696" spans="1:14" x14ac:dyDescent="0.35">
      <c r="A696">
        <v>2015</v>
      </c>
      <c r="B696">
        <v>7</v>
      </c>
      <c r="C696" t="s">
        <v>28</v>
      </c>
      <c r="D696" t="s">
        <v>39</v>
      </c>
      <c r="E696" t="s">
        <v>19</v>
      </c>
      <c r="F696" t="s">
        <v>27</v>
      </c>
      <c r="G696">
        <v>44637</v>
      </c>
      <c r="H696">
        <v>428824</v>
      </c>
      <c r="I696">
        <v>229</v>
      </c>
      <c r="J696">
        <v>0.97</v>
      </c>
      <c r="K696">
        <v>6.29</v>
      </c>
      <c r="L696">
        <v>1.2</v>
      </c>
      <c r="M696">
        <v>10</v>
      </c>
      <c r="N696">
        <v>861</v>
      </c>
    </row>
    <row r="697" spans="1:14" x14ac:dyDescent="0.35">
      <c r="A697">
        <v>2021</v>
      </c>
      <c r="B697">
        <v>1</v>
      </c>
      <c r="C697" t="s">
        <v>14</v>
      </c>
      <c r="D697" t="s">
        <v>24</v>
      </c>
      <c r="E697" t="s">
        <v>20</v>
      </c>
      <c r="F697" t="s">
        <v>17</v>
      </c>
      <c r="G697">
        <v>78258</v>
      </c>
      <c r="H697">
        <v>298003</v>
      </c>
      <c r="I697">
        <v>40</v>
      </c>
      <c r="J697">
        <v>0.97</v>
      </c>
      <c r="K697">
        <v>6.29</v>
      </c>
      <c r="L697">
        <v>1.2</v>
      </c>
      <c r="M697">
        <v>1</v>
      </c>
      <c r="N697">
        <v>505</v>
      </c>
    </row>
    <row r="698" spans="1:14" x14ac:dyDescent="0.35">
      <c r="A698">
        <v>2019</v>
      </c>
      <c r="B698">
        <v>12</v>
      </c>
      <c r="C698" t="s">
        <v>25</v>
      </c>
      <c r="D698" t="s">
        <v>34</v>
      </c>
      <c r="E698" t="s">
        <v>20</v>
      </c>
      <c r="F698" t="s">
        <v>27</v>
      </c>
      <c r="G698">
        <v>70693</v>
      </c>
      <c r="H698">
        <v>418946</v>
      </c>
      <c r="I698">
        <v>20</v>
      </c>
      <c r="J698">
        <v>0.97</v>
      </c>
      <c r="K698">
        <v>6.29</v>
      </c>
      <c r="L698">
        <v>1.2</v>
      </c>
      <c r="M698">
        <v>10</v>
      </c>
      <c r="N698">
        <v>429</v>
      </c>
    </row>
    <row r="699" spans="1:14" x14ac:dyDescent="0.35">
      <c r="A699">
        <v>2019</v>
      </c>
      <c r="B699">
        <v>4</v>
      </c>
      <c r="C699" t="s">
        <v>28</v>
      </c>
      <c r="D699" t="s">
        <v>24</v>
      </c>
      <c r="E699" t="s">
        <v>20</v>
      </c>
      <c r="F699" t="s">
        <v>17</v>
      </c>
      <c r="G699">
        <v>44824</v>
      </c>
      <c r="H699">
        <v>152413</v>
      </c>
      <c r="I699">
        <v>352</v>
      </c>
      <c r="J699">
        <v>0.97</v>
      </c>
      <c r="K699">
        <v>6.29</v>
      </c>
      <c r="L699">
        <v>1.2</v>
      </c>
      <c r="M699">
        <v>5</v>
      </c>
      <c r="N699">
        <v>1007</v>
      </c>
    </row>
    <row r="700" spans="1:14" x14ac:dyDescent="0.35">
      <c r="A700">
        <v>2016</v>
      </c>
      <c r="B700">
        <v>4</v>
      </c>
      <c r="C700" t="s">
        <v>32</v>
      </c>
      <c r="D700" t="s">
        <v>22</v>
      </c>
      <c r="E700" t="s">
        <v>20</v>
      </c>
      <c r="F700" t="s">
        <v>27</v>
      </c>
      <c r="G700">
        <v>61950</v>
      </c>
      <c r="H700">
        <v>101012</v>
      </c>
      <c r="I700">
        <v>386</v>
      </c>
      <c r="J700">
        <v>0.97</v>
      </c>
      <c r="K700">
        <v>6.29</v>
      </c>
      <c r="L700">
        <v>1.2</v>
      </c>
      <c r="M700">
        <v>9</v>
      </c>
      <c r="N700">
        <v>931</v>
      </c>
    </row>
    <row r="701" spans="1:14" x14ac:dyDescent="0.35">
      <c r="A701">
        <v>2017</v>
      </c>
      <c r="B701">
        <v>9</v>
      </c>
      <c r="C701" t="s">
        <v>14</v>
      </c>
      <c r="D701" t="s">
        <v>33</v>
      </c>
      <c r="E701" t="s">
        <v>16</v>
      </c>
      <c r="F701" t="s">
        <v>23</v>
      </c>
      <c r="G701">
        <v>58488</v>
      </c>
      <c r="H701">
        <v>180193</v>
      </c>
      <c r="I701">
        <v>139</v>
      </c>
      <c r="J701">
        <v>0.97</v>
      </c>
      <c r="K701">
        <v>6.29</v>
      </c>
      <c r="L701">
        <v>1.2</v>
      </c>
      <c r="M701">
        <v>3</v>
      </c>
      <c r="N701">
        <v>426</v>
      </c>
    </row>
    <row r="702" spans="1:14" x14ac:dyDescent="0.35">
      <c r="A702">
        <v>2021</v>
      </c>
      <c r="B702">
        <v>6</v>
      </c>
      <c r="C702" t="s">
        <v>35</v>
      </c>
      <c r="D702" t="s">
        <v>29</v>
      </c>
      <c r="E702" t="s">
        <v>16</v>
      </c>
      <c r="F702" t="s">
        <v>23</v>
      </c>
      <c r="G702">
        <v>35215</v>
      </c>
      <c r="H702">
        <v>268168</v>
      </c>
      <c r="I702">
        <v>114</v>
      </c>
      <c r="J702">
        <v>0.97</v>
      </c>
      <c r="K702">
        <v>6.29</v>
      </c>
      <c r="L702">
        <v>1.2</v>
      </c>
      <c r="M702">
        <v>9</v>
      </c>
      <c r="N702">
        <v>288</v>
      </c>
    </row>
    <row r="703" spans="1:14" x14ac:dyDescent="0.35">
      <c r="A703">
        <v>2020</v>
      </c>
      <c r="B703">
        <v>9</v>
      </c>
      <c r="C703" t="s">
        <v>37</v>
      </c>
      <c r="D703" t="s">
        <v>29</v>
      </c>
      <c r="E703" t="s">
        <v>16</v>
      </c>
      <c r="F703" t="s">
        <v>20</v>
      </c>
      <c r="G703">
        <v>46523</v>
      </c>
      <c r="H703">
        <v>198178</v>
      </c>
      <c r="I703">
        <v>36</v>
      </c>
      <c r="J703">
        <v>0.97</v>
      </c>
      <c r="K703">
        <v>6.29</v>
      </c>
      <c r="L703">
        <v>1.2</v>
      </c>
      <c r="M703">
        <v>5</v>
      </c>
      <c r="N703">
        <v>298</v>
      </c>
    </row>
    <row r="704" spans="1:14" x14ac:dyDescent="0.35">
      <c r="A704">
        <v>2016</v>
      </c>
      <c r="B704">
        <v>12</v>
      </c>
      <c r="C704" t="s">
        <v>38</v>
      </c>
      <c r="D704" t="s">
        <v>26</v>
      </c>
      <c r="E704" t="s">
        <v>20</v>
      </c>
      <c r="F704" t="s">
        <v>23</v>
      </c>
      <c r="G704">
        <v>110900</v>
      </c>
      <c r="H704">
        <v>108123</v>
      </c>
      <c r="I704">
        <v>236</v>
      </c>
      <c r="J704">
        <v>0.97</v>
      </c>
      <c r="K704">
        <v>6.29</v>
      </c>
      <c r="L704">
        <v>1.2</v>
      </c>
      <c r="M704">
        <v>9</v>
      </c>
      <c r="N704">
        <v>868</v>
      </c>
    </row>
    <row r="705" spans="1:14" x14ac:dyDescent="0.35">
      <c r="A705">
        <v>2020</v>
      </c>
      <c r="B705">
        <v>6</v>
      </c>
      <c r="C705" t="s">
        <v>30</v>
      </c>
      <c r="D705" t="s">
        <v>26</v>
      </c>
      <c r="E705" t="s">
        <v>16</v>
      </c>
      <c r="F705" t="s">
        <v>27</v>
      </c>
      <c r="G705">
        <v>103689</v>
      </c>
      <c r="H705">
        <v>161825</v>
      </c>
      <c r="I705">
        <v>11</v>
      </c>
      <c r="J705">
        <v>0.97</v>
      </c>
      <c r="K705">
        <v>6.29</v>
      </c>
      <c r="L705">
        <v>1.2</v>
      </c>
      <c r="M705">
        <v>10</v>
      </c>
      <c r="N705">
        <v>92</v>
      </c>
    </row>
    <row r="706" spans="1:14" x14ac:dyDescent="0.35">
      <c r="A706">
        <v>2016</v>
      </c>
      <c r="B706">
        <v>6</v>
      </c>
      <c r="C706" t="s">
        <v>38</v>
      </c>
      <c r="D706" t="s">
        <v>22</v>
      </c>
      <c r="E706" t="s">
        <v>16</v>
      </c>
      <c r="F706" t="s">
        <v>27</v>
      </c>
      <c r="G706">
        <v>58834</v>
      </c>
      <c r="H706">
        <v>58720</v>
      </c>
      <c r="I706">
        <v>368</v>
      </c>
      <c r="J706">
        <v>0.97</v>
      </c>
      <c r="K706">
        <v>6.29</v>
      </c>
      <c r="L706">
        <v>1.2</v>
      </c>
      <c r="M706">
        <v>6</v>
      </c>
      <c r="N706">
        <v>1006</v>
      </c>
    </row>
    <row r="707" spans="1:14" x14ac:dyDescent="0.35">
      <c r="A707">
        <v>2016</v>
      </c>
      <c r="B707">
        <v>5</v>
      </c>
      <c r="C707" t="s">
        <v>14</v>
      </c>
      <c r="D707" t="s">
        <v>39</v>
      </c>
      <c r="E707" t="s">
        <v>19</v>
      </c>
      <c r="F707" t="s">
        <v>23</v>
      </c>
      <c r="G707">
        <v>69474</v>
      </c>
      <c r="H707">
        <v>218733</v>
      </c>
      <c r="I707">
        <v>110</v>
      </c>
      <c r="J707">
        <v>0.97</v>
      </c>
      <c r="K707">
        <v>6.29</v>
      </c>
      <c r="L707">
        <v>1.2</v>
      </c>
      <c r="M707">
        <v>9</v>
      </c>
      <c r="N707">
        <v>548</v>
      </c>
    </row>
    <row r="708" spans="1:14" x14ac:dyDescent="0.35">
      <c r="A708">
        <v>2016</v>
      </c>
      <c r="B708">
        <v>5</v>
      </c>
      <c r="C708" t="s">
        <v>35</v>
      </c>
      <c r="D708" t="s">
        <v>26</v>
      </c>
      <c r="E708" t="s">
        <v>19</v>
      </c>
      <c r="F708" t="s">
        <v>20</v>
      </c>
      <c r="G708">
        <v>78066</v>
      </c>
      <c r="H708">
        <v>296103</v>
      </c>
      <c r="I708">
        <v>30</v>
      </c>
      <c r="J708">
        <v>0.97</v>
      </c>
      <c r="K708">
        <v>6.29</v>
      </c>
      <c r="L708">
        <v>1.2</v>
      </c>
      <c r="M708">
        <v>7</v>
      </c>
      <c r="N708">
        <v>187</v>
      </c>
    </row>
    <row r="709" spans="1:14" x14ac:dyDescent="0.35">
      <c r="A709">
        <v>2017</v>
      </c>
      <c r="B709">
        <v>2</v>
      </c>
      <c r="C709" t="s">
        <v>37</v>
      </c>
      <c r="D709" t="s">
        <v>15</v>
      </c>
      <c r="E709" t="s">
        <v>16</v>
      </c>
      <c r="F709" t="s">
        <v>23</v>
      </c>
      <c r="G709">
        <v>45400</v>
      </c>
      <c r="H709">
        <v>274970</v>
      </c>
      <c r="I709">
        <v>67</v>
      </c>
      <c r="J709">
        <v>0.97</v>
      </c>
      <c r="K709">
        <v>6.29</v>
      </c>
      <c r="L709">
        <v>1.2</v>
      </c>
      <c r="M709">
        <v>7</v>
      </c>
      <c r="N709">
        <v>286</v>
      </c>
    </row>
    <row r="710" spans="1:14" x14ac:dyDescent="0.35">
      <c r="A710">
        <v>2016</v>
      </c>
      <c r="B710">
        <v>8</v>
      </c>
      <c r="C710" t="s">
        <v>35</v>
      </c>
      <c r="D710" t="s">
        <v>33</v>
      </c>
      <c r="E710" t="s">
        <v>19</v>
      </c>
      <c r="F710" t="s">
        <v>17</v>
      </c>
      <c r="G710">
        <v>45345</v>
      </c>
      <c r="H710">
        <v>274866</v>
      </c>
      <c r="I710">
        <v>398</v>
      </c>
      <c r="J710">
        <v>0.97</v>
      </c>
      <c r="K710">
        <v>6.29</v>
      </c>
      <c r="L710">
        <v>1.2</v>
      </c>
      <c r="M710">
        <v>8</v>
      </c>
      <c r="N710">
        <v>916</v>
      </c>
    </row>
    <row r="711" spans="1:14" x14ac:dyDescent="0.35">
      <c r="A711">
        <v>2018</v>
      </c>
      <c r="B711">
        <v>8</v>
      </c>
      <c r="C711" t="s">
        <v>25</v>
      </c>
      <c r="D711" t="s">
        <v>22</v>
      </c>
      <c r="E711" t="s">
        <v>19</v>
      </c>
      <c r="F711" t="s">
        <v>17</v>
      </c>
      <c r="G711">
        <v>68896</v>
      </c>
      <c r="H711">
        <v>464336</v>
      </c>
      <c r="I711">
        <v>189</v>
      </c>
      <c r="J711">
        <v>0.97</v>
      </c>
      <c r="K711">
        <v>6.29</v>
      </c>
      <c r="L711">
        <v>1.2</v>
      </c>
      <c r="M711">
        <v>7</v>
      </c>
      <c r="N711">
        <v>708</v>
      </c>
    </row>
    <row r="712" spans="1:14" x14ac:dyDescent="0.35">
      <c r="A712">
        <v>2023</v>
      </c>
      <c r="B712">
        <v>11</v>
      </c>
      <c r="C712" t="s">
        <v>37</v>
      </c>
      <c r="D712" t="s">
        <v>31</v>
      </c>
      <c r="E712" t="s">
        <v>16</v>
      </c>
      <c r="F712" t="s">
        <v>17</v>
      </c>
      <c r="G712">
        <v>63899</v>
      </c>
      <c r="H712">
        <v>200862</v>
      </c>
      <c r="I712">
        <v>350</v>
      </c>
      <c r="J712">
        <v>0.97</v>
      </c>
      <c r="K712">
        <v>6.29</v>
      </c>
      <c r="L712">
        <v>1.2</v>
      </c>
      <c r="M712">
        <v>9</v>
      </c>
      <c r="N712">
        <v>1021</v>
      </c>
    </row>
    <row r="713" spans="1:14" x14ac:dyDescent="0.35">
      <c r="A713">
        <v>2020</v>
      </c>
      <c r="B713">
        <v>1</v>
      </c>
      <c r="C713" t="s">
        <v>25</v>
      </c>
      <c r="D713" t="s">
        <v>34</v>
      </c>
      <c r="E713" t="s">
        <v>16</v>
      </c>
      <c r="F713" t="s">
        <v>23</v>
      </c>
      <c r="G713">
        <v>63229</v>
      </c>
      <c r="H713">
        <v>108655</v>
      </c>
      <c r="I713">
        <v>358</v>
      </c>
      <c r="J713">
        <v>0.97</v>
      </c>
      <c r="K713">
        <v>6.29</v>
      </c>
      <c r="L713">
        <v>1.2</v>
      </c>
      <c r="M713">
        <v>9</v>
      </c>
      <c r="N713">
        <v>749</v>
      </c>
    </row>
    <row r="714" spans="1:14" x14ac:dyDescent="0.35">
      <c r="A714">
        <v>2015</v>
      </c>
      <c r="B714">
        <v>8</v>
      </c>
      <c r="C714" t="s">
        <v>28</v>
      </c>
      <c r="D714" t="s">
        <v>22</v>
      </c>
      <c r="E714" t="s">
        <v>16</v>
      </c>
      <c r="F714" t="s">
        <v>23</v>
      </c>
      <c r="G714">
        <v>40583</v>
      </c>
      <c r="H714">
        <v>240715</v>
      </c>
      <c r="I714">
        <v>29</v>
      </c>
      <c r="J714">
        <v>0.97</v>
      </c>
      <c r="K714">
        <v>6.29</v>
      </c>
      <c r="L714">
        <v>1.2</v>
      </c>
      <c r="M714">
        <v>6</v>
      </c>
      <c r="N714">
        <v>417</v>
      </c>
    </row>
    <row r="715" spans="1:14" x14ac:dyDescent="0.35">
      <c r="A715">
        <v>2022</v>
      </c>
      <c r="B715">
        <v>5</v>
      </c>
      <c r="C715" t="s">
        <v>14</v>
      </c>
      <c r="D715" t="s">
        <v>22</v>
      </c>
      <c r="E715" t="s">
        <v>16</v>
      </c>
      <c r="F715" t="s">
        <v>23</v>
      </c>
      <c r="G715">
        <v>39897</v>
      </c>
      <c r="H715">
        <v>143448</v>
      </c>
      <c r="I715">
        <v>264</v>
      </c>
      <c r="J715">
        <v>0.97</v>
      </c>
      <c r="K715">
        <v>6.29</v>
      </c>
      <c r="L715">
        <v>1.2</v>
      </c>
      <c r="M715">
        <v>7</v>
      </c>
      <c r="N715">
        <v>631</v>
      </c>
    </row>
    <row r="716" spans="1:14" x14ac:dyDescent="0.35">
      <c r="A716">
        <v>2021</v>
      </c>
      <c r="B716">
        <v>2</v>
      </c>
      <c r="C716" t="s">
        <v>28</v>
      </c>
      <c r="D716" t="s">
        <v>29</v>
      </c>
      <c r="E716" t="s">
        <v>20</v>
      </c>
      <c r="F716" t="s">
        <v>17</v>
      </c>
      <c r="G716">
        <v>106537</v>
      </c>
      <c r="H716">
        <v>228446</v>
      </c>
      <c r="I716">
        <v>326</v>
      </c>
      <c r="J716">
        <v>0.97</v>
      </c>
      <c r="K716">
        <v>6.29</v>
      </c>
      <c r="L716">
        <v>1.2</v>
      </c>
      <c r="M716">
        <v>2</v>
      </c>
      <c r="N716">
        <v>928</v>
      </c>
    </row>
    <row r="717" spans="1:14" x14ac:dyDescent="0.35">
      <c r="A717">
        <v>2024</v>
      </c>
      <c r="B717">
        <v>2</v>
      </c>
      <c r="C717" t="s">
        <v>36</v>
      </c>
      <c r="D717" t="s">
        <v>18</v>
      </c>
      <c r="E717" t="s">
        <v>20</v>
      </c>
      <c r="F717" t="s">
        <v>20</v>
      </c>
      <c r="G717">
        <v>39567</v>
      </c>
      <c r="H717">
        <v>223979</v>
      </c>
      <c r="I717">
        <v>47</v>
      </c>
      <c r="J717">
        <v>0.97</v>
      </c>
      <c r="K717">
        <v>6.29</v>
      </c>
      <c r="L717">
        <v>1.2</v>
      </c>
      <c r="M717">
        <v>9</v>
      </c>
      <c r="N717">
        <v>123</v>
      </c>
    </row>
    <row r="718" spans="1:14" x14ac:dyDescent="0.35">
      <c r="A718">
        <v>2017</v>
      </c>
      <c r="B718">
        <v>6</v>
      </c>
      <c r="C718" t="s">
        <v>35</v>
      </c>
      <c r="D718" t="s">
        <v>39</v>
      </c>
      <c r="E718" t="s">
        <v>16</v>
      </c>
      <c r="F718" t="s">
        <v>27</v>
      </c>
      <c r="G718">
        <v>109807</v>
      </c>
      <c r="H718">
        <v>231143</v>
      </c>
      <c r="I718">
        <v>157</v>
      </c>
      <c r="J718">
        <v>0.97</v>
      </c>
      <c r="K718">
        <v>6.29</v>
      </c>
      <c r="L718">
        <v>1.2</v>
      </c>
      <c r="M718">
        <v>1</v>
      </c>
      <c r="N718">
        <v>380</v>
      </c>
    </row>
    <row r="719" spans="1:14" x14ac:dyDescent="0.35">
      <c r="A719">
        <v>2015</v>
      </c>
      <c r="B719">
        <v>11</v>
      </c>
      <c r="C719" t="s">
        <v>25</v>
      </c>
      <c r="D719" t="s">
        <v>18</v>
      </c>
      <c r="E719" t="s">
        <v>19</v>
      </c>
      <c r="F719" t="s">
        <v>23</v>
      </c>
      <c r="G719">
        <v>112239</v>
      </c>
      <c r="H719">
        <v>170507</v>
      </c>
      <c r="I719">
        <v>34</v>
      </c>
      <c r="J719">
        <v>0.97</v>
      </c>
      <c r="K719">
        <v>6.29</v>
      </c>
      <c r="L719">
        <v>1.2</v>
      </c>
      <c r="M719">
        <v>1</v>
      </c>
      <c r="N719">
        <v>446</v>
      </c>
    </row>
    <row r="720" spans="1:14" x14ac:dyDescent="0.35">
      <c r="A720">
        <v>2019</v>
      </c>
      <c r="B720">
        <v>9</v>
      </c>
      <c r="C720" t="s">
        <v>32</v>
      </c>
      <c r="D720" t="s">
        <v>15</v>
      </c>
      <c r="E720" t="s">
        <v>16</v>
      </c>
      <c r="F720" t="s">
        <v>20</v>
      </c>
      <c r="G720">
        <v>48329</v>
      </c>
      <c r="H720">
        <v>346956</v>
      </c>
      <c r="I720">
        <v>395</v>
      </c>
      <c r="J720">
        <v>0.97</v>
      </c>
      <c r="K720">
        <v>6.29</v>
      </c>
      <c r="L720">
        <v>1.2</v>
      </c>
      <c r="M720">
        <v>3</v>
      </c>
      <c r="N720">
        <v>1088</v>
      </c>
    </row>
    <row r="721" spans="1:14" x14ac:dyDescent="0.35">
      <c r="A721">
        <v>2018</v>
      </c>
      <c r="B721">
        <v>1</v>
      </c>
      <c r="C721" t="s">
        <v>28</v>
      </c>
      <c r="D721" t="s">
        <v>31</v>
      </c>
      <c r="E721" t="s">
        <v>16</v>
      </c>
      <c r="F721" t="s">
        <v>27</v>
      </c>
      <c r="G721">
        <v>106792</v>
      </c>
      <c r="H721">
        <v>361714</v>
      </c>
      <c r="I721">
        <v>130</v>
      </c>
      <c r="J721">
        <v>0.97</v>
      </c>
      <c r="K721">
        <v>6.29</v>
      </c>
      <c r="L721">
        <v>1.2</v>
      </c>
      <c r="M721">
        <v>6</v>
      </c>
      <c r="N721">
        <v>496</v>
      </c>
    </row>
    <row r="722" spans="1:14" x14ac:dyDescent="0.35">
      <c r="A722">
        <v>2024</v>
      </c>
      <c r="B722">
        <v>12</v>
      </c>
      <c r="C722" t="s">
        <v>36</v>
      </c>
      <c r="D722" t="s">
        <v>29</v>
      </c>
      <c r="E722" t="s">
        <v>19</v>
      </c>
      <c r="F722" t="s">
        <v>27</v>
      </c>
      <c r="G722">
        <v>35228</v>
      </c>
      <c r="H722">
        <v>363045</v>
      </c>
      <c r="I722">
        <v>35</v>
      </c>
      <c r="J722">
        <v>0.97</v>
      </c>
      <c r="K722">
        <v>6.29</v>
      </c>
      <c r="L722">
        <v>1.2</v>
      </c>
      <c r="M722">
        <v>5</v>
      </c>
      <c r="N722">
        <v>171</v>
      </c>
    </row>
    <row r="723" spans="1:14" x14ac:dyDescent="0.35">
      <c r="A723">
        <v>2022</v>
      </c>
      <c r="B723">
        <v>6</v>
      </c>
      <c r="C723" t="s">
        <v>21</v>
      </c>
      <c r="D723" t="s">
        <v>31</v>
      </c>
      <c r="E723" t="s">
        <v>20</v>
      </c>
      <c r="F723" t="s">
        <v>27</v>
      </c>
      <c r="G723">
        <v>117214</v>
      </c>
      <c r="H723">
        <v>110186</v>
      </c>
      <c r="I723">
        <v>178</v>
      </c>
      <c r="J723">
        <v>0.97</v>
      </c>
      <c r="K723">
        <v>6.29</v>
      </c>
      <c r="L723">
        <v>1.2</v>
      </c>
      <c r="M723">
        <v>2</v>
      </c>
      <c r="N723">
        <v>511</v>
      </c>
    </row>
    <row r="724" spans="1:14" x14ac:dyDescent="0.35">
      <c r="A724">
        <v>2015</v>
      </c>
      <c r="B724">
        <v>9</v>
      </c>
      <c r="C724" t="s">
        <v>38</v>
      </c>
      <c r="D724" t="s">
        <v>15</v>
      </c>
      <c r="E724" t="s">
        <v>16</v>
      </c>
      <c r="F724" t="s">
        <v>20</v>
      </c>
      <c r="G724">
        <v>72052</v>
      </c>
      <c r="H724">
        <v>172066</v>
      </c>
      <c r="I724">
        <v>332</v>
      </c>
      <c r="J724">
        <v>0.97</v>
      </c>
      <c r="K724">
        <v>6.29</v>
      </c>
      <c r="L724">
        <v>1.2</v>
      </c>
      <c r="M724">
        <v>9</v>
      </c>
      <c r="N724">
        <v>908</v>
      </c>
    </row>
    <row r="725" spans="1:14" x14ac:dyDescent="0.35">
      <c r="A725">
        <v>2024</v>
      </c>
      <c r="B725">
        <v>8</v>
      </c>
      <c r="C725" t="s">
        <v>37</v>
      </c>
      <c r="D725" t="s">
        <v>18</v>
      </c>
      <c r="E725" t="s">
        <v>16</v>
      </c>
      <c r="F725" t="s">
        <v>20</v>
      </c>
      <c r="G725">
        <v>92769</v>
      </c>
      <c r="H725">
        <v>440508</v>
      </c>
      <c r="I725">
        <v>234</v>
      </c>
      <c r="J725">
        <v>0.97</v>
      </c>
      <c r="K725">
        <v>6.29</v>
      </c>
      <c r="L725">
        <v>1.2</v>
      </c>
      <c r="M725">
        <v>10</v>
      </c>
      <c r="N725">
        <v>778</v>
      </c>
    </row>
    <row r="726" spans="1:14" x14ac:dyDescent="0.35">
      <c r="A726">
        <v>2015</v>
      </c>
      <c r="B726">
        <v>11</v>
      </c>
      <c r="C726" t="s">
        <v>36</v>
      </c>
      <c r="D726" t="s">
        <v>22</v>
      </c>
      <c r="E726" t="s">
        <v>20</v>
      </c>
      <c r="F726" t="s">
        <v>17</v>
      </c>
      <c r="G726">
        <v>81032</v>
      </c>
      <c r="H726">
        <v>231323</v>
      </c>
      <c r="I726">
        <v>10</v>
      </c>
      <c r="J726">
        <v>0.97</v>
      </c>
      <c r="K726">
        <v>6.29</v>
      </c>
      <c r="L726">
        <v>1.2</v>
      </c>
      <c r="M726">
        <v>4</v>
      </c>
      <c r="N726">
        <v>247</v>
      </c>
    </row>
    <row r="727" spans="1:14" x14ac:dyDescent="0.35">
      <c r="A727">
        <v>2018</v>
      </c>
      <c r="B727">
        <v>6</v>
      </c>
      <c r="C727" t="s">
        <v>14</v>
      </c>
      <c r="D727" t="s">
        <v>26</v>
      </c>
      <c r="E727" t="s">
        <v>20</v>
      </c>
      <c r="F727" t="s">
        <v>20</v>
      </c>
      <c r="G727">
        <v>68686</v>
      </c>
      <c r="H727">
        <v>246243</v>
      </c>
      <c r="I727">
        <v>316</v>
      </c>
      <c r="J727">
        <v>0.97</v>
      </c>
      <c r="K727">
        <v>6.29</v>
      </c>
      <c r="L727">
        <v>1.2</v>
      </c>
      <c r="M727">
        <v>4</v>
      </c>
      <c r="N727">
        <v>834</v>
      </c>
    </row>
    <row r="728" spans="1:14" x14ac:dyDescent="0.35">
      <c r="A728">
        <v>2022</v>
      </c>
      <c r="B728">
        <v>3</v>
      </c>
      <c r="C728" t="s">
        <v>28</v>
      </c>
      <c r="D728" t="s">
        <v>26</v>
      </c>
      <c r="E728" t="s">
        <v>19</v>
      </c>
      <c r="F728" t="s">
        <v>20</v>
      </c>
      <c r="G728">
        <v>111981</v>
      </c>
      <c r="H728">
        <v>86160</v>
      </c>
      <c r="I728">
        <v>270</v>
      </c>
      <c r="J728">
        <v>0.97</v>
      </c>
      <c r="K728">
        <v>6.29</v>
      </c>
      <c r="L728">
        <v>1.2</v>
      </c>
      <c r="M728">
        <v>5</v>
      </c>
      <c r="N728">
        <v>573</v>
      </c>
    </row>
    <row r="729" spans="1:14" x14ac:dyDescent="0.35">
      <c r="A729">
        <v>2019</v>
      </c>
      <c r="B729">
        <v>8</v>
      </c>
      <c r="C729" t="s">
        <v>14</v>
      </c>
      <c r="D729" t="s">
        <v>24</v>
      </c>
      <c r="E729" t="s">
        <v>20</v>
      </c>
      <c r="F729" t="s">
        <v>20</v>
      </c>
      <c r="G729">
        <v>98261</v>
      </c>
      <c r="H729">
        <v>69156</v>
      </c>
      <c r="I729">
        <v>22</v>
      </c>
      <c r="J729">
        <v>0.97</v>
      </c>
      <c r="K729">
        <v>6.29</v>
      </c>
      <c r="L729">
        <v>1.2</v>
      </c>
      <c r="M729">
        <v>8</v>
      </c>
      <c r="N729">
        <v>155</v>
      </c>
    </row>
    <row r="730" spans="1:14" x14ac:dyDescent="0.35">
      <c r="A730">
        <v>2016</v>
      </c>
      <c r="B730">
        <v>9</v>
      </c>
      <c r="C730" t="s">
        <v>38</v>
      </c>
      <c r="D730" t="s">
        <v>34</v>
      </c>
      <c r="E730" t="s">
        <v>20</v>
      </c>
      <c r="F730" t="s">
        <v>27</v>
      </c>
      <c r="G730">
        <v>37809</v>
      </c>
      <c r="H730">
        <v>126208</v>
      </c>
      <c r="I730">
        <v>57</v>
      </c>
      <c r="J730">
        <v>0.97</v>
      </c>
      <c r="K730">
        <v>6.29</v>
      </c>
      <c r="L730">
        <v>1.2</v>
      </c>
      <c r="M730">
        <v>10</v>
      </c>
      <c r="N730">
        <v>529</v>
      </c>
    </row>
    <row r="731" spans="1:14" x14ac:dyDescent="0.35">
      <c r="A731">
        <v>2020</v>
      </c>
      <c r="B731">
        <v>1</v>
      </c>
      <c r="C731" t="s">
        <v>32</v>
      </c>
      <c r="D731" t="s">
        <v>39</v>
      </c>
      <c r="E731" t="s">
        <v>20</v>
      </c>
      <c r="F731" t="s">
        <v>23</v>
      </c>
      <c r="G731">
        <v>76785</v>
      </c>
      <c r="H731">
        <v>199001</v>
      </c>
      <c r="I731">
        <v>322</v>
      </c>
      <c r="J731">
        <v>0.97</v>
      </c>
      <c r="K731">
        <v>6.29</v>
      </c>
      <c r="L731">
        <v>1.2</v>
      </c>
      <c r="M731">
        <v>4</v>
      </c>
      <c r="N731">
        <v>744</v>
      </c>
    </row>
    <row r="732" spans="1:14" x14ac:dyDescent="0.35">
      <c r="A732">
        <v>2019</v>
      </c>
      <c r="B732">
        <v>12</v>
      </c>
      <c r="C732" t="s">
        <v>35</v>
      </c>
      <c r="D732" t="s">
        <v>15</v>
      </c>
      <c r="E732" t="s">
        <v>19</v>
      </c>
      <c r="F732" t="s">
        <v>17</v>
      </c>
      <c r="G732">
        <v>71547</v>
      </c>
      <c r="H732">
        <v>281226</v>
      </c>
      <c r="I732">
        <v>380</v>
      </c>
      <c r="J732">
        <v>0.97</v>
      </c>
      <c r="K732">
        <v>6.29</v>
      </c>
      <c r="L732">
        <v>1.2</v>
      </c>
      <c r="M732">
        <v>5</v>
      </c>
      <c r="N732">
        <v>1087</v>
      </c>
    </row>
    <row r="733" spans="1:14" x14ac:dyDescent="0.35">
      <c r="A733">
        <v>2016</v>
      </c>
      <c r="B733">
        <v>9</v>
      </c>
      <c r="C733" t="s">
        <v>35</v>
      </c>
      <c r="D733" t="s">
        <v>34</v>
      </c>
      <c r="E733" t="s">
        <v>20</v>
      </c>
      <c r="F733" t="s">
        <v>23</v>
      </c>
      <c r="G733">
        <v>77818</v>
      </c>
      <c r="H733">
        <v>497421</v>
      </c>
      <c r="I733">
        <v>300</v>
      </c>
      <c r="J733">
        <v>0.97</v>
      </c>
      <c r="K733">
        <v>6.29</v>
      </c>
      <c r="L733">
        <v>1.2</v>
      </c>
      <c r="M733">
        <v>4</v>
      </c>
      <c r="N733">
        <v>684</v>
      </c>
    </row>
    <row r="734" spans="1:14" x14ac:dyDescent="0.35">
      <c r="A734">
        <v>2017</v>
      </c>
      <c r="B734">
        <v>6</v>
      </c>
      <c r="C734" t="s">
        <v>14</v>
      </c>
      <c r="D734" t="s">
        <v>39</v>
      </c>
      <c r="E734" t="s">
        <v>20</v>
      </c>
      <c r="F734" t="s">
        <v>23</v>
      </c>
      <c r="G734">
        <v>106927</v>
      </c>
      <c r="H734">
        <v>291766</v>
      </c>
      <c r="I734">
        <v>341</v>
      </c>
      <c r="J734">
        <v>0.97</v>
      </c>
      <c r="K734">
        <v>6.29</v>
      </c>
      <c r="L734">
        <v>1.2</v>
      </c>
      <c r="M734">
        <v>6</v>
      </c>
      <c r="N734">
        <v>933</v>
      </c>
    </row>
    <row r="735" spans="1:14" x14ac:dyDescent="0.35">
      <c r="A735">
        <v>2023</v>
      </c>
      <c r="B735">
        <v>6</v>
      </c>
      <c r="C735" t="s">
        <v>25</v>
      </c>
      <c r="D735" t="s">
        <v>34</v>
      </c>
      <c r="E735" t="s">
        <v>19</v>
      </c>
      <c r="F735" t="s">
        <v>20</v>
      </c>
      <c r="G735">
        <v>100681</v>
      </c>
      <c r="H735">
        <v>245413</v>
      </c>
      <c r="I735">
        <v>103</v>
      </c>
      <c r="J735">
        <v>0.97</v>
      </c>
      <c r="K735">
        <v>6.29</v>
      </c>
      <c r="L735">
        <v>1.2</v>
      </c>
      <c r="M735">
        <v>3</v>
      </c>
      <c r="N735">
        <v>235</v>
      </c>
    </row>
    <row r="736" spans="1:14" x14ac:dyDescent="0.35">
      <c r="A736">
        <v>2021</v>
      </c>
      <c r="B736">
        <v>12</v>
      </c>
      <c r="C736" t="s">
        <v>32</v>
      </c>
      <c r="D736" t="s">
        <v>18</v>
      </c>
      <c r="E736" t="s">
        <v>20</v>
      </c>
      <c r="F736" t="s">
        <v>17</v>
      </c>
      <c r="G736">
        <v>114465</v>
      </c>
      <c r="H736">
        <v>407521</v>
      </c>
      <c r="I736">
        <v>270</v>
      </c>
      <c r="J736">
        <v>0.97</v>
      </c>
      <c r="K736">
        <v>6.29</v>
      </c>
      <c r="L736">
        <v>1.2</v>
      </c>
      <c r="M736">
        <v>8</v>
      </c>
      <c r="N736">
        <v>553</v>
      </c>
    </row>
    <row r="737" spans="1:14" x14ac:dyDescent="0.35">
      <c r="A737">
        <v>2021</v>
      </c>
      <c r="B737">
        <v>4</v>
      </c>
      <c r="C737" t="s">
        <v>35</v>
      </c>
      <c r="D737" t="s">
        <v>39</v>
      </c>
      <c r="E737" t="s">
        <v>20</v>
      </c>
      <c r="F737" t="s">
        <v>23</v>
      </c>
      <c r="G737">
        <v>72333</v>
      </c>
      <c r="H737">
        <v>355007</v>
      </c>
      <c r="I737">
        <v>287</v>
      </c>
      <c r="J737">
        <v>0.97</v>
      </c>
      <c r="K737">
        <v>6.29</v>
      </c>
      <c r="L737">
        <v>1.2</v>
      </c>
      <c r="M737">
        <v>6</v>
      </c>
      <c r="N737">
        <v>644</v>
      </c>
    </row>
    <row r="738" spans="1:14" x14ac:dyDescent="0.35">
      <c r="A738">
        <v>2020</v>
      </c>
      <c r="B738">
        <v>1</v>
      </c>
      <c r="C738" t="s">
        <v>32</v>
      </c>
      <c r="D738" t="s">
        <v>18</v>
      </c>
      <c r="E738" t="s">
        <v>19</v>
      </c>
      <c r="F738" t="s">
        <v>23</v>
      </c>
      <c r="G738">
        <v>51576</v>
      </c>
      <c r="H738">
        <v>262909</v>
      </c>
      <c r="I738">
        <v>368</v>
      </c>
      <c r="J738">
        <v>0.97</v>
      </c>
      <c r="K738">
        <v>6.29</v>
      </c>
      <c r="L738">
        <v>1.2</v>
      </c>
      <c r="M738">
        <v>10</v>
      </c>
      <c r="N738">
        <v>1073</v>
      </c>
    </row>
    <row r="739" spans="1:14" x14ac:dyDescent="0.35">
      <c r="A739">
        <v>2022</v>
      </c>
      <c r="B739">
        <v>10</v>
      </c>
      <c r="C739" t="s">
        <v>36</v>
      </c>
      <c r="D739" t="s">
        <v>22</v>
      </c>
      <c r="E739" t="s">
        <v>16</v>
      </c>
      <c r="F739" t="s">
        <v>17</v>
      </c>
      <c r="G739">
        <v>74405</v>
      </c>
      <c r="H739">
        <v>115439</v>
      </c>
      <c r="I739">
        <v>214</v>
      </c>
      <c r="J739">
        <v>0.97</v>
      </c>
      <c r="K739">
        <v>6.29</v>
      </c>
      <c r="L739">
        <v>1.2</v>
      </c>
      <c r="M739">
        <v>5</v>
      </c>
      <c r="N739">
        <v>597</v>
      </c>
    </row>
    <row r="740" spans="1:14" x14ac:dyDescent="0.35">
      <c r="A740">
        <v>2018</v>
      </c>
      <c r="B740">
        <v>8</v>
      </c>
      <c r="C740" t="s">
        <v>32</v>
      </c>
      <c r="D740" t="s">
        <v>29</v>
      </c>
      <c r="E740" t="s">
        <v>19</v>
      </c>
      <c r="F740" t="s">
        <v>20</v>
      </c>
      <c r="G740">
        <v>108779</v>
      </c>
      <c r="H740">
        <v>188266</v>
      </c>
      <c r="I740">
        <v>194</v>
      </c>
      <c r="J740">
        <v>0.97</v>
      </c>
      <c r="K740">
        <v>6.29</v>
      </c>
      <c r="L740">
        <v>1.2</v>
      </c>
      <c r="M740">
        <v>2</v>
      </c>
      <c r="N740">
        <v>827</v>
      </c>
    </row>
    <row r="741" spans="1:14" x14ac:dyDescent="0.35">
      <c r="A741">
        <v>2022</v>
      </c>
      <c r="B741">
        <v>2</v>
      </c>
      <c r="C741" t="s">
        <v>30</v>
      </c>
      <c r="D741" t="s">
        <v>18</v>
      </c>
      <c r="E741" t="s">
        <v>20</v>
      </c>
      <c r="F741" t="s">
        <v>23</v>
      </c>
      <c r="G741">
        <v>66601</v>
      </c>
      <c r="H741">
        <v>252459</v>
      </c>
      <c r="I741">
        <v>184</v>
      </c>
      <c r="J741">
        <v>0.97</v>
      </c>
      <c r="K741">
        <v>6.29</v>
      </c>
      <c r="L741">
        <v>1.2</v>
      </c>
      <c r="M741">
        <v>10</v>
      </c>
      <c r="N741">
        <v>425</v>
      </c>
    </row>
    <row r="742" spans="1:14" x14ac:dyDescent="0.35">
      <c r="A742">
        <v>2018</v>
      </c>
      <c r="B742">
        <v>12</v>
      </c>
      <c r="C742" t="s">
        <v>38</v>
      </c>
      <c r="D742" t="s">
        <v>26</v>
      </c>
      <c r="E742" t="s">
        <v>20</v>
      </c>
      <c r="F742" t="s">
        <v>27</v>
      </c>
      <c r="G742">
        <v>102946</v>
      </c>
      <c r="H742">
        <v>171361</v>
      </c>
      <c r="I742">
        <v>396</v>
      </c>
      <c r="J742">
        <v>0.97</v>
      </c>
      <c r="K742">
        <v>6.29</v>
      </c>
      <c r="L742">
        <v>1.2</v>
      </c>
      <c r="M742">
        <v>10</v>
      </c>
      <c r="N742">
        <v>869</v>
      </c>
    </row>
    <row r="743" spans="1:14" x14ac:dyDescent="0.35">
      <c r="A743">
        <v>2022</v>
      </c>
      <c r="B743">
        <v>1</v>
      </c>
      <c r="C743" t="s">
        <v>35</v>
      </c>
      <c r="D743" t="s">
        <v>34</v>
      </c>
      <c r="E743" t="s">
        <v>20</v>
      </c>
      <c r="F743" t="s">
        <v>23</v>
      </c>
      <c r="G743">
        <v>102356</v>
      </c>
      <c r="H743">
        <v>262986</v>
      </c>
      <c r="I743">
        <v>389</v>
      </c>
      <c r="J743">
        <v>0.97</v>
      </c>
      <c r="K743">
        <v>6.29</v>
      </c>
      <c r="L743">
        <v>1.2</v>
      </c>
      <c r="M743">
        <v>7</v>
      </c>
      <c r="N743">
        <v>1067</v>
      </c>
    </row>
    <row r="744" spans="1:14" x14ac:dyDescent="0.35">
      <c r="A744">
        <v>2023</v>
      </c>
      <c r="B744">
        <v>2</v>
      </c>
      <c r="C744" t="s">
        <v>32</v>
      </c>
      <c r="D744" t="s">
        <v>24</v>
      </c>
      <c r="E744" t="s">
        <v>19</v>
      </c>
      <c r="F744" t="s">
        <v>27</v>
      </c>
      <c r="G744">
        <v>87116</v>
      </c>
      <c r="H744">
        <v>247286</v>
      </c>
      <c r="I744">
        <v>318</v>
      </c>
      <c r="J744">
        <v>0.97</v>
      </c>
      <c r="K744">
        <v>6.29</v>
      </c>
      <c r="L744">
        <v>1.2</v>
      </c>
      <c r="M744">
        <v>2</v>
      </c>
      <c r="N744">
        <v>816</v>
      </c>
    </row>
    <row r="745" spans="1:14" x14ac:dyDescent="0.35">
      <c r="A745">
        <v>2017</v>
      </c>
      <c r="B745">
        <v>1</v>
      </c>
      <c r="C745" t="s">
        <v>14</v>
      </c>
      <c r="D745" t="s">
        <v>33</v>
      </c>
      <c r="E745" t="s">
        <v>20</v>
      </c>
      <c r="F745" t="s">
        <v>20</v>
      </c>
      <c r="G745">
        <v>97894</v>
      </c>
      <c r="H745">
        <v>408320</v>
      </c>
      <c r="I745">
        <v>78</v>
      </c>
      <c r="J745">
        <v>0.97</v>
      </c>
      <c r="K745">
        <v>6.29</v>
      </c>
      <c r="L745">
        <v>1.2</v>
      </c>
      <c r="M745">
        <v>1</v>
      </c>
      <c r="N745">
        <v>457</v>
      </c>
    </row>
    <row r="746" spans="1:14" x14ac:dyDescent="0.35">
      <c r="A746">
        <v>2017</v>
      </c>
      <c r="B746">
        <v>1</v>
      </c>
      <c r="C746" t="s">
        <v>21</v>
      </c>
      <c r="D746" t="s">
        <v>39</v>
      </c>
      <c r="E746" t="s">
        <v>20</v>
      </c>
      <c r="F746" t="s">
        <v>23</v>
      </c>
      <c r="G746">
        <v>69635</v>
      </c>
      <c r="H746">
        <v>79777</v>
      </c>
      <c r="I746">
        <v>113</v>
      </c>
      <c r="J746">
        <v>0.97</v>
      </c>
      <c r="K746">
        <v>6.29</v>
      </c>
      <c r="L746">
        <v>1.2</v>
      </c>
      <c r="M746">
        <v>7</v>
      </c>
      <c r="N746">
        <v>533</v>
      </c>
    </row>
    <row r="747" spans="1:14" x14ac:dyDescent="0.35">
      <c r="A747">
        <v>2016</v>
      </c>
      <c r="B747">
        <v>9</v>
      </c>
      <c r="C747" t="s">
        <v>30</v>
      </c>
      <c r="D747" t="s">
        <v>15</v>
      </c>
      <c r="E747" t="s">
        <v>19</v>
      </c>
      <c r="F747" t="s">
        <v>17</v>
      </c>
      <c r="G747">
        <v>42465</v>
      </c>
      <c r="H747">
        <v>306427</v>
      </c>
      <c r="I747">
        <v>255</v>
      </c>
      <c r="J747">
        <v>0.97</v>
      </c>
      <c r="K747">
        <v>6.29</v>
      </c>
      <c r="L747">
        <v>1.2</v>
      </c>
      <c r="M747">
        <v>5</v>
      </c>
      <c r="N747">
        <v>775</v>
      </c>
    </row>
    <row r="748" spans="1:14" x14ac:dyDescent="0.35">
      <c r="A748">
        <v>2024</v>
      </c>
      <c r="B748">
        <v>1</v>
      </c>
      <c r="C748" t="s">
        <v>30</v>
      </c>
      <c r="D748" t="s">
        <v>24</v>
      </c>
      <c r="E748" t="s">
        <v>16</v>
      </c>
      <c r="F748" t="s">
        <v>17</v>
      </c>
      <c r="G748">
        <v>91754</v>
      </c>
      <c r="H748">
        <v>207255</v>
      </c>
      <c r="I748">
        <v>170</v>
      </c>
      <c r="J748">
        <v>0.97</v>
      </c>
      <c r="K748">
        <v>6.29</v>
      </c>
      <c r="L748">
        <v>1.2</v>
      </c>
      <c r="M748">
        <v>1</v>
      </c>
      <c r="N748">
        <v>683</v>
      </c>
    </row>
    <row r="749" spans="1:14" x14ac:dyDescent="0.35">
      <c r="A749">
        <v>2017</v>
      </c>
      <c r="B749">
        <v>4</v>
      </c>
      <c r="C749" t="s">
        <v>25</v>
      </c>
      <c r="D749" t="s">
        <v>26</v>
      </c>
      <c r="E749" t="s">
        <v>16</v>
      </c>
      <c r="F749" t="s">
        <v>23</v>
      </c>
      <c r="G749">
        <v>73871</v>
      </c>
      <c r="H749">
        <v>470661</v>
      </c>
      <c r="I749">
        <v>209</v>
      </c>
      <c r="J749">
        <v>0.97</v>
      </c>
      <c r="K749">
        <v>6.29</v>
      </c>
      <c r="L749">
        <v>1.2</v>
      </c>
      <c r="M749">
        <v>4</v>
      </c>
      <c r="N749">
        <v>525</v>
      </c>
    </row>
    <row r="750" spans="1:14" x14ac:dyDescent="0.35">
      <c r="A750">
        <v>2017</v>
      </c>
      <c r="B750">
        <v>10</v>
      </c>
      <c r="C750" t="s">
        <v>32</v>
      </c>
      <c r="D750" t="s">
        <v>18</v>
      </c>
      <c r="E750" t="s">
        <v>20</v>
      </c>
      <c r="F750" t="s">
        <v>20</v>
      </c>
      <c r="G750">
        <v>97874</v>
      </c>
      <c r="H750">
        <v>248110</v>
      </c>
      <c r="I750">
        <v>225</v>
      </c>
      <c r="J750">
        <v>0.97</v>
      </c>
      <c r="K750">
        <v>6.29</v>
      </c>
      <c r="L750">
        <v>1.2</v>
      </c>
      <c r="M750">
        <v>4</v>
      </c>
      <c r="N750">
        <v>482</v>
      </c>
    </row>
    <row r="751" spans="1:14" x14ac:dyDescent="0.35">
      <c r="A751">
        <v>2019</v>
      </c>
      <c r="B751">
        <v>6</v>
      </c>
      <c r="C751" t="s">
        <v>25</v>
      </c>
      <c r="D751" t="s">
        <v>29</v>
      </c>
      <c r="E751" t="s">
        <v>19</v>
      </c>
      <c r="F751" t="s">
        <v>20</v>
      </c>
      <c r="G751">
        <v>112733</v>
      </c>
      <c r="H751">
        <v>399345</v>
      </c>
      <c r="I751">
        <v>221</v>
      </c>
      <c r="J751">
        <v>0.97</v>
      </c>
      <c r="K751">
        <v>6.29</v>
      </c>
      <c r="L751">
        <v>1.2</v>
      </c>
      <c r="M751">
        <v>10</v>
      </c>
      <c r="N751">
        <v>861</v>
      </c>
    </row>
    <row r="752" spans="1:14" x14ac:dyDescent="0.35">
      <c r="A752">
        <v>2019</v>
      </c>
      <c r="B752">
        <v>7</v>
      </c>
      <c r="C752" t="s">
        <v>25</v>
      </c>
      <c r="D752" t="s">
        <v>22</v>
      </c>
      <c r="E752" t="s">
        <v>20</v>
      </c>
      <c r="F752" t="s">
        <v>17</v>
      </c>
      <c r="G752">
        <v>64511</v>
      </c>
      <c r="H752">
        <v>459414</v>
      </c>
      <c r="I752">
        <v>25</v>
      </c>
      <c r="J752">
        <v>0.97</v>
      </c>
      <c r="K752">
        <v>6.29</v>
      </c>
      <c r="L752">
        <v>1.2</v>
      </c>
      <c r="M752">
        <v>7</v>
      </c>
      <c r="N752">
        <v>193</v>
      </c>
    </row>
    <row r="753" spans="1:14" x14ac:dyDescent="0.35">
      <c r="A753">
        <v>2016</v>
      </c>
      <c r="B753">
        <v>2</v>
      </c>
      <c r="C753" t="s">
        <v>21</v>
      </c>
      <c r="D753" t="s">
        <v>33</v>
      </c>
      <c r="E753" t="s">
        <v>19</v>
      </c>
      <c r="F753" t="s">
        <v>23</v>
      </c>
      <c r="G753">
        <v>115960</v>
      </c>
      <c r="H753">
        <v>464627</v>
      </c>
      <c r="I753">
        <v>381</v>
      </c>
      <c r="J753">
        <v>0.97</v>
      </c>
      <c r="K753">
        <v>6.29</v>
      </c>
      <c r="L753">
        <v>1.2</v>
      </c>
      <c r="M753">
        <v>9</v>
      </c>
      <c r="N753">
        <v>805</v>
      </c>
    </row>
    <row r="754" spans="1:14" x14ac:dyDescent="0.35">
      <c r="A754">
        <v>2024</v>
      </c>
      <c r="B754">
        <v>6</v>
      </c>
      <c r="C754" t="s">
        <v>36</v>
      </c>
      <c r="D754" t="s">
        <v>31</v>
      </c>
      <c r="E754" t="s">
        <v>19</v>
      </c>
      <c r="F754" t="s">
        <v>20</v>
      </c>
      <c r="G754">
        <v>83821</v>
      </c>
      <c r="H754">
        <v>231649</v>
      </c>
      <c r="I754">
        <v>341</v>
      </c>
      <c r="J754">
        <v>0.97</v>
      </c>
      <c r="K754">
        <v>6.29</v>
      </c>
      <c r="L754">
        <v>1.2</v>
      </c>
      <c r="M754">
        <v>2</v>
      </c>
      <c r="N754">
        <v>883</v>
      </c>
    </row>
    <row r="755" spans="1:14" x14ac:dyDescent="0.35">
      <c r="A755">
        <v>2020</v>
      </c>
      <c r="B755">
        <v>7</v>
      </c>
      <c r="C755" t="s">
        <v>32</v>
      </c>
      <c r="D755" t="s">
        <v>24</v>
      </c>
      <c r="E755" t="s">
        <v>16</v>
      </c>
      <c r="F755" t="s">
        <v>17</v>
      </c>
      <c r="G755">
        <v>100776</v>
      </c>
      <c r="H755">
        <v>328011</v>
      </c>
      <c r="I755">
        <v>214</v>
      </c>
      <c r="J755">
        <v>0.97</v>
      </c>
      <c r="K755">
        <v>6.29</v>
      </c>
      <c r="L755">
        <v>1.2</v>
      </c>
      <c r="M755">
        <v>1</v>
      </c>
      <c r="N755">
        <v>714</v>
      </c>
    </row>
    <row r="756" spans="1:14" x14ac:dyDescent="0.35">
      <c r="A756">
        <v>2019</v>
      </c>
      <c r="B756">
        <v>10</v>
      </c>
      <c r="C756" t="s">
        <v>28</v>
      </c>
      <c r="D756" t="s">
        <v>29</v>
      </c>
      <c r="E756" t="s">
        <v>16</v>
      </c>
      <c r="F756" t="s">
        <v>27</v>
      </c>
      <c r="G756">
        <v>105167</v>
      </c>
      <c r="H756">
        <v>112501</v>
      </c>
      <c r="I756">
        <v>374</v>
      </c>
      <c r="J756">
        <v>0.97</v>
      </c>
      <c r="K756">
        <v>6.29</v>
      </c>
      <c r="L756">
        <v>1.2</v>
      </c>
      <c r="M756">
        <v>2</v>
      </c>
      <c r="N756">
        <v>824</v>
      </c>
    </row>
    <row r="757" spans="1:14" x14ac:dyDescent="0.35">
      <c r="A757">
        <v>2020</v>
      </c>
      <c r="B757">
        <v>10</v>
      </c>
      <c r="C757" t="s">
        <v>35</v>
      </c>
      <c r="D757" t="s">
        <v>31</v>
      </c>
      <c r="E757" t="s">
        <v>19</v>
      </c>
      <c r="F757" t="s">
        <v>23</v>
      </c>
      <c r="G757">
        <v>110135</v>
      </c>
      <c r="H757">
        <v>195338</v>
      </c>
      <c r="I757">
        <v>48</v>
      </c>
      <c r="J757">
        <v>0.97</v>
      </c>
      <c r="K757">
        <v>6.29</v>
      </c>
      <c r="L757">
        <v>1.2</v>
      </c>
      <c r="M757">
        <v>7</v>
      </c>
      <c r="N757">
        <v>347</v>
      </c>
    </row>
    <row r="758" spans="1:14" x14ac:dyDescent="0.35">
      <c r="A758">
        <v>2015</v>
      </c>
      <c r="B758">
        <v>2</v>
      </c>
      <c r="C758" t="s">
        <v>25</v>
      </c>
      <c r="D758" t="s">
        <v>33</v>
      </c>
      <c r="E758" t="s">
        <v>20</v>
      </c>
      <c r="F758" t="s">
        <v>27</v>
      </c>
      <c r="G758">
        <v>79462</v>
      </c>
      <c r="H758">
        <v>351566</v>
      </c>
      <c r="I758">
        <v>98</v>
      </c>
      <c r="J758">
        <v>0.97</v>
      </c>
      <c r="K758">
        <v>6.29</v>
      </c>
      <c r="L758">
        <v>1.2</v>
      </c>
      <c r="M758">
        <v>10</v>
      </c>
      <c r="N758">
        <v>298</v>
      </c>
    </row>
    <row r="759" spans="1:14" x14ac:dyDescent="0.35">
      <c r="A759">
        <v>2019</v>
      </c>
      <c r="B759">
        <v>2</v>
      </c>
      <c r="C759" t="s">
        <v>38</v>
      </c>
      <c r="D759" t="s">
        <v>15</v>
      </c>
      <c r="E759" t="s">
        <v>16</v>
      </c>
      <c r="F759" t="s">
        <v>27</v>
      </c>
      <c r="G759">
        <v>96382</v>
      </c>
      <c r="H759">
        <v>216280</v>
      </c>
      <c r="I759">
        <v>265</v>
      </c>
      <c r="J759">
        <v>0.97</v>
      </c>
      <c r="K759">
        <v>6.29</v>
      </c>
      <c r="L759">
        <v>1.2</v>
      </c>
      <c r="M759">
        <v>6</v>
      </c>
      <c r="N759">
        <v>596</v>
      </c>
    </row>
    <row r="760" spans="1:14" x14ac:dyDescent="0.35">
      <c r="A760">
        <v>2023</v>
      </c>
      <c r="B760">
        <v>10</v>
      </c>
      <c r="C760" t="s">
        <v>37</v>
      </c>
      <c r="D760" t="s">
        <v>15</v>
      </c>
      <c r="E760" t="s">
        <v>20</v>
      </c>
      <c r="F760" t="s">
        <v>20</v>
      </c>
      <c r="G760">
        <v>67574</v>
      </c>
      <c r="H760">
        <v>171544</v>
      </c>
      <c r="I760">
        <v>263</v>
      </c>
      <c r="J760">
        <v>0.97</v>
      </c>
      <c r="K760">
        <v>6.29</v>
      </c>
      <c r="L760">
        <v>1.2</v>
      </c>
      <c r="M760">
        <v>4</v>
      </c>
      <c r="N760">
        <v>713</v>
      </c>
    </row>
    <row r="761" spans="1:14" x14ac:dyDescent="0.35">
      <c r="A761">
        <v>2024</v>
      </c>
      <c r="B761">
        <v>7</v>
      </c>
      <c r="C761" t="s">
        <v>38</v>
      </c>
      <c r="D761" t="s">
        <v>34</v>
      </c>
      <c r="E761" t="s">
        <v>16</v>
      </c>
      <c r="F761" t="s">
        <v>20</v>
      </c>
      <c r="G761">
        <v>76910</v>
      </c>
      <c r="H761">
        <v>474429</v>
      </c>
      <c r="I761">
        <v>225</v>
      </c>
      <c r="J761">
        <v>0.97</v>
      </c>
      <c r="K761">
        <v>6.29</v>
      </c>
      <c r="L761">
        <v>1.2</v>
      </c>
      <c r="M761">
        <v>1</v>
      </c>
      <c r="N761">
        <v>686</v>
      </c>
    </row>
    <row r="762" spans="1:14" x14ac:dyDescent="0.35">
      <c r="A762">
        <v>2016</v>
      </c>
      <c r="B762">
        <v>12</v>
      </c>
      <c r="C762" t="s">
        <v>21</v>
      </c>
      <c r="D762" t="s">
        <v>33</v>
      </c>
      <c r="E762" t="s">
        <v>16</v>
      </c>
      <c r="F762" t="s">
        <v>20</v>
      </c>
      <c r="G762">
        <v>108531</v>
      </c>
      <c r="H762">
        <v>188439</v>
      </c>
      <c r="I762">
        <v>377</v>
      </c>
      <c r="J762">
        <v>0.97</v>
      </c>
      <c r="K762">
        <v>6.29</v>
      </c>
      <c r="L762">
        <v>1.2</v>
      </c>
      <c r="M762">
        <v>1</v>
      </c>
      <c r="N762">
        <v>785</v>
      </c>
    </row>
    <row r="763" spans="1:14" x14ac:dyDescent="0.35">
      <c r="A763">
        <v>2015</v>
      </c>
      <c r="B763">
        <v>1</v>
      </c>
      <c r="C763" t="s">
        <v>21</v>
      </c>
      <c r="D763" t="s">
        <v>33</v>
      </c>
      <c r="E763" t="s">
        <v>20</v>
      </c>
      <c r="F763" t="s">
        <v>23</v>
      </c>
      <c r="G763">
        <v>60186</v>
      </c>
      <c r="H763">
        <v>305230</v>
      </c>
      <c r="I763">
        <v>312</v>
      </c>
      <c r="J763">
        <v>0.97</v>
      </c>
      <c r="K763">
        <v>6.29</v>
      </c>
      <c r="L763">
        <v>1.2</v>
      </c>
      <c r="M763">
        <v>5</v>
      </c>
      <c r="N763">
        <v>922</v>
      </c>
    </row>
    <row r="764" spans="1:14" x14ac:dyDescent="0.35">
      <c r="A764">
        <v>2024</v>
      </c>
      <c r="B764">
        <v>8</v>
      </c>
      <c r="C764" t="s">
        <v>14</v>
      </c>
      <c r="D764" t="s">
        <v>31</v>
      </c>
      <c r="E764" t="s">
        <v>16</v>
      </c>
      <c r="F764" t="s">
        <v>27</v>
      </c>
      <c r="G764">
        <v>57813</v>
      </c>
      <c r="H764">
        <v>85362</v>
      </c>
      <c r="I764">
        <v>181</v>
      </c>
      <c r="J764">
        <v>0.97</v>
      </c>
      <c r="K764">
        <v>6.29</v>
      </c>
      <c r="L764">
        <v>1.2</v>
      </c>
      <c r="M764">
        <v>1</v>
      </c>
      <c r="N764">
        <v>514</v>
      </c>
    </row>
    <row r="765" spans="1:14" x14ac:dyDescent="0.35">
      <c r="A765">
        <v>2023</v>
      </c>
      <c r="B765">
        <v>11</v>
      </c>
      <c r="C765" t="s">
        <v>36</v>
      </c>
      <c r="D765" t="s">
        <v>29</v>
      </c>
      <c r="E765" t="s">
        <v>16</v>
      </c>
      <c r="F765" t="s">
        <v>23</v>
      </c>
      <c r="G765">
        <v>113812</v>
      </c>
      <c r="H765">
        <v>300449</v>
      </c>
      <c r="I765">
        <v>146</v>
      </c>
      <c r="J765">
        <v>0.97</v>
      </c>
      <c r="K765">
        <v>6.29</v>
      </c>
      <c r="L765">
        <v>1.2</v>
      </c>
      <c r="M765">
        <v>7</v>
      </c>
      <c r="N765">
        <v>570</v>
      </c>
    </row>
    <row r="766" spans="1:14" x14ac:dyDescent="0.35">
      <c r="A766">
        <v>2024</v>
      </c>
      <c r="B766">
        <v>3</v>
      </c>
      <c r="C766" t="s">
        <v>35</v>
      </c>
      <c r="D766" t="s">
        <v>39</v>
      </c>
      <c r="E766" t="s">
        <v>20</v>
      </c>
      <c r="F766" t="s">
        <v>20</v>
      </c>
      <c r="G766">
        <v>113282</v>
      </c>
      <c r="H766">
        <v>363732</v>
      </c>
      <c r="I766">
        <v>393</v>
      </c>
      <c r="J766">
        <v>0.97</v>
      </c>
      <c r="K766">
        <v>6.29</v>
      </c>
      <c r="L766">
        <v>1.2</v>
      </c>
      <c r="M766">
        <v>1</v>
      </c>
      <c r="N766">
        <v>1129</v>
      </c>
    </row>
    <row r="767" spans="1:14" x14ac:dyDescent="0.35">
      <c r="A767">
        <v>2023</v>
      </c>
      <c r="B767">
        <v>11</v>
      </c>
      <c r="C767" t="s">
        <v>25</v>
      </c>
      <c r="D767" t="s">
        <v>31</v>
      </c>
      <c r="E767" t="s">
        <v>16</v>
      </c>
      <c r="F767" t="s">
        <v>27</v>
      </c>
      <c r="G767">
        <v>53557</v>
      </c>
      <c r="H767">
        <v>219357</v>
      </c>
      <c r="I767">
        <v>187</v>
      </c>
      <c r="J767">
        <v>0.97</v>
      </c>
      <c r="K767">
        <v>6.29</v>
      </c>
      <c r="L767">
        <v>1.2</v>
      </c>
      <c r="M767">
        <v>1</v>
      </c>
      <c r="N767">
        <v>599</v>
      </c>
    </row>
    <row r="768" spans="1:14" x14ac:dyDescent="0.35">
      <c r="A768">
        <v>2023</v>
      </c>
      <c r="B768">
        <v>6</v>
      </c>
      <c r="C768" t="s">
        <v>38</v>
      </c>
      <c r="D768" t="s">
        <v>22</v>
      </c>
      <c r="E768" t="s">
        <v>16</v>
      </c>
      <c r="F768" t="s">
        <v>23</v>
      </c>
      <c r="G768">
        <v>63060</v>
      </c>
      <c r="H768">
        <v>176683</v>
      </c>
      <c r="I768">
        <v>86</v>
      </c>
      <c r="J768">
        <v>0.97</v>
      </c>
      <c r="K768">
        <v>6.29</v>
      </c>
      <c r="L768">
        <v>1.2</v>
      </c>
      <c r="M768">
        <v>2</v>
      </c>
      <c r="N768">
        <v>256</v>
      </c>
    </row>
    <row r="769" spans="1:14" x14ac:dyDescent="0.35">
      <c r="A769">
        <v>2020</v>
      </c>
      <c r="B769">
        <v>9</v>
      </c>
      <c r="C769" t="s">
        <v>37</v>
      </c>
      <c r="D769" t="s">
        <v>15</v>
      </c>
      <c r="E769" t="s">
        <v>16</v>
      </c>
      <c r="F769" t="s">
        <v>23</v>
      </c>
      <c r="G769">
        <v>93866</v>
      </c>
      <c r="H769">
        <v>306157</v>
      </c>
      <c r="I769">
        <v>197</v>
      </c>
      <c r="J769">
        <v>0.97</v>
      </c>
      <c r="K769">
        <v>6.29</v>
      </c>
      <c r="L769">
        <v>1.2</v>
      </c>
      <c r="M769">
        <v>10</v>
      </c>
      <c r="N769">
        <v>377</v>
      </c>
    </row>
    <row r="770" spans="1:14" x14ac:dyDescent="0.35">
      <c r="A770">
        <v>2022</v>
      </c>
      <c r="B770">
        <v>6</v>
      </c>
      <c r="C770" t="s">
        <v>21</v>
      </c>
      <c r="D770" t="s">
        <v>15</v>
      </c>
      <c r="E770" t="s">
        <v>20</v>
      </c>
      <c r="F770" t="s">
        <v>17</v>
      </c>
      <c r="G770">
        <v>107104</v>
      </c>
      <c r="H770">
        <v>255827</v>
      </c>
      <c r="I770">
        <v>24</v>
      </c>
      <c r="J770">
        <v>0.97</v>
      </c>
      <c r="K770">
        <v>6.29</v>
      </c>
      <c r="L770">
        <v>1.2</v>
      </c>
      <c r="M770">
        <v>3</v>
      </c>
      <c r="N770">
        <v>185</v>
      </c>
    </row>
    <row r="771" spans="1:14" x14ac:dyDescent="0.35">
      <c r="A771">
        <v>2015</v>
      </c>
      <c r="B771">
        <v>9</v>
      </c>
      <c r="C771" t="s">
        <v>21</v>
      </c>
      <c r="D771" t="s">
        <v>34</v>
      </c>
      <c r="E771" t="s">
        <v>19</v>
      </c>
      <c r="F771" t="s">
        <v>23</v>
      </c>
      <c r="G771">
        <v>119577</v>
      </c>
      <c r="H771">
        <v>252918</v>
      </c>
      <c r="I771">
        <v>301</v>
      </c>
      <c r="J771">
        <v>0.97</v>
      </c>
      <c r="K771">
        <v>6.29</v>
      </c>
      <c r="L771">
        <v>1.2</v>
      </c>
      <c r="M771">
        <v>1</v>
      </c>
      <c r="N771">
        <v>678</v>
      </c>
    </row>
    <row r="772" spans="1:14" x14ac:dyDescent="0.35">
      <c r="A772">
        <v>2024</v>
      </c>
      <c r="B772">
        <v>7</v>
      </c>
      <c r="C772" t="s">
        <v>36</v>
      </c>
      <c r="D772" t="s">
        <v>22</v>
      </c>
      <c r="E772" t="s">
        <v>20</v>
      </c>
      <c r="F772" t="s">
        <v>20</v>
      </c>
      <c r="G772">
        <v>41080</v>
      </c>
      <c r="H772">
        <v>348451</v>
      </c>
      <c r="I772">
        <v>328</v>
      </c>
      <c r="J772">
        <v>0.97</v>
      </c>
      <c r="K772">
        <v>6.29</v>
      </c>
      <c r="L772">
        <v>1.2</v>
      </c>
      <c r="M772">
        <v>9</v>
      </c>
      <c r="N772">
        <v>967</v>
      </c>
    </row>
    <row r="773" spans="1:14" x14ac:dyDescent="0.35">
      <c r="A773">
        <v>2018</v>
      </c>
      <c r="B773">
        <v>9</v>
      </c>
      <c r="C773" t="s">
        <v>37</v>
      </c>
      <c r="D773" t="s">
        <v>15</v>
      </c>
      <c r="E773" t="s">
        <v>19</v>
      </c>
      <c r="F773" t="s">
        <v>23</v>
      </c>
      <c r="G773">
        <v>48854</v>
      </c>
      <c r="H773">
        <v>392424</v>
      </c>
      <c r="I773">
        <v>334</v>
      </c>
      <c r="J773">
        <v>0.97</v>
      </c>
      <c r="K773">
        <v>6.29</v>
      </c>
      <c r="L773">
        <v>1.2</v>
      </c>
      <c r="M773">
        <v>10</v>
      </c>
      <c r="N773">
        <v>966</v>
      </c>
    </row>
    <row r="774" spans="1:14" x14ac:dyDescent="0.35">
      <c r="A774">
        <v>2015</v>
      </c>
      <c r="B774">
        <v>2</v>
      </c>
      <c r="C774" t="s">
        <v>37</v>
      </c>
      <c r="D774" t="s">
        <v>31</v>
      </c>
      <c r="E774" t="s">
        <v>16</v>
      </c>
      <c r="F774" t="s">
        <v>27</v>
      </c>
      <c r="G774">
        <v>102695</v>
      </c>
      <c r="H774">
        <v>463083</v>
      </c>
      <c r="I774">
        <v>223</v>
      </c>
      <c r="J774">
        <v>0.97</v>
      </c>
      <c r="K774">
        <v>6.29</v>
      </c>
      <c r="L774">
        <v>1.2</v>
      </c>
      <c r="M774">
        <v>8</v>
      </c>
      <c r="N774">
        <v>538</v>
      </c>
    </row>
    <row r="775" spans="1:14" x14ac:dyDescent="0.35">
      <c r="A775">
        <v>2022</v>
      </c>
      <c r="B775">
        <v>12</v>
      </c>
      <c r="C775" t="s">
        <v>36</v>
      </c>
      <c r="D775" t="s">
        <v>22</v>
      </c>
      <c r="E775" t="s">
        <v>19</v>
      </c>
      <c r="F775" t="s">
        <v>23</v>
      </c>
      <c r="G775">
        <v>62025</v>
      </c>
      <c r="H775">
        <v>368667</v>
      </c>
      <c r="I775">
        <v>217</v>
      </c>
      <c r="J775">
        <v>0.97</v>
      </c>
      <c r="K775">
        <v>6.29</v>
      </c>
      <c r="L775">
        <v>1.2</v>
      </c>
      <c r="M775">
        <v>5</v>
      </c>
      <c r="N775">
        <v>880</v>
      </c>
    </row>
    <row r="776" spans="1:14" x14ac:dyDescent="0.35">
      <c r="A776">
        <v>2015</v>
      </c>
      <c r="B776">
        <v>8</v>
      </c>
      <c r="C776" t="s">
        <v>21</v>
      </c>
      <c r="D776" t="s">
        <v>31</v>
      </c>
      <c r="E776" t="s">
        <v>20</v>
      </c>
      <c r="F776" t="s">
        <v>17</v>
      </c>
      <c r="G776">
        <v>87982</v>
      </c>
      <c r="H776">
        <v>449594</v>
      </c>
      <c r="I776">
        <v>178</v>
      </c>
      <c r="J776">
        <v>0.97</v>
      </c>
      <c r="K776">
        <v>6.29</v>
      </c>
      <c r="L776">
        <v>1.2</v>
      </c>
      <c r="M776">
        <v>2</v>
      </c>
      <c r="N776">
        <v>495</v>
      </c>
    </row>
    <row r="777" spans="1:14" x14ac:dyDescent="0.35">
      <c r="A777">
        <v>2017</v>
      </c>
      <c r="B777">
        <v>8</v>
      </c>
      <c r="C777" t="s">
        <v>35</v>
      </c>
      <c r="D777" t="s">
        <v>39</v>
      </c>
      <c r="E777" t="s">
        <v>20</v>
      </c>
      <c r="F777" t="s">
        <v>27</v>
      </c>
      <c r="G777">
        <v>76081</v>
      </c>
      <c r="H777">
        <v>265757</v>
      </c>
      <c r="I777">
        <v>339</v>
      </c>
      <c r="J777">
        <v>0.97</v>
      </c>
      <c r="K777">
        <v>6.29</v>
      </c>
      <c r="L777">
        <v>1.2</v>
      </c>
      <c r="M777">
        <v>5</v>
      </c>
      <c r="N777">
        <v>879</v>
      </c>
    </row>
    <row r="778" spans="1:14" x14ac:dyDescent="0.35">
      <c r="A778">
        <v>2018</v>
      </c>
      <c r="B778">
        <v>2</v>
      </c>
      <c r="C778" t="s">
        <v>32</v>
      </c>
      <c r="D778" t="s">
        <v>39</v>
      </c>
      <c r="E778" t="s">
        <v>16</v>
      </c>
      <c r="F778" t="s">
        <v>27</v>
      </c>
      <c r="G778">
        <v>39368</v>
      </c>
      <c r="H778">
        <v>157669</v>
      </c>
      <c r="I778">
        <v>289</v>
      </c>
      <c r="J778">
        <v>0.97</v>
      </c>
      <c r="K778">
        <v>6.29</v>
      </c>
      <c r="L778">
        <v>1.2</v>
      </c>
      <c r="M778">
        <v>6</v>
      </c>
      <c r="N778">
        <v>971</v>
      </c>
    </row>
    <row r="779" spans="1:14" x14ac:dyDescent="0.35">
      <c r="A779">
        <v>2022</v>
      </c>
      <c r="B779">
        <v>12</v>
      </c>
      <c r="C779" t="s">
        <v>32</v>
      </c>
      <c r="D779" t="s">
        <v>15</v>
      </c>
      <c r="E779" t="s">
        <v>19</v>
      </c>
      <c r="F779" t="s">
        <v>17</v>
      </c>
      <c r="G779">
        <v>62094</v>
      </c>
      <c r="H779">
        <v>258030</v>
      </c>
      <c r="I779">
        <v>314</v>
      </c>
      <c r="J779">
        <v>0.97</v>
      </c>
      <c r="K779">
        <v>6.29</v>
      </c>
      <c r="L779">
        <v>1.2</v>
      </c>
      <c r="M779">
        <v>1</v>
      </c>
      <c r="N779">
        <v>1012</v>
      </c>
    </row>
    <row r="780" spans="1:14" x14ac:dyDescent="0.35">
      <c r="A780">
        <v>2020</v>
      </c>
      <c r="B780">
        <v>4</v>
      </c>
      <c r="C780" t="s">
        <v>36</v>
      </c>
      <c r="D780" t="s">
        <v>15</v>
      </c>
      <c r="E780" t="s">
        <v>16</v>
      </c>
      <c r="F780" t="s">
        <v>20</v>
      </c>
      <c r="G780">
        <v>81040</v>
      </c>
      <c r="H780">
        <v>208998</v>
      </c>
      <c r="I780">
        <v>155</v>
      </c>
      <c r="J780">
        <v>0.97</v>
      </c>
      <c r="K780">
        <v>6.29</v>
      </c>
      <c r="L780">
        <v>1.2</v>
      </c>
      <c r="M780">
        <v>4</v>
      </c>
      <c r="N780">
        <v>707</v>
      </c>
    </row>
    <row r="781" spans="1:14" x14ac:dyDescent="0.35">
      <c r="A781">
        <v>2024</v>
      </c>
      <c r="B781">
        <v>11</v>
      </c>
      <c r="C781" t="s">
        <v>37</v>
      </c>
      <c r="D781" t="s">
        <v>29</v>
      </c>
      <c r="E781" t="s">
        <v>16</v>
      </c>
      <c r="F781" t="s">
        <v>27</v>
      </c>
      <c r="G781">
        <v>101766</v>
      </c>
      <c r="H781">
        <v>153215</v>
      </c>
      <c r="I781">
        <v>272</v>
      </c>
      <c r="J781">
        <v>0.97</v>
      </c>
      <c r="K781">
        <v>6.29</v>
      </c>
      <c r="L781">
        <v>1.2</v>
      </c>
      <c r="M781">
        <v>9</v>
      </c>
      <c r="N781">
        <v>753</v>
      </c>
    </row>
    <row r="782" spans="1:14" x14ac:dyDescent="0.35">
      <c r="A782">
        <v>2021</v>
      </c>
      <c r="B782">
        <v>7</v>
      </c>
      <c r="C782" t="s">
        <v>25</v>
      </c>
      <c r="D782" t="s">
        <v>39</v>
      </c>
      <c r="E782" t="s">
        <v>20</v>
      </c>
      <c r="F782" t="s">
        <v>20</v>
      </c>
      <c r="G782">
        <v>118053</v>
      </c>
      <c r="H782">
        <v>148707</v>
      </c>
      <c r="I782">
        <v>13</v>
      </c>
      <c r="J782">
        <v>0.97</v>
      </c>
      <c r="K782">
        <v>6.29</v>
      </c>
      <c r="L782">
        <v>1.2</v>
      </c>
      <c r="M782">
        <v>2</v>
      </c>
      <c r="N782">
        <v>290</v>
      </c>
    </row>
    <row r="783" spans="1:14" x14ac:dyDescent="0.35">
      <c r="A783">
        <v>2022</v>
      </c>
      <c r="B783">
        <v>11</v>
      </c>
      <c r="C783" t="s">
        <v>36</v>
      </c>
      <c r="D783" t="s">
        <v>24</v>
      </c>
      <c r="E783" t="s">
        <v>19</v>
      </c>
      <c r="F783" t="s">
        <v>27</v>
      </c>
      <c r="G783">
        <v>58991</v>
      </c>
      <c r="H783">
        <v>456396</v>
      </c>
      <c r="I783">
        <v>99</v>
      </c>
      <c r="J783">
        <v>0.97</v>
      </c>
      <c r="K783">
        <v>6.29</v>
      </c>
      <c r="L783">
        <v>1.2</v>
      </c>
      <c r="M783">
        <v>5</v>
      </c>
      <c r="N783">
        <v>457</v>
      </c>
    </row>
    <row r="784" spans="1:14" x14ac:dyDescent="0.35">
      <c r="A784">
        <v>2016</v>
      </c>
      <c r="B784">
        <v>4</v>
      </c>
      <c r="C784" t="s">
        <v>35</v>
      </c>
      <c r="D784" t="s">
        <v>24</v>
      </c>
      <c r="E784" t="s">
        <v>19</v>
      </c>
      <c r="F784" t="s">
        <v>27</v>
      </c>
      <c r="G784">
        <v>36301</v>
      </c>
      <c r="H784">
        <v>142837</v>
      </c>
      <c r="I784">
        <v>69</v>
      </c>
      <c r="J784">
        <v>0.97</v>
      </c>
      <c r="K784">
        <v>6.29</v>
      </c>
      <c r="L784">
        <v>1.2</v>
      </c>
      <c r="M784">
        <v>1</v>
      </c>
      <c r="N784">
        <v>595</v>
      </c>
    </row>
    <row r="785" spans="1:14" x14ac:dyDescent="0.35">
      <c r="A785">
        <v>2024</v>
      </c>
      <c r="B785">
        <v>4</v>
      </c>
      <c r="C785" t="s">
        <v>36</v>
      </c>
      <c r="D785" t="s">
        <v>34</v>
      </c>
      <c r="E785" t="s">
        <v>19</v>
      </c>
      <c r="F785" t="s">
        <v>20</v>
      </c>
      <c r="G785">
        <v>63610</v>
      </c>
      <c r="H785">
        <v>430214</v>
      </c>
      <c r="I785">
        <v>320</v>
      </c>
      <c r="J785">
        <v>0.97</v>
      </c>
      <c r="K785">
        <v>6.29</v>
      </c>
      <c r="L785">
        <v>1.2</v>
      </c>
      <c r="M785">
        <v>4</v>
      </c>
      <c r="N785">
        <v>1086</v>
      </c>
    </row>
    <row r="786" spans="1:14" x14ac:dyDescent="0.35">
      <c r="A786">
        <v>2022</v>
      </c>
      <c r="B786">
        <v>6</v>
      </c>
      <c r="C786" t="s">
        <v>30</v>
      </c>
      <c r="D786" t="s">
        <v>39</v>
      </c>
      <c r="E786" t="s">
        <v>19</v>
      </c>
      <c r="F786" t="s">
        <v>27</v>
      </c>
      <c r="G786">
        <v>116463</v>
      </c>
      <c r="H786">
        <v>480147</v>
      </c>
      <c r="I786">
        <v>25</v>
      </c>
      <c r="J786">
        <v>0.97</v>
      </c>
      <c r="K786">
        <v>6.29</v>
      </c>
      <c r="L786">
        <v>1.2</v>
      </c>
      <c r="M786">
        <v>4</v>
      </c>
      <c r="N786">
        <v>244</v>
      </c>
    </row>
    <row r="787" spans="1:14" x14ac:dyDescent="0.35">
      <c r="A787">
        <v>2017</v>
      </c>
      <c r="B787">
        <v>10</v>
      </c>
      <c r="C787" t="s">
        <v>38</v>
      </c>
      <c r="D787" t="s">
        <v>31</v>
      </c>
      <c r="E787" t="s">
        <v>16</v>
      </c>
      <c r="F787" t="s">
        <v>20</v>
      </c>
      <c r="G787">
        <v>69678</v>
      </c>
      <c r="H787">
        <v>467230</v>
      </c>
      <c r="I787">
        <v>236</v>
      </c>
      <c r="J787">
        <v>0.97</v>
      </c>
      <c r="K787">
        <v>6.29</v>
      </c>
      <c r="L787">
        <v>1.2</v>
      </c>
      <c r="M787">
        <v>6</v>
      </c>
      <c r="N787">
        <v>889</v>
      </c>
    </row>
    <row r="788" spans="1:14" x14ac:dyDescent="0.35">
      <c r="A788">
        <v>2021</v>
      </c>
      <c r="B788">
        <v>6</v>
      </c>
      <c r="C788" t="s">
        <v>37</v>
      </c>
      <c r="D788" t="s">
        <v>31</v>
      </c>
      <c r="E788" t="s">
        <v>16</v>
      </c>
      <c r="F788" t="s">
        <v>17</v>
      </c>
      <c r="G788">
        <v>59466</v>
      </c>
      <c r="H788">
        <v>295847</v>
      </c>
      <c r="I788">
        <v>38</v>
      </c>
      <c r="J788">
        <v>0.97</v>
      </c>
      <c r="K788">
        <v>6.29</v>
      </c>
      <c r="L788">
        <v>1.2</v>
      </c>
      <c r="M788">
        <v>10</v>
      </c>
      <c r="N788">
        <v>415</v>
      </c>
    </row>
    <row r="789" spans="1:14" x14ac:dyDescent="0.35">
      <c r="A789">
        <v>2017</v>
      </c>
      <c r="B789">
        <v>10</v>
      </c>
      <c r="C789" t="s">
        <v>14</v>
      </c>
      <c r="D789" t="s">
        <v>26</v>
      </c>
      <c r="E789" t="s">
        <v>20</v>
      </c>
      <c r="F789" t="s">
        <v>20</v>
      </c>
      <c r="G789">
        <v>115440</v>
      </c>
      <c r="H789">
        <v>277544</v>
      </c>
      <c r="I789">
        <v>160</v>
      </c>
      <c r="J789">
        <v>0.97</v>
      </c>
      <c r="K789">
        <v>6.29</v>
      </c>
      <c r="L789">
        <v>1.2</v>
      </c>
      <c r="M789">
        <v>9</v>
      </c>
      <c r="N789">
        <v>527</v>
      </c>
    </row>
    <row r="790" spans="1:14" x14ac:dyDescent="0.35">
      <c r="A790">
        <v>2021</v>
      </c>
      <c r="B790">
        <v>3</v>
      </c>
      <c r="C790" t="s">
        <v>14</v>
      </c>
      <c r="D790" t="s">
        <v>22</v>
      </c>
      <c r="E790" t="s">
        <v>16</v>
      </c>
      <c r="F790" t="s">
        <v>17</v>
      </c>
      <c r="G790">
        <v>75875</v>
      </c>
      <c r="H790">
        <v>392016</v>
      </c>
      <c r="I790">
        <v>254</v>
      </c>
      <c r="J790">
        <v>0.97</v>
      </c>
      <c r="K790">
        <v>6.29</v>
      </c>
      <c r="L790">
        <v>1.2</v>
      </c>
      <c r="M790">
        <v>3</v>
      </c>
      <c r="N790">
        <v>694</v>
      </c>
    </row>
    <row r="791" spans="1:14" x14ac:dyDescent="0.35">
      <c r="A791">
        <v>2016</v>
      </c>
      <c r="B791">
        <v>9</v>
      </c>
      <c r="C791" t="s">
        <v>37</v>
      </c>
      <c r="D791" t="s">
        <v>18</v>
      </c>
      <c r="E791" t="s">
        <v>16</v>
      </c>
      <c r="F791" t="s">
        <v>27</v>
      </c>
      <c r="G791">
        <v>61081</v>
      </c>
      <c r="H791">
        <v>399880</v>
      </c>
      <c r="I791">
        <v>279</v>
      </c>
      <c r="J791">
        <v>0.97</v>
      </c>
      <c r="K791">
        <v>6.29</v>
      </c>
      <c r="L791">
        <v>1.2</v>
      </c>
      <c r="M791">
        <v>9</v>
      </c>
      <c r="N791">
        <v>848</v>
      </c>
    </row>
    <row r="792" spans="1:14" x14ac:dyDescent="0.35">
      <c r="A792">
        <v>2024</v>
      </c>
      <c r="B792">
        <v>12</v>
      </c>
      <c r="C792" t="s">
        <v>35</v>
      </c>
      <c r="D792" t="s">
        <v>24</v>
      </c>
      <c r="E792" t="s">
        <v>20</v>
      </c>
      <c r="F792" t="s">
        <v>20</v>
      </c>
      <c r="G792">
        <v>59354</v>
      </c>
      <c r="H792">
        <v>317614</v>
      </c>
      <c r="I792">
        <v>88</v>
      </c>
      <c r="J792">
        <v>0.97</v>
      </c>
      <c r="K792">
        <v>6.29</v>
      </c>
      <c r="L792">
        <v>1.2</v>
      </c>
      <c r="M792">
        <v>6</v>
      </c>
      <c r="N792">
        <v>426</v>
      </c>
    </row>
    <row r="793" spans="1:14" x14ac:dyDescent="0.35">
      <c r="A793">
        <v>2020</v>
      </c>
      <c r="B793">
        <v>10</v>
      </c>
      <c r="C793" t="s">
        <v>30</v>
      </c>
      <c r="D793" t="s">
        <v>15</v>
      </c>
      <c r="E793" t="s">
        <v>20</v>
      </c>
      <c r="F793" t="s">
        <v>27</v>
      </c>
      <c r="G793">
        <v>53300</v>
      </c>
      <c r="H793">
        <v>277467</v>
      </c>
      <c r="I793">
        <v>298</v>
      </c>
      <c r="J793">
        <v>0.97</v>
      </c>
      <c r="K793">
        <v>6.29</v>
      </c>
      <c r="L793">
        <v>1.2</v>
      </c>
      <c r="M793">
        <v>7</v>
      </c>
      <c r="N793">
        <v>782</v>
      </c>
    </row>
    <row r="794" spans="1:14" x14ac:dyDescent="0.35">
      <c r="A794">
        <v>2017</v>
      </c>
      <c r="B794">
        <v>11</v>
      </c>
      <c r="C794" t="s">
        <v>30</v>
      </c>
      <c r="D794" t="s">
        <v>34</v>
      </c>
      <c r="E794" t="s">
        <v>20</v>
      </c>
      <c r="F794" t="s">
        <v>20</v>
      </c>
      <c r="G794">
        <v>99384</v>
      </c>
      <c r="H794">
        <v>196025</v>
      </c>
      <c r="I794">
        <v>162</v>
      </c>
      <c r="J794">
        <v>0.97</v>
      </c>
      <c r="K794">
        <v>6.29</v>
      </c>
      <c r="L794">
        <v>1.2</v>
      </c>
      <c r="M794">
        <v>10</v>
      </c>
      <c r="N794">
        <v>515</v>
      </c>
    </row>
    <row r="795" spans="1:14" x14ac:dyDescent="0.35">
      <c r="A795">
        <v>2017</v>
      </c>
      <c r="B795">
        <v>2</v>
      </c>
      <c r="C795" t="s">
        <v>21</v>
      </c>
      <c r="D795" t="s">
        <v>18</v>
      </c>
      <c r="E795" t="s">
        <v>16</v>
      </c>
      <c r="F795" t="s">
        <v>17</v>
      </c>
      <c r="G795">
        <v>95892</v>
      </c>
      <c r="H795">
        <v>285652</v>
      </c>
      <c r="I795">
        <v>286</v>
      </c>
      <c r="J795">
        <v>0.97</v>
      </c>
      <c r="K795">
        <v>6.29</v>
      </c>
      <c r="L795">
        <v>1.2</v>
      </c>
      <c r="M795">
        <v>2</v>
      </c>
      <c r="N795">
        <v>804</v>
      </c>
    </row>
    <row r="796" spans="1:14" x14ac:dyDescent="0.35">
      <c r="A796">
        <v>2023</v>
      </c>
      <c r="B796">
        <v>6</v>
      </c>
      <c r="C796" t="s">
        <v>38</v>
      </c>
      <c r="D796" t="s">
        <v>33</v>
      </c>
      <c r="E796" t="s">
        <v>16</v>
      </c>
      <c r="F796" t="s">
        <v>17</v>
      </c>
      <c r="G796">
        <v>70525</v>
      </c>
      <c r="H796">
        <v>481723</v>
      </c>
      <c r="I796">
        <v>288</v>
      </c>
      <c r="J796">
        <v>0.97</v>
      </c>
      <c r="K796">
        <v>6.29</v>
      </c>
      <c r="L796">
        <v>1.2</v>
      </c>
      <c r="M796">
        <v>10</v>
      </c>
      <c r="N796">
        <v>869</v>
      </c>
    </row>
    <row r="797" spans="1:14" x14ac:dyDescent="0.35">
      <c r="A797">
        <v>2021</v>
      </c>
      <c r="B797">
        <v>12</v>
      </c>
      <c r="C797" t="s">
        <v>32</v>
      </c>
      <c r="D797" t="s">
        <v>34</v>
      </c>
      <c r="E797" t="s">
        <v>20</v>
      </c>
      <c r="F797" t="s">
        <v>20</v>
      </c>
      <c r="G797">
        <v>61532</v>
      </c>
      <c r="H797">
        <v>405113</v>
      </c>
      <c r="I797">
        <v>66</v>
      </c>
      <c r="J797">
        <v>0.97</v>
      </c>
      <c r="K797">
        <v>6.29</v>
      </c>
      <c r="L797">
        <v>1.2</v>
      </c>
      <c r="M797">
        <v>6</v>
      </c>
      <c r="N797">
        <v>201</v>
      </c>
    </row>
    <row r="798" spans="1:14" x14ac:dyDescent="0.35">
      <c r="A798">
        <v>2019</v>
      </c>
      <c r="B798">
        <v>7</v>
      </c>
      <c r="C798" t="s">
        <v>28</v>
      </c>
      <c r="D798" t="s">
        <v>33</v>
      </c>
      <c r="E798" t="s">
        <v>20</v>
      </c>
      <c r="F798" t="s">
        <v>17</v>
      </c>
      <c r="G798">
        <v>41464</v>
      </c>
      <c r="H798">
        <v>141493</v>
      </c>
      <c r="I798">
        <v>195</v>
      </c>
      <c r="J798">
        <v>0.97</v>
      </c>
      <c r="K798">
        <v>6.29</v>
      </c>
      <c r="L798">
        <v>1.2</v>
      </c>
      <c r="M798">
        <v>6</v>
      </c>
      <c r="N798">
        <v>524</v>
      </c>
    </row>
    <row r="799" spans="1:14" x14ac:dyDescent="0.35">
      <c r="A799">
        <v>2024</v>
      </c>
      <c r="B799">
        <v>12</v>
      </c>
      <c r="C799" t="s">
        <v>35</v>
      </c>
      <c r="D799" t="s">
        <v>39</v>
      </c>
      <c r="E799" t="s">
        <v>20</v>
      </c>
      <c r="F799" t="s">
        <v>27</v>
      </c>
      <c r="G799">
        <v>51562</v>
      </c>
      <c r="H799">
        <v>318667</v>
      </c>
      <c r="I799">
        <v>102</v>
      </c>
      <c r="J799">
        <v>0.97</v>
      </c>
      <c r="K799">
        <v>6.29</v>
      </c>
      <c r="L799">
        <v>1.2</v>
      </c>
      <c r="M799">
        <v>2</v>
      </c>
      <c r="N799">
        <v>476</v>
      </c>
    </row>
    <row r="800" spans="1:14" x14ac:dyDescent="0.35">
      <c r="A800">
        <v>2021</v>
      </c>
      <c r="B800">
        <v>9</v>
      </c>
      <c r="C800" t="s">
        <v>28</v>
      </c>
      <c r="D800" t="s">
        <v>33</v>
      </c>
      <c r="E800" t="s">
        <v>16</v>
      </c>
      <c r="F800" t="s">
        <v>27</v>
      </c>
      <c r="G800">
        <v>90514</v>
      </c>
      <c r="H800">
        <v>267995</v>
      </c>
      <c r="I800">
        <v>285</v>
      </c>
      <c r="J800">
        <v>0.97</v>
      </c>
      <c r="K800">
        <v>6.29</v>
      </c>
      <c r="L800">
        <v>1.2</v>
      </c>
      <c r="M800">
        <v>2</v>
      </c>
      <c r="N800">
        <v>884</v>
      </c>
    </row>
    <row r="801" spans="1:14" x14ac:dyDescent="0.35">
      <c r="A801">
        <v>2023</v>
      </c>
      <c r="B801">
        <v>3</v>
      </c>
      <c r="C801" t="s">
        <v>28</v>
      </c>
      <c r="D801" t="s">
        <v>33</v>
      </c>
      <c r="E801" t="s">
        <v>16</v>
      </c>
      <c r="F801" t="s">
        <v>23</v>
      </c>
      <c r="G801">
        <v>109219</v>
      </c>
      <c r="H801">
        <v>238262</v>
      </c>
      <c r="I801">
        <v>167</v>
      </c>
      <c r="J801">
        <v>0.97</v>
      </c>
      <c r="K801">
        <v>6.29</v>
      </c>
      <c r="L801">
        <v>1.2</v>
      </c>
      <c r="M801">
        <v>2</v>
      </c>
      <c r="N801">
        <v>430</v>
      </c>
    </row>
    <row r="802" spans="1:14" x14ac:dyDescent="0.35">
      <c r="A802">
        <v>2015</v>
      </c>
      <c r="B802">
        <v>10</v>
      </c>
      <c r="C802" t="s">
        <v>37</v>
      </c>
      <c r="D802" t="s">
        <v>29</v>
      </c>
      <c r="E802" t="s">
        <v>19</v>
      </c>
      <c r="F802" t="s">
        <v>17</v>
      </c>
      <c r="G802">
        <v>67634</v>
      </c>
      <c r="H802">
        <v>490977</v>
      </c>
      <c r="I802">
        <v>284</v>
      </c>
      <c r="J802">
        <v>0.97</v>
      </c>
      <c r="K802">
        <v>6.29</v>
      </c>
      <c r="L802">
        <v>1.2</v>
      </c>
      <c r="M802">
        <v>10</v>
      </c>
      <c r="N802">
        <v>849</v>
      </c>
    </row>
    <row r="803" spans="1:14" x14ac:dyDescent="0.35">
      <c r="A803">
        <v>2021</v>
      </c>
      <c r="B803">
        <v>3</v>
      </c>
      <c r="C803" t="s">
        <v>14</v>
      </c>
      <c r="D803" t="s">
        <v>29</v>
      </c>
      <c r="E803" t="s">
        <v>16</v>
      </c>
      <c r="F803" t="s">
        <v>27</v>
      </c>
      <c r="G803">
        <v>35060</v>
      </c>
      <c r="H803">
        <v>343313</v>
      </c>
      <c r="I803">
        <v>190</v>
      </c>
      <c r="J803">
        <v>0.97</v>
      </c>
      <c r="K803">
        <v>6.29</v>
      </c>
      <c r="L803">
        <v>1.2</v>
      </c>
      <c r="M803">
        <v>1</v>
      </c>
      <c r="N803">
        <v>469</v>
      </c>
    </row>
    <row r="804" spans="1:14" x14ac:dyDescent="0.35">
      <c r="A804">
        <v>2020</v>
      </c>
      <c r="B804">
        <v>7</v>
      </c>
      <c r="C804" t="s">
        <v>14</v>
      </c>
      <c r="D804" t="s">
        <v>29</v>
      </c>
      <c r="E804" t="s">
        <v>16</v>
      </c>
      <c r="F804" t="s">
        <v>20</v>
      </c>
      <c r="G804">
        <v>44269</v>
      </c>
      <c r="H804">
        <v>95641</v>
      </c>
      <c r="I804">
        <v>368</v>
      </c>
      <c r="J804">
        <v>0.97</v>
      </c>
      <c r="K804">
        <v>6.29</v>
      </c>
      <c r="L804">
        <v>1.2</v>
      </c>
      <c r="M804">
        <v>5</v>
      </c>
      <c r="N804">
        <v>994</v>
      </c>
    </row>
    <row r="805" spans="1:14" x14ac:dyDescent="0.35">
      <c r="A805">
        <v>2024</v>
      </c>
      <c r="B805">
        <v>4</v>
      </c>
      <c r="C805" t="s">
        <v>32</v>
      </c>
      <c r="D805" t="s">
        <v>39</v>
      </c>
      <c r="E805" t="s">
        <v>16</v>
      </c>
      <c r="F805" t="s">
        <v>17</v>
      </c>
      <c r="G805">
        <v>98143</v>
      </c>
      <c r="H805">
        <v>204062</v>
      </c>
      <c r="I805">
        <v>86</v>
      </c>
      <c r="J805">
        <v>0.97</v>
      </c>
      <c r="K805">
        <v>6.29</v>
      </c>
      <c r="L805">
        <v>1.2</v>
      </c>
      <c r="M805">
        <v>8</v>
      </c>
      <c r="N805">
        <v>468</v>
      </c>
    </row>
    <row r="806" spans="1:14" x14ac:dyDescent="0.35">
      <c r="A806">
        <v>2023</v>
      </c>
      <c r="B806">
        <v>8</v>
      </c>
      <c r="C806" t="s">
        <v>37</v>
      </c>
      <c r="D806" t="s">
        <v>18</v>
      </c>
      <c r="E806" t="s">
        <v>20</v>
      </c>
      <c r="F806" t="s">
        <v>27</v>
      </c>
      <c r="G806">
        <v>58065</v>
      </c>
      <c r="H806">
        <v>79661</v>
      </c>
      <c r="I806">
        <v>160</v>
      </c>
      <c r="J806">
        <v>0.97</v>
      </c>
      <c r="K806">
        <v>6.29</v>
      </c>
      <c r="L806">
        <v>1.2</v>
      </c>
      <c r="M806">
        <v>2</v>
      </c>
      <c r="N806">
        <v>786</v>
      </c>
    </row>
    <row r="807" spans="1:14" x14ac:dyDescent="0.35">
      <c r="A807">
        <v>2015</v>
      </c>
      <c r="B807">
        <v>7</v>
      </c>
      <c r="C807" t="s">
        <v>28</v>
      </c>
      <c r="D807" t="s">
        <v>34</v>
      </c>
      <c r="E807" t="s">
        <v>16</v>
      </c>
      <c r="F807" t="s">
        <v>17</v>
      </c>
      <c r="G807">
        <v>37895</v>
      </c>
      <c r="H807">
        <v>194491</v>
      </c>
      <c r="I807">
        <v>247</v>
      </c>
      <c r="J807">
        <v>0.97</v>
      </c>
      <c r="K807">
        <v>6.29</v>
      </c>
      <c r="L807">
        <v>1.2</v>
      </c>
      <c r="M807">
        <v>5</v>
      </c>
      <c r="N807">
        <v>762</v>
      </c>
    </row>
    <row r="808" spans="1:14" x14ac:dyDescent="0.35">
      <c r="A808">
        <v>2018</v>
      </c>
      <c r="B808">
        <v>5</v>
      </c>
      <c r="C808" t="s">
        <v>25</v>
      </c>
      <c r="D808" t="s">
        <v>34</v>
      </c>
      <c r="E808" t="s">
        <v>20</v>
      </c>
      <c r="F808" t="s">
        <v>20</v>
      </c>
      <c r="G808">
        <v>115859</v>
      </c>
      <c r="H808">
        <v>326601</v>
      </c>
      <c r="I808">
        <v>298</v>
      </c>
      <c r="J808">
        <v>0.97</v>
      </c>
      <c r="K808">
        <v>6.29</v>
      </c>
      <c r="L808">
        <v>1.2</v>
      </c>
      <c r="M808">
        <v>8</v>
      </c>
      <c r="N808">
        <v>640</v>
      </c>
    </row>
    <row r="809" spans="1:14" x14ac:dyDescent="0.35">
      <c r="A809">
        <v>2023</v>
      </c>
      <c r="B809">
        <v>7</v>
      </c>
      <c r="C809" t="s">
        <v>14</v>
      </c>
      <c r="D809" t="s">
        <v>15</v>
      </c>
      <c r="E809" t="s">
        <v>19</v>
      </c>
      <c r="F809" t="s">
        <v>27</v>
      </c>
      <c r="G809">
        <v>47352</v>
      </c>
      <c r="H809">
        <v>379744</v>
      </c>
      <c r="I809">
        <v>240</v>
      </c>
      <c r="J809">
        <v>0.97</v>
      </c>
      <c r="K809">
        <v>6.29</v>
      </c>
      <c r="L809">
        <v>1.2</v>
      </c>
      <c r="M809">
        <v>10</v>
      </c>
      <c r="N809">
        <v>640</v>
      </c>
    </row>
    <row r="810" spans="1:14" x14ac:dyDescent="0.35">
      <c r="A810">
        <v>2018</v>
      </c>
      <c r="B810">
        <v>3</v>
      </c>
      <c r="C810" t="s">
        <v>35</v>
      </c>
      <c r="D810" t="s">
        <v>29</v>
      </c>
      <c r="E810" t="s">
        <v>19</v>
      </c>
      <c r="F810" t="s">
        <v>23</v>
      </c>
      <c r="G810">
        <v>84737</v>
      </c>
      <c r="H810">
        <v>153619</v>
      </c>
      <c r="I810">
        <v>27</v>
      </c>
      <c r="J810">
        <v>0.97</v>
      </c>
      <c r="K810">
        <v>6.29</v>
      </c>
      <c r="L810">
        <v>1.2</v>
      </c>
      <c r="M810">
        <v>5</v>
      </c>
      <c r="N810">
        <v>224</v>
      </c>
    </row>
    <row r="811" spans="1:14" x14ac:dyDescent="0.35">
      <c r="A811">
        <v>2024</v>
      </c>
      <c r="B811">
        <v>12</v>
      </c>
      <c r="C811" t="s">
        <v>35</v>
      </c>
      <c r="D811" t="s">
        <v>39</v>
      </c>
      <c r="E811" t="s">
        <v>20</v>
      </c>
      <c r="F811" t="s">
        <v>23</v>
      </c>
      <c r="G811">
        <v>67016</v>
      </c>
      <c r="H811">
        <v>388246</v>
      </c>
      <c r="I811">
        <v>82</v>
      </c>
      <c r="J811">
        <v>0.97</v>
      </c>
      <c r="K811">
        <v>6.29</v>
      </c>
      <c r="L811">
        <v>1.2</v>
      </c>
      <c r="M811">
        <v>2</v>
      </c>
      <c r="N811">
        <v>641</v>
      </c>
    </row>
    <row r="812" spans="1:14" x14ac:dyDescent="0.35">
      <c r="A812">
        <v>2017</v>
      </c>
      <c r="B812">
        <v>2</v>
      </c>
      <c r="C812" t="s">
        <v>21</v>
      </c>
      <c r="D812" t="s">
        <v>15</v>
      </c>
      <c r="E812" t="s">
        <v>20</v>
      </c>
      <c r="F812" t="s">
        <v>17</v>
      </c>
      <c r="G812">
        <v>96304</v>
      </c>
      <c r="H812">
        <v>83085</v>
      </c>
      <c r="I812">
        <v>198</v>
      </c>
      <c r="J812">
        <v>0.97</v>
      </c>
      <c r="K812">
        <v>6.29</v>
      </c>
      <c r="L812">
        <v>1.2</v>
      </c>
      <c r="M812">
        <v>3</v>
      </c>
      <c r="N812">
        <v>668</v>
      </c>
    </row>
    <row r="813" spans="1:14" x14ac:dyDescent="0.35">
      <c r="A813">
        <v>2023</v>
      </c>
      <c r="B813">
        <v>6</v>
      </c>
      <c r="C813" t="s">
        <v>36</v>
      </c>
      <c r="D813" t="s">
        <v>22</v>
      </c>
      <c r="E813" t="s">
        <v>20</v>
      </c>
      <c r="F813" t="s">
        <v>20</v>
      </c>
      <c r="G813">
        <v>46962</v>
      </c>
      <c r="H813">
        <v>147064</v>
      </c>
      <c r="I813">
        <v>26</v>
      </c>
      <c r="J813">
        <v>0.97</v>
      </c>
      <c r="K813">
        <v>6.29</v>
      </c>
      <c r="L813">
        <v>1.2</v>
      </c>
      <c r="M813">
        <v>6</v>
      </c>
      <c r="N813">
        <v>396</v>
      </c>
    </row>
    <row r="814" spans="1:14" x14ac:dyDescent="0.35">
      <c r="A814">
        <v>2016</v>
      </c>
      <c r="B814">
        <v>2</v>
      </c>
      <c r="C814" t="s">
        <v>25</v>
      </c>
      <c r="D814" t="s">
        <v>15</v>
      </c>
      <c r="E814" t="s">
        <v>16</v>
      </c>
      <c r="F814" t="s">
        <v>27</v>
      </c>
      <c r="G814">
        <v>68302</v>
      </c>
      <c r="H814">
        <v>231726</v>
      </c>
      <c r="I814">
        <v>28</v>
      </c>
      <c r="J814">
        <v>0.97</v>
      </c>
      <c r="K814">
        <v>6.29</v>
      </c>
      <c r="L814">
        <v>1.2</v>
      </c>
      <c r="M814">
        <v>5</v>
      </c>
      <c r="N814">
        <v>438</v>
      </c>
    </row>
    <row r="815" spans="1:14" x14ac:dyDescent="0.35">
      <c r="A815">
        <v>2018</v>
      </c>
      <c r="B815">
        <v>3</v>
      </c>
      <c r="C815" t="s">
        <v>14</v>
      </c>
      <c r="D815" t="s">
        <v>18</v>
      </c>
      <c r="E815" t="s">
        <v>19</v>
      </c>
      <c r="F815" t="s">
        <v>20</v>
      </c>
      <c r="G815">
        <v>39011</v>
      </c>
      <c r="H815">
        <v>449346</v>
      </c>
      <c r="I815">
        <v>228</v>
      </c>
      <c r="J815">
        <v>0.97</v>
      </c>
      <c r="K815">
        <v>6.29</v>
      </c>
      <c r="L815">
        <v>1.2</v>
      </c>
      <c r="M815">
        <v>4</v>
      </c>
      <c r="N815">
        <v>951</v>
      </c>
    </row>
    <row r="816" spans="1:14" x14ac:dyDescent="0.35">
      <c r="A816">
        <v>2020</v>
      </c>
      <c r="B816">
        <v>6</v>
      </c>
      <c r="C816" t="s">
        <v>30</v>
      </c>
      <c r="D816" t="s">
        <v>24</v>
      </c>
      <c r="E816" t="s">
        <v>20</v>
      </c>
      <c r="F816" t="s">
        <v>27</v>
      </c>
      <c r="G816">
        <v>54782</v>
      </c>
      <c r="H816">
        <v>155723</v>
      </c>
      <c r="I816">
        <v>335</v>
      </c>
      <c r="J816">
        <v>0.97</v>
      </c>
      <c r="K816">
        <v>6.29</v>
      </c>
      <c r="L816">
        <v>1.2</v>
      </c>
      <c r="M816">
        <v>4</v>
      </c>
      <c r="N816">
        <v>1066</v>
      </c>
    </row>
    <row r="817" spans="1:14" x14ac:dyDescent="0.35">
      <c r="A817">
        <v>2016</v>
      </c>
      <c r="B817">
        <v>5</v>
      </c>
      <c r="C817" t="s">
        <v>14</v>
      </c>
      <c r="D817" t="s">
        <v>33</v>
      </c>
      <c r="E817" t="s">
        <v>16</v>
      </c>
      <c r="F817" t="s">
        <v>17</v>
      </c>
      <c r="G817">
        <v>102691</v>
      </c>
      <c r="H817">
        <v>183114</v>
      </c>
      <c r="I817">
        <v>129</v>
      </c>
      <c r="J817">
        <v>0.97</v>
      </c>
      <c r="K817">
        <v>6.29</v>
      </c>
      <c r="L817">
        <v>1.2</v>
      </c>
      <c r="M817">
        <v>5</v>
      </c>
      <c r="N817">
        <v>390</v>
      </c>
    </row>
    <row r="818" spans="1:14" x14ac:dyDescent="0.35">
      <c r="A818">
        <v>2022</v>
      </c>
      <c r="B818">
        <v>8</v>
      </c>
      <c r="C818" t="s">
        <v>21</v>
      </c>
      <c r="D818" t="s">
        <v>29</v>
      </c>
      <c r="E818" t="s">
        <v>19</v>
      </c>
      <c r="F818" t="s">
        <v>27</v>
      </c>
      <c r="G818">
        <v>74725</v>
      </c>
      <c r="H818">
        <v>382278</v>
      </c>
      <c r="I818">
        <v>110</v>
      </c>
      <c r="J818">
        <v>0.97</v>
      </c>
      <c r="K818">
        <v>6.29</v>
      </c>
      <c r="L818">
        <v>1.2</v>
      </c>
      <c r="M818">
        <v>2</v>
      </c>
      <c r="N818">
        <v>303</v>
      </c>
    </row>
    <row r="819" spans="1:14" x14ac:dyDescent="0.35">
      <c r="A819">
        <v>2022</v>
      </c>
      <c r="B819">
        <v>9</v>
      </c>
      <c r="C819" t="s">
        <v>35</v>
      </c>
      <c r="D819" t="s">
        <v>24</v>
      </c>
      <c r="E819" t="s">
        <v>16</v>
      </c>
      <c r="F819" t="s">
        <v>20</v>
      </c>
      <c r="G819">
        <v>44196</v>
      </c>
      <c r="H819">
        <v>355126</v>
      </c>
      <c r="I819">
        <v>43</v>
      </c>
      <c r="J819">
        <v>0.97</v>
      </c>
      <c r="K819">
        <v>6.29</v>
      </c>
      <c r="L819">
        <v>1.2</v>
      </c>
      <c r="M819">
        <v>9</v>
      </c>
      <c r="N819">
        <v>247</v>
      </c>
    </row>
    <row r="820" spans="1:14" x14ac:dyDescent="0.35">
      <c r="A820">
        <v>2015</v>
      </c>
      <c r="B820">
        <v>11</v>
      </c>
      <c r="C820" t="s">
        <v>28</v>
      </c>
      <c r="D820" t="s">
        <v>15</v>
      </c>
      <c r="E820" t="s">
        <v>19</v>
      </c>
      <c r="F820" t="s">
        <v>20</v>
      </c>
      <c r="G820">
        <v>78459</v>
      </c>
      <c r="H820">
        <v>377329</v>
      </c>
      <c r="I820">
        <v>93</v>
      </c>
      <c r="J820">
        <v>0.97</v>
      </c>
      <c r="K820">
        <v>6.29</v>
      </c>
      <c r="L820">
        <v>1.2</v>
      </c>
      <c r="M820">
        <v>2</v>
      </c>
      <c r="N820">
        <v>576</v>
      </c>
    </row>
    <row r="821" spans="1:14" x14ac:dyDescent="0.35">
      <c r="A821">
        <v>2017</v>
      </c>
      <c r="B821">
        <v>3</v>
      </c>
      <c r="C821" t="s">
        <v>30</v>
      </c>
      <c r="D821" t="s">
        <v>39</v>
      </c>
      <c r="E821" t="s">
        <v>16</v>
      </c>
      <c r="F821" t="s">
        <v>17</v>
      </c>
      <c r="G821">
        <v>113863</v>
      </c>
      <c r="H821">
        <v>83477</v>
      </c>
      <c r="I821">
        <v>205</v>
      </c>
      <c r="J821">
        <v>0.97</v>
      </c>
      <c r="K821">
        <v>6.29</v>
      </c>
      <c r="L821">
        <v>1.2</v>
      </c>
      <c r="M821">
        <v>10</v>
      </c>
      <c r="N821">
        <v>693</v>
      </c>
    </row>
    <row r="822" spans="1:14" x14ac:dyDescent="0.35">
      <c r="A822">
        <v>2024</v>
      </c>
      <c r="B822">
        <v>12</v>
      </c>
      <c r="C822" t="s">
        <v>37</v>
      </c>
      <c r="D822" t="s">
        <v>33</v>
      </c>
      <c r="E822" t="s">
        <v>19</v>
      </c>
      <c r="F822" t="s">
        <v>20</v>
      </c>
      <c r="G822">
        <v>67769</v>
      </c>
      <c r="H822">
        <v>164161</v>
      </c>
      <c r="I822">
        <v>339</v>
      </c>
      <c r="J822">
        <v>0.97</v>
      </c>
      <c r="K822">
        <v>6.29</v>
      </c>
      <c r="L822">
        <v>1.2</v>
      </c>
      <c r="M822">
        <v>2</v>
      </c>
      <c r="N822">
        <v>1095</v>
      </c>
    </row>
    <row r="823" spans="1:14" x14ac:dyDescent="0.35">
      <c r="A823">
        <v>2023</v>
      </c>
      <c r="B823">
        <v>10</v>
      </c>
      <c r="C823" t="s">
        <v>38</v>
      </c>
      <c r="D823" t="s">
        <v>34</v>
      </c>
      <c r="E823" t="s">
        <v>19</v>
      </c>
      <c r="F823" t="s">
        <v>27</v>
      </c>
      <c r="G823">
        <v>59700</v>
      </c>
      <c r="H823">
        <v>364853</v>
      </c>
      <c r="I823">
        <v>211</v>
      </c>
      <c r="J823">
        <v>0.97</v>
      </c>
      <c r="K823">
        <v>6.29</v>
      </c>
      <c r="L823">
        <v>1.2</v>
      </c>
      <c r="M823">
        <v>10</v>
      </c>
      <c r="N823">
        <v>482</v>
      </c>
    </row>
    <row r="824" spans="1:14" x14ac:dyDescent="0.35">
      <c r="A824">
        <v>2019</v>
      </c>
      <c r="B824">
        <v>3</v>
      </c>
      <c r="C824" t="s">
        <v>28</v>
      </c>
      <c r="D824" t="s">
        <v>31</v>
      </c>
      <c r="E824" t="s">
        <v>16</v>
      </c>
      <c r="F824" t="s">
        <v>17</v>
      </c>
      <c r="G824">
        <v>115356</v>
      </c>
      <c r="H824">
        <v>209788</v>
      </c>
      <c r="I824">
        <v>353</v>
      </c>
      <c r="J824">
        <v>0.97</v>
      </c>
      <c r="K824">
        <v>6.29</v>
      </c>
      <c r="L824">
        <v>1.2</v>
      </c>
      <c r="M824">
        <v>9</v>
      </c>
      <c r="N824">
        <v>980</v>
      </c>
    </row>
    <row r="825" spans="1:14" x14ac:dyDescent="0.35">
      <c r="A825">
        <v>2020</v>
      </c>
      <c r="B825">
        <v>3</v>
      </c>
      <c r="C825" t="s">
        <v>38</v>
      </c>
      <c r="D825" t="s">
        <v>33</v>
      </c>
      <c r="E825" t="s">
        <v>20</v>
      </c>
      <c r="F825" t="s">
        <v>27</v>
      </c>
      <c r="G825">
        <v>111427</v>
      </c>
      <c r="H825">
        <v>390281</v>
      </c>
      <c r="I825">
        <v>350</v>
      </c>
      <c r="J825">
        <v>0.97</v>
      </c>
      <c r="K825">
        <v>6.29</v>
      </c>
      <c r="L825">
        <v>1.2</v>
      </c>
      <c r="M825">
        <v>3</v>
      </c>
      <c r="N825">
        <v>1075</v>
      </c>
    </row>
    <row r="826" spans="1:14" x14ac:dyDescent="0.35">
      <c r="A826">
        <v>2018</v>
      </c>
      <c r="B826">
        <v>6</v>
      </c>
      <c r="C826" t="s">
        <v>25</v>
      </c>
      <c r="D826" t="s">
        <v>18</v>
      </c>
      <c r="E826" t="s">
        <v>19</v>
      </c>
      <c r="F826" t="s">
        <v>20</v>
      </c>
      <c r="G826">
        <v>40269</v>
      </c>
      <c r="H826">
        <v>348162</v>
      </c>
      <c r="I826">
        <v>20</v>
      </c>
      <c r="J826">
        <v>0.97</v>
      </c>
      <c r="K826">
        <v>6.29</v>
      </c>
      <c r="L826">
        <v>1.2</v>
      </c>
      <c r="M826">
        <v>10</v>
      </c>
      <c r="N826">
        <v>476</v>
      </c>
    </row>
    <row r="827" spans="1:14" x14ac:dyDescent="0.35">
      <c r="A827">
        <v>2024</v>
      </c>
      <c r="B827">
        <v>1</v>
      </c>
      <c r="C827" t="s">
        <v>36</v>
      </c>
      <c r="D827" t="s">
        <v>18</v>
      </c>
      <c r="E827" t="s">
        <v>20</v>
      </c>
      <c r="F827" t="s">
        <v>17</v>
      </c>
      <c r="G827">
        <v>78880</v>
      </c>
      <c r="H827">
        <v>189133</v>
      </c>
      <c r="I827">
        <v>356</v>
      </c>
      <c r="J827">
        <v>0.97</v>
      </c>
      <c r="K827">
        <v>6.29</v>
      </c>
      <c r="L827">
        <v>1.2</v>
      </c>
      <c r="M827">
        <v>7</v>
      </c>
      <c r="N827">
        <v>1122</v>
      </c>
    </row>
    <row r="828" spans="1:14" x14ac:dyDescent="0.35">
      <c r="A828">
        <v>2016</v>
      </c>
      <c r="B828">
        <v>7</v>
      </c>
      <c r="C828" t="s">
        <v>30</v>
      </c>
      <c r="D828" t="s">
        <v>15</v>
      </c>
      <c r="E828" t="s">
        <v>16</v>
      </c>
      <c r="F828" t="s">
        <v>27</v>
      </c>
      <c r="G828">
        <v>43320</v>
      </c>
      <c r="H828">
        <v>189681</v>
      </c>
      <c r="I828">
        <v>227</v>
      </c>
      <c r="J828">
        <v>0.97</v>
      </c>
      <c r="K828">
        <v>6.29</v>
      </c>
      <c r="L828">
        <v>1.2</v>
      </c>
      <c r="M828">
        <v>4</v>
      </c>
      <c r="N828">
        <v>641</v>
      </c>
    </row>
    <row r="829" spans="1:14" x14ac:dyDescent="0.35">
      <c r="A829">
        <v>2022</v>
      </c>
      <c r="B829">
        <v>12</v>
      </c>
      <c r="C829" t="s">
        <v>32</v>
      </c>
      <c r="D829" t="s">
        <v>22</v>
      </c>
      <c r="E829" t="s">
        <v>20</v>
      </c>
      <c r="F829" t="s">
        <v>20</v>
      </c>
      <c r="G829">
        <v>84589</v>
      </c>
      <c r="H829">
        <v>347515</v>
      </c>
      <c r="I829">
        <v>262</v>
      </c>
      <c r="J829">
        <v>0.97</v>
      </c>
      <c r="K829">
        <v>6.29</v>
      </c>
      <c r="L829">
        <v>1.2</v>
      </c>
      <c r="M829">
        <v>6</v>
      </c>
      <c r="N829">
        <v>820</v>
      </c>
    </row>
    <row r="830" spans="1:14" x14ac:dyDescent="0.35">
      <c r="A830">
        <v>2020</v>
      </c>
      <c r="B830">
        <v>1</v>
      </c>
      <c r="C830" t="s">
        <v>30</v>
      </c>
      <c r="D830" t="s">
        <v>18</v>
      </c>
      <c r="E830" t="s">
        <v>20</v>
      </c>
      <c r="F830" t="s">
        <v>20</v>
      </c>
      <c r="G830">
        <v>111276</v>
      </c>
      <c r="H830">
        <v>291422</v>
      </c>
      <c r="I830">
        <v>231</v>
      </c>
      <c r="J830">
        <v>0.97</v>
      </c>
      <c r="K830">
        <v>6.29</v>
      </c>
      <c r="L830">
        <v>1.2</v>
      </c>
      <c r="M830">
        <v>4</v>
      </c>
      <c r="N830">
        <v>789</v>
      </c>
    </row>
    <row r="831" spans="1:14" x14ac:dyDescent="0.35">
      <c r="A831">
        <v>2019</v>
      </c>
      <c r="B831">
        <v>5</v>
      </c>
      <c r="C831" t="s">
        <v>14</v>
      </c>
      <c r="D831" t="s">
        <v>18</v>
      </c>
      <c r="E831" t="s">
        <v>20</v>
      </c>
      <c r="F831" t="s">
        <v>23</v>
      </c>
      <c r="G831">
        <v>70897</v>
      </c>
      <c r="H831">
        <v>395165</v>
      </c>
      <c r="I831">
        <v>392</v>
      </c>
      <c r="J831">
        <v>0.97</v>
      </c>
      <c r="K831">
        <v>6.29</v>
      </c>
      <c r="L831">
        <v>1.2</v>
      </c>
      <c r="M831">
        <v>10</v>
      </c>
      <c r="N831">
        <v>985</v>
      </c>
    </row>
    <row r="832" spans="1:14" x14ac:dyDescent="0.35">
      <c r="A832">
        <v>2023</v>
      </c>
      <c r="B832">
        <v>10</v>
      </c>
      <c r="C832" t="s">
        <v>35</v>
      </c>
      <c r="D832" t="s">
        <v>39</v>
      </c>
      <c r="E832" t="s">
        <v>20</v>
      </c>
      <c r="F832" t="s">
        <v>20</v>
      </c>
      <c r="G832">
        <v>93565</v>
      </c>
      <c r="H832">
        <v>464021</v>
      </c>
      <c r="I832">
        <v>378</v>
      </c>
      <c r="J832">
        <v>0.97</v>
      </c>
      <c r="K832">
        <v>6.29</v>
      </c>
      <c r="L832">
        <v>1.2</v>
      </c>
      <c r="M832">
        <v>7</v>
      </c>
      <c r="N832">
        <v>928</v>
      </c>
    </row>
    <row r="833" spans="1:14" x14ac:dyDescent="0.35">
      <c r="A833">
        <v>2015</v>
      </c>
      <c r="B833">
        <v>8</v>
      </c>
      <c r="C833" t="s">
        <v>14</v>
      </c>
      <c r="D833" t="s">
        <v>15</v>
      </c>
      <c r="E833" t="s">
        <v>20</v>
      </c>
      <c r="F833" t="s">
        <v>27</v>
      </c>
      <c r="G833">
        <v>65930</v>
      </c>
      <c r="H833">
        <v>320001</v>
      </c>
      <c r="I833">
        <v>89</v>
      </c>
      <c r="J833">
        <v>0.97</v>
      </c>
      <c r="K833">
        <v>6.29</v>
      </c>
      <c r="L833">
        <v>1.2</v>
      </c>
      <c r="M833">
        <v>1</v>
      </c>
      <c r="N833">
        <v>301</v>
      </c>
    </row>
    <row r="834" spans="1:14" x14ac:dyDescent="0.35">
      <c r="A834">
        <v>2019</v>
      </c>
      <c r="B834">
        <v>4</v>
      </c>
      <c r="C834" t="s">
        <v>14</v>
      </c>
      <c r="D834" t="s">
        <v>33</v>
      </c>
      <c r="E834" t="s">
        <v>19</v>
      </c>
      <c r="F834" t="s">
        <v>17</v>
      </c>
      <c r="G834">
        <v>92233</v>
      </c>
      <c r="H834">
        <v>192692</v>
      </c>
      <c r="I834">
        <v>16</v>
      </c>
      <c r="J834">
        <v>0.97</v>
      </c>
      <c r="K834">
        <v>6.29</v>
      </c>
      <c r="L834">
        <v>1.2</v>
      </c>
      <c r="M834">
        <v>3</v>
      </c>
      <c r="N834">
        <v>70</v>
      </c>
    </row>
    <row r="835" spans="1:14" x14ac:dyDescent="0.35">
      <c r="A835">
        <v>2020</v>
      </c>
      <c r="B835">
        <v>5</v>
      </c>
      <c r="C835" t="s">
        <v>25</v>
      </c>
      <c r="D835" t="s">
        <v>22</v>
      </c>
      <c r="E835" t="s">
        <v>19</v>
      </c>
      <c r="F835" t="s">
        <v>23</v>
      </c>
      <c r="G835">
        <v>117821</v>
      </c>
      <c r="H835">
        <v>58177</v>
      </c>
      <c r="I835">
        <v>281</v>
      </c>
      <c r="J835">
        <v>0.97</v>
      </c>
      <c r="K835">
        <v>6.29</v>
      </c>
      <c r="L835">
        <v>1.2</v>
      </c>
      <c r="M835">
        <v>3</v>
      </c>
      <c r="N835">
        <v>654</v>
      </c>
    </row>
    <row r="836" spans="1:14" x14ac:dyDescent="0.35">
      <c r="A836">
        <v>2019</v>
      </c>
      <c r="B836">
        <v>4</v>
      </c>
      <c r="C836" t="s">
        <v>28</v>
      </c>
      <c r="D836" t="s">
        <v>24</v>
      </c>
      <c r="E836" t="s">
        <v>19</v>
      </c>
      <c r="F836" t="s">
        <v>20</v>
      </c>
      <c r="G836">
        <v>49380</v>
      </c>
      <c r="H836">
        <v>473327</v>
      </c>
      <c r="I836">
        <v>236</v>
      </c>
      <c r="J836">
        <v>0.97</v>
      </c>
      <c r="K836">
        <v>6.29</v>
      </c>
      <c r="L836">
        <v>1.2</v>
      </c>
      <c r="M836">
        <v>1</v>
      </c>
      <c r="N836">
        <v>584</v>
      </c>
    </row>
    <row r="837" spans="1:14" x14ac:dyDescent="0.35">
      <c r="A837">
        <v>2020</v>
      </c>
      <c r="B837">
        <v>12</v>
      </c>
      <c r="C837" t="s">
        <v>32</v>
      </c>
      <c r="D837" t="s">
        <v>31</v>
      </c>
      <c r="E837" t="s">
        <v>16</v>
      </c>
      <c r="F837" t="s">
        <v>20</v>
      </c>
      <c r="G837">
        <v>111896</v>
      </c>
      <c r="H837">
        <v>301842</v>
      </c>
      <c r="I837">
        <v>25</v>
      </c>
      <c r="J837">
        <v>0.97</v>
      </c>
      <c r="K837">
        <v>6.29</v>
      </c>
      <c r="L837">
        <v>1.2</v>
      </c>
      <c r="M837">
        <v>6</v>
      </c>
      <c r="N837">
        <v>396</v>
      </c>
    </row>
    <row r="838" spans="1:14" x14ac:dyDescent="0.35">
      <c r="A838">
        <v>2020</v>
      </c>
      <c r="B838">
        <v>12</v>
      </c>
      <c r="C838" t="s">
        <v>32</v>
      </c>
      <c r="D838" t="s">
        <v>29</v>
      </c>
      <c r="E838" t="s">
        <v>20</v>
      </c>
      <c r="F838" t="s">
        <v>20</v>
      </c>
      <c r="G838">
        <v>105934</v>
      </c>
      <c r="H838">
        <v>400722</v>
      </c>
      <c r="I838">
        <v>21</v>
      </c>
      <c r="J838">
        <v>0.97</v>
      </c>
      <c r="K838">
        <v>6.29</v>
      </c>
      <c r="L838">
        <v>1.2</v>
      </c>
      <c r="M838">
        <v>9</v>
      </c>
      <c r="N838">
        <v>238</v>
      </c>
    </row>
    <row r="839" spans="1:14" x14ac:dyDescent="0.35">
      <c r="A839">
        <v>2021</v>
      </c>
      <c r="B839">
        <v>4</v>
      </c>
      <c r="C839" t="s">
        <v>14</v>
      </c>
      <c r="D839" t="s">
        <v>34</v>
      </c>
      <c r="E839" t="s">
        <v>19</v>
      </c>
      <c r="F839" t="s">
        <v>27</v>
      </c>
      <c r="G839">
        <v>90830</v>
      </c>
      <c r="H839">
        <v>139941</v>
      </c>
      <c r="I839">
        <v>300</v>
      </c>
      <c r="J839">
        <v>0.97</v>
      </c>
      <c r="K839">
        <v>6.29</v>
      </c>
      <c r="L839">
        <v>1.2</v>
      </c>
      <c r="M839">
        <v>8</v>
      </c>
      <c r="N839">
        <v>629</v>
      </c>
    </row>
    <row r="840" spans="1:14" x14ac:dyDescent="0.35">
      <c r="A840">
        <v>2018</v>
      </c>
      <c r="B840">
        <v>12</v>
      </c>
      <c r="C840" t="s">
        <v>38</v>
      </c>
      <c r="D840" t="s">
        <v>18</v>
      </c>
      <c r="E840" t="s">
        <v>16</v>
      </c>
      <c r="F840" t="s">
        <v>23</v>
      </c>
      <c r="G840">
        <v>40529</v>
      </c>
      <c r="H840">
        <v>308121</v>
      </c>
      <c r="I840">
        <v>250</v>
      </c>
      <c r="J840">
        <v>0.97</v>
      </c>
      <c r="K840">
        <v>6.29</v>
      </c>
      <c r="L840">
        <v>1.2</v>
      </c>
      <c r="M840">
        <v>7</v>
      </c>
      <c r="N840">
        <v>662</v>
      </c>
    </row>
    <row r="841" spans="1:14" x14ac:dyDescent="0.35">
      <c r="A841">
        <v>2022</v>
      </c>
      <c r="B841">
        <v>8</v>
      </c>
      <c r="C841" t="s">
        <v>25</v>
      </c>
      <c r="D841" t="s">
        <v>15</v>
      </c>
      <c r="E841" t="s">
        <v>19</v>
      </c>
      <c r="F841" t="s">
        <v>27</v>
      </c>
      <c r="G841">
        <v>117987</v>
      </c>
      <c r="H841">
        <v>61826</v>
      </c>
      <c r="I841">
        <v>30</v>
      </c>
      <c r="J841">
        <v>0.97</v>
      </c>
      <c r="K841">
        <v>6.29</v>
      </c>
      <c r="L841">
        <v>1.2</v>
      </c>
      <c r="M841">
        <v>10</v>
      </c>
      <c r="N841">
        <v>80</v>
      </c>
    </row>
    <row r="842" spans="1:14" x14ac:dyDescent="0.35">
      <c r="A842">
        <v>2021</v>
      </c>
      <c r="B842">
        <v>2</v>
      </c>
      <c r="C842" t="s">
        <v>14</v>
      </c>
      <c r="D842" t="s">
        <v>29</v>
      </c>
      <c r="E842" t="s">
        <v>19</v>
      </c>
      <c r="F842" t="s">
        <v>23</v>
      </c>
      <c r="G842">
        <v>84178</v>
      </c>
      <c r="H842">
        <v>194962</v>
      </c>
      <c r="I842">
        <v>187</v>
      </c>
      <c r="J842">
        <v>0.97</v>
      </c>
      <c r="K842">
        <v>6.29</v>
      </c>
      <c r="L842">
        <v>1.2</v>
      </c>
      <c r="M842">
        <v>8</v>
      </c>
      <c r="N842">
        <v>401</v>
      </c>
    </row>
    <row r="843" spans="1:14" x14ac:dyDescent="0.35">
      <c r="A843">
        <v>2023</v>
      </c>
      <c r="B843">
        <v>1</v>
      </c>
      <c r="C843" t="s">
        <v>36</v>
      </c>
      <c r="D843" t="s">
        <v>34</v>
      </c>
      <c r="E843" t="s">
        <v>20</v>
      </c>
      <c r="F843" t="s">
        <v>17</v>
      </c>
      <c r="G843">
        <v>41937</v>
      </c>
      <c r="H843">
        <v>394572</v>
      </c>
      <c r="I843">
        <v>237</v>
      </c>
      <c r="J843">
        <v>0.97</v>
      </c>
      <c r="K843">
        <v>6.29</v>
      </c>
      <c r="L843">
        <v>1.2</v>
      </c>
      <c r="M843">
        <v>6</v>
      </c>
      <c r="N843">
        <v>588</v>
      </c>
    </row>
    <row r="844" spans="1:14" x14ac:dyDescent="0.35">
      <c r="A844">
        <v>2021</v>
      </c>
      <c r="B844">
        <v>3</v>
      </c>
      <c r="C844" t="s">
        <v>35</v>
      </c>
      <c r="D844" t="s">
        <v>34</v>
      </c>
      <c r="E844" t="s">
        <v>16</v>
      </c>
      <c r="F844" t="s">
        <v>27</v>
      </c>
      <c r="G844">
        <v>74886</v>
      </c>
      <c r="H844">
        <v>176044</v>
      </c>
      <c r="I844">
        <v>282</v>
      </c>
      <c r="J844">
        <v>0.97</v>
      </c>
      <c r="K844">
        <v>6.29</v>
      </c>
      <c r="L844">
        <v>1.2</v>
      </c>
      <c r="M844">
        <v>9</v>
      </c>
      <c r="N844">
        <v>935</v>
      </c>
    </row>
    <row r="845" spans="1:14" x14ac:dyDescent="0.35">
      <c r="A845">
        <v>2017</v>
      </c>
      <c r="B845">
        <v>9</v>
      </c>
      <c r="C845" t="s">
        <v>28</v>
      </c>
      <c r="D845" t="s">
        <v>24</v>
      </c>
      <c r="E845" t="s">
        <v>20</v>
      </c>
      <c r="F845" t="s">
        <v>27</v>
      </c>
      <c r="G845">
        <v>84699</v>
      </c>
      <c r="H845">
        <v>239103</v>
      </c>
      <c r="I845">
        <v>297</v>
      </c>
      <c r="J845">
        <v>0.97</v>
      </c>
      <c r="K845">
        <v>6.29</v>
      </c>
      <c r="L845">
        <v>1.2</v>
      </c>
      <c r="M845">
        <v>3</v>
      </c>
      <c r="N845">
        <v>796</v>
      </c>
    </row>
    <row r="846" spans="1:14" x14ac:dyDescent="0.35">
      <c r="A846">
        <v>2017</v>
      </c>
      <c r="B846">
        <v>4</v>
      </c>
      <c r="C846" t="s">
        <v>37</v>
      </c>
      <c r="D846" t="s">
        <v>24</v>
      </c>
      <c r="E846" t="s">
        <v>20</v>
      </c>
      <c r="F846" t="s">
        <v>17</v>
      </c>
      <c r="G846">
        <v>111396</v>
      </c>
      <c r="H846">
        <v>387164</v>
      </c>
      <c r="I846">
        <v>306</v>
      </c>
      <c r="J846">
        <v>0.97</v>
      </c>
      <c r="K846">
        <v>6.29</v>
      </c>
      <c r="L846">
        <v>1.2</v>
      </c>
      <c r="M846">
        <v>10</v>
      </c>
      <c r="N846">
        <v>964</v>
      </c>
    </row>
    <row r="847" spans="1:14" x14ac:dyDescent="0.35">
      <c r="A847">
        <v>2022</v>
      </c>
      <c r="B847">
        <v>10</v>
      </c>
      <c r="C847" t="s">
        <v>36</v>
      </c>
      <c r="D847" t="s">
        <v>24</v>
      </c>
      <c r="E847" t="s">
        <v>19</v>
      </c>
      <c r="F847" t="s">
        <v>23</v>
      </c>
      <c r="G847">
        <v>60279</v>
      </c>
      <c r="H847">
        <v>55495</v>
      </c>
      <c r="I847">
        <v>143</v>
      </c>
      <c r="J847">
        <v>0.97</v>
      </c>
      <c r="K847">
        <v>6.29</v>
      </c>
      <c r="L847">
        <v>1.2</v>
      </c>
      <c r="M847">
        <v>10</v>
      </c>
      <c r="N847">
        <v>312</v>
      </c>
    </row>
    <row r="848" spans="1:14" x14ac:dyDescent="0.35">
      <c r="A848">
        <v>2019</v>
      </c>
      <c r="B848">
        <v>5</v>
      </c>
      <c r="C848" t="s">
        <v>38</v>
      </c>
      <c r="D848" t="s">
        <v>26</v>
      </c>
      <c r="E848" t="s">
        <v>20</v>
      </c>
      <c r="F848" t="s">
        <v>20</v>
      </c>
      <c r="G848">
        <v>73106</v>
      </c>
      <c r="H848">
        <v>78481</v>
      </c>
      <c r="I848">
        <v>292</v>
      </c>
      <c r="J848">
        <v>0.97</v>
      </c>
      <c r="K848">
        <v>6.29</v>
      </c>
      <c r="L848">
        <v>1.2</v>
      </c>
      <c r="M848">
        <v>9</v>
      </c>
      <c r="N848">
        <v>977</v>
      </c>
    </row>
    <row r="849" spans="1:14" x14ac:dyDescent="0.35">
      <c r="A849">
        <v>2018</v>
      </c>
      <c r="B849">
        <v>2</v>
      </c>
      <c r="C849" t="s">
        <v>30</v>
      </c>
      <c r="D849" t="s">
        <v>26</v>
      </c>
      <c r="E849" t="s">
        <v>16</v>
      </c>
      <c r="F849" t="s">
        <v>17</v>
      </c>
      <c r="G849">
        <v>114737</v>
      </c>
      <c r="H849">
        <v>192339</v>
      </c>
      <c r="I849">
        <v>162</v>
      </c>
      <c r="J849">
        <v>0.97</v>
      </c>
      <c r="K849">
        <v>6.29</v>
      </c>
      <c r="L849">
        <v>1.2</v>
      </c>
      <c r="M849">
        <v>4</v>
      </c>
      <c r="N849">
        <v>747</v>
      </c>
    </row>
    <row r="850" spans="1:14" x14ac:dyDescent="0.35">
      <c r="A850">
        <v>2022</v>
      </c>
      <c r="B850">
        <v>4</v>
      </c>
      <c r="C850" t="s">
        <v>30</v>
      </c>
      <c r="D850" t="s">
        <v>34</v>
      </c>
      <c r="E850" t="s">
        <v>20</v>
      </c>
      <c r="F850" t="s">
        <v>20</v>
      </c>
      <c r="G850">
        <v>75544</v>
      </c>
      <c r="H850">
        <v>430041</v>
      </c>
      <c r="I850">
        <v>75</v>
      </c>
      <c r="J850">
        <v>0.97</v>
      </c>
      <c r="K850">
        <v>6.29</v>
      </c>
      <c r="L850">
        <v>1.2</v>
      </c>
      <c r="M850">
        <v>7</v>
      </c>
      <c r="N850">
        <v>581</v>
      </c>
    </row>
    <row r="851" spans="1:14" x14ac:dyDescent="0.35">
      <c r="A851">
        <v>2020</v>
      </c>
      <c r="B851">
        <v>2</v>
      </c>
      <c r="C851" t="s">
        <v>36</v>
      </c>
      <c r="D851" t="s">
        <v>24</v>
      </c>
      <c r="E851" t="s">
        <v>20</v>
      </c>
      <c r="F851" t="s">
        <v>20</v>
      </c>
      <c r="G851">
        <v>43997</v>
      </c>
      <c r="H851">
        <v>286774</v>
      </c>
      <c r="I851">
        <v>146</v>
      </c>
      <c r="J851">
        <v>0.97</v>
      </c>
      <c r="K851">
        <v>6.29</v>
      </c>
      <c r="L851">
        <v>1.2</v>
      </c>
      <c r="M851">
        <v>9</v>
      </c>
      <c r="N851">
        <v>389</v>
      </c>
    </row>
    <row r="852" spans="1:14" x14ac:dyDescent="0.35">
      <c r="A852">
        <v>2016</v>
      </c>
      <c r="B852">
        <v>2</v>
      </c>
      <c r="C852" t="s">
        <v>14</v>
      </c>
      <c r="D852" t="s">
        <v>39</v>
      </c>
      <c r="E852" t="s">
        <v>20</v>
      </c>
      <c r="F852" t="s">
        <v>17</v>
      </c>
      <c r="G852">
        <v>75860</v>
      </c>
      <c r="H852">
        <v>187815</v>
      </c>
      <c r="I852">
        <v>101</v>
      </c>
      <c r="J852">
        <v>0.97</v>
      </c>
      <c r="K852">
        <v>6.29</v>
      </c>
      <c r="L852">
        <v>1.2</v>
      </c>
      <c r="M852">
        <v>2</v>
      </c>
      <c r="N852">
        <v>330</v>
      </c>
    </row>
    <row r="853" spans="1:14" x14ac:dyDescent="0.35">
      <c r="A853">
        <v>2018</v>
      </c>
      <c r="B853">
        <v>4</v>
      </c>
      <c r="C853" t="s">
        <v>37</v>
      </c>
      <c r="D853" t="s">
        <v>18</v>
      </c>
      <c r="E853" t="s">
        <v>19</v>
      </c>
      <c r="F853" t="s">
        <v>23</v>
      </c>
      <c r="G853">
        <v>38225</v>
      </c>
      <c r="H853">
        <v>498016</v>
      </c>
      <c r="I853">
        <v>326</v>
      </c>
      <c r="J853">
        <v>0.97</v>
      </c>
      <c r="K853">
        <v>6.29</v>
      </c>
      <c r="L853">
        <v>1.2</v>
      </c>
      <c r="M853">
        <v>2</v>
      </c>
      <c r="N853">
        <v>1118</v>
      </c>
    </row>
    <row r="854" spans="1:14" x14ac:dyDescent="0.35">
      <c r="A854">
        <v>2018</v>
      </c>
      <c r="B854">
        <v>6</v>
      </c>
      <c r="C854" t="s">
        <v>21</v>
      </c>
      <c r="D854" t="s">
        <v>29</v>
      </c>
      <c r="E854" t="s">
        <v>16</v>
      </c>
      <c r="F854" t="s">
        <v>20</v>
      </c>
      <c r="G854">
        <v>94470</v>
      </c>
      <c r="H854">
        <v>153475</v>
      </c>
      <c r="I854">
        <v>268</v>
      </c>
      <c r="J854">
        <v>0.97</v>
      </c>
      <c r="K854">
        <v>6.29</v>
      </c>
      <c r="L854">
        <v>1.2</v>
      </c>
      <c r="M854">
        <v>9</v>
      </c>
      <c r="N854">
        <v>733</v>
      </c>
    </row>
    <row r="855" spans="1:14" x14ac:dyDescent="0.35">
      <c r="A855">
        <v>2020</v>
      </c>
      <c r="B855">
        <v>7</v>
      </c>
      <c r="C855" t="s">
        <v>21</v>
      </c>
      <c r="D855" t="s">
        <v>29</v>
      </c>
      <c r="E855" t="s">
        <v>19</v>
      </c>
      <c r="F855" t="s">
        <v>17</v>
      </c>
      <c r="G855">
        <v>98656</v>
      </c>
      <c r="H855">
        <v>229845</v>
      </c>
      <c r="I855">
        <v>112</v>
      </c>
      <c r="J855">
        <v>0.97</v>
      </c>
      <c r="K855">
        <v>6.29</v>
      </c>
      <c r="L855">
        <v>1.2</v>
      </c>
      <c r="M855">
        <v>3</v>
      </c>
      <c r="N855">
        <v>479</v>
      </c>
    </row>
    <row r="856" spans="1:14" x14ac:dyDescent="0.35">
      <c r="A856">
        <v>2020</v>
      </c>
      <c r="B856">
        <v>10</v>
      </c>
      <c r="C856" t="s">
        <v>38</v>
      </c>
      <c r="D856" t="s">
        <v>26</v>
      </c>
      <c r="E856" t="s">
        <v>19</v>
      </c>
      <c r="F856" t="s">
        <v>27</v>
      </c>
      <c r="G856">
        <v>86880</v>
      </c>
      <c r="H856">
        <v>369186</v>
      </c>
      <c r="I856">
        <v>64</v>
      </c>
      <c r="J856">
        <v>0.97</v>
      </c>
      <c r="K856">
        <v>6.29</v>
      </c>
      <c r="L856">
        <v>1.2</v>
      </c>
      <c r="M856">
        <v>9</v>
      </c>
      <c r="N856">
        <v>194</v>
      </c>
    </row>
    <row r="857" spans="1:14" x14ac:dyDescent="0.35">
      <c r="A857">
        <v>2015</v>
      </c>
      <c r="B857">
        <v>3</v>
      </c>
      <c r="C857" t="s">
        <v>14</v>
      </c>
      <c r="D857" t="s">
        <v>34</v>
      </c>
      <c r="E857" t="s">
        <v>19</v>
      </c>
      <c r="F857" t="s">
        <v>27</v>
      </c>
      <c r="G857">
        <v>96078</v>
      </c>
      <c r="H857">
        <v>99476</v>
      </c>
      <c r="I857">
        <v>266</v>
      </c>
      <c r="J857">
        <v>0.97</v>
      </c>
      <c r="K857">
        <v>6.29</v>
      </c>
      <c r="L857">
        <v>1.2</v>
      </c>
      <c r="M857">
        <v>5</v>
      </c>
      <c r="N857">
        <v>637</v>
      </c>
    </row>
    <row r="858" spans="1:14" x14ac:dyDescent="0.35">
      <c r="A858">
        <v>2022</v>
      </c>
      <c r="B858">
        <v>3</v>
      </c>
      <c r="C858" t="s">
        <v>32</v>
      </c>
      <c r="D858" t="s">
        <v>15</v>
      </c>
      <c r="E858" t="s">
        <v>19</v>
      </c>
      <c r="F858" t="s">
        <v>27</v>
      </c>
      <c r="G858">
        <v>111290</v>
      </c>
      <c r="H858">
        <v>273177</v>
      </c>
      <c r="I858">
        <v>110</v>
      </c>
      <c r="J858">
        <v>0.97</v>
      </c>
      <c r="K858">
        <v>6.29</v>
      </c>
      <c r="L858">
        <v>1.2</v>
      </c>
      <c r="M858">
        <v>6</v>
      </c>
      <c r="N858">
        <v>277</v>
      </c>
    </row>
    <row r="859" spans="1:14" x14ac:dyDescent="0.35">
      <c r="A859">
        <v>2020</v>
      </c>
      <c r="B859">
        <v>10</v>
      </c>
      <c r="C859" t="s">
        <v>32</v>
      </c>
      <c r="D859" t="s">
        <v>33</v>
      </c>
      <c r="E859" t="s">
        <v>19</v>
      </c>
      <c r="F859" t="s">
        <v>17</v>
      </c>
      <c r="G859">
        <v>91633</v>
      </c>
      <c r="H859">
        <v>340696</v>
      </c>
      <c r="I859">
        <v>207</v>
      </c>
      <c r="J859">
        <v>0.97</v>
      </c>
      <c r="K859">
        <v>6.29</v>
      </c>
      <c r="L859">
        <v>1.2</v>
      </c>
      <c r="M859">
        <v>2</v>
      </c>
      <c r="N859">
        <v>502</v>
      </c>
    </row>
    <row r="860" spans="1:14" x14ac:dyDescent="0.35">
      <c r="A860">
        <v>2017</v>
      </c>
      <c r="B860">
        <v>6</v>
      </c>
      <c r="C860" t="s">
        <v>28</v>
      </c>
      <c r="D860" t="s">
        <v>33</v>
      </c>
      <c r="E860" t="s">
        <v>16</v>
      </c>
      <c r="F860" t="s">
        <v>27</v>
      </c>
      <c r="G860">
        <v>61655</v>
      </c>
      <c r="H860">
        <v>246314</v>
      </c>
      <c r="I860">
        <v>310</v>
      </c>
      <c r="J860">
        <v>0.97</v>
      </c>
      <c r="K860">
        <v>6.29</v>
      </c>
      <c r="L860">
        <v>1.2</v>
      </c>
      <c r="M860">
        <v>8</v>
      </c>
      <c r="N860">
        <v>1066</v>
      </c>
    </row>
    <row r="861" spans="1:14" x14ac:dyDescent="0.35">
      <c r="A861">
        <v>2023</v>
      </c>
      <c r="B861">
        <v>12</v>
      </c>
      <c r="C861" t="s">
        <v>37</v>
      </c>
      <c r="D861" t="s">
        <v>26</v>
      </c>
      <c r="E861" t="s">
        <v>20</v>
      </c>
      <c r="F861" t="s">
        <v>20</v>
      </c>
      <c r="G861">
        <v>78601</v>
      </c>
      <c r="H861">
        <v>488988</v>
      </c>
      <c r="I861">
        <v>235</v>
      </c>
      <c r="J861">
        <v>0.97</v>
      </c>
      <c r="K861">
        <v>6.29</v>
      </c>
      <c r="L861">
        <v>1.2</v>
      </c>
      <c r="M861">
        <v>9</v>
      </c>
      <c r="N861">
        <v>810</v>
      </c>
    </row>
    <row r="862" spans="1:14" x14ac:dyDescent="0.35">
      <c r="A862">
        <v>2016</v>
      </c>
      <c r="B862">
        <v>3</v>
      </c>
      <c r="C862" t="s">
        <v>37</v>
      </c>
      <c r="D862" t="s">
        <v>15</v>
      </c>
      <c r="E862" t="s">
        <v>19</v>
      </c>
      <c r="F862" t="s">
        <v>27</v>
      </c>
      <c r="G862">
        <v>38114</v>
      </c>
      <c r="H862">
        <v>486946</v>
      </c>
      <c r="I862">
        <v>246</v>
      </c>
      <c r="J862">
        <v>0.97</v>
      </c>
      <c r="K862">
        <v>6.29</v>
      </c>
      <c r="L862">
        <v>1.2</v>
      </c>
      <c r="M862">
        <v>2</v>
      </c>
      <c r="N862">
        <v>968</v>
      </c>
    </row>
    <row r="863" spans="1:14" x14ac:dyDescent="0.35">
      <c r="A863">
        <v>2022</v>
      </c>
      <c r="B863">
        <v>2</v>
      </c>
      <c r="C863" t="s">
        <v>30</v>
      </c>
      <c r="D863" t="s">
        <v>26</v>
      </c>
      <c r="E863" t="s">
        <v>19</v>
      </c>
      <c r="F863" t="s">
        <v>27</v>
      </c>
      <c r="G863">
        <v>61502</v>
      </c>
      <c r="H863">
        <v>210020</v>
      </c>
      <c r="I863">
        <v>35</v>
      </c>
      <c r="J863">
        <v>0.97</v>
      </c>
      <c r="K863">
        <v>6.29</v>
      </c>
      <c r="L863">
        <v>1.2</v>
      </c>
      <c r="M863">
        <v>6</v>
      </c>
      <c r="N863">
        <v>270</v>
      </c>
    </row>
    <row r="864" spans="1:14" x14ac:dyDescent="0.35">
      <c r="A864">
        <v>2024</v>
      </c>
      <c r="B864">
        <v>8</v>
      </c>
      <c r="C864" t="s">
        <v>25</v>
      </c>
      <c r="D864" t="s">
        <v>33</v>
      </c>
      <c r="E864" t="s">
        <v>16</v>
      </c>
      <c r="F864" t="s">
        <v>20</v>
      </c>
      <c r="G864">
        <v>84768</v>
      </c>
      <c r="H864">
        <v>257383</v>
      </c>
      <c r="I864">
        <v>130</v>
      </c>
      <c r="J864">
        <v>0.97</v>
      </c>
      <c r="K864">
        <v>6.29</v>
      </c>
      <c r="L864">
        <v>1.2</v>
      </c>
      <c r="M864">
        <v>6</v>
      </c>
      <c r="N864">
        <v>451</v>
      </c>
    </row>
    <row r="865" spans="1:14" x14ac:dyDescent="0.35">
      <c r="A865">
        <v>2017</v>
      </c>
      <c r="B865">
        <v>5</v>
      </c>
      <c r="C865" t="s">
        <v>38</v>
      </c>
      <c r="D865" t="s">
        <v>15</v>
      </c>
      <c r="E865" t="s">
        <v>16</v>
      </c>
      <c r="F865" t="s">
        <v>27</v>
      </c>
      <c r="G865">
        <v>83128</v>
      </c>
      <c r="H865">
        <v>119093</v>
      </c>
      <c r="I865">
        <v>191</v>
      </c>
      <c r="J865">
        <v>0.97</v>
      </c>
      <c r="K865">
        <v>6.29</v>
      </c>
      <c r="L865">
        <v>1.2</v>
      </c>
      <c r="M865">
        <v>8</v>
      </c>
      <c r="N865">
        <v>512</v>
      </c>
    </row>
    <row r="866" spans="1:14" x14ac:dyDescent="0.35">
      <c r="A866">
        <v>2019</v>
      </c>
      <c r="B866">
        <v>1</v>
      </c>
      <c r="C866" t="s">
        <v>21</v>
      </c>
      <c r="D866" t="s">
        <v>24</v>
      </c>
      <c r="E866" t="s">
        <v>20</v>
      </c>
      <c r="F866" t="s">
        <v>20</v>
      </c>
      <c r="G866">
        <v>55028</v>
      </c>
      <c r="H866">
        <v>119123</v>
      </c>
      <c r="I866">
        <v>208</v>
      </c>
      <c r="J866">
        <v>0.97</v>
      </c>
      <c r="K866">
        <v>6.29</v>
      </c>
      <c r="L866">
        <v>1.2</v>
      </c>
      <c r="M866">
        <v>10</v>
      </c>
      <c r="N866">
        <v>685</v>
      </c>
    </row>
    <row r="867" spans="1:14" x14ac:dyDescent="0.35">
      <c r="A867">
        <v>2020</v>
      </c>
      <c r="B867">
        <v>3</v>
      </c>
      <c r="C867" t="s">
        <v>38</v>
      </c>
      <c r="D867" t="s">
        <v>34</v>
      </c>
      <c r="E867" t="s">
        <v>16</v>
      </c>
      <c r="F867" t="s">
        <v>27</v>
      </c>
      <c r="G867">
        <v>90565</v>
      </c>
      <c r="H867">
        <v>66535</v>
      </c>
      <c r="I867">
        <v>311</v>
      </c>
      <c r="J867">
        <v>0.97</v>
      </c>
      <c r="K867">
        <v>6.29</v>
      </c>
      <c r="L867">
        <v>1.2</v>
      </c>
      <c r="M867">
        <v>5</v>
      </c>
      <c r="N867">
        <v>1051</v>
      </c>
    </row>
    <row r="868" spans="1:14" x14ac:dyDescent="0.35">
      <c r="A868">
        <v>2024</v>
      </c>
      <c r="B868">
        <v>10</v>
      </c>
      <c r="C868" t="s">
        <v>32</v>
      </c>
      <c r="D868" t="s">
        <v>29</v>
      </c>
      <c r="E868" t="s">
        <v>20</v>
      </c>
      <c r="F868" t="s">
        <v>20</v>
      </c>
      <c r="G868">
        <v>118123</v>
      </c>
      <c r="H868">
        <v>378634</v>
      </c>
      <c r="I868">
        <v>264</v>
      </c>
      <c r="J868">
        <v>0.97</v>
      </c>
      <c r="K868">
        <v>6.29</v>
      </c>
      <c r="L868">
        <v>1.2</v>
      </c>
      <c r="M868">
        <v>9</v>
      </c>
      <c r="N868">
        <v>912</v>
      </c>
    </row>
    <row r="869" spans="1:14" x14ac:dyDescent="0.35">
      <c r="A869">
        <v>2020</v>
      </c>
      <c r="B869">
        <v>8</v>
      </c>
      <c r="C869" t="s">
        <v>32</v>
      </c>
      <c r="D869" t="s">
        <v>39</v>
      </c>
      <c r="E869" t="s">
        <v>19</v>
      </c>
      <c r="F869" t="s">
        <v>27</v>
      </c>
      <c r="G869">
        <v>70333</v>
      </c>
      <c r="H869">
        <v>96562</v>
      </c>
      <c r="I869">
        <v>131</v>
      </c>
      <c r="J869">
        <v>0.97</v>
      </c>
      <c r="K869">
        <v>6.29</v>
      </c>
      <c r="L869">
        <v>1.2</v>
      </c>
      <c r="M869">
        <v>1</v>
      </c>
      <c r="N869">
        <v>376</v>
      </c>
    </row>
    <row r="870" spans="1:14" x14ac:dyDescent="0.35">
      <c r="A870">
        <v>2018</v>
      </c>
      <c r="B870">
        <v>4</v>
      </c>
      <c r="C870" t="s">
        <v>36</v>
      </c>
      <c r="D870" t="s">
        <v>22</v>
      </c>
      <c r="E870" t="s">
        <v>19</v>
      </c>
      <c r="F870" t="s">
        <v>20</v>
      </c>
      <c r="G870">
        <v>38174</v>
      </c>
      <c r="H870">
        <v>431186</v>
      </c>
      <c r="I870">
        <v>40</v>
      </c>
      <c r="J870">
        <v>0.97</v>
      </c>
      <c r="K870">
        <v>6.29</v>
      </c>
      <c r="L870">
        <v>1.2</v>
      </c>
      <c r="M870">
        <v>9</v>
      </c>
      <c r="N870">
        <v>420</v>
      </c>
    </row>
    <row r="871" spans="1:14" x14ac:dyDescent="0.35">
      <c r="A871">
        <v>2017</v>
      </c>
      <c r="B871">
        <v>7</v>
      </c>
      <c r="C871" t="s">
        <v>28</v>
      </c>
      <c r="D871" t="s">
        <v>34</v>
      </c>
      <c r="E871" t="s">
        <v>20</v>
      </c>
      <c r="F871" t="s">
        <v>17</v>
      </c>
      <c r="G871">
        <v>70398</v>
      </c>
      <c r="H871">
        <v>306323</v>
      </c>
      <c r="I871">
        <v>324</v>
      </c>
      <c r="J871">
        <v>0.97</v>
      </c>
      <c r="K871">
        <v>6.29</v>
      </c>
      <c r="L871">
        <v>1.2</v>
      </c>
      <c r="M871">
        <v>10</v>
      </c>
      <c r="N871">
        <v>951</v>
      </c>
    </row>
    <row r="872" spans="1:14" x14ac:dyDescent="0.35">
      <c r="A872">
        <v>2018</v>
      </c>
      <c r="B872">
        <v>10</v>
      </c>
      <c r="C872" t="s">
        <v>37</v>
      </c>
      <c r="D872" t="s">
        <v>24</v>
      </c>
      <c r="E872" t="s">
        <v>16</v>
      </c>
      <c r="F872" t="s">
        <v>20</v>
      </c>
      <c r="G872">
        <v>70929</v>
      </c>
      <c r="H872">
        <v>401224</v>
      </c>
      <c r="I872">
        <v>294</v>
      </c>
      <c r="J872">
        <v>0.97</v>
      </c>
      <c r="K872">
        <v>6.29</v>
      </c>
      <c r="L872">
        <v>1.2</v>
      </c>
      <c r="M872">
        <v>7</v>
      </c>
      <c r="N872">
        <v>869</v>
      </c>
    </row>
    <row r="873" spans="1:14" x14ac:dyDescent="0.35">
      <c r="A873">
        <v>2015</v>
      </c>
      <c r="B873">
        <v>12</v>
      </c>
      <c r="C873" t="s">
        <v>35</v>
      </c>
      <c r="D873" t="s">
        <v>33</v>
      </c>
      <c r="E873" t="s">
        <v>20</v>
      </c>
      <c r="F873" t="s">
        <v>27</v>
      </c>
      <c r="G873">
        <v>39321</v>
      </c>
      <c r="H873">
        <v>308916</v>
      </c>
      <c r="I873">
        <v>115</v>
      </c>
      <c r="J873">
        <v>0.97</v>
      </c>
      <c r="K873">
        <v>6.29</v>
      </c>
      <c r="L873">
        <v>1.2</v>
      </c>
      <c r="M873">
        <v>4</v>
      </c>
      <c r="N873">
        <v>367</v>
      </c>
    </row>
    <row r="874" spans="1:14" x14ac:dyDescent="0.35">
      <c r="A874">
        <v>2018</v>
      </c>
      <c r="B874">
        <v>2</v>
      </c>
      <c r="C874" t="s">
        <v>38</v>
      </c>
      <c r="D874" t="s">
        <v>24</v>
      </c>
      <c r="E874" t="s">
        <v>16</v>
      </c>
      <c r="F874" t="s">
        <v>27</v>
      </c>
      <c r="G874">
        <v>90421</v>
      </c>
      <c r="H874">
        <v>239607</v>
      </c>
      <c r="I874">
        <v>233</v>
      </c>
      <c r="J874">
        <v>0.97</v>
      </c>
      <c r="K874">
        <v>6.29</v>
      </c>
      <c r="L874">
        <v>1.2</v>
      </c>
      <c r="M874">
        <v>3</v>
      </c>
      <c r="N874">
        <v>591</v>
      </c>
    </row>
    <row r="875" spans="1:14" x14ac:dyDescent="0.35">
      <c r="A875">
        <v>2015</v>
      </c>
      <c r="B875">
        <v>7</v>
      </c>
      <c r="C875" t="s">
        <v>32</v>
      </c>
      <c r="D875" t="s">
        <v>26</v>
      </c>
      <c r="E875" t="s">
        <v>19</v>
      </c>
      <c r="F875" t="s">
        <v>23</v>
      </c>
      <c r="G875">
        <v>107635</v>
      </c>
      <c r="H875">
        <v>280063</v>
      </c>
      <c r="I875">
        <v>282</v>
      </c>
      <c r="J875">
        <v>0.97</v>
      </c>
      <c r="K875">
        <v>6.29</v>
      </c>
      <c r="L875">
        <v>1.2</v>
      </c>
      <c r="M875">
        <v>10</v>
      </c>
      <c r="N875">
        <v>662</v>
      </c>
    </row>
    <row r="876" spans="1:14" x14ac:dyDescent="0.35">
      <c r="A876">
        <v>2015</v>
      </c>
      <c r="B876">
        <v>5</v>
      </c>
      <c r="C876" t="s">
        <v>25</v>
      </c>
      <c r="D876" t="s">
        <v>15</v>
      </c>
      <c r="E876" t="s">
        <v>16</v>
      </c>
      <c r="F876" t="s">
        <v>20</v>
      </c>
      <c r="G876">
        <v>58760</v>
      </c>
      <c r="H876">
        <v>91269</v>
      </c>
      <c r="I876">
        <v>241</v>
      </c>
      <c r="J876">
        <v>0.97</v>
      </c>
      <c r="K876">
        <v>6.29</v>
      </c>
      <c r="L876">
        <v>1.2</v>
      </c>
      <c r="M876">
        <v>6</v>
      </c>
      <c r="N876">
        <v>916</v>
      </c>
    </row>
    <row r="877" spans="1:14" x14ac:dyDescent="0.35">
      <c r="A877">
        <v>2024</v>
      </c>
      <c r="B877">
        <v>5</v>
      </c>
      <c r="C877" t="s">
        <v>30</v>
      </c>
      <c r="D877" t="s">
        <v>29</v>
      </c>
      <c r="E877" t="s">
        <v>20</v>
      </c>
      <c r="F877" t="s">
        <v>17</v>
      </c>
      <c r="G877">
        <v>46360</v>
      </c>
      <c r="H877">
        <v>130674</v>
      </c>
      <c r="I877">
        <v>265</v>
      </c>
      <c r="J877">
        <v>0.97</v>
      </c>
      <c r="K877">
        <v>6.29</v>
      </c>
      <c r="L877">
        <v>1.2</v>
      </c>
      <c r="M877">
        <v>1</v>
      </c>
      <c r="N877">
        <v>695</v>
      </c>
    </row>
    <row r="878" spans="1:14" x14ac:dyDescent="0.35">
      <c r="A878">
        <v>2020</v>
      </c>
      <c r="B878">
        <v>6</v>
      </c>
      <c r="C878" t="s">
        <v>21</v>
      </c>
      <c r="D878" t="s">
        <v>18</v>
      </c>
      <c r="E878" t="s">
        <v>20</v>
      </c>
      <c r="F878" t="s">
        <v>20</v>
      </c>
      <c r="G878">
        <v>45313</v>
      </c>
      <c r="H878">
        <v>354606</v>
      </c>
      <c r="I878">
        <v>33</v>
      </c>
      <c r="J878">
        <v>0.97</v>
      </c>
      <c r="K878">
        <v>6.29</v>
      </c>
      <c r="L878">
        <v>1.2</v>
      </c>
      <c r="M878">
        <v>3</v>
      </c>
      <c r="N878">
        <v>530</v>
      </c>
    </row>
    <row r="879" spans="1:14" x14ac:dyDescent="0.35">
      <c r="A879">
        <v>2019</v>
      </c>
      <c r="B879">
        <v>9</v>
      </c>
      <c r="C879" t="s">
        <v>28</v>
      </c>
      <c r="D879" t="s">
        <v>26</v>
      </c>
      <c r="E879" t="s">
        <v>19</v>
      </c>
      <c r="F879" t="s">
        <v>20</v>
      </c>
      <c r="G879">
        <v>40801</v>
      </c>
      <c r="H879">
        <v>446343</v>
      </c>
      <c r="I879">
        <v>118</v>
      </c>
      <c r="J879">
        <v>0.97</v>
      </c>
      <c r="K879">
        <v>6.29</v>
      </c>
      <c r="L879">
        <v>1.2</v>
      </c>
      <c r="M879">
        <v>2</v>
      </c>
      <c r="N879">
        <v>716</v>
      </c>
    </row>
    <row r="880" spans="1:14" x14ac:dyDescent="0.35">
      <c r="A880">
        <v>2018</v>
      </c>
      <c r="B880">
        <v>6</v>
      </c>
      <c r="C880" t="s">
        <v>25</v>
      </c>
      <c r="D880" t="s">
        <v>34</v>
      </c>
      <c r="E880" t="s">
        <v>16</v>
      </c>
      <c r="F880" t="s">
        <v>17</v>
      </c>
      <c r="G880">
        <v>49130</v>
      </c>
      <c r="H880">
        <v>335291</v>
      </c>
      <c r="I880">
        <v>200</v>
      </c>
      <c r="J880">
        <v>0.97</v>
      </c>
      <c r="K880">
        <v>6.29</v>
      </c>
      <c r="L880">
        <v>1.2</v>
      </c>
      <c r="M880">
        <v>9</v>
      </c>
      <c r="N880">
        <v>533</v>
      </c>
    </row>
    <row r="881" spans="1:14" x14ac:dyDescent="0.35">
      <c r="A881">
        <v>2017</v>
      </c>
      <c r="B881">
        <v>12</v>
      </c>
      <c r="C881" t="s">
        <v>28</v>
      </c>
      <c r="D881" t="s">
        <v>26</v>
      </c>
      <c r="E881" t="s">
        <v>16</v>
      </c>
      <c r="F881" t="s">
        <v>20</v>
      </c>
      <c r="G881">
        <v>49271</v>
      </c>
      <c r="H881">
        <v>488744</v>
      </c>
      <c r="I881">
        <v>356</v>
      </c>
      <c r="J881">
        <v>0.97</v>
      </c>
      <c r="K881">
        <v>6.29</v>
      </c>
      <c r="L881">
        <v>1.2</v>
      </c>
      <c r="M881">
        <v>3</v>
      </c>
      <c r="N881">
        <v>967</v>
      </c>
    </row>
    <row r="882" spans="1:14" x14ac:dyDescent="0.35">
      <c r="A882">
        <v>2015</v>
      </c>
      <c r="B882">
        <v>8</v>
      </c>
      <c r="C882" t="s">
        <v>36</v>
      </c>
      <c r="D882" t="s">
        <v>34</v>
      </c>
      <c r="E882" t="s">
        <v>16</v>
      </c>
      <c r="F882" t="s">
        <v>17</v>
      </c>
      <c r="G882">
        <v>51075</v>
      </c>
      <c r="H882">
        <v>127095</v>
      </c>
      <c r="I882">
        <v>34</v>
      </c>
      <c r="J882">
        <v>0.97</v>
      </c>
      <c r="K882">
        <v>6.29</v>
      </c>
      <c r="L882">
        <v>1.2</v>
      </c>
      <c r="M882">
        <v>2</v>
      </c>
      <c r="N882">
        <v>388</v>
      </c>
    </row>
    <row r="883" spans="1:14" x14ac:dyDescent="0.35">
      <c r="A883">
        <v>2020</v>
      </c>
      <c r="B883">
        <v>7</v>
      </c>
      <c r="C883" t="s">
        <v>35</v>
      </c>
      <c r="D883" t="s">
        <v>18</v>
      </c>
      <c r="E883" t="s">
        <v>19</v>
      </c>
      <c r="F883" t="s">
        <v>17</v>
      </c>
      <c r="G883">
        <v>53984</v>
      </c>
      <c r="H883">
        <v>294172</v>
      </c>
      <c r="I883">
        <v>196</v>
      </c>
      <c r="J883">
        <v>0.97</v>
      </c>
      <c r="K883">
        <v>6.29</v>
      </c>
      <c r="L883">
        <v>1.2</v>
      </c>
      <c r="M883">
        <v>4</v>
      </c>
      <c r="N883">
        <v>545</v>
      </c>
    </row>
    <row r="884" spans="1:14" x14ac:dyDescent="0.35">
      <c r="A884">
        <v>2016</v>
      </c>
      <c r="B884">
        <v>9</v>
      </c>
      <c r="C884" t="s">
        <v>32</v>
      </c>
      <c r="D884" t="s">
        <v>31</v>
      </c>
      <c r="E884" t="s">
        <v>16</v>
      </c>
      <c r="F884" t="s">
        <v>20</v>
      </c>
      <c r="G884">
        <v>95942</v>
      </c>
      <c r="H884">
        <v>250003</v>
      </c>
      <c r="I884">
        <v>297</v>
      </c>
      <c r="J884">
        <v>0.97</v>
      </c>
      <c r="K884">
        <v>6.29</v>
      </c>
      <c r="L884">
        <v>1.2</v>
      </c>
      <c r="M884">
        <v>2</v>
      </c>
      <c r="N884">
        <v>892</v>
      </c>
    </row>
    <row r="885" spans="1:14" x14ac:dyDescent="0.35">
      <c r="A885">
        <v>2022</v>
      </c>
      <c r="B885">
        <v>4</v>
      </c>
      <c r="C885" t="s">
        <v>30</v>
      </c>
      <c r="D885" t="s">
        <v>29</v>
      </c>
      <c r="E885" t="s">
        <v>20</v>
      </c>
      <c r="F885" t="s">
        <v>20</v>
      </c>
      <c r="G885">
        <v>47861</v>
      </c>
      <c r="H885">
        <v>140925</v>
      </c>
      <c r="I885">
        <v>125</v>
      </c>
      <c r="J885">
        <v>0.97</v>
      </c>
      <c r="K885">
        <v>6.29</v>
      </c>
      <c r="L885">
        <v>1.2</v>
      </c>
      <c r="M885">
        <v>1</v>
      </c>
      <c r="N885">
        <v>669</v>
      </c>
    </row>
    <row r="886" spans="1:14" x14ac:dyDescent="0.35">
      <c r="A886">
        <v>2024</v>
      </c>
      <c r="B886">
        <v>2</v>
      </c>
      <c r="C886" t="s">
        <v>25</v>
      </c>
      <c r="D886" t="s">
        <v>39</v>
      </c>
      <c r="E886" t="s">
        <v>16</v>
      </c>
      <c r="F886" t="s">
        <v>27</v>
      </c>
      <c r="G886">
        <v>117203</v>
      </c>
      <c r="H886">
        <v>116381</v>
      </c>
      <c r="I886">
        <v>347</v>
      </c>
      <c r="J886">
        <v>0.97</v>
      </c>
      <c r="K886">
        <v>6.29</v>
      </c>
      <c r="L886">
        <v>1.2</v>
      </c>
      <c r="M886">
        <v>6</v>
      </c>
      <c r="N886">
        <v>926</v>
      </c>
    </row>
    <row r="887" spans="1:14" x14ac:dyDescent="0.35">
      <c r="A887">
        <v>2019</v>
      </c>
      <c r="B887">
        <v>7</v>
      </c>
      <c r="C887" t="s">
        <v>28</v>
      </c>
      <c r="D887" t="s">
        <v>39</v>
      </c>
      <c r="E887" t="s">
        <v>19</v>
      </c>
      <c r="F887" t="s">
        <v>27</v>
      </c>
      <c r="G887">
        <v>106376</v>
      </c>
      <c r="H887">
        <v>149468</v>
      </c>
      <c r="I887">
        <v>375</v>
      </c>
      <c r="J887">
        <v>0.97</v>
      </c>
      <c r="K887">
        <v>6.29</v>
      </c>
      <c r="L887">
        <v>1.2</v>
      </c>
      <c r="M887">
        <v>10</v>
      </c>
      <c r="N887">
        <v>749</v>
      </c>
    </row>
    <row r="888" spans="1:14" x14ac:dyDescent="0.35">
      <c r="A888">
        <v>2021</v>
      </c>
      <c r="B888">
        <v>6</v>
      </c>
      <c r="C888" t="s">
        <v>37</v>
      </c>
      <c r="D888" t="s">
        <v>22</v>
      </c>
      <c r="E888" t="s">
        <v>16</v>
      </c>
      <c r="F888" t="s">
        <v>23</v>
      </c>
      <c r="G888">
        <v>96247</v>
      </c>
      <c r="H888">
        <v>292330</v>
      </c>
      <c r="I888">
        <v>46</v>
      </c>
      <c r="J888">
        <v>0.97</v>
      </c>
      <c r="K888">
        <v>6.29</v>
      </c>
      <c r="L888">
        <v>1.2</v>
      </c>
      <c r="M888">
        <v>8</v>
      </c>
      <c r="N888">
        <v>136</v>
      </c>
    </row>
    <row r="889" spans="1:14" x14ac:dyDescent="0.35">
      <c r="A889">
        <v>2024</v>
      </c>
      <c r="B889">
        <v>1</v>
      </c>
      <c r="C889" t="s">
        <v>36</v>
      </c>
      <c r="D889" t="s">
        <v>24</v>
      </c>
      <c r="E889" t="s">
        <v>16</v>
      </c>
      <c r="F889" t="s">
        <v>23</v>
      </c>
      <c r="G889">
        <v>104101</v>
      </c>
      <c r="H889">
        <v>375893</v>
      </c>
      <c r="I889">
        <v>291</v>
      </c>
      <c r="J889">
        <v>0.97</v>
      </c>
      <c r="K889">
        <v>6.29</v>
      </c>
      <c r="L889">
        <v>1.2</v>
      </c>
      <c r="M889">
        <v>10</v>
      </c>
      <c r="N889">
        <v>727</v>
      </c>
    </row>
    <row r="890" spans="1:14" x14ac:dyDescent="0.35">
      <c r="A890">
        <v>2016</v>
      </c>
      <c r="B890">
        <v>11</v>
      </c>
      <c r="C890" t="s">
        <v>37</v>
      </c>
      <c r="D890" t="s">
        <v>31</v>
      </c>
      <c r="E890" t="s">
        <v>20</v>
      </c>
      <c r="F890" t="s">
        <v>20</v>
      </c>
      <c r="G890">
        <v>55977</v>
      </c>
      <c r="H890">
        <v>481888</v>
      </c>
      <c r="I890">
        <v>146</v>
      </c>
      <c r="J890">
        <v>0.97</v>
      </c>
      <c r="K890">
        <v>6.29</v>
      </c>
      <c r="L890">
        <v>1.2</v>
      </c>
      <c r="M890">
        <v>10</v>
      </c>
      <c r="N890">
        <v>600</v>
      </c>
    </row>
    <row r="891" spans="1:14" x14ac:dyDescent="0.35">
      <c r="A891">
        <v>2022</v>
      </c>
      <c r="B891">
        <v>9</v>
      </c>
      <c r="C891" t="s">
        <v>30</v>
      </c>
      <c r="D891" t="s">
        <v>39</v>
      </c>
      <c r="E891" t="s">
        <v>16</v>
      </c>
      <c r="F891" t="s">
        <v>17</v>
      </c>
      <c r="G891">
        <v>85617</v>
      </c>
      <c r="H891">
        <v>63731</v>
      </c>
      <c r="I891">
        <v>236</v>
      </c>
      <c r="J891">
        <v>0.97</v>
      </c>
      <c r="K891">
        <v>6.29</v>
      </c>
      <c r="L891">
        <v>1.2</v>
      </c>
      <c r="M891">
        <v>2</v>
      </c>
      <c r="N891">
        <v>674</v>
      </c>
    </row>
    <row r="892" spans="1:14" x14ac:dyDescent="0.35">
      <c r="A892">
        <v>2016</v>
      </c>
      <c r="B892">
        <v>9</v>
      </c>
      <c r="C892" t="s">
        <v>25</v>
      </c>
      <c r="D892" t="s">
        <v>26</v>
      </c>
      <c r="E892" t="s">
        <v>20</v>
      </c>
      <c r="F892" t="s">
        <v>23</v>
      </c>
      <c r="G892">
        <v>92473</v>
      </c>
      <c r="H892">
        <v>436791</v>
      </c>
      <c r="I892">
        <v>329</v>
      </c>
      <c r="J892">
        <v>0.97</v>
      </c>
      <c r="K892">
        <v>6.29</v>
      </c>
      <c r="L892">
        <v>1.2</v>
      </c>
      <c r="M892">
        <v>9</v>
      </c>
      <c r="N892">
        <v>935</v>
      </c>
    </row>
    <row r="893" spans="1:14" x14ac:dyDescent="0.35">
      <c r="A893">
        <v>2018</v>
      </c>
      <c r="B893">
        <v>12</v>
      </c>
      <c r="C893" t="s">
        <v>36</v>
      </c>
      <c r="D893" t="s">
        <v>24</v>
      </c>
      <c r="E893" t="s">
        <v>20</v>
      </c>
      <c r="F893" t="s">
        <v>20</v>
      </c>
      <c r="G893">
        <v>107902</v>
      </c>
      <c r="H893">
        <v>497728</v>
      </c>
      <c r="I893">
        <v>337</v>
      </c>
      <c r="J893">
        <v>0.97</v>
      </c>
      <c r="K893">
        <v>6.29</v>
      </c>
      <c r="L893">
        <v>1.2</v>
      </c>
      <c r="M893">
        <v>3</v>
      </c>
      <c r="N893">
        <v>719</v>
      </c>
    </row>
    <row r="894" spans="1:14" x14ac:dyDescent="0.35">
      <c r="A894">
        <v>2015</v>
      </c>
      <c r="B894">
        <v>2</v>
      </c>
      <c r="C894" t="s">
        <v>25</v>
      </c>
      <c r="D894" t="s">
        <v>31</v>
      </c>
      <c r="E894" t="s">
        <v>19</v>
      </c>
      <c r="F894" t="s">
        <v>23</v>
      </c>
      <c r="G894">
        <v>50630</v>
      </c>
      <c r="H894">
        <v>101024</v>
      </c>
      <c r="I894">
        <v>191</v>
      </c>
      <c r="J894">
        <v>0.97</v>
      </c>
      <c r="K894">
        <v>6.29</v>
      </c>
      <c r="L894">
        <v>1.2</v>
      </c>
      <c r="M894">
        <v>8</v>
      </c>
      <c r="N894">
        <v>780</v>
      </c>
    </row>
    <row r="895" spans="1:14" x14ac:dyDescent="0.35">
      <c r="A895">
        <v>2019</v>
      </c>
      <c r="B895">
        <v>3</v>
      </c>
      <c r="C895" t="s">
        <v>32</v>
      </c>
      <c r="D895" t="s">
        <v>15</v>
      </c>
      <c r="E895" t="s">
        <v>20</v>
      </c>
      <c r="F895" t="s">
        <v>17</v>
      </c>
      <c r="G895">
        <v>55056</v>
      </c>
      <c r="H895">
        <v>166712</v>
      </c>
      <c r="I895">
        <v>371</v>
      </c>
      <c r="J895">
        <v>0.97</v>
      </c>
      <c r="K895">
        <v>6.29</v>
      </c>
      <c r="L895">
        <v>1.2</v>
      </c>
      <c r="M895">
        <v>8</v>
      </c>
      <c r="N895">
        <v>913</v>
      </c>
    </row>
    <row r="896" spans="1:14" x14ac:dyDescent="0.35">
      <c r="A896">
        <v>2023</v>
      </c>
      <c r="B896">
        <v>5</v>
      </c>
      <c r="C896" t="s">
        <v>14</v>
      </c>
      <c r="D896" t="s">
        <v>15</v>
      </c>
      <c r="E896" t="s">
        <v>20</v>
      </c>
      <c r="F896" t="s">
        <v>20</v>
      </c>
      <c r="G896">
        <v>42382</v>
      </c>
      <c r="H896">
        <v>151121</v>
      </c>
      <c r="I896">
        <v>95</v>
      </c>
      <c r="J896">
        <v>0.97</v>
      </c>
      <c r="K896">
        <v>6.29</v>
      </c>
      <c r="L896">
        <v>1.2</v>
      </c>
      <c r="M896">
        <v>3</v>
      </c>
      <c r="N896">
        <v>465</v>
      </c>
    </row>
    <row r="897" spans="1:14" x14ac:dyDescent="0.35">
      <c r="A897">
        <v>2015</v>
      </c>
      <c r="B897">
        <v>5</v>
      </c>
      <c r="C897" t="s">
        <v>36</v>
      </c>
      <c r="D897" t="s">
        <v>24</v>
      </c>
      <c r="E897" t="s">
        <v>19</v>
      </c>
      <c r="F897" t="s">
        <v>17</v>
      </c>
      <c r="G897">
        <v>90739</v>
      </c>
      <c r="H897">
        <v>315976</v>
      </c>
      <c r="I897">
        <v>62</v>
      </c>
      <c r="J897">
        <v>0.97</v>
      </c>
      <c r="K897">
        <v>6.29</v>
      </c>
      <c r="L897">
        <v>1.2</v>
      </c>
      <c r="M897">
        <v>3</v>
      </c>
      <c r="N897">
        <v>527</v>
      </c>
    </row>
    <row r="898" spans="1:14" x14ac:dyDescent="0.35">
      <c r="A898">
        <v>2023</v>
      </c>
      <c r="B898">
        <v>1</v>
      </c>
      <c r="C898" t="s">
        <v>37</v>
      </c>
      <c r="D898" t="s">
        <v>34</v>
      </c>
      <c r="E898" t="s">
        <v>20</v>
      </c>
      <c r="F898" t="s">
        <v>20</v>
      </c>
      <c r="G898">
        <v>116685</v>
      </c>
      <c r="H898">
        <v>82332</v>
      </c>
      <c r="I898">
        <v>357</v>
      </c>
      <c r="J898">
        <v>0.97</v>
      </c>
      <c r="K898">
        <v>6.29</v>
      </c>
      <c r="L898">
        <v>1.2</v>
      </c>
      <c r="M898">
        <v>6</v>
      </c>
      <c r="N898">
        <v>900</v>
      </c>
    </row>
    <row r="899" spans="1:14" x14ac:dyDescent="0.35">
      <c r="A899">
        <v>2022</v>
      </c>
      <c r="B899">
        <v>8</v>
      </c>
      <c r="C899" t="s">
        <v>30</v>
      </c>
      <c r="D899" t="s">
        <v>34</v>
      </c>
      <c r="E899" t="s">
        <v>19</v>
      </c>
      <c r="F899" t="s">
        <v>23</v>
      </c>
      <c r="G899">
        <v>83639</v>
      </c>
      <c r="H899">
        <v>62467</v>
      </c>
      <c r="I899">
        <v>364</v>
      </c>
      <c r="J899">
        <v>0.97</v>
      </c>
      <c r="K899">
        <v>6.29</v>
      </c>
      <c r="L899">
        <v>1.2</v>
      </c>
      <c r="M899">
        <v>1</v>
      </c>
      <c r="N899">
        <v>823</v>
      </c>
    </row>
    <row r="900" spans="1:14" x14ac:dyDescent="0.35">
      <c r="A900">
        <v>2020</v>
      </c>
      <c r="B900">
        <v>12</v>
      </c>
      <c r="C900" t="s">
        <v>35</v>
      </c>
      <c r="D900" t="s">
        <v>26</v>
      </c>
      <c r="E900" t="s">
        <v>16</v>
      </c>
      <c r="F900" t="s">
        <v>27</v>
      </c>
      <c r="G900">
        <v>94838</v>
      </c>
      <c r="H900">
        <v>91025</v>
      </c>
      <c r="I900">
        <v>244</v>
      </c>
      <c r="J900">
        <v>0.97</v>
      </c>
      <c r="K900">
        <v>6.29</v>
      </c>
      <c r="L900">
        <v>1.2</v>
      </c>
      <c r="M900">
        <v>4</v>
      </c>
      <c r="N900">
        <v>560</v>
      </c>
    </row>
    <row r="901" spans="1:14" x14ac:dyDescent="0.35">
      <c r="A901">
        <v>2021</v>
      </c>
      <c r="B901">
        <v>8</v>
      </c>
      <c r="C901" t="s">
        <v>32</v>
      </c>
      <c r="D901" t="s">
        <v>31</v>
      </c>
      <c r="E901" t="s">
        <v>19</v>
      </c>
      <c r="F901" t="s">
        <v>23</v>
      </c>
      <c r="G901">
        <v>81041</v>
      </c>
      <c r="H901">
        <v>194179</v>
      </c>
      <c r="I901">
        <v>276</v>
      </c>
      <c r="J901">
        <v>0.97</v>
      </c>
      <c r="K901">
        <v>6.29</v>
      </c>
      <c r="L901">
        <v>1.2</v>
      </c>
      <c r="M901">
        <v>1</v>
      </c>
      <c r="N901">
        <v>636</v>
      </c>
    </row>
    <row r="902" spans="1:14" x14ac:dyDescent="0.35">
      <c r="A902">
        <v>2017</v>
      </c>
      <c r="B902">
        <v>4</v>
      </c>
      <c r="C902" t="s">
        <v>14</v>
      </c>
      <c r="D902" t="s">
        <v>31</v>
      </c>
      <c r="E902" t="s">
        <v>20</v>
      </c>
      <c r="F902" t="s">
        <v>23</v>
      </c>
      <c r="G902">
        <v>35992</v>
      </c>
      <c r="H902">
        <v>127994</v>
      </c>
      <c r="I902">
        <v>296</v>
      </c>
      <c r="J902">
        <v>0.97</v>
      </c>
      <c r="K902">
        <v>6.29</v>
      </c>
      <c r="L902">
        <v>1.2</v>
      </c>
      <c r="M902">
        <v>3</v>
      </c>
      <c r="N902">
        <v>907</v>
      </c>
    </row>
    <row r="903" spans="1:14" x14ac:dyDescent="0.35">
      <c r="A903">
        <v>2015</v>
      </c>
      <c r="B903">
        <v>7</v>
      </c>
      <c r="C903" t="s">
        <v>35</v>
      </c>
      <c r="D903" t="s">
        <v>24</v>
      </c>
      <c r="E903" t="s">
        <v>19</v>
      </c>
      <c r="F903" t="s">
        <v>27</v>
      </c>
      <c r="G903">
        <v>107394</v>
      </c>
      <c r="H903">
        <v>144202</v>
      </c>
      <c r="I903">
        <v>109</v>
      </c>
      <c r="J903">
        <v>0.97</v>
      </c>
      <c r="K903">
        <v>6.29</v>
      </c>
      <c r="L903">
        <v>1.2</v>
      </c>
      <c r="M903">
        <v>9</v>
      </c>
      <c r="N903">
        <v>224</v>
      </c>
    </row>
    <row r="904" spans="1:14" x14ac:dyDescent="0.35">
      <c r="A904">
        <v>2019</v>
      </c>
      <c r="B904">
        <v>11</v>
      </c>
      <c r="C904" t="s">
        <v>21</v>
      </c>
      <c r="D904" t="s">
        <v>33</v>
      </c>
      <c r="E904" t="s">
        <v>20</v>
      </c>
      <c r="F904" t="s">
        <v>27</v>
      </c>
      <c r="G904">
        <v>102657</v>
      </c>
      <c r="H904">
        <v>93481</v>
      </c>
      <c r="I904">
        <v>96</v>
      </c>
      <c r="J904">
        <v>0.97</v>
      </c>
      <c r="K904">
        <v>6.29</v>
      </c>
      <c r="L904">
        <v>1.2</v>
      </c>
      <c r="M904">
        <v>5</v>
      </c>
      <c r="N904">
        <v>186</v>
      </c>
    </row>
    <row r="905" spans="1:14" x14ac:dyDescent="0.35">
      <c r="A905">
        <v>2016</v>
      </c>
      <c r="B905">
        <v>10</v>
      </c>
      <c r="C905" t="s">
        <v>32</v>
      </c>
      <c r="D905" t="s">
        <v>15</v>
      </c>
      <c r="E905" t="s">
        <v>16</v>
      </c>
      <c r="F905" t="s">
        <v>20</v>
      </c>
      <c r="G905">
        <v>62160</v>
      </c>
      <c r="H905">
        <v>445797</v>
      </c>
      <c r="I905">
        <v>24</v>
      </c>
      <c r="J905">
        <v>0.97</v>
      </c>
      <c r="K905">
        <v>6.29</v>
      </c>
      <c r="L905">
        <v>1.2</v>
      </c>
      <c r="M905">
        <v>5</v>
      </c>
      <c r="N905">
        <v>406</v>
      </c>
    </row>
    <row r="906" spans="1:14" x14ac:dyDescent="0.35">
      <c r="A906">
        <v>2019</v>
      </c>
      <c r="B906">
        <v>3</v>
      </c>
      <c r="C906" t="s">
        <v>30</v>
      </c>
      <c r="D906" t="s">
        <v>31</v>
      </c>
      <c r="E906" t="s">
        <v>19</v>
      </c>
      <c r="F906" t="s">
        <v>20</v>
      </c>
      <c r="G906">
        <v>80156</v>
      </c>
      <c r="H906">
        <v>125118</v>
      </c>
      <c r="I906">
        <v>110</v>
      </c>
      <c r="J906">
        <v>0.97</v>
      </c>
      <c r="K906">
        <v>6.29</v>
      </c>
      <c r="L906">
        <v>1.2</v>
      </c>
      <c r="M906">
        <v>4</v>
      </c>
      <c r="N906">
        <v>455</v>
      </c>
    </row>
    <row r="907" spans="1:14" x14ac:dyDescent="0.35">
      <c r="A907">
        <v>2022</v>
      </c>
      <c r="B907">
        <v>6</v>
      </c>
      <c r="C907" t="s">
        <v>28</v>
      </c>
      <c r="D907" t="s">
        <v>24</v>
      </c>
      <c r="E907" t="s">
        <v>16</v>
      </c>
      <c r="F907" t="s">
        <v>17</v>
      </c>
      <c r="G907">
        <v>86375</v>
      </c>
      <c r="H907">
        <v>436154</v>
      </c>
      <c r="I907">
        <v>174</v>
      </c>
      <c r="J907">
        <v>0.97</v>
      </c>
      <c r="K907">
        <v>6.29</v>
      </c>
      <c r="L907">
        <v>1.2</v>
      </c>
      <c r="M907">
        <v>3</v>
      </c>
      <c r="N907">
        <v>711</v>
      </c>
    </row>
    <row r="908" spans="1:14" x14ac:dyDescent="0.35">
      <c r="A908">
        <v>2023</v>
      </c>
      <c r="B908">
        <v>10</v>
      </c>
      <c r="C908" t="s">
        <v>36</v>
      </c>
      <c r="D908" t="s">
        <v>18</v>
      </c>
      <c r="E908" t="s">
        <v>20</v>
      </c>
      <c r="F908" t="s">
        <v>17</v>
      </c>
      <c r="G908">
        <v>54572</v>
      </c>
      <c r="H908">
        <v>494854</v>
      </c>
      <c r="I908">
        <v>38</v>
      </c>
      <c r="J908">
        <v>0.97</v>
      </c>
      <c r="K908">
        <v>6.29</v>
      </c>
      <c r="L908">
        <v>1.2</v>
      </c>
      <c r="M908">
        <v>5</v>
      </c>
      <c r="N908">
        <v>253</v>
      </c>
    </row>
    <row r="909" spans="1:14" x14ac:dyDescent="0.35">
      <c r="A909">
        <v>2016</v>
      </c>
      <c r="B909">
        <v>10</v>
      </c>
      <c r="C909" t="s">
        <v>25</v>
      </c>
      <c r="D909" t="s">
        <v>22</v>
      </c>
      <c r="E909" t="s">
        <v>20</v>
      </c>
      <c r="F909" t="s">
        <v>23</v>
      </c>
      <c r="G909">
        <v>39136</v>
      </c>
      <c r="H909">
        <v>173714</v>
      </c>
      <c r="I909">
        <v>123</v>
      </c>
      <c r="J909">
        <v>0.97</v>
      </c>
      <c r="K909">
        <v>6.29</v>
      </c>
      <c r="L909">
        <v>1.2</v>
      </c>
      <c r="M909">
        <v>4</v>
      </c>
      <c r="N909">
        <v>387</v>
      </c>
    </row>
    <row r="910" spans="1:14" x14ac:dyDescent="0.35">
      <c r="A910">
        <v>2017</v>
      </c>
      <c r="B910">
        <v>12</v>
      </c>
      <c r="C910" t="s">
        <v>30</v>
      </c>
      <c r="D910" t="s">
        <v>18</v>
      </c>
      <c r="E910" t="s">
        <v>16</v>
      </c>
      <c r="F910" t="s">
        <v>27</v>
      </c>
      <c r="G910">
        <v>96868</v>
      </c>
      <c r="H910">
        <v>451634</v>
      </c>
      <c r="I910">
        <v>116</v>
      </c>
      <c r="J910">
        <v>0.97</v>
      </c>
      <c r="K910">
        <v>6.29</v>
      </c>
      <c r="L910">
        <v>1.2</v>
      </c>
      <c r="M910">
        <v>8</v>
      </c>
      <c r="N910">
        <v>455</v>
      </c>
    </row>
    <row r="911" spans="1:14" x14ac:dyDescent="0.35">
      <c r="A911">
        <v>2017</v>
      </c>
      <c r="B911">
        <v>9</v>
      </c>
      <c r="C911" t="s">
        <v>36</v>
      </c>
      <c r="D911" t="s">
        <v>29</v>
      </c>
      <c r="E911" t="s">
        <v>19</v>
      </c>
      <c r="F911" t="s">
        <v>17</v>
      </c>
      <c r="G911">
        <v>117263</v>
      </c>
      <c r="H911">
        <v>274699</v>
      </c>
      <c r="I911">
        <v>373</v>
      </c>
      <c r="J911">
        <v>0.97</v>
      </c>
      <c r="K911">
        <v>6.29</v>
      </c>
      <c r="L911">
        <v>1.2</v>
      </c>
      <c r="M911">
        <v>4</v>
      </c>
      <c r="N911">
        <v>880</v>
      </c>
    </row>
    <row r="912" spans="1:14" x14ac:dyDescent="0.35">
      <c r="A912">
        <v>2015</v>
      </c>
      <c r="B912">
        <v>1</v>
      </c>
      <c r="C912" t="s">
        <v>35</v>
      </c>
      <c r="D912" t="s">
        <v>26</v>
      </c>
      <c r="E912" t="s">
        <v>19</v>
      </c>
      <c r="F912" t="s">
        <v>23</v>
      </c>
      <c r="G912">
        <v>67167</v>
      </c>
      <c r="H912">
        <v>210185</v>
      </c>
      <c r="I912">
        <v>139</v>
      </c>
      <c r="J912">
        <v>0.97</v>
      </c>
      <c r="K912">
        <v>6.29</v>
      </c>
      <c r="L912">
        <v>1.2</v>
      </c>
      <c r="M912">
        <v>8</v>
      </c>
      <c r="N912">
        <v>380</v>
      </c>
    </row>
    <row r="913" spans="1:14" x14ac:dyDescent="0.35">
      <c r="A913">
        <v>2022</v>
      </c>
      <c r="B913">
        <v>5</v>
      </c>
      <c r="C913" t="s">
        <v>25</v>
      </c>
      <c r="D913" t="s">
        <v>31</v>
      </c>
      <c r="E913" t="s">
        <v>20</v>
      </c>
      <c r="F913" t="s">
        <v>27</v>
      </c>
      <c r="G913">
        <v>50479</v>
      </c>
      <c r="H913">
        <v>134363</v>
      </c>
      <c r="I913">
        <v>93</v>
      </c>
      <c r="J913">
        <v>0.97</v>
      </c>
      <c r="K913">
        <v>6.29</v>
      </c>
      <c r="L913">
        <v>1.2</v>
      </c>
      <c r="M913">
        <v>6</v>
      </c>
      <c r="N913">
        <v>372</v>
      </c>
    </row>
    <row r="914" spans="1:14" x14ac:dyDescent="0.35">
      <c r="A914">
        <v>2020</v>
      </c>
      <c r="B914">
        <v>4</v>
      </c>
      <c r="C914" t="s">
        <v>38</v>
      </c>
      <c r="D914" t="s">
        <v>29</v>
      </c>
      <c r="E914" t="s">
        <v>16</v>
      </c>
      <c r="F914" t="s">
        <v>20</v>
      </c>
      <c r="G914">
        <v>66376</v>
      </c>
      <c r="H914">
        <v>435751</v>
      </c>
      <c r="I914">
        <v>280</v>
      </c>
      <c r="J914">
        <v>0.97</v>
      </c>
      <c r="K914">
        <v>6.29</v>
      </c>
      <c r="L914">
        <v>1.2</v>
      </c>
      <c r="M914">
        <v>5</v>
      </c>
      <c r="N914">
        <v>610</v>
      </c>
    </row>
    <row r="915" spans="1:14" x14ac:dyDescent="0.35">
      <c r="A915">
        <v>2022</v>
      </c>
      <c r="B915">
        <v>8</v>
      </c>
      <c r="C915" t="s">
        <v>37</v>
      </c>
      <c r="D915" t="s">
        <v>39</v>
      </c>
      <c r="E915" t="s">
        <v>16</v>
      </c>
      <c r="F915" t="s">
        <v>23</v>
      </c>
      <c r="G915">
        <v>39823</v>
      </c>
      <c r="H915">
        <v>375188</v>
      </c>
      <c r="I915">
        <v>253</v>
      </c>
      <c r="J915">
        <v>0.97</v>
      </c>
      <c r="K915">
        <v>6.29</v>
      </c>
      <c r="L915">
        <v>1.2</v>
      </c>
      <c r="M915">
        <v>4</v>
      </c>
      <c r="N915">
        <v>794</v>
      </c>
    </row>
    <row r="916" spans="1:14" x14ac:dyDescent="0.35">
      <c r="A916">
        <v>2023</v>
      </c>
      <c r="B916">
        <v>11</v>
      </c>
      <c r="C916" t="s">
        <v>21</v>
      </c>
      <c r="D916" t="s">
        <v>29</v>
      </c>
      <c r="E916" t="s">
        <v>19</v>
      </c>
      <c r="F916" t="s">
        <v>20</v>
      </c>
      <c r="G916">
        <v>105456</v>
      </c>
      <c r="H916">
        <v>261027</v>
      </c>
      <c r="I916">
        <v>397</v>
      </c>
      <c r="J916">
        <v>0.97</v>
      </c>
      <c r="K916">
        <v>6.29</v>
      </c>
      <c r="L916">
        <v>1.2</v>
      </c>
      <c r="M916">
        <v>4</v>
      </c>
      <c r="N916">
        <v>1130</v>
      </c>
    </row>
    <row r="917" spans="1:14" x14ac:dyDescent="0.35">
      <c r="A917">
        <v>2019</v>
      </c>
      <c r="B917">
        <v>12</v>
      </c>
      <c r="C917" t="s">
        <v>32</v>
      </c>
      <c r="D917" t="s">
        <v>24</v>
      </c>
      <c r="E917" t="s">
        <v>19</v>
      </c>
      <c r="F917" t="s">
        <v>17</v>
      </c>
      <c r="G917">
        <v>54585</v>
      </c>
      <c r="H917">
        <v>323958</v>
      </c>
      <c r="I917">
        <v>223</v>
      </c>
      <c r="J917">
        <v>0.97</v>
      </c>
      <c r="K917">
        <v>6.29</v>
      </c>
      <c r="L917">
        <v>1.2</v>
      </c>
      <c r="M917">
        <v>4</v>
      </c>
      <c r="N917">
        <v>861</v>
      </c>
    </row>
    <row r="918" spans="1:14" x14ac:dyDescent="0.35">
      <c r="A918">
        <v>2017</v>
      </c>
      <c r="B918">
        <v>1</v>
      </c>
      <c r="C918" t="s">
        <v>30</v>
      </c>
      <c r="D918" t="s">
        <v>31</v>
      </c>
      <c r="E918" t="s">
        <v>19</v>
      </c>
      <c r="F918" t="s">
        <v>17</v>
      </c>
      <c r="G918">
        <v>52272</v>
      </c>
      <c r="H918">
        <v>411484</v>
      </c>
      <c r="I918">
        <v>315</v>
      </c>
      <c r="J918">
        <v>0.97</v>
      </c>
      <c r="K918">
        <v>6.29</v>
      </c>
      <c r="L918">
        <v>1.2</v>
      </c>
      <c r="M918">
        <v>9</v>
      </c>
      <c r="N918">
        <v>1036</v>
      </c>
    </row>
    <row r="919" spans="1:14" x14ac:dyDescent="0.35">
      <c r="A919">
        <v>2019</v>
      </c>
      <c r="B919">
        <v>9</v>
      </c>
      <c r="C919" t="s">
        <v>21</v>
      </c>
      <c r="D919" t="s">
        <v>22</v>
      </c>
      <c r="E919" t="s">
        <v>16</v>
      </c>
      <c r="F919" t="s">
        <v>27</v>
      </c>
      <c r="G919">
        <v>61619</v>
      </c>
      <c r="H919">
        <v>322168</v>
      </c>
      <c r="I919">
        <v>175</v>
      </c>
      <c r="J919">
        <v>0.97</v>
      </c>
      <c r="K919">
        <v>6.29</v>
      </c>
      <c r="L919">
        <v>1.2</v>
      </c>
      <c r="M919">
        <v>4</v>
      </c>
      <c r="N919">
        <v>606</v>
      </c>
    </row>
    <row r="920" spans="1:14" x14ac:dyDescent="0.35">
      <c r="A920">
        <v>2019</v>
      </c>
      <c r="B920">
        <v>6</v>
      </c>
      <c r="C920" t="s">
        <v>28</v>
      </c>
      <c r="D920" t="s">
        <v>24</v>
      </c>
      <c r="E920" t="s">
        <v>19</v>
      </c>
      <c r="F920" t="s">
        <v>23</v>
      </c>
      <c r="G920">
        <v>110069</v>
      </c>
      <c r="H920">
        <v>244360</v>
      </c>
      <c r="I920">
        <v>288</v>
      </c>
      <c r="J920">
        <v>0.97</v>
      </c>
      <c r="K920">
        <v>6.29</v>
      </c>
      <c r="L920">
        <v>1.2</v>
      </c>
      <c r="M920">
        <v>9</v>
      </c>
      <c r="N920">
        <v>791</v>
      </c>
    </row>
    <row r="921" spans="1:14" x14ac:dyDescent="0.35">
      <c r="A921">
        <v>2019</v>
      </c>
      <c r="B921">
        <v>4</v>
      </c>
      <c r="C921" t="s">
        <v>36</v>
      </c>
      <c r="D921" t="s">
        <v>24</v>
      </c>
      <c r="E921" t="s">
        <v>19</v>
      </c>
      <c r="F921" t="s">
        <v>20</v>
      </c>
      <c r="G921">
        <v>74895</v>
      </c>
      <c r="H921">
        <v>421380</v>
      </c>
      <c r="I921">
        <v>68</v>
      </c>
      <c r="J921">
        <v>0.97</v>
      </c>
      <c r="K921">
        <v>6.29</v>
      </c>
      <c r="L921">
        <v>1.2</v>
      </c>
      <c r="M921">
        <v>10</v>
      </c>
      <c r="N921">
        <v>547</v>
      </c>
    </row>
    <row r="922" spans="1:14" x14ac:dyDescent="0.35">
      <c r="A922">
        <v>2017</v>
      </c>
      <c r="B922">
        <v>12</v>
      </c>
      <c r="C922" t="s">
        <v>36</v>
      </c>
      <c r="D922" t="s">
        <v>26</v>
      </c>
      <c r="E922" t="s">
        <v>20</v>
      </c>
      <c r="F922" t="s">
        <v>27</v>
      </c>
      <c r="G922">
        <v>38720</v>
      </c>
      <c r="H922">
        <v>107836</v>
      </c>
      <c r="I922">
        <v>99</v>
      </c>
      <c r="J922">
        <v>0.97</v>
      </c>
      <c r="K922">
        <v>6.29</v>
      </c>
      <c r="L922">
        <v>1.2</v>
      </c>
      <c r="M922">
        <v>6</v>
      </c>
      <c r="N922">
        <v>349</v>
      </c>
    </row>
    <row r="923" spans="1:14" x14ac:dyDescent="0.35">
      <c r="A923">
        <v>2024</v>
      </c>
      <c r="B923">
        <v>9</v>
      </c>
      <c r="C923" t="s">
        <v>30</v>
      </c>
      <c r="D923" t="s">
        <v>26</v>
      </c>
      <c r="E923" t="s">
        <v>19</v>
      </c>
      <c r="F923" t="s">
        <v>17</v>
      </c>
      <c r="G923">
        <v>54267</v>
      </c>
      <c r="H923">
        <v>319579</v>
      </c>
      <c r="I923">
        <v>380</v>
      </c>
      <c r="J923">
        <v>0.97</v>
      </c>
      <c r="K923">
        <v>6.29</v>
      </c>
      <c r="L923">
        <v>1.2</v>
      </c>
      <c r="M923">
        <v>10</v>
      </c>
      <c r="N923">
        <v>1149</v>
      </c>
    </row>
    <row r="924" spans="1:14" x14ac:dyDescent="0.35">
      <c r="A924">
        <v>2018</v>
      </c>
      <c r="B924">
        <v>11</v>
      </c>
      <c r="C924" t="s">
        <v>14</v>
      </c>
      <c r="D924" t="s">
        <v>15</v>
      </c>
      <c r="E924" t="s">
        <v>19</v>
      </c>
      <c r="F924" t="s">
        <v>17</v>
      </c>
      <c r="G924">
        <v>50696</v>
      </c>
      <c r="H924">
        <v>305095</v>
      </c>
      <c r="I924">
        <v>340</v>
      </c>
      <c r="J924">
        <v>0.97</v>
      </c>
      <c r="K924">
        <v>6.29</v>
      </c>
      <c r="L924">
        <v>1.2</v>
      </c>
      <c r="M924">
        <v>7</v>
      </c>
      <c r="N924">
        <v>898</v>
      </c>
    </row>
    <row r="925" spans="1:14" x14ac:dyDescent="0.35">
      <c r="A925">
        <v>2023</v>
      </c>
      <c r="B925">
        <v>5</v>
      </c>
      <c r="C925" t="s">
        <v>14</v>
      </c>
      <c r="D925" t="s">
        <v>15</v>
      </c>
      <c r="E925" t="s">
        <v>16</v>
      </c>
      <c r="F925" t="s">
        <v>23</v>
      </c>
      <c r="G925">
        <v>64968</v>
      </c>
      <c r="H925">
        <v>382745</v>
      </c>
      <c r="I925">
        <v>203</v>
      </c>
      <c r="J925">
        <v>0.97</v>
      </c>
      <c r="K925">
        <v>6.29</v>
      </c>
      <c r="L925">
        <v>1.2</v>
      </c>
      <c r="M925">
        <v>10</v>
      </c>
      <c r="N925">
        <v>522</v>
      </c>
    </row>
    <row r="926" spans="1:14" x14ac:dyDescent="0.35">
      <c r="A926">
        <v>2024</v>
      </c>
      <c r="B926">
        <v>5</v>
      </c>
      <c r="C926" t="s">
        <v>38</v>
      </c>
      <c r="D926" t="s">
        <v>34</v>
      </c>
      <c r="E926" t="s">
        <v>16</v>
      </c>
      <c r="F926" t="s">
        <v>20</v>
      </c>
      <c r="G926">
        <v>88364</v>
      </c>
      <c r="H926">
        <v>311176</v>
      </c>
      <c r="I926">
        <v>132</v>
      </c>
      <c r="J926">
        <v>0.97</v>
      </c>
      <c r="K926">
        <v>6.29</v>
      </c>
      <c r="L926">
        <v>1.2</v>
      </c>
      <c r="M926">
        <v>3</v>
      </c>
      <c r="N926">
        <v>411</v>
      </c>
    </row>
    <row r="927" spans="1:14" x14ac:dyDescent="0.35">
      <c r="A927">
        <v>2023</v>
      </c>
      <c r="B927">
        <v>12</v>
      </c>
      <c r="C927" t="s">
        <v>37</v>
      </c>
      <c r="D927" t="s">
        <v>33</v>
      </c>
      <c r="E927" t="s">
        <v>20</v>
      </c>
      <c r="F927" t="s">
        <v>23</v>
      </c>
      <c r="G927">
        <v>58345</v>
      </c>
      <c r="H927">
        <v>433015</v>
      </c>
      <c r="I927">
        <v>145</v>
      </c>
      <c r="J927">
        <v>0.97</v>
      </c>
      <c r="K927">
        <v>6.29</v>
      </c>
      <c r="L927">
        <v>1.2</v>
      </c>
      <c r="M927">
        <v>8</v>
      </c>
      <c r="N927">
        <v>334</v>
      </c>
    </row>
    <row r="928" spans="1:14" x14ac:dyDescent="0.35">
      <c r="A928">
        <v>2016</v>
      </c>
      <c r="B928">
        <v>5</v>
      </c>
      <c r="C928" t="s">
        <v>25</v>
      </c>
      <c r="D928" t="s">
        <v>31</v>
      </c>
      <c r="E928" t="s">
        <v>19</v>
      </c>
      <c r="F928" t="s">
        <v>20</v>
      </c>
      <c r="G928">
        <v>86567</v>
      </c>
      <c r="H928">
        <v>299717</v>
      </c>
      <c r="I928">
        <v>148</v>
      </c>
      <c r="J928">
        <v>0.97</v>
      </c>
      <c r="K928">
        <v>6.29</v>
      </c>
      <c r="L928">
        <v>1.2</v>
      </c>
      <c r="M928">
        <v>3</v>
      </c>
      <c r="N928">
        <v>463</v>
      </c>
    </row>
    <row r="929" spans="1:14" x14ac:dyDescent="0.35">
      <c r="A929">
        <v>2022</v>
      </c>
      <c r="B929">
        <v>1</v>
      </c>
      <c r="C929" t="s">
        <v>28</v>
      </c>
      <c r="D929" t="s">
        <v>31</v>
      </c>
      <c r="E929" t="s">
        <v>20</v>
      </c>
      <c r="F929" t="s">
        <v>20</v>
      </c>
      <c r="G929">
        <v>96607</v>
      </c>
      <c r="H929">
        <v>184479</v>
      </c>
      <c r="I929">
        <v>238</v>
      </c>
      <c r="J929">
        <v>0.97</v>
      </c>
      <c r="K929">
        <v>6.29</v>
      </c>
      <c r="L929">
        <v>1.2</v>
      </c>
      <c r="M929">
        <v>1</v>
      </c>
      <c r="N929">
        <v>579</v>
      </c>
    </row>
    <row r="930" spans="1:14" x14ac:dyDescent="0.35">
      <c r="A930">
        <v>2022</v>
      </c>
      <c r="B930">
        <v>1</v>
      </c>
      <c r="C930" t="s">
        <v>21</v>
      </c>
      <c r="D930" t="s">
        <v>29</v>
      </c>
      <c r="E930" t="s">
        <v>16</v>
      </c>
      <c r="F930" t="s">
        <v>23</v>
      </c>
      <c r="G930">
        <v>54385</v>
      </c>
      <c r="H930">
        <v>411087</v>
      </c>
      <c r="I930">
        <v>283</v>
      </c>
      <c r="J930">
        <v>0.97</v>
      </c>
      <c r="K930">
        <v>6.29</v>
      </c>
      <c r="L930">
        <v>1.2</v>
      </c>
      <c r="M930">
        <v>10</v>
      </c>
      <c r="N930">
        <v>881</v>
      </c>
    </row>
    <row r="931" spans="1:14" x14ac:dyDescent="0.35">
      <c r="A931">
        <v>2021</v>
      </c>
      <c r="B931">
        <v>8</v>
      </c>
      <c r="C931" t="s">
        <v>14</v>
      </c>
      <c r="D931" t="s">
        <v>31</v>
      </c>
      <c r="E931" t="s">
        <v>20</v>
      </c>
      <c r="F931" t="s">
        <v>27</v>
      </c>
      <c r="G931">
        <v>118658</v>
      </c>
      <c r="H931">
        <v>82940</v>
      </c>
      <c r="I931">
        <v>59</v>
      </c>
      <c r="J931">
        <v>0.97</v>
      </c>
      <c r="K931">
        <v>6.29</v>
      </c>
      <c r="L931">
        <v>1.2</v>
      </c>
      <c r="M931">
        <v>5</v>
      </c>
      <c r="N931">
        <v>496</v>
      </c>
    </row>
    <row r="932" spans="1:14" x14ac:dyDescent="0.35">
      <c r="A932">
        <v>2022</v>
      </c>
      <c r="B932">
        <v>12</v>
      </c>
      <c r="C932" t="s">
        <v>38</v>
      </c>
      <c r="D932" t="s">
        <v>31</v>
      </c>
      <c r="E932" t="s">
        <v>16</v>
      </c>
      <c r="F932" t="s">
        <v>23</v>
      </c>
      <c r="G932">
        <v>101900</v>
      </c>
      <c r="H932">
        <v>55666</v>
      </c>
      <c r="I932">
        <v>127</v>
      </c>
      <c r="J932">
        <v>0.97</v>
      </c>
      <c r="K932">
        <v>6.29</v>
      </c>
      <c r="L932">
        <v>1.2</v>
      </c>
      <c r="M932">
        <v>2</v>
      </c>
      <c r="N932">
        <v>450</v>
      </c>
    </row>
    <row r="933" spans="1:14" x14ac:dyDescent="0.35">
      <c r="A933">
        <v>2017</v>
      </c>
      <c r="B933">
        <v>8</v>
      </c>
      <c r="C933" t="s">
        <v>38</v>
      </c>
      <c r="D933" t="s">
        <v>33</v>
      </c>
      <c r="E933" t="s">
        <v>20</v>
      </c>
      <c r="F933" t="s">
        <v>23</v>
      </c>
      <c r="G933">
        <v>103244</v>
      </c>
      <c r="H933">
        <v>349266</v>
      </c>
      <c r="I933">
        <v>211</v>
      </c>
      <c r="J933">
        <v>0.97</v>
      </c>
      <c r="K933">
        <v>6.29</v>
      </c>
      <c r="L933">
        <v>1.2</v>
      </c>
      <c r="M933">
        <v>10</v>
      </c>
      <c r="N933">
        <v>821</v>
      </c>
    </row>
    <row r="934" spans="1:14" x14ac:dyDescent="0.35">
      <c r="A934">
        <v>2020</v>
      </c>
      <c r="B934">
        <v>12</v>
      </c>
      <c r="C934" t="s">
        <v>30</v>
      </c>
      <c r="D934" t="s">
        <v>39</v>
      </c>
      <c r="E934" t="s">
        <v>20</v>
      </c>
      <c r="F934" t="s">
        <v>17</v>
      </c>
      <c r="G934">
        <v>100425</v>
      </c>
      <c r="H934">
        <v>430791</v>
      </c>
      <c r="I934">
        <v>200</v>
      </c>
      <c r="J934">
        <v>0.97</v>
      </c>
      <c r="K934">
        <v>6.29</v>
      </c>
      <c r="L934">
        <v>1.2</v>
      </c>
      <c r="M934">
        <v>6</v>
      </c>
      <c r="N934">
        <v>827</v>
      </c>
    </row>
    <row r="935" spans="1:14" x14ac:dyDescent="0.35">
      <c r="A935">
        <v>2015</v>
      </c>
      <c r="B935">
        <v>6</v>
      </c>
      <c r="C935" t="s">
        <v>28</v>
      </c>
      <c r="D935" t="s">
        <v>15</v>
      </c>
      <c r="E935" t="s">
        <v>19</v>
      </c>
      <c r="F935" t="s">
        <v>17</v>
      </c>
      <c r="G935">
        <v>113518</v>
      </c>
      <c r="H935">
        <v>206164</v>
      </c>
      <c r="I935">
        <v>373</v>
      </c>
      <c r="J935">
        <v>0.97</v>
      </c>
      <c r="K935">
        <v>6.29</v>
      </c>
      <c r="L935">
        <v>1.2</v>
      </c>
      <c r="M935">
        <v>10</v>
      </c>
      <c r="N935">
        <v>1156</v>
      </c>
    </row>
    <row r="936" spans="1:14" x14ac:dyDescent="0.35">
      <c r="A936">
        <v>2021</v>
      </c>
      <c r="B936">
        <v>12</v>
      </c>
      <c r="C936" t="s">
        <v>35</v>
      </c>
      <c r="D936" t="s">
        <v>15</v>
      </c>
      <c r="E936" t="s">
        <v>20</v>
      </c>
      <c r="F936" t="s">
        <v>23</v>
      </c>
      <c r="G936">
        <v>117844</v>
      </c>
      <c r="H936">
        <v>441897</v>
      </c>
      <c r="I936">
        <v>332</v>
      </c>
      <c r="J936">
        <v>0.97</v>
      </c>
      <c r="K936">
        <v>6.29</v>
      </c>
      <c r="L936">
        <v>1.2</v>
      </c>
      <c r="M936">
        <v>9</v>
      </c>
      <c r="N936">
        <v>738</v>
      </c>
    </row>
    <row r="937" spans="1:14" x14ac:dyDescent="0.35">
      <c r="A937">
        <v>2015</v>
      </c>
      <c r="B937">
        <v>11</v>
      </c>
      <c r="C937" t="s">
        <v>25</v>
      </c>
      <c r="D937" t="s">
        <v>22</v>
      </c>
      <c r="E937" t="s">
        <v>19</v>
      </c>
      <c r="F937" t="s">
        <v>23</v>
      </c>
      <c r="G937">
        <v>67919</v>
      </c>
      <c r="H937">
        <v>435546</v>
      </c>
      <c r="I937">
        <v>190</v>
      </c>
      <c r="J937">
        <v>0.97</v>
      </c>
      <c r="K937">
        <v>6.29</v>
      </c>
      <c r="L937">
        <v>1.2</v>
      </c>
      <c r="M937">
        <v>1</v>
      </c>
      <c r="N937">
        <v>600</v>
      </c>
    </row>
    <row r="938" spans="1:14" x14ac:dyDescent="0.35">
      <c r="A938">
        <v>2023</v>
      </c>
      <c r="B938">
        <v>4</v>
      </c>
      <c r="C938" t="s">
        <v>37</v>
      </c>
      <c r="D938" t="s">
        <v>31</v>
      </c>
      <c r="E938" t="s">
        <v>19</v>
      </c>
      <c r="F938" t="s">
        <v>17</v>
      </c>
      <c r="G938">
        <v>92196</v>
      </c>
      <c r="H938">
        <v>256717</v>
      </c>
      <c r="I938">
        <v>87</v>
      </c>
      <c r="J938">
        <v>0.97</v>
      </c>
      <c r="K938">
        <v>6.29</v>
      </c>
      <c r="L938">
        <v>1.2</v>
      </c>
      <c r="M938">
        <v>4</v>
      </c>
      <c r="N938">
        <v>566</v>
      </c>
    </row>
    <row r="939" spans="1:14" x14ac:dyDescent="0.35">
      <c r="A939">
        <v>2015</v>
      </c>
      <c r="B939">
        <v>2</v>
      </c>
      <c r="C939" t="s">
        <v>32</v>
      </c>
      <c r="D939" t="s">
        <v>33</v>
      </c>
      <c r="E939" t="s">
        <v>19</v>
      </c>
      <c r="F939" t="s">
        <v>20</v>
      </c>
      <c r="G939">
        <v>114401</v>
      </c>
      <c r="H939">
        <v>413334</v>
      </c>
      <c r="I939">
        <v>84</v>
      </c>
      <c r="J939">
        <v>0.97</v>
      </c>
      <c r="K939">
        <v>6.29</v>
      </c>
      <c r="L939">
        <v>1.2</v>
      </c>
      <c r="M939">
        <v>1</v>
      </c>
      <c r="N939">
        <v>268</v>
      </c>
    </row>
    <row r="940" spans="1:14" x14ac:dyDescent="0.35">
      <c r="A940">
        <v>2015</v>
      </c>
      <c r="B940">
        <v>2</v>
      </c>
      <c r="C940" t="s">
        <v>30</v>
      </c>
      <c r="D940" t="s">
        <v>15</v>
      </c>
      <c r="E940" t="s">
        <v>19</v>
      </c>
      <c r="F940" t="s">
        <v>23</v>
      </c>
      <c r="G940">
        <v>35495</v>
      </c>
      <c r="H940">
        <v>412612</v>
      </c>
      <c r="I940">
        <v>304</v>
      </c>
      <c r="J940">
        <v>0.97</v>
      </c>
      <c r="K940">
        <v>6.29</v>
      </c>
      <c r="L940">
        <v>1.2</v>
      </c>
      <c r="M940">
        <v>1</v>
      </c>
      <c r="N940">
        <v>973</v>
      </c>
    </row>
    <row r="941" spans="1:14" x14ac:dyDescent="0.35">
      <c r="A941">
        <v>2021</v>
      </c>
      <c r="B941">
        <v>9</v>
      </c>
      <c r="C941" t="s">
        <v>25</v>
      </c>
      <c r="D941" t="s">
        <v>33</v>
      </c>
      <c r="E941" t="s">
        <v>20</v>
      </c>
      <c r="F941" t="s">
        <v>27</v>
      </c>
      <c r="G941">
        <v>79755</v>
      </c>
      <c r="H941">
        <v>441351</v>
      </c>
      <c r="I941">
        <v>290</v>
      </c>
      <c r="J941">
        <v>0.97</v>
      </c>
      <c r="K941">
        <v>6.29</v>
      </c>
      <c r="L941">
        <v>1.2</v>
      </c>
      <c r="M941">
        <v>8</v>
      </c>
      <c r="N941">
        <v>602</v>
      </c>
    </row>
    <row r="942" spans="1:14" x14ac:dyDescent="0.35">
      <c r="A942">
        <v>2016</v>
      </c>
      <c r="B942">
        <v>5</v>
      </c>
      <c r="C942" t="s">
        <v>32</v>
      </c>
      <c r="D942" t="s">
        <v>18</v>
      </c>
      <c r="E942" t="s">
        <v>16</v>
      </c>
      <c r="F942" t="s">
        <v>27</v>
      </c>
      <c r="G942">
        <v>102684</v>
      </c>
      <c r="H942">
        <v>76505</v>
      </c>
      <c r="I942">
        <v>30</v>
      </c>
      <c r="J942">
        <v>0.97</v>
      </c>
      <c r="K942">
        <v>6.29</v>
      </c>
      <c r="L942">
        <v>1.2</v>
      </c>
      <c r="M942">
        <v>2</v>
      </c>
      <c r="N942">
        <v>336</v>
      </c>
    </row>
    <row r="943" spans="1:14" x14ac:dyDescent="0.35">
      <c r="A943">
        <v>2019</v>
      </c>
      <c r="B943">
        <v>4</v>
      </c>
      <c r="C943" t="s">
        <v>32</v>
      </c>
      <c r="D943" t="s">
        <v>39</v>
      </c>
      <c r="E943" t="s">
        <v>16</v>
      </c>
      <c r="F943" t="s">
        <v>27</v>
      </c>
      <c r="G943">
        <v>68324</v>
      </c>
      <c r="H943">
        <v>86713</v>
      </c>
      <c r="I943">
        <v>180</v>
      </c>
      <c r="J943">
        <v>0.97</v>
      </c>
      <c r="K943">
        <v>6.29</v>
      </c>
      <c r="L943">
        <v>1.2</v>
      </c>
      <c r="M943">
        <v>1</v>
      </c>
      <c r="N943">
        <v>636</v>
      </c>
    </row>
    <row r="944" spans="1:14" x14ac:dyDescent="0.35">
      <c r="A944">
        <v>2022</v>
      </c>
      <c r="B944">
        <v>10</v>
      </c>
      <c r="C944" t="s">
        <v>28</v>
      </c>
      <c r="D944" t="s">
        <v>31</v>
      </c>
      <c r="E944" t="s">
        <v>16</v>
      </c>
      <c r="F944" t="s">
        <v>23</v>
      </c>
      <c r="G944">
        <v>113929</v>
      </c>
      <c r="H944">
        <v>497603</v>
      </c>
      <c r="I944">
        <v>24</v>
      </c>
      <c r="J944">
        <v>0.97</v>
      </c>
      <c r="K944">
        <v>6.29</v>
      </c>
      <c r="L944">
        <v>1.2</v>
      </c>
      <c r="M944">
        <v>8</v>
      </c>
      <c r="N944">
        <v>324</v>
      </c>
    </row>
    <row r="945" spans="1:14" x14ac:dyDescent="0.35">
      <c r="A945">
        <v>2022</v>
      </c>
      <c r="B945">
        <v>1</v>
      </c>
      <c r="C945" t="s">
        <v>28</v>
      </c>
      <c r="D945" t="s">
        <v>22</v>
      </c>
      <c r="E945" t="s">
        <v>20</v>
      </c>
      <c r="F945" t="s">
        <v>20</v>
      </c>
      <c r="G945">
        <v>36552</v>
      </c>
      <c r="H945">
        <v>355313</v>
      </c>
      <c r="I945">
        <v>220</v>
      </c>
      <c r="J945">
        <v>0.97</v>
      </c>
      <c r="K945">
        <v>6.29</v>
      </c>
      <c r="L945">
        <v>1.2</v>
      </c>
      <c r="M945">
        <v>4</v>
      </c>
      <c r="N945">
        <v>724</v>
      </c>
    </row>
    <row r="946" spans="1:14" x14ac:dyDescent="0.35">
      <c r="A946">
        <v>2017</v>
      </c>
      <c r="B946">
        <v>7</v>
      </c>
      <c r="C946" t="s">
        <v>21</v>
      </c>
      <c r="D946" t="s">
        <v>29</v>
      </c>
      <c r="E946" t="s">
        <v>19</v>
      </c>
      <c r="F946" t="s">
        <v>20</v>
      </c>
      <c r="G946">
        <v>86272</v>
      </c>
      <c r="H946">
        <v>254354</v>
      </c>
      <c r="I946">
        <v>57</v>
      </c>
      <c r="J946">
        <v>0.97</v>
      </c>
      <c r="K946">
        <v>6.29</v>
      </c>
      <c r="L946">
        <v>1.2</v>
      </c>
      <c r="M946">
        <v>3</v>
      </c>
      <c r="N946">
        <v>150</v>
      </c>
    </row>
    <row r="947" spans="1:14" x14ac:dyDescent="0.35">
      <c r="A947">
        <v>2021</v>
      </c>
      <c r="B947">
        <v>3</v>
      </c>
      <c r="C947" t="s">
        <v>38</v>
      </c>
      <c r="D947" t="s">
        <v>15</v>
      </c>
      <c r="E947" t="s">
        <v>16</v>
      </c>
      <c r="F947" t="s">
        <v>17</v>
      </c>
      <c r="G947">
        <v>70853</v>
      </c>
      <c r="H947">
        <v>127511</v>
      </c>
      <c r="I947">
        <v>95</v>
      </c>
      <c r="J947">
        <v>0.97</v>
      </c>
      <c r="K947">
        <v>6.29</v>
      </c>
      <c r="L947">
        <v>1.2</v>
      </c>
      <c r="M947">
        <v>4</v>
      </c>
      <c r="N947">
        <v>429</v>
      </c>
    </row>
    <row r="948" spans="1:14" x14ac:dyDescent="0.35">
      <c r="A948">
        <v>2017</v>
      </c>
      <c r="B948">
        <v>6</v>
      </c>
      <c r="C948" t="s">
        <v>25</v>
      </c>
      <c r="D948" t="s">
        <v>18</v>
      </c>
      <c r="E948" t="s">
        <v>20</v>
      </c>
      <c r="F948" t="s">
        <v>23</v>
      </c>
      <c r="G948">
        <v>67924</v>
      </c>
      <c r="H948">
        <v>494958</v>
      </c>
      <c r="I948">
        <v>158</v>
      </c>
      <c r="J948">
        <v>0.97</v>
      </c>
      <c r="K948">
        <v>6.29</v>
      </c>
      <c r="L948">
        <v>1.2</v>
      </c>
      <c r="M948">
        <v>5</v>
      </c>
      <c r="N948">
        <v>576</v>
      </c>
    </row>
    <row r="949" spans="1:14" x14ac:dyDescent="0.35">
      <c r="A949">
        <v>2020</v>
      </c>
      <c r="B949">
        <v>5</v>
      </c>
      <c r="C949" t="s">
        <v>30</v>
      </c>
      <c r="D949" t="s">
        <v>33</v>
      </c>
      <c r="E949" t="s">
        <v>19</v>
      </c>
      <c r="F949" t="s">
        <v>20</v>
      </c>
      <c r="G949">
        <v>109462</v>
      </c>
      <c r="H949">
        <v>352666</v>
      </c>
      <c r="I949">
        <v>197</v>
      </c>
      <c r="J949">
        <v>0.97</v>
      </c>
      <c r="K949">
        <v>6.29</v>
      </c>
      <c r="L949">
        <v>1.2</v>
      </c>
      <c r="M949">
        <v>1</v>
      </c>
      <c r="N949">
        <v>744</v>
      </c>
    </row>
    <row r="950" spans="1:14" x14ac:dyDescent="0.35">
      <c r="A950">
        <v>2020</v>
      </c>
      <c r="B950">
        <v>5</v>
      </c>
      <c r="C950" t="s">
        <v>36</v>
      </c>
      <c r="D950" t="s">
        <v>26</v>
      </c>
      <c r="E950" t="s">
        <v>16</v>
      </c>
      <c r="F950" t="s">
        <v>23</v>
      </c>
      <c r="G950">
        <v>58889</v>
      </c>
      <c r="H950">
        <v>262204</v>
      </c>
      <c r="I950">
        <v>381</v>
      </c>
      <c r="J950">
        <v>0.97</v>
      </c>
      <c r="K950">
        <v>6.29</v>
      </c>
      <c r="L950">
        <v>1.2</v>
      </c>
      <c r="M950">
        <v>1</v>
      </c>
      <c r="N950">
        <v>819</v>
      </c>
    </row>
    <row r="951" spans="1:14" x14ac:dyDescent="0.35">
      <c r="A951">
        <v>2017</v>
      </c>
      <c r="B951">
        <v>11</v>
      </c>
      <c r="C951" t="s">
        <v>30</v>
      </c>
      <c r="D951" t="s">
        <v>24</v>
      </c>
      <c r="E951" t="s">
        <v>19</v>
      </c>
      <c r="F951" t="s">
        <v>17</v>
      </c>
      <c r="G951">
        <v>89675</v>
      </c>
      <c r="H951">
        <v>300694</v>
      </c>
      <c r="I951">
        <v>315</v>
      </c>
      <c r="J951">
        <v>0.97</v>
      </c>
      <c r="K951">
        <v>6.29</v>
      </c>
      <c r="L951">
        <v>1.2</v>
      </c>
      <c r="M951">
        <v>3</v>
      </c>
      <c r="N951">
        <v>1029</v>
      </c>
    </row>
    <row r="952" spans="1:14" x14ac:dyDescent="0.35">
      <c r="A952">
        <v>2021</v>
      </c>
      <c r="B952">
        <v>5</v>
      </c>
      <c r="C952" t="s">
        <v>21</v>
      </c>
      <c r="D952" t="s">
        <v>31</v>
      </c>
      <c r="E952" t="s">
        <v>16</v>
      </c>
      <c r="F952" t="s">
        <v>17</v>
      </c>
      <c r="G952">
        <v>108591</v>
      </c>
      <c r="H952">
        <v>299836</v>
      </c>
      <c r="I952">
        <v>160</v>
      </c>
      <c r="J952">
        <v>0.97</v>
      </c>
      <c r="K952">
        <v>6.29</v>
      </c>
      <c r="L952">
        <v>1.2</v>
      </c>
      <c r="M952">
        <v>6</v>
      </c>
      <c r="N952">
        <v>403</v>
      </c>
    </row>
    <row r="953" spans="1:14" x14ac:dyDescent="0.35">
      <c r="A953">
        <v>2017</v>
      </c>
      <c r="B953">
        <v>1</v>
      </c>
      <c r="C953" t="s">
        <v>37</v>
      </c>
      <c r="D953" t="s">
        <v>31</v>
      </c>
      <c r="E953" t="s">
        <v>16</v>
      </c>
      <c r="F953" t="s">
        <v>17</v>
      </c>
      <c r="G953">
        <v>105190</v>
      </c>
      <c r="H953">
        <v>284561</v>
      </c>
      <c r="I953">
        <v>150</v>
      </c>
      <c r="J953">
        <v>0.97</v>
      </c>
      <c r="K953">
        <v>6.29</v>
      </c>
      <c r="L953">
        <v>1.2</v>
      </c>
      <c r="M953">
        <v>1</v>
      </c>
      <c r="N953">
        <v>515</v>
      </c>
    </row>
    <row r="954" spans="1:14" x14ac:dyDescent="0.35">
      <c r="A954">
        <v>2022</v>
      </c>
      <c r="B954">
        <v>1</v>
      </c>
      <c r="C954" t="s">
        <v>38</v>
      </c>
      <c r="D954" t="s">
        <v>18</v>
      </c>
      <c r="E954" t="s">
        <v>16</v>
      </c>
      <c r="F954" t="s">
        <v>27</v>
      </c>
      <c r="G954">
        <v>57634</v>
      </c>
      <c r="H954">
        <v>411541</v>
      </c>
      <c r="I954">
        <v>78</v>
      </c>
      <c r="J954">
        <v>0.97</v>
      </c>
      <c r="K954">
        <v>6.29</v>
      </c>
      <c r="L954">
        <v>1.2</v>
      </c>
      <c r="M954">
        <v>2</v>
      </c>
      <c r="N954">
        <v>557</v>
      </c>
    </row>
    <row r="955" spans="1:14" x14ac:dyDescent="0.35">
      <c r="A955">
        <v>2024</v>
      </c>
      <c r="B955">
        <v>3</v>
      </c>
      <c r="C955" t="s">
        <v>36</v>
      </c>
      <c r="D955" t="s">
        <v>33</v>
      </c>
      <c r="E955" t="s">
        <v>19</v>
      </c>
      <c r="F955" t="s">
        <v>23</v>
      </c>
      <c r="G955">
        <v>67363</v>
      </c>
      <c r="H955">
        <v>53880</v>
      </c>
      <c r="I955">
        <v>269</v>
      </c>
      <c r="J955">
        <v>0.97</v>
      </c>
      <c r="K955">
        <v>6.29</v>
      </c>
      <c r="L955">
        <v>1.2</v>
      </c>
      <c r="M955">
        <v>7</v>
      </c>
      <c r="N955">
        <v>607</v>
      </c>
    </row>
    <row r="956" spans="1:14" x14ac:dyDescent="0.35">
      <c r="A956">
        <v>2018</v>
      </c>
      <c r="B956">
        <v>12</v>
      </c>
      <c r="C956" t="s">
        <v>14</v>
      </c>
      <c r="D956" t="s">
        <v>34</v>
      </c>
      <c r="E956" t="s">
        <v>20</v>
      </c>
      <c r="F956" t="s">
        <v>17</v>
      </c>
      <c r="G956">
        <v>98752</v>
      </c>
      <c r="H956">
        <v>486670</v>
      </c>
      <c r="I956">
        <v>343</v>
      </c>
      <c r="J956">
        <v>0.97</v>
      </c>
      <c r="K956">
        <v>6.29</v>
      </c>
      <c r="L956">
        <v>1.2</v>
      </c>
      <c r="M956">
        <v>1</v>
      </c>
      <c r="N956">
        <v>1116</v>
      </c>
    </row>
    <row r="957" spans="1:14" x14ac:dyDescent="0.35">
      <c r="A957">
        <v>2015</v>
      </c>
      <c r="B957">
        <v>10</v>
      </c>
      <c r="C957" t="s">
        <v>37</v>
      </c>
      <c r="D957" t="s">
        <v>31</v>
      </c>
      <c r="E957" t="s">
        <v>19</v>
      </c>
      <c r="F957" t="s">
        <v>23</v>
      </c>
      <c r="G957">
        <v>112004</v>
      </c>
      <c r="H957">
        <v>498927</v>
      </c>
      <c r="I957">
        <v>18</v>
      </c>
      <c r="J957">
        <v>0.97</v>
      </c>
      <c r="K957">
        <v>6.29</v>
      </c>
      <c r="L957">
        <v>1.2</v>
      </c>
      <c r="M957">
        <v>7</v>
      </c>
      <c r="N957">
        <v>130</v>
      </c>
    </row>
    <row r="958" spans="1:14" x14ac:dyDescent="0.35">
      <c r="A958">
        <v>2018</v>
      </c>
      <c r="B958">
        <v>4</v>
      </c>
      <c r="C958" t="s">
        <v>28</v>
      </c>
      <c r="D958" t="s">
        <v>34</v>
      </c>
      <c r="E958" t="s">
        <v>16</v>
      </c>
      <c r="F958" t="s">
        <v>27</v>
      </c>
      <c r="G958">
        <v>91398</v>
      </c>
      <c r="H958">
        <v>93539</v>
      </c>
      <c r="I958">
        <v>130</v>
      </c>
      <c r="J958">
        <v>0.97</v>
      </c>
      <c r="K958">
        <v>6.29</v>
      </c>
      <c r="L958">
        <v>1.2</v>
      </c>
      <c r="M958">
        <v>4</v>
      </c>
      <c r="N958">
        <v>559</v>
      </c>
    </row>
    <row r="959" spans="1:14" x14ac:dyDescent="0.35">
      <c r="A959">
        <v>2021</v>
      </c>
      <c r="B959">
        <v>5</v>
      </c>
      <c r="C959" t="s">
        <v>32</v>
      </c>
      <c r="D959" t="s">
        <v>26</v>
      </c>
      <c r="E959" t="s">
        <v>19</v>
      </c>
      <c r="F959" t="s">
        <v>27</v>
      </c>
      <c r="G959">
        <v>75718</v>
      </c>
      <c r="H959">
        <v>290056</v>
      </c>
      <c r="I959">
        <v>380</v>
      </c>
      <c r="J959">
        <v>0.97</v>
      </c>
      <c r="K959">
        <v>6.29</v>
      </c>
      <c r="L959">
        <v>1.2</v>
      </c>
      <c r="M959">
        <v>10</v>
      </c>
      <c r="N959">
        <v>1088</v>
      </c>
    </row>
    <row r="960" spans="1:14" x14ac:dyDescent="0.35">
      <c r="A960">
        <v>2018</v>
      </c>
      <c r="B960">
        <v>2</v>
      </c>
      <c r="C960" t="s">
        <v>14</v>
      </c>
      <c r="D960" t="s">
        <v>18</v>
      </c>
      <c r="E960" t="s">
        <v>20</v>
      </c>
      <c r="F960" t="s">
        <v>17</v>
      </c>
      <c r="G960">
        <v>117916</v>
      </c>
      <c r="H960">
        <v>269057</v>
      </c>
      <c r="I960">
        <v>110</v>
      </c>
      <c r="J960">
        <v>0.97</v>
      </c>
      <c r="K960">
        <v>6.29</v>
      </c>
      <c r="L960">
        <v>1.2</v>
      </c>
      <c r="M960">
        <v>6</v>
      </c>
      <c r="N960">
        <v>360</v>
      </c>
    </row>
    <row r="961" spans="1:14" x14ac:dyDescent="0.35">
      <c r="A961">
        <v>2020</v>
      </c>
      <c r="B961">
        <v>8</v>
      </c>
      <c r="C961" t="s">
        <v>30</v>
      </c>
      <c r="D961" t="s">
        <v>33</v>
      </c>
      <c r="E961" t="s">
        <v>19</v>
      </c>
      <c r="F961" t="s">
        <v>17</v>
      </c>
      <c r="G961">
        <v>61870</v>
      </c>
      <c r="H961">
        <v>64799</v>
      </c>
      <c r="I961">
        <v>158</v>
      </c>
      <c r="J961">
        <v>0.97</v>
      </c>
      <c r="K961">
        <v>6.29</v>
      </c>
      <c r="L961">
        <v>1.2</v>
      </c>
      <c r="M961">
        <v>8</v>
      </c>
      <c r="N961">
        <v>740</v>
      </c>
    </row>
    <row r="962" spans="1:14" x14ac:dyDescent="0.35">
      <c r="A962">
        <v>2023</v>
      </c>
      <c r="B962">
        <v>11</v>
      </c>
      <c r="C962" t="s">
        <v>30</v>
      </c>
      <c r="D962" t="s">
        <v>33</v>
      </c>
      <c r="E962" t="s">
        <v>20</v>
      </c>
      <c r="F962" t="s">
        <v>20</v>
      </c>
      <c r="G962">
        <v>72394</v>
      </c>
      <c r="H962">
        <v>154843</v>
      </c>
      <c r="I962">
        <v>155</v>
      </c>
      <c r="J962">
        <v>0.97</v>
      </c>
      <c r="K962">
        <v>6.29</v>
      </c>
      <c r="L962">
        <v>1.2</v>
      </c>
      <c r="M962">
        <v>9</v>
      </c>
      <c r="N962">
        <v>521</v>
      </c>
    </row>
    <row r="963" spans="1:14" x14ac:dyDescent="0.35">
      <c r="A963">
        <v>2015</v>
      </c>
      <c r="B963">
        <v>11</v>
      </c>
      <c r="C963" t="s">
        <v>28</v>
      </c>
      <c r="D963" t="s">
        <v>39</v>
      </c>
      <c r="E963" t="s">
        <v>20</v>
      </c>
      <c r="F963" t="s">
        <v>23</v>
      </c>
      <c r="G963">
        <v>87057</v>
      </c>
      <c r="H963">
        <v>493942</v>
      </c>
      <c r="I963">
        <v>362</v>
      </c>
      <c r="J963">
        <v>0.97</v>
      </c>
      <c r="K963">
        <v>6.29</v>
      </c>
      <c r="L963">
        <v>1.2</v>
      </c>
      <c r="M963">
        <v>6</v>
      </c>
      <c r="N963">
        <v>1196</v>
      </c>
    </row>
    <row r="964" spans="1:14" x14ac:dyDescent="0.35">
      <c r="A964">
        <v>2019</v>
      </c>
      <c r="B964">
        <v>2</v>
      </c>
      <c r="C964" t="s">
        <v>21</v>
      </c>
      <c r="D964" t="s">
        <v>24</v>
      </c>
      <c r="E964" t="s">
        <v>19</v>
      </c>
      <c r="F964" t="s">
        <v>17</v>
      </c>
      <c r="G964">
        <v>114795</v>
      </c>
      <c r="H964">
        <v>98784</v>
      </c>
      <c r="I964">
        <v>252</v>
      </c>
      <c r="J964">
        <v>0.97</v>
      </c>
      <c r="K964">
        <v>6.29</v>
      </c>
      <c r="L964">
        <v>1.2</v>
      </c>
      <c r="M964">
        <v>9</v>
      </c>
      <c r="N964">
        <v>724</v>
      </c>
    </row>
    <row r="965" spans="1:14" x14ac:dyDescent="0.35">
      <c r="A965">
        <v>2021</v>
      </c>
      <c r="B965">
        <v>9</v>
      </c>
      <c r="C965" t="s">
        <v>25</v>
      </c>
      <c r="D965" t="s">
        <v>15</v>
      </c>
      <c r="E965" t="s">
        <v>16</v>
      </c>
      <c r="F965" t="s">
        <v>20</v>
      </c>
      <c r="G965">
        <v>115409</v>
      </c>
      <c r="H965">
        <v>163034</v>
      </c>
      <c r="I965">
        <v>250</v>
      </c>
      <c r="J965">
        <v>0.97</v>
      </c>
      <c r="K965">
        <v>6.29</v>
      </c>
      <c r="L965">
        <v>1.2</v>
      </c>
      <c r="M965">
        <v>4</v>
      </c>
      <c r="N965">
        <v>710</v>
      </c>
    </row>
    <row r="966" spans="1:14" x14ac:dyDescent="0.35">
      <c r="A966">
        <v>2015</v>
      </c>
      <c r="B966">
        <v>2</v>
      </c>
      <c r="C966" t="s">
        <v>14</v>
      </c>
      <c r="D966" t="s">
        <v>15</v>
      </c>
      <c r="E966" t="s">
        <v>20</v>
      </c>
      <c r="F966" t="s">
        <v>23</v>
      </c>
      <c r="G966">
        <v>48016</v>
      </c>
      <c r="H966">
        <v>486549</v>
      </c>
      <c r="I966">
        <v>346</v>
      </c>
      <c r="J966">
        <v>0.97</v>
      </c>
      <c r="K966">
        <v>6.29</v>
      </c>
      <c r="L966">
        <v>1.2</v>
      </c>
      <c r="M966">
        <v>6</v>
      </c>
      <c r="N966">
        <v>1156</v>
      </c>
    </row>
    <row r="967" spans="1:14" x14ac:dyDescent="0.35">
      <c r="A967">
        <v>2018</v>
      </c>
      <c r="B967">
        <v>9</v>
      </c>
      <c r="C967" t="s">
        <v>14</v>
      </c>
      <c r="D967" t="s">
        <v>29</v>
      </c>
      <c r="E967" t="s">
        <v>19</v>
      </c>
      <c r="F967" t="s">
        <v>17</v>
      </c>
      <c r="G967">
        <v>77137</v>
      </c>
      <c r="H967">
        <v>484044</v>
      </c>
      <c r="I967">
        <v>52</v>
      </c>
      <c r="J967">
        <v>0.97</v>
      </c>
      <c r="K967">
        <v>6.29</v>
      </c>
      <c r="L967">
        <v>1.2</v>
      </c>
      <c r="M967">
        <v>8</v>
      </c>
      <c r="N967">
        <v>243</v>
      </c>
    </row>
    <row r="968" spans="1:14" x14ac:dyDescent="0.35">
      <c r="A968">
        <v>2020</v>
      </c>
      <c r="B968">
        <v>7</v>
      </c>
      <c r="C968" t="s">
        <v>35</v>
      </c>
      <c r="D968" t="s">
        <v>22</v>
      </c>
      <c r="E968" t="s">
        <v>20</v>
      </c>
      <c r="F968" t="s">
        <v>20</v>
      </c>
      <c r="G968">
        <v>35153</v>
      </c>
      <c r="H968">
        <v>250598</v>
      </c>
      <c r="I968">
        <v>104</v>
      </c>
      <c r="J968">
        <v>0.97</v>
      </c>
      <c r="K968">
        <v>6.29</v>
      </c>
      <c r="L968">
        <v>1.2</v>
      </c>
      <c r="M968">
        <v>9</v>
      </c>
      <c r="N968">
        <v>630</v>
      </c>
    </row>
    <row r="969" spans="1:14" x14ac:dyDescent="0.35">
      <c r="A969">
        <v>2016</v>
      </c>
      <c r="B969">
        <v>8</v>
      </c>
      <c r="C969" t="s">
        <v>37</v>
      </c>
      <c r="D969" t="s">
        <v>18</v>
      </c>
      <c r="E969" t="s">
        <v>16</v>
      </c>
      <c r="F969" t="s">
        <v>20</v>
      </c>
      <c r="G969">
        <v>42853</v>
      </c>
      <c r="H969">
        <v>104362</v>
      </c>
      <c r="I969">
        <v>235</v>
      </c>
      <c r="J969">
        <v>0.97</v>
      </c>
      <c r="K969">
        <v>6.29</v>
      </c>
      <c r="L969">
        <v>1.2</v>
      </c>
      <c r="M969">
        <v>3</v>
      </c>
      <c r="N969">
        <v>666</v>
      </c>
    </row>
    <row r="970" spans="1:14" x14ac:dyDescent="0.35">
      <c r="A970">
        <v>2024</v>
      </c>
      <c r="B970">
        <v>11</v>
      </c>
      <c r="C970" t="s">
        <v>38</v>
      </c>
      <c r="D970" t="s">
        <v>26</v>
      </c>
      <c r="E970" t="s">
        <v>19</v>
      </c>
      <c r="F970" t="s">
        <v>23</v>
      </c>
      <c r="G970">
        <v>47379</v>
      </c>
      <c r="H970">
        <v>103997</v>
      </c>
      <c r="I970">
        <v>15</v>
      </c>
      <c r="J970">
        <v>0.97</v>
      </c>
      <c r="K970">
        <v>6.29</v>
      </c>
      <c r="L970">
        <v>1.2</v>
      </c>
      <c r="M970">
        <v>2</v>
      </c>
      <c r="N970">
        <v>59</v>
      </c>
    </row>
    <row r="971" spans="1:14" x14ac:dyDescent="0.35">
      <c r="A971">
        <v>2019</v>
      </c>
      <c r="B971">
        <v>2</v>
      </c>
      <c r="C971" t="s">
        <v>37</v>
      </c>
      <c r="D971" t="s">
        <v>33</v>
      </c>
      <c r="E971" t="s">
        <v>19</v>
      </c>
      <c r="F971" t="s">
        <v>20</v>
      </c>
      <c r="G971">
        <v>50792</v>
      </c>
      <c r="H971">
        <v>231413</v>
      </c>
      <c r="I971">
        <v>223</v>
      </c>
      <c r="J971">
        <v>0.97</v>
      </c>
      <c r="K971">
        <v>6.29</v>
      </c>
      <c r="L971">
        <v>1.2</v>
      </c>
      <c r="M971">
        <v>6</v>
      </c>
      <c r="N971">
        <v>804</v>
      </c>
    </row>
    <row r="972" spans="1:14" x14ac:dyDescent="0.35">
      <c r="A972">
        <v>2024</v>
      </c>
      <c r="B972">
        <v>7</v>
      </c>
      <c r="C972" t="s">
        <v>25</v>
      </c>
      <c r="D972" t="s">
        <v>24</v>
      </c>
      <c r="E972" t="s">
        <v>19</v>
      </c>
      <c r="F972" t="s">
        <v>23</v>
      </c>
      <c r="G972">
        <v>73367</v>
      </c>
      <c r="H972">
        <v>462289</v>
      </c>
      <c r="I972">
        <v>215</v>
      </c>
      <c r="J972">
        <v>0.97</v>
      </c>
      <c r="K972">
        <v>6.29</v>
      </c>
      <c r="L972">
        <v>1.2</v>
      </c>
      <c r="M972">
        <v>4</v>
      </c>
      <c r="N972">
        <v>596</v>
      </c>
    </row>
    <row r="973" spans="1:14" x14ac:dyDescent="0.35">
      <c r="A973">
        <v>2015</v>
      </c>
      <c r="B973">
        <v>12</v>
      </c>
      <c r="C973" t="s">
        <v>30</v>
      </c>
      <c r="D973" t="s">
        <v>34</v>
      </c>
      <c r="E973" t="s">
        <v>16</v>
      </c>
      <c r="F973" t="s">
        <v>23</v>
      </c>
      <c r="G973">
        <v>53100</v>
      </c>
      <c r="H973">
        <v>414543</v>
      </c>
      <c r="I973">
        <v>76</v>
      </c>
      <c r="J973">
        <v>0.97</v>
      </c>
      <c r="K973">
        <v>6.29</v>
      </c>
      <c r="L973">
        <v>1.2</v>
      </c>
      <c r="M973">
        <v>1</v>
      </c>
      <c r="N973">
        <v>320</v>
      </c>
    </row>
    <row r="974" spans="1:14" x14ac:dyDescent="0.35">
      <c r="A974">
        <v>2020</v>
      </c>
      <c r="B974">
        <v>6</v>
      </c>
      <c r="C974" t="s">
        <v>30</v>
      </c>
      <c r="D974" t="s">
        <v>18</v>
      </c>
      <c r="E974" t="s">
        <v>20</v>
      </c>
      <c r="F974" t="s">
        <v>23</v>
      </c>
      <c r="G974">
        <v>98456</v>
      </c>
      <c r="H974">
        <v>326693</v>
      </c>
      <c r="I974">
        <v>109</v>
      </c>
      <c r="J974">
        <v>0.97</v>
      </c>
      <c r="K974">
        <v>6.29</v>
      </c>
      <c r="L974">
        <v>1.2</v>
      </c>
      <c r="M974">
        <v>8</v>
      </c>
      <c r="N974">
        <v>565</v>
      </c>
    </row>
    <row r="975" spans="1:14" x14ac:dyDescent="0.35">
      <c r="A975">
        <v>2020</v>
      </c>
      <c r="B975">
        <v>4</v>
      </c>
      <c r="C975" t="s">
        <v>30</v>
      </c>
      <c r="D975" t="s">
        <v>29</v>
      </c>
      <c r="E975" t="s">
        <v>19</v>
      </c>
      <c r="F975" t="s">
        <v>27</v>
      </c>
      <c r="G975">
        <v>46049</v>
      </c>
      <c r="H975">
        <v>369064</v>
      </c>
      <c r="I975">
        <v>21</v>
      </c>
      <c r="J975">
        <v>0.97</v>
      </c>
      <c r="K975">
        <v>6.29</v>
      </c>
      <c r="L975">
        <v>1.2</v>
      </c>
      <c r="M975">
        <v>9</v>
      </c>
      <c r="N975">
        <v>96</v>
      </c>
    </row>
    <row r="976" spans="1:14" x14ac:dyDescent="0.35">
      <c r="A976">
        <v>2018</v>
      </c>
      <c r="B976">
        <v>7</v>
      </c>
      <c r="C976" t="s">
        <v>35</v>
      </c>
      <c r="D976" t="s">
        <v>18</v>
      </c>
      <c r="E976" t="s">
        <v>20</v>
      </c>
      <c r="F976" t="s">
        <v>20</v>
      </c>
      <c r="G976">
        <v>35786</v>
      </c>
      <c r="H976">
        <v>266398</v>
      </c>
      <c r="I976">
        <v>246</v>
      </c>
      <c r="J976">
        <v>0.97</v>
      </c>
      <c r="K976">
        <v>6.29</v>
      </c>
      <c r="L976">
        <v>1.2</v>
      </c>
      <c r="M976">
        <v>9</v>
      </c>
      <c r="N976">
        <v>575</v>
      </c>
    </row>
    <row r="977" spans="1:14" x14ac:dyDescent="0.35">
      <c r="A977">
        <v>2022</v>
      </c>
      <c r="B977">
        <v>4</v>
      </c>
      <c r="C977" t="s">
        <v>30</v>
      </c>
      <c r="D977" t="s">
        <v>29</v>
      </c>
      <c r="E977" t="s">
        <v>20</v>
      </c>
      <c r="F977" t="s">
        <v>23</v>
      </c>
      <c r="G977">
        <v>104904</v>
      </c>
      <c r="H977">
        <v>310464</v>
      </c>
      <c r="I977">
        <v>331</v>
      </c>
      <c r="J977">
        <v>0.97</v>
      </c>
      <c r="K977">
        <v>6.29</v>
      </c>
      <c r="L977">
        <v>1.2</v>
      </c>
      <c r="M977">
        <v>2</v>
      </c>
      <c r="N977">
        <v>968</v>
      </c>
    </row>
    <row r="978" spans="1:14" x14ac:dyDescent="0.35">
      <c r="A978">
        <v>2018</v>
      </c>
      <c r="B978">
        <v>2</v>
      </c>
      <c r="C978" t="s">
        <v>25</v>
      </c>
      <c r="D978" t="s">
        <v>33</v>
      </c>
      <c r="E978" t="s">
        <v>16</v>
      </c>
      <c r="F978" t="s">
        <v>17</v>
      </c>
      <c r="G978">
        <v>65699</v>
      </c>
      <c r="H978">
        <v>463532</v>
      </c>
      <c r="I978">
        <v>267</v>
      </c>
      <c r="J978">
        <v>0.97</v>
      </c>
      <c r="K978">
        <v>6.29</v>
      </c>
      <c r="L978">
        <v>1.2</v>
      </c>
      <c r="M978">
        <v>9</v>
      </c>
      <c r="N978">
        <v>582</v>
      </c>
    </row>
    <row r="979" spans="1:14" x14ac:dyDescent="0.35">
      <c r="A979">
        <v>2022</v>
      </c>
      <c r="B979">
        <v>10</v>
      </c>
      <c r="C979" t="s">
        <v>28</v>
      </c>
      <c r="D979" t="s">
        <v>22</v>
      </c>
      <c r="E979" t="s">
        <v>19</v>
      </c>
      <c r="F979" t="s">
        <v>27</v>
      </c>
      <c r="G979">
        <v>82691</v>
      </c>
      <c r="H979">
        <v>207255</v>
      </c>
      <c r="I979">
        <v>346</v>
      </c>
      <c r="J979">
        <v>0.97</v>
      </c>
      <c r="K979">
        <v>6.29</v>
      </c>
      <c r="L979">
        <v>1.2</v>
      </c>
      <c r="M979">
        <v>7</v>
      </c>
      <c r="N979">
        <v>1124</v>
      </c>
    </row>
    <row r="980" spans="1:14" x14ac:dyDescent="0.35">
      <c r="A980">
        <v>2022</v>
      </c>
      <c r="B980">
        <v>12</v>
      </c>
      <c r="C980" t="s">
        <v>38</v>
      </c>
      <c r="D980" t="s">
        <v>29</v>
      </c>
      <c r="E980" t="s">
        <v>20</v>
      </c>
      <c r="F980" t="s">
        <v>27</v>
      </c>
      <c r="G980">
        <v>72040</v>
      </c>
      <c r="H980">
        <v>406004</v>
      </c>
      <c r="I980">
        <v>144</v>
      </c>
      <c r="J980">
        <v>0.97</v>
      </c>
      <c r="K980">
        <v>6.29</v>
      </c>
      <c r="L980">
        <v>1.2</v>
      </c>
      <c r="M980">
        <v>5</v>
      </c>
      <c r="N980">
        <v>697</v>
      </c>
    </row>
    <row r="981" spans="1:14" x14ac:dyDescent="0.35">
      <c r="A981">
        <v>2019</v>
      </c>
      <c r="B981">
        <v>7</v>
      </c>
      <c r="C981" t="s">
        <v>25</v>
      </c>
      <c r="D981" t="s">
        <v>33</v>
      </c>
      <c r="E981" t="s">
        <v>19</v>
      </c>
      <c r="F981" t="s">
        <v>20</v>
      </c>
      <c r="G981">
        <v>92986</v>
      </c>
      <c r="H981">
        <v>74624</v>
      </c>
      <c r="I981">
        <v>231</v>
      </c>
      <c r="J981">
        <v>0.97</v>
      </c>
      <c r="K981">
        <v>6.29</v>
      </c>
      <c r="L981">
        <v>1.2</v>
      </c>
      <c r="M981">
        <v>7</v>
      </c>
      <c r="N981">
        <v>704</v>
      </c>
    </row>
    <row r="982" spans="1:14" x14ac:dyDescent="0.35">
      <c r="A982">
        <v>2018</v>
      </c>
      <c r="B982">
        <v>8</v>
      </c>
      <c r="C982" t="s">
        <v>38</v>
      </c>
      <c r="D982" t="s">
        <v>33</v>
      </c>
      <c r="E982" t="s">
        <v>19</v>
      </c>
      <c r="F982" t="s">
        <v>23</v>
      </c>
      <c r="G982">
        <v>73762</v>
      </c>
      <c r="H982">
        <v>243587</v>
      </c>
      <c r="I982">
        <v>165</v>
      </c>
      <c r="J982">
        <v>0.97</v>
      </c>
      <c r="K982">
        <v>6.29</v>
      </c>
      <c r="L982">
        <v>1.2</v>
      </c>
      <c r="M982">
        <v>9</v>
      </c>
      <c r="N982">
        <v>332</v>
      </c>
    </row>
    <row r="983" spans="1:14" x14ac:dyDescent="0.35">
      <c r="A983">
        <v>2016</v>
      </c>
      <c r="B983">
        <v>2</v>
      </c>
      <c r="C983" t="s">
        <v>25</v>
      </c>
      <c r="D983" t="s">
        <v>22</v>
      </c>
      <c r="E983" t="s">
        <v>16</v>
      </c>
      <c r="F983" t="s">
        <v>20</v>
      </c>
      <c r="G983">
        <v>58600</v>
      </c>
      <c r="H983">
        <v>284784</v>
      </c>
      <c r="I983">
        <v>151</v>
      </c>
      <c r="J983">
        <v>0.97</v>
      </c>
      <c r="K983">
        <v>6.29</v>
      </c>
      <c r="L983">
        <v>1.2</v>
      </c>
      <c r="M983">
        <v>8</v>
      </c>
      <c r="N983">
        <v>654</v>
      </c>
    </row>
    <row r="984" spans="1:14" x14ac:dyDescent="0.35">
      <c r="A984">
        <v>2017</v>
      </c>
      <c r="B984">
        <v>5</v>
      </c>
      <c r="C984" t="s">
        <v>30</v>
      </c>
      <c r="D984" t="s">
        <v>15</v>
      </c>
      <c r="E984" t="s">
        <v>19</v>
      </c>
      <c r="F984" t="s">
        <v>27</v>
      </c>
      <c r="G984">
        <v>54810</v>
      </c>
      <c r="H984">
        <v>96705</v>
      </c>
      <c r="I984">
        <v>167</v>
      </c>
      <c r="J984">
        <v>0.97</v>
      </c>
      <c r="K984">
        <v>6.29</v>
      </c>
      <c r="L984">
        <v>1.2</v>
      </c>
      <c r="M984">
        <v>6</v>
      </c>
      <c r="N984">
        <v>663</v>
      </c>
    </row>
    <row r="985" spans="1:14" x14ac:dyDescent="0.35">
      <c r="A985">
        <v>2017</v>
      </c>
      <c r="B985">
        <v>1</v>
      </c>
      <c r="C985" t="s">
        <v>28</v>
      </c>
      <c r="D985" t="s">
        <v>18</v>
      </c>
      <c r="E985" t="s">
        <v>19</v>
      </c>
      <c r="F985" t="s">
        <v>23</v>
      </c>
      <c r="G985">
        <v>92204</v>
      </c>
      <c r="H985">
        <v>139326</v>
      </c>
      <c r="I985">
        <v>335</v>
      </c>
      <c r="J985">
        <v>0.97</v>
      </c>
      <c r="K985">
        <v>6.29</v>
      </c>
      <c r="L985">
        <v>1.2</v>
      </c>
      <c r="M985">
        <v>4</v>
      </c>
      <c r="N985">
        <v>698</v>
      </c>
    </row>
    <row r="986" spans="1:14" x14ac:dyDescent="0.35">
      <c r="A986">
        <v>2018</v>
      </c>
      <c r="B986">
        <v>7</v>
      </c>
      <c r="C986" t="s">
        <v>14</v>
      </c>
      <c r="D986" t="s">
        <v>31</v>
      </c>
      <c r="E986" t="s">
        <v>20</v>
      </c>
      <c r="F986" t="s">
        <v>17</v>
      </c>
      <c r="G986">
        <v>55085</v>
      </c>
      <c r="H986">
        <v>469972</v>
      </c>
      <c r="I986">
        <v>380</v>
      </c>
      <c r="J986">
        <v>0.97</v>
      </c>
      <c r="K986">
        <v>6.29</v>
      </c>
      <c r="L986">
        <v>1.2</v>
      </c>
      <c r="M986">
        <v>1</v>
      </c>
      <c r="N986">
        <v>880</v>
      </c>
    </row>
    <row r="987" spans="1:14" x14ac:dyDescent="0.35">
      <c r="A987">
        <v>2018</v>
      </c>
      <c r="B987">
        <v>8</v>
      </c>
      <c r="C987" t="s">
        <v>37</v>
      </c>
      <c r="D987" t="s">
        <v>31</v>
      </c>
      <c r="E987" t="s">
        <v>16</v>
      </c>
      <c r="F987" t="s">
        <v>23</v>
      </c>
      <c r="G987">
        <v>81854</v>
      </c>
      <c r="H987">
        <v>372534</v>
      </c>
      <c r="I987">
        <v>353</v>
      </c>
      <c r="J987">
        <v>0.97</v>
      </c>
      <c r="K987">
        <v>6.29</v>
      </c>
      <c r="L987">
        <v>1.2</v>
      </c>
      <c r="M987">
        <v>6</v>
      </c>
      <c r="N987">
        <v>887</v>
      </c>
    </row>
    <row r="988" spans="1:14" x14ac:dyDescent="0.35">
      <c r="A988">
        <v>2024</v>
      </c>
      <c r="B988">
        <v>6</v>
      </c>
      <c r="C988" t="s">
        <v>32</v>
      </c>
      <c r="D988" t="s">
        <v>34</v>
      </c>
      <c r="E988" t="s">
        <v>19</v>
      </c>
      <c r="F988" t="s">
        <v>27</v>
      </c>
      <c r="G988">
        <v>109797</v>
      </c>
      <c r="H988">
        <v>118369</v>
      </c>
      <c r="I988">
        <v>271</v>
      </c>
      <c r="J988">
        <v>0.97</v>
      </c>
      <c r="K988">
        <v>6.29</v>
      </c>
      <c r="L988">
        <v>1.2</v>
      </c>
      <c r="M988">
        <v>3</v>
      </c>
      <c r="N988">
        <v>720</v>
      </c>
    </row>
    <row r="989" spans="1:14" x14ac:dyDescent="0.35">
      <c r="A989">
        <v>2019</v>
      </c>
      <c r="B989">
        <v>5</v>
      </c>
      <c r="C989" t="s">
        <v>28</v>
      </c>
      <c r="D989" t="s">
        <v>34</v>
      </c>
      <c r="E989" t="s">
        <v>20</v>
      </c>
      <c r="F989" t="s">
        <v>17</v>
      </c>
      <c r="G989">
        <v>119269</v>
      </c>
      <c r="H989">
        <v>251893</v>
      </c>
      <c r="I989">
        <v>292</v>
      </c>
      <c r="J989">
        <v>0.97</v>
      </c>
      <c r="K989">
        <v>6.29</v>
      </c>
      <c r="L989">
        <v>1.2</v>
      </c>
      <c r="M989">
        <v>6</v>
      </c>
      <c r="N989">
        <v>910</v>
      </c>
    </row>
    <row r="990" spans="1:14" x14ac:dyDescent="0.35">
      <c r="A990">
        <v>2018</v>
      </c>
      <c r="B990">
        <v>6</v>
      </c>
      <c r="C990" t="s">
        <v>14</v>
      </c>
      <c r="D990" t="s">
        <v>31</v>
      </c>
      <c r="E990" t="s">
        <v>16</v>
      </c>
      <c r="F990" t="s">
        <v>23</v>
      </c>
      <c r="G990">
        <v>74779</v>
      </c>
      <c r="H990">
        <v>321733</v>
      </c>
      <c r="I990">
        <v>347</v>
      </c>
      <c r="J990">
        <v>0.97</v>
      </c>
      <c r="K990">
        <v>6.29</v>
      </c>
      <c r="L990">
        <v>1.2</v>
      </c>
      <c r="M990">
        <v>6</v>
      </c>
      <c r="N990">
        <v>726</v>
      </c>
    </row>
    <row r="991" spans="1:14" x14ac:dyDescent="0.35">
      <c r="A991">
        <v>2024</v>
      </c>
      <c r="B991">
        <v>2</v>
      </c>
      <c r="C991" t="s">
        <v>21</v>
      </c>
      <c r="D991" t="s">
        <v>26</v>
      </c>
      <c r="E991" t="s">
        <v>16</v>
      </c>
      <c r="F991" t="s">
        <v>17</v>
      </c>
      <c r="G991">
        <v>91207</v>
      </c>
      <c r="H991">
        <v>163012</v>
      </c>
      <c r="I991">
        <v>353</v>
      </c>
      <c r="J991">
        <v>0.97</v>
      </c>
      <c r="K991">
        <v>6.29</v>
      </c>
      <c r="L991">
        <v>1.2</v>
      </c>
      <c r="M991">
        <v>4</v>
      </c>
      <c r="N991">
        <v>821</v>
      </c>
    </row>
    <row r="992" spans="1:14" x14ac:dyDescent="0.35">
      <c r="A992">
        <v>2022</v>
      </c>
      <c r="B992">
        <v>1</v>
      </c>
      <c r="C992" t="s">
        <v>25</v>
      </c>
      <c r="D992" t="s">
        <v>31</v>
      </c>
      <c r="E992" t="s">
        <v>20</v>
      </c>
      <c r="F992" t="s">
        <v>17</v>
      </c>
      <c r="G992">
        <v>68980</v>
      </c>
      <c r="H992">
        <v>457332</v>
      </c>
      <c r="I992">
        <v>238</v>
      </c>
      <c r="J992">
        <v>0.97</v>
      </c>
      <c r="K992">
        <v>6.29</v>
      </c>
      <c r="L992">
        <v>1.2</v>
      </c>
      <c r="M992">
        <v>2</v>
      </c>
      <c r="N992">
        <v>710</v>
      </c>
    </row>
    <row r="993" spans="1:14" x14ac:dyDescent="0.35">
      <c r="A993">
        <v>2020</v>
      </c>
      <c r="B993">
        <v>7</v>
      </c>
      <c r="C993" t="s">
        <v>21</v>
      </c>
      <c r="D993" t="s">
        <v>34</v>
      </c>
      <c r="E993" t="s">
        <v>20</v>
      </c>
      <c r="F993" t="s">
        <v>27</v>
      </c>
      <c r="G993">
        <v>91117</v>
      </c>
      <c r="H993">
        <v>385325</v>
      </c>
      <c r="I993">
        <v>385</v>
      </c>
      <c r="J993">
        <v>0.97</v>
      </c>
      <c r="K993">
        <v>6.29</v>
      </c>
      <c r="L993">
        <v>1.2</v>
      </c>
      <c r="M993">
        <v>9</v>
      </c>
      <c r="N993">
        <v>1036</v>
      </c>
    </row>
    <row r="994" spans="1:14" x14ac:dyDescent="0.35">
      <c r="A994">
        <v>2020</v>
      </c>
      <c r="B994">
        <v>7</v>
      </c>
      <c r="C994" t="s">
        <v>14</v>
      </c>
      <c r="D994" t="s">
        <v>24</v>
      </c>
      <c r="E994" t="s">
        <v>20</v>
      </c>
      <c r="F994" t="s">
        <v>17</v>
      </c>
      <c r="G994">
        <v>49141</v>
      </c>
      <c r="H994">
        <v>225858</v>
      </c>
      <c r="I994">
        <v>289</v>
      </c>
      <c r="J994">
        <v>0.97</v>
      </c>
      <c r="K994">
        <v>6.29</v>
      </c>
      <c r="L994">
        <v>1.2</v>
      </c>
      <c r="M994">
        <v>2</v>
      </c>
      <c r="N994">
        <v>648</v>
      </c>
    </row>
    <row r="995" spans="1:14" x14ac:dyDescent="0.35">
      <c r="A995">
        <v>2022</v>
      </c>
      <c r="B995">
        <v>10</v>
      </c>
      <c r="C995" t="s">
        <v>28</v>
      </c>
      <c r="D995" t="s">
        <v>34</v>
      </c>
      <c r="E995" t="s">
        <v>20</v>
      </c>
      <c r="F995" t="s">
        <v>20</v>
      </c>
      <c r="G995">
        <v>44344</v>
      </c>
      <c r="H995">
        <v>275758</v>
      </c>
      <c r="I995">
        <v>367</v>
      </c>
      <c r="J995">
        <v>0.97</v>
      </c>
      <c r="K995">
        <v>6.29</v>
      </c>
      <c r="L995">
        <v>1.2</v>
      </c>
      <c r="M995">
        <v>3</v>
      </c>
      <c r="N995">
        <v>783</v>
      </c>
    </row>
    <row r="996" spans="1:14" x14ac:dyDescent="0.35">
      <c r="A996">
        <v>2021</v>
      </c>
      <c r="B996">
        <v>11</v>
      </c>
      <c r="C996" t="s">
        <v>25</v>
      </c>
      <c r="D996" t="s">
        <v>26</v>
      </c>
      <c r="E996" t="s">
        <v>20</v>
      </c>
      <c r="F996" t="s">
        <v>27</v>
      </c>
      <c r="G996">
        <v>50896</v>
      </c>
      <c r="H996">
        <v>173711</v>
      </c>
      <c r="I996">
        <v>299</v>
      </c>
      <c r="J996">
        <v>0.97</v>
      </c>
      <c r="K996">
        <v>6.29</v>
      </c>
      <c r="L996">
        <v>1.2</v>
      </c>
      <c r="M996">
        <v>10</v>
      </c>
      <c r="N996">
        <v>668</v>
      </c>
    </row>
    <row r="997" spans="1:14" x14ac:dyDescent="0.35">
      <c r="A997">
        <v>2024</v>
      </c>
      <c r="B997">
        <v>10</v>
      </c>
      <c r="C997" t="s">
        <v>32</v>
      </c>
      <c r="D997" t="s">
        <v>18</v>
      </c>
      <c r="E997" t="s">
        <v>19</v>
      </c>
      <c r="F997" t="s">
        <v>20</v>
      </c>
      <c r="G997">
        <v>64813</v>
      </c>
      <c r="H997">
        <v>126425</v>
      </c>
      <c r="I997">
        <v>177</v>
      </c>
      <c r="J997">
        <v>0.97</v>
      </c>
      <c r="K997">
        <v>6.29</v>
      </c>
      <c r="L997">
        <v>1.2</v>
      </c>
      <c r="M997">
        <v>1</v>
      </c>
      <c r="N997">
        <v>570</v>
      </c>
    </row>
    <row r="998" spans="1:14" x14ac:dyDescent="0.35">
      <c r="A998">
        <v>2024</v>
      </c>
      <c r="B998">
        <v>2</v>
      </c>
      <c r="C998" t="s">
        <v>30</v>
      </c>
      <c r="D998" t="s">
        <v>31</v>
      </c>
      <c r="E998" t="s">
        <v>19</v>
      </c>
      <c r="F998" t="s">
        <v>17</v>
      </c>
      <c r="G998">
        <v>119431</v>
      </c>
      <c r="H998">
        <v>473502</v>
      </c>
      <c r="I998">
        <v>56</v>
      </c>
      <c r="J998">
        <v>0.97</v>
      </c>
      <c r="K998">
        <v>6.29</v>
      </c>
      <c r="L998">
        <v>1.2</v>
      </c>
      <c r="M998">
        <v>7</v>
      </c>
      <c r="N998">
        <v>433</v>
      </c>
    </row>
    <row r="999" spans="1:14" x14ac:dyDescent="0.35">
      <c r="A999">
        <v>2022</v>
      </c>
      <c r="B999">
        <v>2</v>
      </c>
      <c r="C999" t="s">
        <v>25</v>
      </c>
      <c r="D999" t="s">
        <v>22</v>
      </c>
      <c r="E999" t="s">
        <v>16</v>
      </c>
      <c r="F999" t="s">
        <v>20</v>
      </c>
      <c r="G999">
        <v>100679</v>
      </c>
      <c r="H999">
        <v>65994</v>
      </c>
      <c r="I999">
        <v>212</v>
      </c>
      <c r="J999">
        <v>0.97</v>
      </c>
      <c r="K999">
        <v>6.29</v>
      </c>
      <c r="L999">
        <v>1.2</v>
      </c>
      <c r="M999">
        <v>1</v>
      </c>
      <c r="N999">
        <v>614</v>
      </c>
    </row>
    <row r="1000" spans="1:14" x14ac:dyDescent="0.35">
      <c r="A1000">
        <v>2016</v>
      </c>
      <c r="B1000">
        <v>1</v>
      </c>
      <c r="C1000" t="s">
        <v>25</v>
      </c>
      <c r="D1000" t="s">
        <v>24</v>
      </c>
      <c r="E1000" t="s">
        <v>19</v>
      </c>
      <c r="F1000" t="s">
        <v>23</v>
      </c>
      <c r="G1000">
        <v>45681</v>
      </c>
      <c r="H1000">
        <v>161915</v>
      </c>
      <c r="I1000">
        <v>223</v>
      </c>
      <c r="J1000">
        <v>0.97</v>
      </c>
      <c r="K1000">
        <v>6.29</v>
      </c>
      <c r="L1000">
        <v>1.2</v>
      </c>
      <c r="M1000">
        <v>9</v>
      </c>
      <c r="N1000">
        <v>511</v>
      </c>
    </row>
    <row r="1001" spans="1:14" x14ac:dyDescent="0.35">
      <c r="A1001">
        <v>2023</v>
      </c>
      <c r="B1001">
        <v>10</v>
      </c>
      <c r="C1001" t="s">
        <v>28</v>
      </c>
      <c r="D1001" t="s">
        <v>33</v>
      </c>
      <c r="E1001" t="s">
        <v>19</v>
      </c>
      <c r="F1001" t="s">
        <v>17</v>
      </c>
      <c r="G1001">
        <v>107903</v>
      </c>
      <c r="H1001">
        <v>435105</v>
      </c>
      <c r="I1001">
        <v>255</v>
      </c>
      <c r="J1001">
        <v>0.97</v>
      </c>
      <c r="K1001">
        <v>6.29</v>
      </c>
      <c r="L1001">
        <v>1.2</v>
      </c>
      <c r="M1001">
        <v>1</v>
      </c>
      <c r="N1001">
        <v>891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B4A851-1EFE-40CC-9677-2611F473E3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 (2)</vt:lpstr>
      <vt:lpstr>fact</vt:lpstr>
      <vt:lpstr>date</vt:lpstr>
      <vt:lpstr>country</vt:lpstr>
      <vt:lpstr>Car_description</vt:lpstr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marina nagy</cp:lastModifiedBy>
  <dcterms:created xsi:type="dcterms:W3CDTF">2015-06-05T18:17:20Z</dcterms:created>
  <dcterms:modified xsi:type="dcterms:W3CDTF">2026-05-16T15:09:49Z</dcterms:modified>
</cp:coreProperties>
</file>